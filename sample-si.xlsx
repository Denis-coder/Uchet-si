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4"/>
  </bookViews>
  <sheets>
    <sheet name="Лист1" sheetId="1" state="hidden" r:id="rId2"/>
    <sheet name="ГПА 61" sheetId="2" state="visible" r:id="rId3"/>
    <sheet name="ГПА 62" sheetId="3" state="visible" r:id="rId4"/>
    <sheet name="ГПА 63" sheetId="4" state="visible" r:id="rId5"/>
    <sheet name="ГПА 64" sheetId="5" state="visible" r:id="rId6"/>
    <sheet name="ПП КЦ6" sheetId="6" state="visible" r:id="rId7"/>
    <sheet name="УП КЦ6" sheetId="7" state="visible" r:id="rId8"/>
    <sheet name="УПТИГ" sheetId="8" state="visible" r:id="rId9"/>
    <sheet name="УОГ" sheetId="9" state="visible" r:id="rId10"/>
    <sheet name="Котельная" sheetId="10" state="visible" r:id="rId11"/>
    <sheet name="КОС" sheetId="11" state="visible" r:id="rId12"/>
    <sheet name="НХПВ" sheetId="12" state="visible" r:id="rId13"/>
    <sheet name="НППВ" sheetId="13" state="visible" r:id="rId14"/>
    <sheet name="Водомерный узел" sheetId="14" state="visible" r:id="rId15"/>
    <sheet name="Тепловые узлы" sheetId="15" state="visible" r:id="rId16"/>
    <sheet name="Венткамеры" sheetId="16" state="visible" r:id="rId17"/>
    <sheet name="Арт. скважины" sheetId="17" state="visible" r:id="rId18"/>
    <sheet name="СИ" sheetId="18" state="visible" r:id="rId19"/>
    <sheet name="Индикаторы" sheetId="19" state="visible" r:id="rId20"/>
    <sheet name="Лист2" sheetId="20" state="visible" r:id="rId21"/>
    <sheet name="Резерв б|у" sheetId="21" state="visible" r:id="rId22"/>
    <sheet name="Резерв (новые)" sheetId="22" state="visible" r:id="rId23"/>
    <sheet name="ГПА 71" sheetId="23" state="visible" r:id="rId24"/>
    <sheet name="ГПА 72" sheetId="24" state="visible" r:id="rId25"/>
    <sheet name="ГПА 73" sheetId="25" state="visible" r:id="rId26"/>
    <sheet name="ПП КЦ7" sheetId="26" state="visible" r:id="rId27"/>
    <sheet name="УТО" sheetId="27" state="visible" r:id="rId28"/>
    <sheet name="УПТПГ" sheetId="28" state="visible" r:id="rId29"/>
    <sheet name="ПЭБ КЦ-7 тепловой узел" sheetId="29" state="visible" r:id="rId30"/>
    <sheet name="УП КЦ7" sheetId="30" state="visible" r:id="rId31"/>
    <sheet name="Замены июль 2026" sheetId="31" state="visible" r:id="rId32"/>
  </sheets>
  <definedNames>
    <definedName function="false" hidden="false" localSheetId="1" name="_xlnm.Print_Area" vbProcedure="false">'ГПА 61'!$A$1:$I$235</definedName>
    <definedName function="false" hidden="false" localSheetId="2" name="_xlnm.Print_Area" vbProcedure="false">'ГПА 62'!$A$1:$I$235</definedName>
    <definedName function="false" hidden="false" localSheetId="10" name="_xlnm.Print_Area" vbProcedure="false">КОС!$A$1:$N$14</definedName>
    <definedName function="false" hidden="false" localSheetId="1" name="_xlnm._FilterDatabase" vbProcedure="false">'ГПА 61'!$A$1:$O$224</definedName>
    <definedName function="false" hidden="false" localSheetId="2" name="_xlnm._FilterDatabase" vbProcedure="false">'ГПА 62'!$A$1:$O$224</definedName>
    <definedName function="false" hidden="false" localSheetId="3" name="_xlnm._FilterDatabase" vbProcedure="false">'ГПА 63'!$A$1:$O$224</definedName>
    <definedName function="false" hidden="false" localSheetId="4" name="_xlnm._FilterDatabase" vbProcedure="false">'ГПА 64'!$A$1:$N$224</definedName>
    <definedName function="false" hidden="false" localSheetId="5" name="_xlnm._FilterDatabase" vbProcedure="false">'ПП КЦ6'!$A$1:$N$20</definedName>
    <definedName function="false" hidden="false" localSheetId="6" name="_xlnm._FilterDatabase" vbProcedure="false">'УП КЦ6'!$A$1:$N$71</definedName>
    <definedName function="false" hidden="false" localSheetId="7" name="_xlnm._FilterDatabase" vbProcedure="false">УПТИГ!$A$1:$N$61</definedName>
    <definedName function="false" hidden="false" localSheetId="8" name="_xlnm._FilterDatabase" vbProcedure="false">УОГ!$A$1:$N$28</definedName>
    <definedName function="false" hidden="false" localSheetId="9" name="_xlnm._FilterDatabase" vbProcedure="false">Котельная!$B$1:$B$140</definedName>
    <definedName function="false" hidden="false" localSheetId="10" name="_xlnm._FilterDatabase" vbProcedure="false">КОС!$A$1:$N$14</definedName>
    <definedName function="false" hidden="false" localSheetId="11" name="_xlnm._FilterDatabase" vbProcedure="false">НХПВ!$A$1:$O$20</definedName>
    <definedName function="false" hidden="false" localSheetId="12" name="_xlnm._FilterDatabase" vbProcedure="false">НППВ!$A$1:$N$15</definedName>
    <definedName function="false" hidden="false" localSheetId="13" name="_xlnm._FilterDatabase" vbProcedure="false">'Водомерный узел'!$A$1:$N$10</definedName>
    <definedName function="false" hidden="false" localSheetId="14" name="_xlnm._FilterDatabase" vbProcedure="false">'Тепловые узлы'!$A$1:$N$105</definedName>
    <definedName function="false" hidden="false" localSheetId="15" name="_xlnm._FilterDatabase" vbProcedure="false">Венткамеры!$A$1:$N$21</definedName>
    <definedName function="false" hidden="false" localSheetId="16" name="_xlnm._FilterDatabase" vbProcedure="false">'Арт. скважины'!$A$1:$N$10</definedName>
    <definedName function="false" hidden="false" localSheetId="20" name="_xlnm._FilterDatabase" vbProcedure="false">'Резерв б|у'!$A$1:$K$290</definedName>
    <definedName function="false" hidden="false" localSheetId="22" name="_xlnm._FilterDatabase" vbProcedure="false">'ГПА 71'!$A$1:$O$229</definedName>
    <definedName function="false" hidden="false" localSheetId="23" name="_xlnm._FilterDatabase" vbProcedure="false">'ГПА 72'!$A$1:$O$229</definedName>
    <definedName function="false" hidden="false" localSheetId="24" name="_xlnm._FilterDatabase" vbProcedure="false">'ГПА 73'!$A$1:$O$229</definedName>
    <definedName function="false" hidden="false" localSheetId="25" name="_xlnm._FilterDatabase" vbProcedure="false">'ПП КЦ7'!$A$1:$O$56</definedName>
    <definedName function="false" hidden="false" localSheetId="26" name="_xlnm._FilterDatabase" vbProcedure="false">УТО!$A$1:$O$33</definedName>
    <definedName function="false" hidden="false" localSheetId="27" name="_xlnm._FilterDatabase" vbProcedure="false">УПТПГ!$A$1:$O$64</definedName>
    <definedName function="false" hidden="false" localSheetId="28" name="_xlnm._FilterDatabase" vbProcedure="false">'ПЭБ КЦ-7 тепловой узел'!$A$1:$N$50</definedName>
    <definedName function="false" hidden="false" localSheetId="29" name="_xlnm._FilterDatabase" vbProcedure="false">'УП КЦ7'!$A$1:$N$61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<sst xmlns="http://schemas.openxmlformats.org/spreadsheetml/2006/main" count="20944" uniqueCount="3390">
  <si>
    <t xml:space="preserve">1К21</t>
  </si>
  <si>
    <t xml:space="preserve">К</t>
  </si>
  <si>
    <t xml:space="preserve">если в ячейке М с буквой К</t>
  </si>
  <si>
    <t xml:space="preserve">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</t>
  </si>
  <si>
    <t xml:space="preserve">если в ячейке М дата поверки</t>
  </si>
  <si>
    <t xml:space="preserve">И(ЕСЛИ(ЦЕЛОЕ((МЕСЯЦ($M1)+2)/3)&lt;=ЦЕЛОЕ((МЕСЯЦ(СЕГОДНЯ())+2)/3);1);ЕСЛИ(ЗНАЧЕН(ТЕКСТ($M1;"ГГ"))+($L1/12)&lt;=ЗНАЧЕН(ТЕКСТ(СЕГОДНЯ();"ГГ"));1);ИЛИ($N1="К";$N1="K";$N1="П"))</t>
  </si>
  <si>
    <t xml:space="preserve">2К22</t>
  </si>
  <si>
    <t xml:space="preserve">общая формула</t>
  </si>
  <si>
    <t xml:space="preserve">ИЛИ(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;ЕСЛИОШИБКА(И(ЕСЛИ(ЦЕЛОЕ((МЕСЯЦ($M1)+2)/3)&lt;=ЦЕЛОЕ((МЕСЯЦ(СЕГОДНЯ())+2)/3);1);ЕСЛИ(ЗНАЧЕН(ТЕКСТ($M1;"ГГ"))+($L1/12)&lt;=ЗНАЧЕН(ТЕКСТ(СЕГОДНЯ();"ГГ"));1);ИЛИ($N1="К";$N1="K";$N1="П"));0))</t>
  </si>
  <si>
    <t xml:space="preserve">3К22</t>
  </si>
  <si>
    <t xml:space="preserve">3К21</t>
  </si>
  <si>
    <t xml:space="preserve">термометр</t>
  </si>
  <si>
    <t xml:space="preserve">Термометр</t>
  </si>
  <si>
    <t xml:space="preserve">№ п/п</t>
  </si>
  <si>
    <t xml:space="preserve">Наименование</t>
  </si>
  <si>
    <t xml:space="preserve">Тип</t>
  </si>
  <si>
    <t xml:space="preserve">Заводской номер</t>
  </si>
  <si>
    <t xml:space="preserve">Год выпуска</t>
  </si>
  <si>
    <t xml:space="preserve">Диапазон измерений</t>
  </si>
  <si>
    <t xml:space="preserve">Класс точности</t>
  </si>
  <si>
    <t xml:space="preserve">Место установки СИ</t>
  </si>
  <si>
    <t xml:space="preserve">Объект установки</t>
  </si>
  <si>
    <t xml:space="preserve">Подразделение</t>
  </si>
  <si>
    <t xml:space="preserve">Дата установки</t>
  </si>
  <si>
    <t xml:space="preserve">Межповерочный интервал, мес.</t>
  </si>
  <si>
    <t xml:space="preserve">Дата последней поверки / калибровки</t>
  </si>
  <si>
    <t xml:space="preserve">Поверка (П)/ Калибровка (К)</t>
  </si>
  <si>
    <t xml:space="preserve">Манометр технический</t>
  </si>
  <si>
    <t xml:space="preserve">МП4-УУ2</t>
  </si>
  <si>
    <r>
      <rPr>
        <sz val="8"/>
        <color rgb="FF000000"/>
        <rFont val="Times New Roman"/>
        <family val="1"/>
        <charset val="204"/>
      </rPr>
      <t xml:space="preserve">0…160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</si>
  <si>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P газа перед КШ 731/1,2</t>
  </si>
  <si>
    <t xml:space="preserve">ГПА 61 БПТГ</t>
  </si>
  <si>
    <t xml:space="preserve">АСУ,А и ТМ (КЦ № 6)</t>
  </si>
  <si>
    <t xml:space="preserve">1К26</t>
  </si>
  <si>
    <r>
      <rPr>
        <sz val="8"/>
        <color rgb="FF000000"/>
        <rFont val="Times New Roman"/>
        <family val="1"/>
        <charset val="204"/>
      </rPr>
      <t xml:space="preserve">0…100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</si>
  <si>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P газа после КРД 730/1</t>
  </si>
  <si>
    <t xml:space="preserve">P газа в C 701</t>
  </si>
  <si>
    <t xml:space="preserve">26ДЯУ</t>
  </si>
  <si>
    <t xml:space="preserve">П</t>
  </si>
  <si>
    <t xml:space="preserve">15518</t>
  </si>
  <si>
    <t xml:space="preserve">P газа на выходе ЭПГ 700/1</t>
  </si>
  <si>
    <t xml:space="preserve">2К26</t>
  </si>
  <si>
    <t xml:space="preserve">15103</t>
  </si>
  <si>
    <t xml:space="preserve">P газа после        КРД 730/2</t>
  </si>
  <si>
    <t xml:space="preserve">15180</t>
  </si>
  <si>
    <t xml:space="preserve">P газа на выходе ЭПГ 700/2</t>
  </si>
  <si>
    <t xml:space="preserve">Термометр биметаллический</t>
  </si>
  <si>
    <t xml:space="preserve">ТБ-2</t>
  </si>
  <si>
    <t xml:space="preserve">0…100 °С</t>
  </si>
  <si>
    <t xml:space="preserve">Тг на выходе ЭПГ 700/1</t>
  </si>
  <si>
    <t xml:space="preserve">Тг на выходе ЭПГ 700/2</t>
  </si>
  <si>
    <t xml:space="preserve">Уровнемер</t>
  </si>
  <si>
    <t xml:space="preserve">KROHNE BM-26A/C/RR </t>
  </si>
  <si>
    <t xml:space="preserve">447006647.20.04</t>
  </si>
  <si>
    <t xml:space="preserve">0…100 %</t>
  </si>
  <si>
    <t xml:space="preserve">±10 мм</t>
  </si>
  <si>
    <t xml:space="preserve">Уровень жидкости в сепараторе С701 </t>
  </si>
  <si>
    <t xml:space="preserve">Преобразователь избыточного давления</t>
  </si>
  <si>
    <t xml:space="preserve">Honeywell STG-97L</t>
  </si>
  <si>
    <t xml:space="preserve">11W03 C3287149003052</t>
  </si>
  <si>
    <t xml:space="preserve">0…10 MПa </t>
  </si>
  <si>
    <t xml:space="preserve">Давление газа перед С701 (на входе в блок БПТГ)</t>
  </si>
  <si>
    <t xml:space="preserve">11W03 C3287149003003</t>
  </si>
  <si>
    <t xml:space="preserve">Давление газа на выходе блока БПТГ перед КШ12</t>
  </si>
  <si>
    <t xml:space="preserve">Термометр сопротивления</t>
  </si>
  <si>
    <t xml:space="preserve">ТСП 012.60 Pt100/В/3</t>
  </si>
  <si>
    <t xml:space="preserve">363</t>
  </si>
  <si>
    <t xml:space="preserve">-60…200 °С</t>
  </si>
  <si>
    <t xml:space="preserve">B</t>
  </si>
  <si>
    <t xml:space="preserve">Температура газа перед С701</t>
  </si>
  <si>
    <t xml:space="preserve">383</t>
  </si>
  <si>
    <t xml:space="preserve">Температура антифриза в подогревателе ЭПГ700/2</t>
  </si>
  <si>
    <t xml:space="preserve">357</t>
  </si>
  <si>
    <t xml:space="preserve">Температура газа после ЭПГ700/2</t>
  </si>
  <si>
    <t xml:space="preserve">384</t>
  </si>
  <si>
    <t xml:space="preserve">Температура антифриза в подогревателе ЭПГ700/1</t>
  </si>
  <si>
    <t xml:space="preserve">447</t>
  </si>
  <si>
    <t xml:space="preserve">Температура газа после ЭПГ700/1</t>
  </si>
  <si>
    <t xml:space="preserve">373</t>
  </si>
  <si>
    <t xml:space="preserve">Температура воздуха в контейнере блока БПТГ т.1</t>
  </si>
  <si>
    <t xml:space="preserve">381</t>
  </si>
  <si>
    <t xml:space="preserve">Температура воздуха в контейнере блока БПТГ т.2</t>
  </si>
  <si>
    <t xml:space="preserve">371</t>
  </si>
  <si>
    <t xml:space="preserve">Температура масла EK225</t>
  </si>
  <si>
    <t xml:space="preserve">370</t>
  </si>
  <si>
    <t xml:space="preserve">Температура масла EK226</t>
  </si>
  <si>
    <t xml:space="preserve">Датчик уровня</t>
  </si>
  <si>
    <t xml:space="preserve">KROHNE Optiswitch 5200C</t>
  </si>
  <si>
    <t xml:space="preserve">20408759</t>
  </si>
  <si>
    <t xml:space="preserve">0…400 мм</t>
  </si>
  <si>
    <t xml:space="preserve">Уровень антифриза в ЭПГ 700/1</t>
  </si>
  <si>
    <t xml:space="preserve">20408763</t>
  </si>
  <si>
    <t xml:space="preserve">Уровень антифриза в ЭПГ 700/2</t>
  </si>
  <si>
    <t xml:space="preserve">Контроль загазованности</t>
  </si>
  <si>
    <t xml:space="preserve">Det-Tronics (PIRECL 21M)</t>
  </si>
  <si>
    <t xml:space="preserve">ЭП 700/2 (QT 502) </t>
  </si>
  <si>
    <t xml:space="preserve">ОГС-ПГП/М-СН4-А</t>
  </si>
  <si>
    <t xml:space="preserve">ЭП 700/1 (QT 501) </t>
  </si>
  <si>
    <t xml:space="preserve">Датчик пламени</t>
  </si>
  <si>
    <t xml:space="preserve">ИП330/3-20-А1</t>
  </si>
  <si>
    <t xml:space="preserve">000984</t>
  </si>
  <si>
    <t xml:space="preserve">(BTF501)</t>
  </si>
  <si>
    <t xml:space="preserve">001000</t>
  </si>
  <si>
    <t xml:space="preserve">(BTF502)</t>
  </si>
  <si>
    <t xml:space="preserve">001016</t>
  </si>
  <si>
    <t xml:space="preserve">(BTF503)</t>
  </si>
  <si>
    <t xml:space="preserve">000999</t>
  </si>
  <si>
    <t xml:space="preserve">(BTF504)</t>
  </si>
  <si>
    <t xml:space="preserve">ТСПУ-Л  22322 УХЛ3.1</t>
  </si>
  <si>
    <t xml:space="preserve">-60…100 °С</t>
  </si>
  <si>
    <t xml:space="preserve">±0,5 %</t>
  </si>
  <si>
    <t xml:space="preserve">Т нагретого воздуха</t>
  </si>
  <si>
    <t xml:space="preserve">ГПА 61 АВГМ</t>
  </si>
  <si>
    <t xml:space="preserve">Тг на газовом счетчике</t>
  </si>
  <si>
    <t xml:space="preserve">-60…350 °С</t>
  </si>
  <si>
    <t xml:space="preserve">Т теплообменника 1</t>
  </si>
  <si>
    <t xml:space="preserve">Т теплообменника 2</t>
  </si>
  <si>
    <t xml:space="preserve">Тг на входе</t>
  </si>
  <si>
    <t xml:space="preserve">Тв в секции обслуживания</t>
  </si>
  <si>
    <r>
      <rPr>
        <sz val="8"/>
        <color rgb="FF000000"/>
        <rFont val="Times New Roman"/>
        <family val="1"/>
        <charset val="204"/>
      </rPr>
      <t xml:space="preserve">0…0,6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</si>
  <si>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газа после счетчика АВГМ</t>
  </si>
  <si>
    <t xml:space="preserve">ДМ8008-ВУ-У2</t>
  </si>
  <si>
    <r>
      <rPr>
        <sz val="8"/>
        <color rgb="FF000000"/>
        <rFont val="Times New Roman"/>
        <family val="1"/>
        <charset val="204"/>
      </rPr>
      <t xml:space="preserve">0…6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</si>
  <si>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газа на входе АВГМ</t>
  </si>
  <si>
    <t xml:space="preserve">QT 701</t>
  </si>
  <si>
    <t xml:space="preserve">Извещатель тепловой пожарный</t>
  </si>
  <si>
    <t xml:space="preserve">Fenwal 12-X27121-000</t>
  </si>
  <si>
    <t xml:space="preserve">-55…150 °С</t>
  </si>
  <si>
    <t xml:space="preserve">BTK 501</t>
  </si>
  <si>
    <t xml:space="preserve">BTK 502</t>
  </si>
  <si>
    <t xml:space="preserve">BTK 503</t>
  </si>
  <si>
    <t xml:space="preserve">Dunas LGW 3 A2</t>
  </si>
  <si>
    <t xml:space="preserve">CE-0085 AQ0673</t>
  </si>
  <si>
    <t xml:space="preserve">0…500 мбар</t>
  </si>
  <si>
    <t xml:space="preserve">Перепад давления</t>
  </si>
  <si>
    <t xml:space="preserve">ПРОМА-ИДМ-(В)</t>
  </si>
  <si>
    <t xml:space="preserve">0…1 кПа</t>
  </si>
  <si>
    <t xml:space="preserve">Р воздуха на входе (датчик и прибор)</t>
  </si>
  <si>
    <t xml:space="preserve">ДДМ-03-ДИ</t>
  </si>
  <si>
    <t xml:space="preserve">0…40 кПа</t>
  </si>
  <si>
    <t xml:space="preserve">Р газа полсе РД</t>
  </si>
  <si>
    <t xml:space="preserve">Счетчик газа</t>
  </si>
  <si>
    <t xml:space="preserve">Elster ПГТИ G65</t>
  </si>
  <si>
    <r>
      <rPr>
        <sz val="8"/>
        <color rgb="FF000000"/>
        <rFont val="Times New Roman"/>
        <family val="1"/>
        <charset val="204"/>
      </rPr>
      <t xml:space="preserve">3…100 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  <r>
      <rPr>
        <sz val="8"/>
        <color rgb="FF000000"/>
        <rFont val="Times New Roman"/>
        <family val="1"/>
        <charset val="204"/>
      </rPr>
      <t xml:space="preserve">/ч</t>
    </r>
  </si>
  <si>
    <t xml:space="preserve">МП3-УУХЛ1</t>
  </si>
  <si>
    <t xml:space="preserve">Р газа 1 секции</t>
  </si>
  <si>
    <t xml:space="preserve">ГПА 61 АВОГ</t>
  </si>
  <si>
    <t xml:space="preserve">Р газа 2 секции</t>
  </si>
  <si>
    <t xml:space="preserve">Р газа 3 секции</t>
  </si>
  <si>
    <t xml:space="preserve">Р газа 4 секции</t>
  </si>
  <si>
    <t xml:space="preserve">Р газа 5 секции</t>
  </si>
  <si>
    <t xml:space="preserve">Р газа 6 секции</t>
  </si>
  <si>
    <t xml:space="preserve">Р газа 7 секции</t>
  </si>
  <si>
    <t xml:space="preserve">Р газа 8 секции</t>
  </si>
  <si>
    <t xml:space="preserve">ТБф</t>
  </si>
  <si>
    <t xml:space="preserve">072177</t>
  </si>
  <si>
    <t xml:space="preserve">­50…100 °C</t>
  </si>
  <si>
    <t xml:space="preserve">Тг на выходе 1 секции АВО</t>
  </si>
  <si>
    <t xml:space="preserve">3К26</t>
  </si>
  <si>
    <t xml:space="preserve">072178</t>
  </si>
  <si>
    <t xml:space="preserve">Тг на выходе 2 секции АВО</t>
  </si>
  <si>
    <t xml:space="preserve">072179</t>
  </si>
  <si>
    <t xml:space="preserve">Тг на выходе 3 секции АВО</t>
  </si>
  <si>
    <t xml:space="preserve">072180</t>
  </si>
  <si>
    <t xml:space="preserve">Тг на выходе 4 секции АВО</t>
  </si>
  <si>
    <t xml:space="preserve">845</t>
  </si>
  <si>
    <t xml:space="preserve">Тг на выходе 5 секции АВО</t>
  </si>
  <si>
    <t xml:space="preserve">072182</t>
  </si>
  <si>
    <t xml:space="preserve">Тг на выходе 6 секции АВО</t>
  </si>
  <si>
    <t xml:space="preserve">072183</t>
  </si>
  <si>
    <t xml:space="preserve">Тг на выходе 7 секции АВО</t>
  </si>
  <si>
    <t xml:space="preserve">072184</t>
  </si>
  <si>
    <t xml:space="preserve">Тг на выходе 8 секции АВО</t>
  </si>
  <si>
    <t xml:space="preserve">МП4-УФ БС УХЛ1</t>
  </si>
  <si>
    <t xml:space="preserve">312533</t>
  </si>
  <si>
    <t xml:space="preserve">Р газа на входе АВО</t>
  </si>
  <si>
    <t xml:space="preserve">312549</t>
  </si>
  <si>
    <t xml:space="preserve">Р газа на выходе АВО</t>
  </si>
  <si>
    <r>
      <rPr>
        <sz val="8"/>
        <color rgb="FF000000"/>
        <rFont val="Times New Roman"/>
        <family val="1"/>
        <charset val="204"/>
      </rPr>
      <t xml:space="preserve">0…16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</si>
  <si>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имп. воздуха кр. 6к</t>
  </si>
  <si>
    <t xml:space="preserve">ТСП 012.56ОВ 100П/А/4</t>
  </si>
  <si>
    <t xml:space="preserve">1</t>
  </si>
  <si>
    <t xml:space="preserve">А</t>
  </si>
  <si>
    <t xml:space="preserve">Температура газа на выходе АВО перед краном 6к</t>
  </si>
  <si>
    <t xml:space="preserve">5</t>
  </si>
  <si>
    <t xml:space="preserve">Температура газа на выходе АВО перед краном 2</t>
  </si>
  <si>
    <t xml:space="preserve">YOKOGAVA EJX110А-EНS5J-B19DM/KF21/QR</t>
  </si>
  <si>
    <t xml:space="preserve">91М439692.217</t>
  </si>
  <si>
    <t xml:space="preserve">0…160 кПa </t>
  </si>
  <si>
    <t xml:space="preserve">Перепад давления на АВО газа</t>
  </si>
  <si>
    <t xml:space="preserve">YOKOGAVA EJX530А-EDS9N-019DL/KF21/QR</t>
  </si>
  <si>
    <t xml:space="preserve">91M439736.217</t>
  </si>
  <si>
    <t xml:space="preserve">0…16 МПа</t>
  </si>
  <si>
    <t xml:space="preserve">Давление газа на выходе АВО (до крана №2)</t>
  </si>
  <si>
    <t xml:space="preserve">454</t>
  </si>
  <si>
    <t xml:space="preserve">-50…130 °С</t>
  </si>
  <si>
    <t xml:space="preserve">Температура масла на выходе МОД</t>
  </si>
  <si>
    <t xml:space="preserve">ГПА 61</t>
  </si>
  <si>
    <t xml:space="preserve">Метран 256-04 100П/В/3</t>
  </si>
  <si>
    <t xml:space="preserve">2025077</t>
  </si>
  <si>
    <t xml:space="preserve">2011</t>
  </si>
  <si>
    <t xml:space="preserve">-50…200 °С</t>
  </si>
  <si>
    <t xml:space="preserve">Температура масла на входе в МОД</t>
  </si>
  <si>
    <t xml:space="preserve">ТСП 012П 100П/В/4</t>
  </si>
  <si>
    <t xml:space="preserve">Температура секции МОД</t>
  </si>
  <si>
    <t xml:space="preserve">11</t>
  </si>
  <si>
    <t xml:space="preserve">Температура поверхности электронагревателей МОД</t>
  </si>
  <si>
    <t xml:space="preserve">Выключатель давления</t>
  </si>
  <si>
    <t xml:space="preserve">Садко 44 ТЖИУ 406422.004</t>
  </si>
  <si>
    <t xml:space="preserve">0,04…0,15 МПа</t>
  </si>
  <si>
    <t xml:space="preserve">Перепад давления масла на фильтрах смазки после МОД</t>
  </si>
  <si>
    <t xml:space="preserve">0,01…0,04 МПа</t>
  </si>
  <si>
    <t xml:space="preserve">Перепад давления масла на фильтрах двигателя</t>
  </si>
  <si>
    <t xml:space="preserve">Садко 107 ТЖИУ 406423.004</t>
  </si>
  <si>
    <t xml:space="preserve">0,09…0,5 МПа</t>
  </si>
  <si>
    <t xml:space="preserve">Давление масла на входе в фильтр  маслобака</t>
  </si>
  <si>
    <t xml:space="preserve">Перепад давления запирающего воздуха на фильтре</t>
  </si>
  <si>
    <t xml:space="preserve">3…6 МПа</t>
  </si>
  <si>
    <t xml:space="preserve">Сигнализатор обрыва металлорукава</t>
  </si>
  <si>
    <t xml:space="preserve">332</t>
  </si>
  <si>
    <t xml:space="preserve">Температура защитного воздуха на выходе оболочки опорно-упорного подшипника (задний)</t>
  </si>
  <si>
    <t xml:space="preserve">Расходомер                 </t>
  </si>
  <si>
    <t xml:space="preserve">СУРГ 1.000 </t>
  </si>
  <si>
    <t xml:space="preserve">01.1359</t>
  </si>
  <si>
    <t xml:space="preserve">0…100000 кг/час </t>
  </si>
  <si>
    <t xml:space="preserve"> (Наддув) под кожухом двигателя</t>
  </si>
  <si>
    <t xml:space="preserve">Метран 150 TG2</t>
  </si>
  <si>
    <t xml:space="preserve">0…600 кПa </t>
  </si>
  <si>
    <t xml:space="preserve">Давление газа на выходе 1-ой ступени ТУ ПКВ</t>
  </si>
  <si>
    <t xml:space="preserve">Давление газа на выходе 1-ой ступени ТУ ЗКВ</t>
  </si>
  <si>
    <t xml:space="preserve">Метран 150 TG4</t>
  </si>
  <si>
    <t xml:space="preserve">0,075%</t>
  </si>
  <si>
    <t xml:space="preserve">Давление газа на выходе бустерной компрессорной установки</t>
  </si>
  <si>
    <t xml:space="preserve">Метран 150 CD4</t>
  </si>
  <si>
    <t xml:space="preserve">0…500 кПа</t>
  </si>
  <si>
    <t xml:space="preserve">Перепад давления газа на фильтре бустерной компрессорной установки</t>
  </si>
  <si>
    <t xml:space="preserve">Honeywell STD-924</t>
  </si>
  <si>
    <t xml:space="preserve">11W20 C3316711002002</t>
  </si>
  <si>
    <t xml:space="preserve">0…25 кПa</t>
  </si>
  <si>
    <t xml:space="preserve">Перепад давления газ-газ</t>
  </si>
  <si>
    <t xml:space="preserve">Метран 150 CD3</t>
  </si>
  <si>
    <t xml:space="preserve">0…250 кПа</t>
  </si>
  <si>
    <t xml:space="preserve">Перепад давления газа на фильтрах панели ТГДУ</t>
  </si>
  <si>
    <t xml:space="preserve">Метран 150 CD1 </t>
  </si>
  <si>
    <t xml:space="preserve">0…0,63 кПа</t>
  </si>
  <si>
    <t xml:space="preserve">Перепад давления воздуха на мультициклонных блоках (фильтрах)</t>
  </si>
  <si>
    <t xml:space="preserve">0…1,6 кПа</t>
  </si>
  <si>
    <t xml:space="preserve">Перепад давления воздуха на кассетных фильтрах</t>
  </si>
  <si>
    <t xml:space="preserve">91М439734.217</t>
  </si>
  <si>
    <t xml:space="preserve">Давление газа на выходе АВО (после крана №2)</t>
  </si>
  <si>
    <t xml:space="preserve">91М439690.217</t>
  </si>
  <si>
    <t xml:space="preserve">0…0,16 МПа</t>
  </si>
  <si>
    <t xml:space="preserve">Перепад давлений газа на сетке перед компрессором (защитная решетка)</t>
  </si>
  <si>
    <t xml:space="preserve">91М439689.217</t>
  </si>
  <si>
    <t xml:space="preserve">0…400 кПа</t>
  </si>
  <si>
    <t xml:space="preserve">Перепад давления газа на кране №1</t>
  </si>
  <si>
    <t xml:space="preserve">10W44 C3273987003003</t>
  </si>
  <si>
    <t xml:space="preserve">0…4 МПа</t>
  </si>
  <si>
    <t xml:space="preserve">Давление воздуха за КВД</t>
  </si>
  <si>
    <t xml:space="preserve">10W44 C3273987003053</t>
  </si>
  <si>
    <t xml:space="preserve">0…10 МПа</t>
  </si>
  <si>
    <t xml:space="preserve">Давление газа на входе компрессора</t>
  </si>
  <si>
    <t xml:space="preserve">11W18 C3313690003009</t>
  </si>
  <si>
    <t xml:space="preserve">Давление газа на выходе компрессора</t>
  </si>
  <si>
    <t xml:space="preserve">11W18 C331369000305</t>
  </si>
  <si>
    <t xml:space="preserve">Давление топливного газа после отсечного клапана</t>
  </si>
  <si>
    <t xml:space="preserve">11W03 C3287149003044</t>
  </si>
  <si>
    <t xml:space="preserve">Давление топливного газа перед расходомерным устройством</t>
  </si>
  <si>
    <t xml:space="preserve">10W20 C3236732009011</t>
  </si>
  <si>
    <t xml:space="preserve">Давление топливного газа перед форсунками камеры сгорания (после СК)</t>
  </si>
  <si>
    <t xml:space="preserve">10W44 C3273987003051</t>
  </si>
  <si>
    <t xml:space="preserve">0…2 МПа</t>
  </si>
  <si>
    <t xml:space="preserve">Давление воздуха в разгрузочной полости</t>
  </si>
  <si>
    <t xml:space="preserve">Honeywell STG-94L</t>
  </si>
  <si>
    <t xml:space="preserve">11W17 C3313690002010</t>
  </si>
  <si>
    <t xml:space="preserve">0…0,63 МПа</t>
  </si>
  <si>
    <t xml:space="preserve">Давление масла на выходе из двигателя</t>
  </si>
  <si>
    <t xml:space="preserve">11W13 C3303059004004</t>
  </si>
  <si>
    <t xml:space="preserve">Давление масла на входе двигателя</t>
  </si>
  <si>
    <t xml:space="preserve">11W17 C3313690002012</t>
  </si>
  <si>
    <t xml:space="preserve">-100…530 кПа</t>
  </si>
  <si>
    <t xml:space="preserve">Давление воздуха в средней опоре</t>
  </si>
  <si>
    <t xml:space="preserve">11W13 C3303059004026</t>
  </si>
  <si>
    <t xml:space="preserve">0…1 МПа </t>
  </si>
  <si>
    <t xml:space="preserve">Давление защиного воздуха на выходе ресивера Р1 (после воздушного компрессора)</t>
  </si>
  <si>
    <t xml:space="preserve">Honeywell STD-930</t>
  </si>
  <si>
    <t xml:space="preserve">11W04 C3287149005007</t>
  </si>
  <si>
    <t xml:space="preserve">-34…689 кПа</t>
  </si>
  <si>
    <t xml:space="preserve">Перепад воздуха на шайбе</t>
  </si>
  <si>
    <t xml:space="preserve">11W16 C3310520005004</t>
  </si>
  <si>
    <t xml:space="preserve">0…63 кПа</t>
  </si>
  <si>
    <t xml:space="preserve">Перепад давления газа на всасывающем патрубке (конфузоре)</t>
  </si>
  <si>
    <t xml:space="preserve">11W16 C3310520005001</t>
  </si>
  <si>
    <t xml:space="preserve">0…4 кПа</t>
  </si>
  <si>
    <t xml:space="preserve">Перепад давления между оболочкой опорного подшипника и 2-ой супенью ТУ</t>
  </si>
  <si>
    <t xml:space="preserve">11W17 C3313690001027</t>
  </si>
  <si>
    <t xml:space="preserve">Перепад давления между оболочкой опорно-упорного подшипника и 2-ой супенью ТУ</t>
  </si>
  <si>
    <t xml:space="preserve">11W18 C3313690001031</t>
  </si>
  <si>
    <t xml:space="preserve">Давление во входном сечении лемнискаты ГТД</t>
  </si>
  <si>
    <t xml:space="preserve">11W17 C3313690001018</t>
  </si>
  <si>
    <t xml:space="preserve">-5…100 кПа</t>
  </si>
  <si>
    <t xml:space="preserve">Давление на срезе улитки ГТД</t>
  </si>
  <si>
    <t xml:space="preserve">11W18 C3313690001032</t>
  </si>
  <si>
    <t xml:space="preserve">0…1158,4 мм</t>
  </si>
  <si>
    <t xml:space="preserve">Уровень масла в маслобаке двигателя</t>
  </si>
  <si>
    <t xml:space="preserve">11W18 C3313690001044</t>
  </si>
  <si>
    <t xml:space="preserve">0…2000 мм</t>
  </si>
  <si>
    <t xml:space="preserve">Уровеь масла в расходном баке</t>
  </si>
  <si>
    <t xml:space="preserve">11W17 C3313690001010</t>
  </si>
  <si>
    <t xml:space="preserve">0…100 кПа</t>
  </si>
  <si>
    <t xml:space="preserve">Перепад давлений между входной и выходной камерами Ф1</t>
  </si>
  <si>
    <t xml:space="preserve">11W18 C3313690001048</t>
  </si>
  <si>
    <t xml:space="preserve">Перепад давлений между входной и выходной камерами Ф2</t>
  </si>
  <si>
    <t xml:space="preserve">Honeywell STD-120</t>
  </si>
  <si>
    <t xml:space="preserve">10W45 C3273987001085</t>
  </si>
  <si>
    <t xml:space="preserve">-1000…2500 Па</t>
  </si>
  <si>
    <t xml:space="preserve">Давление инжектируемого потока перед сепаратором С1</t>
  </si>
  <si>
    <t xml:space="preserve">10W45 C3273987001071</t>
  </si>
  <si>
    <t xml:space="preserve">0…400 Па</t>
  </si>
  <si>
    <t xml:space="preserve">Избыточное давление воздуха под кожухом двигателя</t>
  </si>
  <si>
    <t xml:space="preserve">10W45 C3273987001054</t>
  </si>
  <si>
    <t xml:space="preserve">0…10 кПа</t>
  </si>
  <si>
    <t xml:space="preserve">Давление защитного воздуха на входе опорного подшипника</t>
  </si>
  <si>
    <t xml:space="preserve">11W03 C3287149001020</t>
  </si>
  <si>
    <t xml:space="preserve">Давление защитного воздуха на входе опорно-упорного подшипника</t>
  </si>
  <si>
    <t xml:space="preserve">10W45 C3273987001121</t>
  </si>
  <si>
    <t xml:space="preserve">Давление защитного воздуха на выходе оболочки опорного подшипника</t>
  </si>
  <si>
    <t xml:space="preserve">10W45 C3273987001130</t>
  </si>
  <si>
    <t xml:space="preserve">Давление защитного воздуха на выходе оболочки опорно-упорного подшипника</t>
  </si>
  <si>
    <t xml:space="preserve">10W45 C3273987001037</t>
  </si>
  <si>
    <t xml:space="preserve">Давление воздуха на входе Д (разрежение во всас. камере)</t>
  </si>
  <si>
    <t xml:space="preserve">KROHNE OPTISWIRL 4070/C</t>
  </si>
  <si>
    <t xml:space="preserve">D110000000199396</t>
  </si>
  <si>
    <r>
      <rPr>
        <sz val="8"/>
        <rFont val="Times New Roman"/>
        <family val="1"/>
        <charset val="204"/>
      </rPr>
      <t xml:space="preserve">1,5…15 Нм</t>
    </r>
    <r>
      <rPr>
        <vertAlign val="superscript"/>
        <sz val="8"/>
        <rFont val="Times New Roman"/>
        <family val="1"/>
        <charset val="204"/>
      </rPr>
      <t xml:space="preserve">3</t>
    </r>
    <r>
      <rPr>
        <sz val="8"/>
        <rFont val="Times New Roman"/>
        <family val="1"/>
        <charset val="204"/>
      </rPr>
      <t xml:space="preserve">/мин</t>
    </r>
  </si>
  <si>
    <t xml:space="preserve">Расход воздуха на выходе из оболочки опорно-упорного подшипника</t>
  </si>
  <si>
    <t xml:space="preserve">не соответствуют единицы расхода в АРМ</t>
  </si>
  <si>
    <t xml:space="preserve">D110000000199390</t>
  </si>
  <si>
    <t xml:space="preserve">Расход воздуха на выходе из оболочки опорного подшипника</t>
  </si>
  <si>
    <t xml:space="preserve">KROHNE/H250</t>
  </si>
  <si>
    <t xml:space="preserve">D110000000182275</t>
  </si>
  <si>
    <r>
      <rPr>
        <sz val="8"/>
        <rFont val="Times New Roman"/>
        <family val="1"/>
        <charset val="204"/>
      </rPr>
      <t xml:space="preserve">6…60 Нм</t>
    </r>
    <r>
      <rPr>
        <vertAlign val="superscript"/>
        <sz val="8"/>
        <rFont val="Times New Roman"/>
        <family val="1"/>
        <charset val="204"/>
      </rPr>
      <t xml:space="preserve">3</t>
    </r>
    <r>
      <rPr>
        <sz val="8"/>
        <rFont val="Times New Roman"/>
        <family val="1"/>
        <charset val="204"/>
      </rPr>
      <t xml:space="preserve">/час</t>
    </r>
  </si>
  <si>
    <t xml:space="preserve">1,6</t>
  </si>
  <si>
    <t xml:space="preserve">Расход газа на выходе первой ступени ЗКВ</t>
  </si>
  <si>
    <t xml:space="preserve">D110000000182271</t>
  </si>
  <si>
    <t xml:space="preserve">Расход газа на выходе первой ступени ПКВ</t>
  </si>
  <si>
    <t xml:space="preserve">KROHNE BM-26A</t>
  </si>
  <si>
    <t xml:space="preserve">447006647/10.07</t>
  </si>
  <si>
    <t xml:space="preserve">Уровень жидкости во входной камере Ф1/1</t>
  </si>
  <si>
    <t xml:space="preserve">KROHNE MS15</t>
  </si>
  <si>
    <t xml:space="preserve">447006647.10.25</t>
  </si>
  <si>
    <t xml:space="preserve">Нижний уровень SQ2 (Ф1/1)</t>
  </si>
  <si>
    <t xml:space="preserve">447006647.10.29</t>
  </si>
  <si>
    <t xml:space="preserve">Верхний уровень SQ1 (Ф1/1)</t>
  </si>
  <si>
    <t xml:space="preserve">KROHNE ER/EXD/AL/D</t>
  </si>
  <si>
    <t xml:space="preserve">447006647.10.07</t>
  </si>
  <si>
    <t xml:space="preserve">Уровень конденсата BL710 (Ф1/1)</t>
  </si>
  <si>
    <t xml:space="preserve">447006647/10.05</t>
  </si>
  <si>
    <t xml:space="preserve">Уровень жидкости в выходной камере Ф1/2</t>
  </si>
  <si>
    <t xml:space="preserve">447006647.10.28</t>
  </si>
  <si>
    <t xml:space="preserve">Нижний уровень SQ2 (Ф1/2)</t>
  </si>
  <si>
    <t xml:space="preserve">447006647.10.31</t>
  </si>
  <si>
    <t xml:space="preserve">Верхний уровень SQ1 (Ф1/2)</t>
  </si>
  <si>
    <t xml:space="preserve">447006647.10.05</t>
  </si>
  <si>
    <t xml:space="preserve">Уровень конденсата BL711 (Ф1/2)</t>
  </si>
  <si>
    <t xml:space="preserve">447006647/10.03</t>
  </si>
  <si>
    <t xml:space="preserve">Уровень жидкости во входной камере Ф2/1</t>
  </si>
  <si>
    <t xml:space="preserve">447006647.10.32</t>
  </si>
  <si>
    <t xml:space="preserve">Нижний уровень SQ2 (Ф2/1)</t>
  </si>
  <si>
    <t xml:space="preserve">447006647.10.26</t>
  </si>
  <si>
    <t xml:space="preserve">Верхний уровень SQ1 (Ф2/1)</t>
  </si>
  <si>
    <t xml:space="preserve">447006647.10.03</t>
  </si>
  <si>
    <t xml:space="preserve">Уровень конденсата BL712 (Ф2/1)</t>
  </si>
  <si>
    <t xml:space="preserve">447006647/10.11</t>
  </si>
  <si>
    <t xml:space="preserve">Уровень жидкости в выходной камере Ф2/2</t>
  </si>
  <si>
    <t xml:space="preserve">447006647.10.30</t>
  </si>
  <si>
    <t xml:space="preserve">Нижний уровень SQ2 (Ф2/2)</t>
  </si>
  <si>
    <t xml:space="preserve">447006647.10.27</t>
  </si>
  <si>
    <t xml:space="preserve">Верхний уровень SQ1 (Ф2/2)</t>
  </si>
  <si>
    <t xml:space="preserve">447006647.10.11</t>
  </si>
  <si>
    <t xml:space="preserve">Уровень конденсата BL713 (Ф2/2)</t>
  </si>
  <si>
    <t xml:space="preserve">KROHNE optiswitch 5200C</t>
  </si>
  <si>
    <t xml:space="preserve">Уровень теплоносителя в подогревателе BL1</t>
  </si>
  <si>
    <t xml:space="preserve">Micrp Motion F200S-366-C-C-A-Z-E-ZZZ-Z (170011AFFEZZZ)</t>
  </si>
  <si>
    <t xml:space="preserve">sensor       14232611     (голова       3812871)</t>
  </si>
  <si>
    <t xml:space="preserve">0…6300 кг/час </t>
  </si>
  <si>
    <t xml:space="preserve">±0,5 (для газа)</t>
  </si>
  <si>
    <t xml:space="preserve">Расход топливного газа (коммерческий учет)</t>
  </si>
  <si>
    <t xml:space="preserve">Датчик вибрации</t>
  </si>
  <si>
    <t xml:space="preserve">ВПД 10-1,0/8,0</t>
  </si>
  <si>
    <t xml:space="preserve">Отсутствует доступ к датчику</t>
  </si>
  <si>
    <t xml:space="preserve">0…500 мкм (канал)</t>
  </si>
  <si>
    <t xml:space="preserve">нормируется для канала измерения</t>
  </si>
  <si>
    <t xml:space="preserve">Размах виброперемещения со стороны привода (горизонтальная составляющая)</t>
  </si>
  <si>
    <t xml:space="preserve">Размах виброперемещения со стороны привода (вертикальная составляющая)</t>
  </si>
  <si>
    <t xml:space="preserve">Размах виброперемещения со стороны свободного конца (горизонтальная составляющая)</t>
  </si>
  <si>
    <t xml:space="preserve">Размах виброперемещения со стороны свободного конца (вертикальная составляющая)</t>
  </si>
  <si>
    <t xml:space="preserve">Размах виброперемещения в осевом направлении</t>
  </si>
  <si>
    <t xml:space="preserve">ВПД 10-1,0/7,0Р</t>
  </si>
  <si>
    <t xml:space="preserve">0…1000 мкм (канал)</t>
  </si>
  <si>
    <t xml:space="preserve">Датчик оборотов ротора нагнетателя</t>
  </si>
  <si>
    <t xml:space="preserve">ТСП 012.60 Pt100/B/3</t>
  </si>
  <si>
    <t xml:space="preserve">395</t>
  </si>
  <si>
    <t xml:space="preserve">Температура масла после охладителя (на входе в двигатель)</t>
  </si>
  <si>
    <t xml:space="preserve">194</t>
  </si>
  <si>
    <t xml:space="preserve">Температура масла на выходе двигателя (перед маслоохладителем)</t>
  </si>
  <si>
    <t xml:space="preserve">324</t>
  </si>
  <si>
    <t xml:space="preserve">Температра масла в баке двигателя</t>
  </si>
  <si>
    <t xml:space="preserve">321</t>
  </si>
  <si>
    <t xml:space="preserve">Температура топливного газа перед расходомерным устройством</t>
  </si>
  <si>
    <t xml:space="preserve">ТСП 012.60Сп Pt100/B/3</t>
  </si>
  <si>
    <t xml:space="preserve">347</t>
  </si>
  <si>
    <t xml:space="preserve">Температура воздуха под кожухом Д т.1</t>
  </si>
  <si>
    <t xml:space="preserve">351</t>
  </si>
  <si>
    <t xml:space="preserve">Температура воздуха под кожухом Д т.2</t>
  </si>
  <si>
    <t xml:space="preserve">353</t>
  </si>
  <si>
    <t xml:space="preserve">Температура воздуха под кожухом Д т.3</t>
  </si>
  <si>
    <t xml:space="preserve">343</t>
  </si>
  <si>
    <t xml:space="preserve">Температура воздуха под кожухом Д т.4</t>
  </si>
  <si>
    <t xml:space="preserve">330</t>
  </si>
  <si>
    <t xml:space="preserve">Температура защитного воздуха на выходе оболочки опорного подшипника (передний)</t>
  </si>
  <si>
    <t xml:space="preserve">197</t>
  </si>
  <si>
    <t xml:space="preserve">Температура защитного воздуха на входе установки фильтров перед КЭП10 (на входе ТГДУ)</t>
  </si>
  <si>
    <t xml:space="preserve">Температура газа на выходе из компрессора</t>
  </si>
  <si>
    <t xml:space="preserve">ТСПУ-Л-22162</t>
  </si>
  <si>
    <t xml:space="preserve">65</t>
  </si>
  <si>
    <t xml:space="preserve">2012</t>
  </si>
  <si>
    <t xml:space="preserve">0,5</t>
  </si>
  <si>
    <t xml:space="preserve">Температура воздуха в укрытии</t>
  </si>
  <si>
    <t xml:space="preserve">385</t>
  </si>
  <si>
    <t xml:space="preserve">Температура теплоносителя в подогревателе буферного газа</t>
  </si>
  <si>
    <t xml:space="preserve">203</t>
  </si>
  <si>
    <t xml:space="preserve">Температура буферного газа на выходе подогревателя</t>
  </si>
  <si>
    <t xml:space="preserve">350</t>
  </si>
  <si>
    <t xml:space="preserve">Температура газа на входе в компрессор</t>
  </si>
  <si>
    <t xml:space="preserve">ТСП 319М.09 Pt100/B/3</t>
  </si>
  <si>
    <t xml:space="preserve">1167</t>
  </si>
  <si>
    <t xml:space="preserve">-60…180 °С</t>
  </si>
  <si>
    <t xml:space="preserve">Температура электромагнита опорного подшипника со стороны привода</t>
  </si>
  <si>
    <t xml:space="preserve">Нет доступа                                                                                                                                                                                                            </t>
  </si>
  <si>
    <t xml:space="preserve">2010</t>
  </si>
  <si>
    <t xml:space="preserve">Температура электромагнита опорного подшипника со стороны свободного конца</t>
  </si>
  <si>
    <t xml:space="preserve">1156</t>
  </si>
  <si>
    <t xml:space="preserve">Температура левого осевого электромагнита</t>
  </si>
  <si>
    <t xml:space="preserve">1187</t>
  </si>
  <si>
    <t xml:space="preserve">Температура правого осевого электромагнита</t>
  </si>
  <si>
    <t xml:space="preserve">ТСП 9204-06 100П/B/3</t>
  </si>
  <si>
    <t xml:space="preserve">4035</t>
  </si>
  <si>
    <t xml:space="preserve">-50…150 °С</t>
  </si>
  <si>
    <t xml:space="preserve">Температура холодного спая в САУ</t>
  </si>
  <si>
    <t xml:space="preserve">196 </t>
  </si>
  <si>
    <t xml:space="preserve">Температура воздуха в  отсеке пожаротушения</t>
  </si>
  <si>
    <t xml:space="preserve">317</t>
  </si>
  <si>
    <t xml:space="preserve">Температура обогревателя в  отсеке пожаротушения</t>
  </si>
  <si>
    <t xml:space="preserve">ТСП 319М.03 Pt100/B/3</t>
  </si>
  <si>
    <t xml:space="preserve">Температура воздуха в блоке автоматики</t>
  </si>
  <si>
    <t xml:space="preserve">Температура атмосферного воздуха </t>
  </si>
  <si>
    <t xml:space="preserve">ТСМ 319М-05.02 50М/B/3</t>
  </si>
  <si>
    <t xml:space="preserve">1369</t>
  </si>
  <si>
    <t xml:space="preserve">Температура в контейнере Atlas Copco</t>
  </si>
  <si>
    <t xml:space="preserve">МВ-46Г</t>
  </si>
  <si>
    <t xml:space="preserve">0…100 мм/с</t>
  </si>
  <si>
    <t xml:space="preserve">Виброскорость в зоне КНД (вертикаль)</t>
  </si>
  <si>
    <t xml:space="preserve">Виброскорость в зоне КНД (горизонталь)</t>
  </si>
  <si>
    <t xml:space="preserve">Виброскорость в зоне средней опоры (вертикаль)</t>
  </si>
  <si>
    <t xml:space="preserve">Виброскорость в зоне средней опоры (горизонталь)</t>
  </si>
  <si>
    <t xml:space="preserve">Виброскорость в зоне средней опоры (осевое направление)</t>
  </si>
  <si>
    <t xml:space="preserve">МВ-44-1Г</t>
  </si>
  <si>
    <t xml:space="preserve">Виброскорость в зоне СТ (вертикаль)</t>
  </si>
  <si>
    <t xml:space="preserve">Виброскорость в зоне СТ (горизонталь)</t>
  </si>
  <si>
    <t xml:space="preserve">Р газа на входе компрессора</t>
  </si>
  <si>
    <t xml:space="preserve">Р газа на выходе компрессора</t>
  </si>
  <si>
    <t xml:space="preserve">Р газа в Ф1</t>
  </si>
  <si>
    <t xml:space="preserve">Р газа в Ф2</t>
  </si>
  <si>
    <t xml:space="preserve">15575</t>
  </si>
  <si>
    <t xml:space="preserve">Р воздуха после РДВ</t>
  </si>
  <si>
    <t xml:space="preserve">15293</t>
  </si>
  <si>
    <t xml:space="preserve">Р воздуха на входе фильтров</t>
  </si>
  <si>
    <t xml:space="preserve">15113</t>
  </si>
  <si>
    <t xml:space="preserve">Р воздуха на выходе фильтров</t>
  </si>
  <si>
    <t xml:space="preserve">044</t>
  </si>
  <si>
    <t xml:space="preserve">Р масла до фильтров подпитки двигателя</t>
  </si>
  <si>
    <t xml:space="preserve">15306</t>
  </si>
  <si>
    <t xml:space="preserve">Р масла после фильтров подпитки двигателя</t>
  </si>
  <si>
    <t xml:space="preserve">40190</t>
  </si>
  <si>
    <t xml:space="preserve">Р масла до фильтров смазки двигателя</t>
  </si>
  <si>
    <t xml:space="preserve">15232</t>
  </si>
  <si>
    <t xml:space="preserve">Р масла после фильтров смазки двигателя</t>
  </si>
  <si>
    <t xml:space="preserve">15188</t>
  </si>
  <si>
    <t xml:space="preserve">Р воздуха смешанного потока после эжектора С1</t>
  </si>
  <si>
    <t xml:space="preserve">МВП4-УУ2</t>
  </si>
  <si>
    <t xml:space="preserve">15285</t>
  </si>
  <si>
    <r>
      <rPr>
        <sz val="8"/>
        <color rgb="FF000000"/>
        <rFont val="Times New Roman"/>
        <family val="1"/>
        <charset val="204"/>
      </rPr>
      <t xml:space="preserve">-1…1,5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</si>
  <si>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воздуха инжектируемого потока перед фильтром Ф1</t>
  </si>
  <si>
    <t xml:space="preserve">15303</t>
  </si>
  <si>
    <t xml:space="preserve">Р воздуха активного потока перед Др1</t>
  </si>
  <si>
    <t xml:space="preserve">50184</t>
  </si>
  <si>
    <r>
      <rPr>
        <sz val="8"/>
        <rFont val="Times New Roman"/>
        <family val="1"/>
        <charset val="204"/>
      </rPr>
      <t xml:space="preserve">0…10 кгс/см</t>
    </r>
    <r>
      <rPr>
        <vertAlign val="superscript"/>
        <sz val="8"/>
        <rFont val="Times New Roman"/>
        <family val="1"/>
        <charset val="204"/>
      </rPr>
      <t xml:space="preserve">2</t>
    </r>
  </si>
  <si>
    <t xml:space="preserve">Р воздуха активного потока после Кр1</t>
  </si>
  <si>
    <t xml:space="preserve">15443</t>
  </si>
  <si>
    <t xml:space="preserve">Р воздуха инжектируемого потока после фильтра Ф1</t>
  </si>
  <si>
    <t xml:space="preserve">МП3-УУ2</t>
  </si>
  <si>
    <t xml:space="preserve">0…1,6 МПа</t>
  </si>
  <si>
    <t xml:space="preserve">Р воздуха в ресивере </t>
  </si>
  <si>
    <t xml:space="preserve">Термометр манометрический</t>
  </si>
  <si>
    <t xml:space="preserve">manotherm</t>
  </si>
  <si>
    <t xml:space="preserve">­20…80°С</t>
  </si>
  <si>
    <t xml:space="preserve">Тг на входе в нагнетатель</t>
  </si>
  <si>
    <t xml:space="preserve">3К25</t>
  </si>
  <si>
    <t xml:space="preserve">0…100°С</t>
  </si>
  <si>
    <t xml:space="preserve">Тг на выходе нагнетателя</t>
  </si>
  <si>
    <t xml:space="preserve">312</t>
  </si>
  <si>
    <t xml:space="preserve">Температура воздуха продувки</t>
  </si>
  <si>
    <t xml:space="preserve">Над нагнетателем (QT 201)</t>
  </si>
  <si>
    <t xml:space="preserve">Над подогревателем буф.газа (QT 202)</t>
  </si>
  <si>
    <t xml:space="preserve">Напротив масляной консоли (QT 203)</t>
  </si>
  <si>
    <t xml:space="preserve">Под КШТ (QT100)</t>
  </si>
  <si>
    <t xml:space="preserve">12-х27/21-000</t>
  </si>
  <si>
    <t xml:space="preserve">Под КШТ (ВТК 101)</t>
  </si>
  <si>
    <t xml:space="preserve">Под КШТ (ВТК 102)</t>
  </si>
  <si>
    <t xml:space="preserve">Под КШТ (ВТК 103)</t>
  </si>
  <si>
    <t xml:space="preserve">Под КШТ (ВТК 104)</t>
  </si>
  <si>
    <t xml:space="preserve">000957</t>
  </si>
  <si>
    <t xml:space="preserve">Над входом слева (BTF201)</t>
  </si>
  <si>
    <t xml:space="preserve">000958</t>
  </si>
  <si>
    <t xml:space="preserve">Над входом с АВОг (BTF204)</t>
  </si>
  <si>
    <t xml:space="preserve">001020</t>
  </si>
  <si>
    <t xml:space="preserve">На леснице слева (BTF202)</t>
  </si>
  <si>
    <t xml:space="preserve">000997</t>
  </si>
  <si>
    <t xml:space="preserve">На леснице справа (BTF203)</t>
  </si>
  <si>
    <t xml:space="preserve">000948</t>
  </si>
  <si>
    <t xml:space="preserve">Над т.г. (BTF207)</t>
  </si>
  <si>
    <t xml:space="preserve">ИП330/1-20-А1</t>
  </si>
  <si>
    <t xml:space="preserve">001345</t>
  </si>
  <si>
    <t xml:space="preserve">Под КШТ (BTF102)</t>
  </si>
  <si>
    <t xml:space="preserve">001171</t>
  </si>
  <si>
    <t xml:space="preserve">Под КШТ (BTF101)</t>
  </si>
  <si>
    <t xml:space="preserve">000987</t>
  </si>
  <si>
    <t xml:space="preserve">Масл.консоль (BTF211)</t>
  </si>
  <si>
    <t xml:space="preserve">000947</t>
  </si>
  <si>
    <t xml:space="preserve">(BTF210)</t>
  </si>
  <si>
    <t xml:space="preserve">000979</t>
  </si>
  <si>
    <t xml:space="preserve">(BTF208)</t>
  </si>
  <si>
    <t xml:space="preserve">000978</t>
  </si>
  <si>
    <t xml:space="preserve">(BTF206)</t>
  </si>
  <si>
    <t xml:space="preserve">000917</t>
  </si>
  <si>
    <t xml:space="preserve">(BTF205)</t>
  </si>
  <si>
    <t xml:space="preserve">000907</t>
  </si>
  <si>
    <t xml:space="preserve">(BTF209)</t>
  </si>
  <si>
    <t xml:space="preserve">191</t>
  </si>
  <si>
    <t xml:space="preserve">Температура воздуха во всасывающей камере</t>
  </si>
  <si>
    <t xml:space="preserve">Преобразователь влажности и температуры</t>
  </si>
  <si>
    <t xml:space="preserve">ИПТВ-206/М3-03</t>
  </si>
  <si>
    <t xml:space="preserve">09-2063</t>
  </si>
  <si>
    <t xml:space="preserve">-40…110 °С
0…100%</t>
  </si>
  <si>
    <t xml:space="preserve">0,4% (температура)
2% (влажность)</t>
  </si>
  <si>
    <t xml:space="preserve">Температура ВОУ</t>
  </si>
  <si>
    <t xml:space="preserve">Газоанализатор</t>
  </si>
  <si>
    <t xml:space="preserve">Даг - 510</t>
  </si>
  <si>
    <t xml:space="preserve">11091424</t>
  </si>
  <si>
    <t xml:space="preserve">10…400 ppm</t>
  </si>
  <si>
    <t xml:space="preserve">выхлопные газы</t>
  </si>
  <si>
    <t xml:space="preserve">15.09.23</t>
  </si>
  <si>
    <t xml:space="preserve">М-3ВУКсУХЛ1</t>
  </si>
  <si>
    <t xml:space="preserve">15609</t>
  </si>
  <si>
    <t xml:space="preserve">Бустерная установка</t>
  </si>
  <si>
    <t xml:space="preserve">ГПА 62 БПТГ</t>
  </si>
  <si>
    <t xml:space="preserve">5050</t>
  </si>
  <si>
    <t xml:space="preserve">2472</t>
  </si>
  <si>
    <t xml:space="preserve">Уравнемер</t>
  </si>
  <si>
    <t xml:space="preserve">447006647.20.02</t>
  </si>
  <si>
    <t xml:space="preserve">11W03 C3287149003036</t>
  </si>
  <si>
    <t xml:space="preserve">11W03 C3287149003004</t>
  </si>
  <si>
    <t xml:space="preserve">10.02.2016</t>
  </si>
  <si>
    <t xml:space="preserve">389</t>
  </si>
  <si>
    <t xml:space="preserve">361</t>
  </si>
  <si>
    <t xml:space="preserve">382</t>
  </si>
  <si>
    <t xml:space="preserve">450</t>
  </si>
  <si>
    <t xml:space="preserve">375</t>
  </si>
  <si>
    <t xml:space="preserve">367</t>
  </si>
  <si>
    <t xml:space="preserve">368</t>
  </si>
  <si>
    <t xml:space="preserve">372</t>
  </si>
  <si>
    <t xml:space="preserve">20408765</t>
  </si>
  <si>
    <t xml:space="preserve">20408762</t>
  </si>
  <si>
    <t xml:space="preserve">000911</t>
  </si>
  <si>
    <t xml:space="preserve">001003</t>
  </si>
  <si>
    <t xml:space="preserve">000914</t>
  </si>
  <si>
    <t xml:space="preserve">000903</t>
  </si>
  <si>
    <t xml:space="preserve">4</t>
  </si>
  <si>
    <t xml:space="preserve">ГПА 62 АВГМ</t>
  </si>
  <si>
    <t xml:space="preserve">03-742</t>
  </si>
  <si>
    <t xml:space="preserve">15509</t>
  </si>
  <si>
    <t xml:space="preserve">ГПА 62 АВОГ</t>
  </si>
  <si>
    <t xml:space="preserve">15227</t>
  </si>
  <si>
    <r>
      <rPr>
        <sz val="8"/>
        <color rgb="FF000000"/>
        <rFont val="Times New Roman"/>
        <family val="1"/>
        <charset val="204"/>
      </rPr>
      <t xml:space="preserve">0…160 кгс/см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</si>
  <si>
    <t xml:space="preserve">15663</t>
  </si>
  <si>
    <r>
      <rPr>
        <sz val="8"/>
        <color rgb="FF000000"/>
        <rFont val="Times New Roman"/>
        <family val="1"/>
        <charset val="204"/>
      </rPr>
      <t xml:space="preserve">0…160 кгс/см</t>
    </r>
    <r>
      <rPr>
        <vertAlign val="superscript"/>
        <sz val="8"/>
        <color rgb="FF000000"/>
        <rFont val="Times New Roman"/>
        <family val="1"/>
        <charset val="204"/>
      </rPr>
      <t xml:space="preserve">4</t>
    </r>
  </si>
  <si>
    <t xml:space="preserve">15664</t>
  </si>
  <si>
    <r>
      <rPr>
        <sz val="8"/>
        <color rgb="FF000000"/>
        <rFont val="Times New Roman"/>
        <family val="1"/>
        <charset val="204"/>
      </rPr>
      <t xml:space="preserve">0…160 кгс/см</t>
    </r>
    <r>
      <rPr>
        <vertAlign val="superscript"/>
        <sz val="8"/>
        <color rgb="FF000000"/>
        <rFont val="Times New Roman"/>
        <family val="1"/>
        <charset val="204"/>
      </rPr>
      <t xml:space="preserve">5</t>
    </r>
  </si>
  <si>
    <t xml:space="preserve">15257</t>
  </si>
  <si>
    <r>
      <rPr>
        <sz val="8"/>
        <color rgb="FF000000"/>
        <rFont val="Times New Roman"/>
        <family val="1"/>
        <charset val="204"/>
      </rPr>
      <t xml:space="preserve">0…160 кгс/см</t>
    </r>
    <r>
      <rPr>
        <vertAlign val="superscript"/>
        <sz val="8"/>
        <color rgb="FF000000"/>
        <rFont val="Times New Roman"/>
        <family val="1"/>
        <charset val="204"/>
      </rPr>
      <t xml:space="preserve">6</t>
    </r>
  </si>
  <si>
    <t xml:space="preserve">15266</t>
  </si>
  <si>
    <r>
      <rPr>
        <sz val="8"/>
        <color rgb="FF000000"/>
        <rFont val="Times New Roman"/>
        <family val="1"/>
        <charset val="204"/>
      </rPr>
      <t xml:space="preserve">0…160 кгс/см</t>
    </r>
    <r>
      <rPr>
        <vertAlign val="superscript"/>
        <sz val="8"/>
        <color rgb="FF000000"/>
        <rFont val="Times New Roman"/>
        <family val="1"/>
        <charset val="204"/>
      </rPr>
      <t xml:space="preserve">7</t>
    </r>
  </si>
  <si>
    <t xml:space="preserve">7000151</t>
  </si>
  <si>
    <r>
      <rPr>
        <sz val="8"/>
        <color rgb="FF000000"/>
        <rFont val="Times New Roman"/>
        <family val="1"/>
        <charset val="204"/>
      </rPr>
      <t xml:space="preserve">0…160 кгс/см</t>
    </r>
    <r>
      <rPr>
        <vertAlign val="superscript"/>
        <sz val="8"/>
        <color rgb="FF000000"/>
        <rFont val="Times New Roman"/>
        <family val="1"/>
        <charset val="204"/>
      </rPr>
      <t xml:space="preserve">8</t>
    </r>
  </si>
  <si>
    <t xml:space="preserve">7000155</t>
  </si>
  <si>
    <r>
      <rPr>
        <sz val="8"/>
        <color rgb="FF000000"/>
        <rFont val="Times New Roman"/>
        <family val="1"/>
        <charset val="204"/>
      </rPr>
      <t xml:space="preserve">0…160 кгс/см</t>
    </r>
    <r>
      <rPr>
        <vertAlign val="superscript"/>
        <sz val="8"/>
        <color rgb="FF000000"/>
        <rFont val="Times New Roman"/>
        <family val="1"/>
        <charset val="204"/>
      </rPr>
      <t xml:space="preserve">9</t>
    </r>
  </si>
  <si>
    <t xml:space="preserve">072185</t>
  </si>
  <si>
    <t xml:space="preserve">072186</t>
  </si>
  <si>
    <t xml:space="preserve">ТБ-2 УХЛ2</t>
  </si>
  <si>
    <t xml:space="preserve">738</t>
  </si>
  <si>
    <t xml:space="preserve">­50…150 °C</t>
  </si>
  <si>
    <t xml:space="preserve">072188</t>
  </si>
  <si>
    <t xml:space="preserve">072189</t>
  </si>
  <si>
    <t xml:space="preserve">5610</t>
  </si>
  <si>
    <t xml:space="preserve">072191</t>
  </si>
  <si>
    <t xml:space="preserve">072192</t>
  </si>
  <si>
    <t xml:space="preserve">15377</t>
  </si>
  <si>
    <t xml:space="preserve">61097</t>
  </si>
  <si>
    <t xml:space="preserve">8</t>
  </si>
  <si>
    <t xml:space="preserve">2</t>
  </si>
  <si>
    <t xml:space="preserve">91M439686.217</t>
  </si>
  <si>
    <t xml:space="preserve">91M439733.217</t>
  </si>
  <si>
    <t xml:space="preserve">2023522</t>
  </si>
  <si>
    <t xml:space="preserve">ГПА 62</t>
  </si>
  <si>
    <t xml:space="preserve">2023519</t>
  </si>
  <si>
    <t xml:space="preserve">ТСП 011.101</t>
  </si>
  <si>
    <t xml:space="preserve">25</t>
  </si>
  <si>
    <t xml:space="preserve">12.02.2016</t>
  </si>
  <si>
    <t xml:space="preserve">нет шильды</t>
  </si>
  <si>
    <t xml:space="preserve">Садко 107 ТЖИУ.406423.004</t>
  </si>
  <si>
    <t xml:space="preserve">204</t>
  </si>
  <si>
    <t xml:space="preserve">01.1362</t>
  </si>
  <si>
    <t xml:space="preserve">Метран 150 CD2 </t>
  </si>
  <si>
    <t xml:space="preserve">91M439732.217</t>
  </si>
  <si>
    <t xml:space="preserve">91M439693.217</t>
  </si>
  <si>
    <t xml:space="preserve">91М439683.217</t>
  </si>
  <si>
    <t xml:space="preserve">10W43 C3273987003055</t>
  </si>
  <si>
    <t xml:space="preserve">10W43 C3273987003062</t>
  </si>
  <si>
    <t xml:space="preserve">10W46 C3278548003003</t>
  </si>
  <si>
    <t xml:space="preserve">10W43 C3273987003084</t>
  </si>
  <si>
    <t xml:space="preserve">10W43 C3273987003056</t>
  </si>
  <si>
    <t xml:space="preserve">10W46 С3278548003001</t>
  </si>
  <si>
    <t xml:space="preserve">10W37 C3263312003007</t>
  </si>
  <si>
    <t xml:space="preserve">11W13 C3303059004007</t>
  </si>
  <si>
    <t xml:space="preserve">11W18 C3313690002046</t>
  </si>
  <si>
    <t xml:space="preserve">11W18 C3313690002024</t>
  </si>
  <si>
    <t xml:space="preserve">11W18 C3313690002038</t>
  </si>
  <si>
    <t xml:space="preserve">11W17 C3313690005002</t>
  </si>
  <si>
    <t xml:space="preserve">11W17 C3313690001020</t>
  </si>
  <si>
    <t xml:space="preserve">11W16 C3310520005006</t>
  </si>
  <si>
    <t xml:space="preserve">11W17 C3313690001004</t>
  </si>
  <si>
    <t xml:space="preserve">11W17 C3313690001021</t>
  </si>
  <si>
    <t xml:space="preserve">11W16 C3310520005005</t>
  </si>
  <si>
    <t xml:space="preserve">11W17 C3313690001012</t>
  </si>
  <si>
    <t xml:space="preserve">11W17 C3313690001024</t>
  </si>
  <si>
    <t xml:space="preserve">11W18 C3313690001042</t>
  </si>
  <si>
    <t xml:space="preserve">11W18 C331369001046</t>
  </si>
  <si>
    <t xml:space="preserve">11W03 C3287149001019</t>
  </si>
  <si>
    <t xml:space="preserve">11W03 C3287149001008</t>
  </si>
  <si>
    <t xml:space="preserve">10W45 C3273987001053</t>
  </si>
  <si>
    <t xml:space="preserve">10W45 C3273987001027</t>
  </si>
  <si>
    <t xml:space="preserve">11W03 C3287149001045</t>
  </si>
  <si>
    <t xml:space="preserve">11W18 C3313690004003</t>
  </si>
  <si>
    <t xml:space="preserve">11W03 C3287149001038</t>
  </si>
  <si>
    <t xml:space="preserve">D110000000199395</t>
  </si>
  <si>
    <t xml:space="preserve">D110000000199397</t>
  </si>
  <si>
    <t xml:space="preserve">D110000000182272</t>
  </si>
  <si>
    <t xml:space="preserve">D110000000182276</t>
  </si>
  <si>
    <t xml:space="preserve">447006647/10.01</t>
  </si>
  <si>
    <t xml:space="preserve">447006647.10.01</t>
  </si>
  <si>
    <t xml:space="preserve">447006647.10.06</t>
  </si>
  <si>
    <t xml:space="preserve">447006647/10.04</t>
  </si>
  <si>
    <t xml:space="preserve">447006647.10.08</t>
  </si>
  <si>
    <t xml:space="preserve">447006647.10.04</t>
  </si>
  <si>
    <t xml:space="preserve">447006647/10.08</t>
  </si>
  <si>
    <t xml:space="preserve">447006647.10.09</t>
  </si>
  <si>
    <t xml:space="preserve">447006647/10.15</t>
  </si>
  <si>
    <t xml:space="preserve">447006647.10.16</t>
  </si>
  <si>
    <t xml:space="preserve">447006647.10.14</t>
  </si>
  <si>
    <t xml:space="preserve">447006647.10.15</t>
  </si>
  <si>
    <t xml:space="preserve">sensor       14226911     (голова       3812706)</t>
  </si>
  <si>
    <t xml:space="preserve">319</t>
  </si>
  <si>
    <t xml:space="preserve">396</t>
  </si>
  <si>
    <t xml:space="preserve">11.02.2016</t>
  </si>
  <si>
    <t xml:space="preserve">461</t>
  </si>
  <si>
    <t xml:space="preserve">339</t>
  </si>
  <si>
    <t xml:space="preserve">346</t>
  </si>
  <si>
    <t xml:space="preserve">192</t>
  </si>
  <si>
    <t xml:space="preserve">320</t>
  </si>
  <si>
    <t xml:space="preserve">B по ГОСТ Р 8.625</t>
  </si>
  <si>
    <t xml:space="preserve">348</t>
  </si>
  <si>
    <t xml:space="preserve">387</t>
  </si>
  <si>
    <t xml:space="preserve">315</t>
  </si>
  <si>
    <t xml:space="preserve">349</t>
  </si>
  <si>
    <t xml:space="preserve">1362</t>
  </si>
  <si>
    <t xml:space="preserve">1361</t>
  </si>
  <si>
    <t xml:space="preserve">1360</t>
  </si>
  <si>
    <t xml:space="preserve">1358</t>
  </si>
  <si>
    <t xml:space="preserve">248</t>
  </si>
  <si>
    <t xml:space="preserve">457</t>
  </si>
  <si>
    <t xml:space="preserve">247</t>
  </si>
  <si>
    <t xml:space="preserve">923</t>
  </si>
  <si>
    <t xml:space="preserve">211228847</t>
  </si>
  <si>
    <t xml:space="preserve">15300</t>
  </si>
  <si>
    <t xml:space="preserve">10073</t>
  </si>
  <si>
    <t xml:space="preserve">ДМ</t>
  </si>
  <si>
    <t xml:space="preserve">15297</t>
  </si>
  <si>
    <t xml:space="preserve">15400</t>
  </si>
  <si>
    <t xml:space="preserve">15600</t>
  </si>
  <si>
    <r>
      <rPr>
        <sz val="8"/>
        <color rgb="FF000000"/>
        <rFont val="Times New Roman"/>
        <family val="1"/>
        <charset val="204"/>
      </rPr>
      <t xml:space="preserve">0…6 кгс/см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</si>
  <si>
    <t xml:space="preserve">15296</t>
  </si>
  <si>
    <r>
      <rPr>
        <sz val="8"/>
        <color rgb="FF000000"/>
        <rFont val="Times New Roman"/>
        <family val="1"/>
        <charset val="204"/>
      </rPr>
      <t xml:space="preserve">0…6 кгс/см</t>
    </r>
    <r>
      <rPr>
        <vertAlign val="superscript"/>
        <sz val="8"/>
        <color rgb="FF000000"/>
        <rFont val="Times New Roman"/>
        <family val="1"/>
        <charset val="204"/>
      </rPr>
      <t xml:space="preserve">4</t>
    </r>
  </si>
  <si>
    <t xml:space="preserve">15613</t>
  </si>
  <si>
    <t xml:space="preserve">6305</t>
  </si>
  <si>
    <t xml:space="preserve">50563</t>
  </si>
  <si>
    <t xml:space="preserve">4006</t>
  </si>
  <si>
    <t xml:space="preserve">15286</t>
  </si>
  <si>
    <t xml:space="preserve">310</t>
  </si>
  <si>
    <t xml:space="preserve">000956</t>
  </si>
  <si>
    <t xml:space="preserve">000906</t>
  </si>
  <si>
    <t xml:space="preserve">000994</t>
  </si>
  <si>
    <t xml:space="preserve">000975</t>
  </si>
  <si>
    <t xml:space="preserve">001938</t>
  </si>
  <si>
    <t xml:space="preserve">001353</t>
  </si>
  <si>
    <t xml:space="preserve">001344</t>
  </si>
  <si>
    <t xml:space="preserve">001009</t>
  </si>
  <si>
    <t xml:space="preserve">000993</t>
  </si>
  <si>
    <t xml:space="preserve"> (BTF210)</t>
  </si>
  <si>
    <t xml:space="preserve">000986</t>
  </si>
  <si>
    <t xml:space="preserve"> (BTF208)</t>
  </si>
  <si>
    <t xml:space="preserve">184</t>
  </si>
  <si>
    <t xml:space="preserve">09-1962</t>
  </si>
  <si>
    <t xml:space="preserve">11091425</t>
  </si>
  <si>
    <t xml:space="preserve">МП3-УФ</t>
  </si>
  <si>
    <t xml:space="preserve">1965852</t>
  </si>
  <si>
    <t xml:space="preserve">ГПА 63 БПТГ</t>
  </si>
  <si>
    <r>
      <rPr>
        <sz val="8"/>
        <color rgb="FF000000"/>
        <rFont val="Times New Roman"/>
        <family val="1"/>
        <charset val="204"/>
      </rPr>
      <t xml:space="preserve">0…100 кгс/см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</si>
  <si>
    <t xml:space="preserve">15101 был</t>
  </si>
  <si>
    <r>
      <rPr>
        <sz val="8"/>
        <color rgb="FF000000"/>
        <rFont val="Times New Roman"/>
        <family val="1"/>
        <charset val="204"/>
      </rPr>
      <t xml:space="preserve">0…100 кгс/см</t>
    </r>
    <r>
      <rPr>
        <vertAlign val="superscript"/>
        <sz val="8"/>
        <color rgb="FF000000"/>
        <rFont val="Times New Roman"/>
        <family val="1"/>
        <charset val="204"/>
      </rPr>
      <t xml:space="preserve">6</t>
    </r>
  </si>
  <si>
    <t xml:space="preserve">447006647.20.03</t>
  </si>
  <si>
    <t xml:space="preserve">10W44 C3273987003001</t>
  </si>
  <si>
    <t xml:space="preserve">10W44 C3273987003063</t>
  </si>
  <si>
    <t xml:space="preserve">362</t>
  </si>
  <si>
    <t xml:space="preserve">522400</t>
  </si>
  <si>
    <t xml:space="preserve">359</t>
  </si>
  <si>
    <t xml:space="preserve">522401</t>
  </si>
  <si>
    <t xml:space="preserve">358</t>
  </si>
  <si>
    <t xml:space="preserve">366</t>
  </si>
  <si>
    <t xml:space="preserve">378</t>
  </si>
  <si>
    <t xml:space="preserve">380</t>
  </si>
  <si>
    <t xml:space="preserve">379</t>
  </si>
  <si>
    <t xml:space="preserve">20543605</t>
  </si>
  <si>
    <t xml:space="preserve">20543604</t>
  </si>
  <si>
    <t xml:space="preserve">001041</t>
  </si>
  <si>
    <t xml:space="preserve">001015</t>
  </si>
  <si>
    <t xml:space="preserve">001018</t>
  </si>
  <si>
    <t xml:space="preserve">001012</t>
  </si>
  <si>
    <t xml:space="preserve">ГПА 63 АВГМ</t>
  </si>
  <si>
    <t xml:space="preserve">ГПА 63 АВОГ</t>
  </si>
  <si>
    <t xml:space="preserve">7</t>
  </si>
  <si>
    <t xml:space="preserve">91M439695.217</t>
  </si>
  <si>
    <t xml:space="preserve">91M439737.217</t>
  </si>
  <si>
    <t xml:space="preserve">2023521</t>
  </si>
  <si>
    <t xml:space="preserve">ГПА 63</t>
  </si>
  <si>
    <t xml:space="preserve">2023511</t>
  </si>
  <si>
    <t xml:space="preserve">отсутствует шильда</t>
  </si>
  <si>
    <t xml:space="preserve">318</t>
  </si>
  <si>
    <t xml:space="preserve">01.1363</t>
  </si>
  <si>
    <t xml:space="preserve">Метран 150 CD2</t>
  </si>
  <si>
    <t xml:space="preserve">11W17C3313690001025</t>
  </si>
  <si>
    <t xml:space="preserve">91M439735.217</t>
  </si>
  <si>
    <t xml:space="preserve">91M439694.217</t>
  </si>
  <si>
    <t xml:space="preserve">91M439687.217</t>
  </si>
  <si>
    <t xml:space="preserve">11W03 C3287149003049</t>
  </si>
  <si>
    <t xml:space="preserve">11W03 C3287149003028</t>
  </si>
  <si>
    <t xml:space="preserve">10W20 C3296732009001</t>
  </si>
  <si>
    <t xml:space="preserve">11W44С3279987003067</t>
  </si>
  <si>
    <t xml:space="preserve">11W18 C3313690003014</t>
  </si>
  <si>
    <t xml:space="preserve">10W03С3287149003029</t>
  </si>
  <si>
    <t xml:space="preserve">11W03 C3287149003070</t>
  </si>
  <si>
    <t xml:space="preserve">11W18 C3313690002033</t>
  </si>
  <si>
    <t xml:space="preserve">11W13 C3303059004024</t>
  </si>
  <si>
    <t xml:space="preserve">11W17 C3313690002011</t>
  </si>
  <si>
    <t xml:space="preserve">11W13 C3303059004021</t>
  </si>
  <si>
    <t xml:space="preserve">11W17 C3313690005001</t>
  </si>
  <si>
    <t xml:space="preserve">10W45 C3273987001091</t>
  </si>
  <si>
    <t xml:space="preserve">11W17 C3313690001022</t>
  </si>
  <si>
    <t xml:space="preserve">11W18 C3313690001038</t>
  </si>
  <si>
    <t xml:space="preserve">11W17 C3313690001003</t>
  </si>
  <si>
    <t xml:space="preserve">11W17 C3313690001005</t>
  </si>
  <si>
    <t xml:space="preserve">11W20 C3316711002006</t>
  </si>
  <si>
    <t xml:space="preserve">17.02.2016</t>
  </si>
  <si>
    <t xml:space="preserve">11W1113310520005009</t>
  </si>
  <si>
    <t xml:space="preserve">11W17 C3313690001026</t>
  </si>
  <si>
    <t xml:space="preserve">11W16 C3310520005007</t>
  </si>
  <si>
    <t xml:space="preserve">10W45 C3273987001083</t>
  </si>
  <si>
    <t xml:space="preserve">10W45 C3273987001077</t>
  </si>
  <si>
    <t xml:space="preserve">11W18С3313690001045</t>
  </si>
  <si>
    <t xml:space="preserve">11W03С3287149001029</t>
  </si>
  <si>
    <t xml:space="preserve">10W45 C3273987001075</t>
  </si>
  <si>
    <t xml:space="preserve">10W45 C3273987001055</t>
  </si>
  <si>
    <t xml:space="preserve">10W25 C3239044008013</t>
  </si>
  <si>
    <t xml:space="preserve">D110000000199393</t>
  </si>
  <si>
    <t xml:space="preserve">D110000000199391</t>
  </si>
  <si>
    <t xml:space="preserve">D110000000182274</t>
  </si>
  <si>
    <t xml:space="preserve">D110000000182270</t>
  </si>
  <si>
    <t xml:space="preserve">447006647/10.02</t>
  </si>
  <si>
    <t xml:space="preserve">447006647.10.02</t>
  </si>
  <si>
    <t xml:space="preserve">447006647/10.10</t>
  </si>
  <si>
    <t xml:space="preserve">447006647.10.12</t>
  </si>
  <si>
    <t xml:space="preserve">447006647.10.10</t>
  </si>
  <si>
    <t xml:space="preserve">447006647/10.12</t>
  </si>
  <si>
    <t xml:space="preserve">447006647.10.13</t>
  </si>
  <si>
    <t xml:space="preserve">447006647/10.06</t>
  </si>
  <si>
    <t xml:space="preserve">sensor       14232344     (голова            3812735)</t>
  </si>
  <si>
    <t xml:space="preserve">464</t>
  </si>
  <si>
    <t xml:space="preserve">571</t>
  </si>
  <si>
    <t xml:space="preserve">462</t>
  </si>
  <si>
    <t xml:space="preserve">341</t>
  </si>
  <si>
    <t xml:space="preserve">344</t>
  </si>
  <si>
    <t xml:space="preserve">459</t>
  </si>
  <si>
    <t xml:space="preserve">342</t>
  </si>
  <si>
    <t xml:space="preserve">345</t>
  </si>
  <si>
    <t xml:space="preserve">388</t>
  </si>
  <si>
    <t xml:space="preserve">506</t>
  </si>
  <si>
    <t xml:space="preserve">309</t>
  </si>
  <si>
    <t xml:space="preserve">1264</t>
  </si>
  <si>
    <t xml:space="preserve">1110</t>
  </si>
  <si>
    <t xml:space="preserve">1096</t>
  </si>
  <si>
    <t xml:space="preserve">-60..+180 °С</t>
  </si>
  <si>
    <t xml:space="preserve">1363</t>
  </si>
  <si>
    <t xml:space="preserve">4036</t>
  </si>
  <si>
    <t xml:space="preserve">338 </t>
  </si>
  <si>
    <t xml:space="preserve">570</t>
  </si>
  <si>
    <t xml:space="preserve">569</t>
  </si>
  <si>
    <t xml:space="preserve">1115</t>
  </si>
  <si>
    <t xml:space="preserve">503</t>
  </si>
  <si>
    <t xml:space="preserve">1310</t>
  </si>
  <si>
    <t xml:space="preserve">15299</t>
  </si>
  <si>
    <r>
      <rPr>
        <sz val="8"/>
        <color rgb="FF000000"/>
        <rFont val="Times New Roman"/>
        <family val="1"/>
        <charset val="204"/>
      </rPr>
      <t xml:space="preserve">0…16 кгс/см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</si>
  <si>
    <t xml:space="preserve">050255</t>
  </si>
  <si>
    <t xml:space="preserve">6306</t>
  </si>
  <si>
    <t xml:space="preserve">311</t>
  </si>
  <si>
    <t xml:space="preserve">000904</t>
  </si>
  <si>
    <t xml:space="preserve">000977</t>
  </si>
  <si>
    <t xml:space="preserve">001005</t>
  </si>
  <si>
    <t xml:space="preserve">001010</t>
  </si>
  <si>
    <t xml:space="preserve">000989</t>
  </si>
  <si>
    <t xml:space="preserve">001328</t>
  </si>
  <si>
    <t xml:space="preserve">001339</t>
  </si>
  <si>
    <t xml:space="preserve">000908</t>
  </si>
  <si>
    <t xml:space="preserve">000970</t>
  </si>
  <si>
    <t xml:space="preserve">000981</t>
  </si>
  <si>
    <t xml:space="preserve">452</t>
  </si>
  <si>
    <t xml:space="preserve">RS-WS-20</t>
  </si>
  <si>
    <t xml:space="preserve">021623722</t>
  </si>
  <si>
    <t xml:space="preserve">11091423</t>
  </si>
  <si>
    <t xml:space="preserve">15610</t>
  </si>
  <si>
    <t xml:space="preserve">Год
выпуска</t>
  </si>
  <si>
    <t xml:space="preserve">ГПА 64 БПТГ</t>
  </si>
  <si>
    <t xml:space="preserve">МП4-УУХЛ1</t>
  </si>
  <si>
    <t xml:space="preserve">P газа после  КРД 730/2</t>
  </si>
  <si>
    <t xml:space="preserve">8529</t>
  </si>
  <si>
    <t xml:space="preserve">6714</t>
  </si>
  <si>
    <t xml:space="preserve">447006647.20.01</t>
  </si>
  <si>
    <t xml:space="preserve">11W03 C3287149003065</t>
  </si>
  <si>
    <t xml:space="preserve">16.02.2016</t>
  </si>
  <si>
    <t xml:space="preserve">11W18 C331369003010</t>
  </si>
  <si>
    <t xml:space="preserve">522399</t>
  </si>
  <si>
    <t xml:space="preserve">2005</t>
  </si>
  <si>
    <t xml:space="preserve">522402</t>
  </si>
  <si>
    <t xml:space="preserve">377</t>
  </si>
  <si>
    <t xml:space="preserve">369</t>
  </si>
  <si>
    <t xml:space="preserve">374</t>
  </si>
  <si>
    <t xml:space="preserve">376</t>
  </si>
  <si>
    <t xml:space="preserve">365</t>
  </si>
  <si>
    <t xml:space="preserve">360</t>
  </si>
  <si>
    <t xml:space="preserve">449</t>
  </si>
  <si>
    <t xml:space="preserve">20543599</t>
  </si>
  <si>
    <t xml:space="preserve">20543606</t>
  </si>
  <si>
    <t xml:space="preserve">000971</t>
  </si>
  <si>
    <t xml:space="preserve">000982</t>
  </si>
  <si>
    <t xml:space="preserve">000985</t>
  </si>
  <si>
    <t xml:space="preserve">000976</t>
  </si>
  <si>
    <t xml:space="preserve">ГПА 64 АВГМ</t>
  </si>
  <si>
    <t xml:space="preserve">СЕ-0085 АQ0673</t>
  </si>
  <si>
    <t xml:space="preserve">03-740</t>
  </si>
  <si>
    <t xml:space="preserve">ГПА 64 АВОГ</t>
  </si>
  <si>
    <t xml:space="preserve">15240</t>
  </si>
  <si>
    <t xml:space="preserve">15203</t>
  </si>
  <si>
    <t xml:space="preserve">15210</t>
  </si>
  <si>
    <t xml:space="preserve">15219</t>
  </si>
  <si>
    <t xml:space="preserve">15223</t>
  </si>
  <si>
    <t xml:space="preserve">751</t>
  </si>
  <si>
    <t xml:space="preserve">755</t>
  </si>
  <si>
    <t xml:space="preserve">832</t>
  </si>
  <si>
    <t xml:space="preserve">781</t>
  </si>
  <si>
    <t xml:space="preserve">783</t>
  </si>
  <si>
    <t xml:space="preserve">80360</t>
  </si>
  <si>
    <t xml:space="preserve">15142</t>
  </si>
  <si>
    <t xml:space="preserve">15116</t>
  </si>
  <si>
    <t xml:space="preserve">6</t>
  </si>
  <si>
    <t xml:space="preserve">2013</t>
  </si>
  <si>
    <t xml:space="preserve">3</t>
  </si>
  <si>
    <t xml:space="preserve">91M439682.217</t>
  </si>
  <si>
    <t xml:space="preserve">0,04</t>
  </si>
  <si>
    <t xml:space="preserve">15.02.2016</t>
  </si>
  <si>
    <t xml:space="preserve">91M439731.217</t>
  </si>
  <si>
    <t xml:space="preserve">0,1</t>
  </si>
  <si>
    <t xml:space="preserve">Метран 256-04 100П/В/3    </t>
  </si>
  <si>
    <t xml:space="preserve">2025080</t>
  </si>
  <si>
    <t xml:space="preserve">ГПА 64</t>
  </si>
  <si>
    <t xml:space="preserve">2025075</t>
  </si>
  <si>
    <t xml:space="preserve">ТСП 011.101        </t>
  </si>
  <si>
    <t xml:space="preserve">26</t>
  </si>
  <si>
    <t xml:space="preserve">505</t>
  </si>
  <si>
    <t xml:space="preserve">01.1361</t>
  </si>
  <si>
    <t xml:space="preserve">0,075</t>
  </si>
  <si>
    <t xml:space="preserve">91M439729.217</t>
  </si>
  <si>
    <t xml:space="preserve">91M439685.217</t>
  </si>
  <si>
    <t xml:space="preserve">91M439688.217</t>
  </si>
  <si>
    <t xml:space="preserve">10W46 C3278548003002</t>
  </si>
  <si>
    <t xml:space="preserve">11W03 C3287149003072</t>
  </si>
  <si>
    <t xml:space="preserve">11W18 C3313690003001</t>
  </si>
  <si>
    <t xml:space="preserve">10W44 C3273987003054</t>
  </si>
  <si>
    <t xml:space="preserve">10W44 C3273987003049</t>
  </si>
  <si>
    <t xml:space="preserve">10W43 C3273987003066</t>
  </si>
  <si>
    <t xml:space="preserve">10W43 C3273987003060</t>
  </si>
  <si>
    <t xml:space="preserve">11W18 C3313690002030</t>
  </si>
  <si>
    <t xml:space="preserve">11W17 C3313690002001</t>
  </si>
  <si>
    <t xml:space="preserve">11W18 C3313690002027</t>
  </si>
  <si>
    <t xml:space="preserve">11W13 C3303059004002</t>
  </si>
  <si>
    <t xml:space="preserve">11W04 C3287149005009</t>
  </si>
  <si>
    <t xml:space="preserve">11W18 C3313690001036</t>
  </si>
  <si>
    <t xml:space="preserve">11W18 C3313690001047</t>
  </si>
  <si>
    <t xml:space="preserve">11W17 C3313690001007</t>
  </si>
  <si>
    <t xml:space="preserve">11W17 C3313690001017</t>
  </si>
  <si>
    <t xml:space="preserve">11W17 C3313690001014</t>
  </si>
  <si>
    <t xml:space="preserve">11W17 C3313690001011</t>
  </si>
  <si>
    <t xml:space="preserve">11W18 C3313690001050</t>
  </si>
  <si>
    <t xml:space="preserve">11W17 C3313690001006</t>
  </si>
  <si>
    <t xml:space="preserve">11W17 C3313690001001</t>
  </si>
  <si>
    <t xml:space="preserve">10W45 C3273987001098</t>
  </si>
  <si>
    <t xml:space="preserve">10W45 C3273987001079</t>
  </si>
  <si>
    <t xml:space="preserve">10W45 C3273987001062</t>
  </si>
  <si>
    <t xml:space="preserve">10W45 C3273987001059</t>
  </si>
  <si>
    <t xml:space="preserve">10W45 C3273987001078</t>
  </si>
  <si>
    <t xml:space="preserve">10W45 C3273987001063</t>
  </si>
  <si>
    <t xml:space="preserve">10W45 C3273987001105</t>
  </si>
  <si>
    <t xml:space="preserve">D110000000199392</t>
  </si>
  <si>
    <t xml:space="preserve">D110000000199394</t>
  </si>
  <si>
    <t xml:space="preserve">D110000000182273</t>
  </si>
  <si>
    <t xml:space="preserve">D110000000182277</t>
  </si>
  <si>
    <t xml:space="preserve">447006647/10.13</t>
  </si>
  <si>
    <t xml:space="preserve">447006647.10.18</t>
  </si>
  <si>
    <t xml:space="preserve">447006647.10.17</t>
  </si>
  <si>
    <t xml:space="preserve">447006647/10.16</t>
  </si>
  <si>
    <t xml:space="preserve">447006647.10.20</t>
  </si>
  <si>
    <t xml:space="preserve">447006647.10.19</t>
  </si>
  <si>
    <t xml:space="preserve">447006647/10.09</t>
  </si>
  <si>
    <t xml:space="preserve">447006647.10.24</t>
  </si>
  <si>
    <t xml:space="preserve">447006647.10.23</t>
  </si>
  <si>
    <t xml:space="preserve">447006647/10.14</t>
  </si>
  <si>
    <t xml:space="preserve">447006647.10.22</t>
  </si>
  <si>
    <t xml:space="preserve">447006647.10.21</t>
  </si>
  <si>
    <t xml:space="preserve">sensor       14232615    (голова            3812486)</t>
  </si>
  <si>
    <t xml:space="preserve">458</t>
  </si>
  <si>
    <t xml:space="preserve">455</t>
  </si>
  <si>
    <t xml:space="preserve">573</t>
  </si>
  <si>
    <t xml:space="preserve">453</t>
  </si>
  <si>
    <t xml:space="preserve">340</t>
  </si>
  <si>
    <t xml:space="preserve">352</t>
  </si>
  <si>
    <t xml:space="preserve">572</t>
  </si>
  <si>
    <t xml:space="preserve">460</t>
  </si>
  <si>
    <t xml:space="preserve">10</t>
  </si>
  <si>
    <t xml:space="preserve">386</t>
  </si>
  <si>
    <t xml:space="preserve">1081</t>
  </si>
  <si>
    <t xml:space="preserve">1082</t>
  </si>
  <si>
    <t xml:space="preserve">1083</t>
  </si>
  <si>
    <t xml:space="preserve">1084</t>
  </si>
  <si>
    <t xml:space="preserve">ТСМ 319М-05.02 50М/В/3</t>
  </si>
  <si>
    <t xml:space="preserve">1387</t>
  </si>
  <si>
    <t xml:space="preserve">326  </t>
  </si>
  <si>
    <t xml:space="preserve">504</t>
  </si>
  <si>
    <t xml:space="preserve">466</t>
  </si>
  <si>
    <t xml:space="preserve">1306</t>
  </si>
  <si>
    <t xml:space="preserve">ГПА 64 (комплект)</t>
  </si>
  <si>
    <t xml:space="preserve">1,5</t>
  </si>
  <si>
    <t xml:space="preserve">15189</t>
  </si>
  <si>
    <t xml:space="preserve">15248</t>
  </si>
  <si>
    <t xml:space="preserve">15132</t>
  </si>
  <si>
    <t xml:space="preserve">40071</t>
  </si>
  <si>
    <t xml:space="preserve">15308</t>
  </si>
  <si>
    <t xml:space="preserve">15289</t>
  </si>
  <si>
    <t xml:space="preserve">15273</t>
  </si>
  <si>
    <t xml:space="preserve">15191</t>
  </si>
  <si>
    <t xml:space="preserve">15319</t>
  </si>
  <si>
    <t xml:space="preserve">15294</t>
  </si>
  <si>
    <t xml:space="preserve">15309</t>
  </si>
  <si>
    <t xml:space="preserve">15279</t>
  </si>
  <si>
    <t xml:space="preserve">МП3-УТ2</t>
  </si>
  <si>
    <t xml:space="preserve">111502122</t>
  </si>
  <si>
    <t xml:space="preserve">313</t>
  </si>
  <si>
    <t xml:space="preserve">000972</t>
  </si>
  <si>
    <t xml:space="preserve">000995</t>
  </si>
  <si>
    <t xml:space="preserve">000973</t>
  </si>
  <si>
    <t xml:space="preserve">001002</t>
  </si>
  <si>
    <t xml:space="preserve">000988</t>
  </si>
  <si>
    <t xml:space="preserve">001349</t>
  </si>
  <si>
    <t xml:space="preserve">001343</t>
  </si>
  <si>
    <t xml:space="preserve">000716</t>
  </si>
  <si>
    <t xml:space="preserve">000721</t>
  </si>
  <si>
    <t xml:space="preserve">000723</t>
  </si>
  <si>
    <t xml:space="preserve">8489</t>
  </si>
  <si>
    <t xml:space="preserve">09-1963 </t>
  </si>
  <si>
    <t xml:space="preserve"> </t>
  </si>
  <si>
    <t xml:space="preserve">14011577</t>
  </si>
  <si>
    <t xml:space="preserve">15.09.21</t>
  </si>
  <si>
    <t xml:space="preserve">15611</t>
  </si>
  <si>
    <t xml:space="preserve">Год 
выпуска</t>
  </si>
  <si>
    <t xml:space="preserve">ТСМУ 011.118 Инд</t>
  </si>
  <si>
    <t xml:space="preserve">22</t>
  </si>
  <si>
    <t xml:space="preserve">-50..+100 °С</t>
  </si>
  <si>
    <t xml:space="preserve">Температура газа на входе КЦ</t>
  </si>
  <si>
    <t xml:space="preserve">КЦ</t>
  </si>
  <si>
    <t xml:space="preserve">21</t>
  </si>
  <si>
    <t xml:space="preserve">24</t>
  </si>
  <si>
    <t xml:space="preserve">Температура газа на выходе КЦ</t>
  </si>
  <si>
    <t xml:space="preserve">23</t>
  </si>
  <si>
    <t xml:space="preserve">YOKOGAVA EJX530А</t>
  </si>
  <si>
    <t xml:space="preserve">91M439738.217</t>
  </si>
  <si>
    <t xml:space="preserve">0..10 MPa</t>
  </si>
  <si>
    <t xml:space="preserve">Давление газа на входе в КЦ</t>
  </si>
  <si>
    <t xml:space="preserve">91M439730.217</t>
  </si>
  <si>
    <t xml:space="preserve">91M439741.217</t>
  </si>
  <si>
    <t xml:space="preserve">0..16 MPa</t>
  </si>
  <si>
    <t xml:space="preserve">Давление газа на выходе из КЦ</t>
  </si>
  <si>
    <t xml:space="preserve">91M439740.217</t>
  </si>
  <si>
    <t xml:space="preserve">91M439739.217</t>
  </si>
  <si>
    <t xml:space="preserve">Давление компримируемого газа</t>
  </si>
  <si>
    <t xml:space="preserve">91M439728.217</t>
  </si>
  <si>
    <t xml:space="preserve">Давление газа в коллекторе сбора дренажа (Е-1)</t>
  </si>
  <si>
    <t xml:space="preserve">YOKOGAVA EJX110А</t>
  </si>
  <si>
    <t xml:space="preserve">91M439681.217</t>
  </si>
  <si>
    <t xml:space="preserve">0...130 кPa </t>
  </si>
  <si>
    <t xml:space="preserve">Перепад давления на установке очистки газа</t>
  </si>
  <si>
    <t xml:space="preserve">91M439691.217</t>
  </si>
  <si>
    <t xml:space="preserve">0...160 кPa </t>
  </si>
  <si>
    <t xml:space="preserve">Перепад давления на кране 76</t>
  </si>
  <si>
    <t xml:space="preserve">91M439684.217</t>
  </si>
  <si>
    <t xml:space="preserve">Перепад давления на кране 86</t>
  </si>
  <si>
    <t xml:space="preserve">Controlotron 1010 GCDN</t>
  </si>
  <si>
    <t xml:space="preserve">0,3…30 м/с</t>
  </si>
  <si>
    <t xml:space="preserve">Расход технологического газа</t>
  </si>
  <si>
    <t xml:space="preserve">ТЖИУ 406</t>
  </si>
  <si>
    <t xml:space="preserve">0..1 MPa</t>
  </si>
  <si>
    <t xml:space="preserve">Давление в емкости Е-3</t>
  </si>
  <si>
    <t xml:space="preserve">Сапфир-22р-ДУ-Вн-1-2620</t>
  </si>
  <si>
    <t xml:space="preserve">1000 мм</t>
  </si>
  <si>
    <t xml:space="preserve">Уровнь конденсата в емкости Е-3</t>
  </si>
  <si>
    <t xml:space="preserve">ТСП 012.56</t>
  </si>
  <si>
    <t xml:space="preserve">-60..+200 °С</t>
  </si>
  <si>
    <t xml:space="preserve">Т компремируемого газа</t>
  </si>
  <si>
    <t xml:space="preserve">Промплощадка</t>
  </si>
  <si>
    <t xml:space="preserve">Сигнализатор уровня</t>
  </si>
  <si>
    <t xml:space="preserve">Велком (uts-67-0460-465-c2-p13-L-1)</t>
  </si>
  <si>
    <t xml:space="preserve">2А01950</t>
  </si>
  <si>
    <t xml:space="preserve">L конденсата в емкости Е-3</t>
  </si>
  <si>
    <t xml:space="preserve">Цех № 6</t>
  </si>
  <si>
    <t xml:space="preserve">6201</t>
  </si>
  <si>
    <t xml:space="preserve">0..160 кгс/см²</t>
  </si>
  <si>
    <t xml:space="preserve">Р имп. газа.   кран 36к  </t>
  </si>
  <si>
    <t xml:space="preserve">Температура грунта</t>
  </si>
  <si>
    <t xml:space="preserve">Узел подключения</t>
  </si>
  <si>
    <t xml:space="preserve">ТСПУ 014.51</t>
  </si>
  <si>
    <t xml:space="preserve">Температура воздуха</t>
  </si>
  <si>
    <t xml:space="preserve">YOKOGAWA EJX530А</t>
  </si>
  <si>
    <t xml:space="preserve">91M439744.217</t>
  </si>
  <si>
    <t xml:space="preserve">Давление импульсного газа</t>
  </si>
  <si>
    <t xml:space="preserve">91M439746.217</t>
  </si>
  <si>
    <t xml:space="preserve">Давление газа после кр.7</t>
  </si>
  <si>
    <t xml:space="preserve">91M439742.217</t>
  </si>
  <si>
    <t xml:space="preserve">Давление газа до кр.20</t>
  </si>
  <si>
    <t xml:space="preserve">91M439745.217</t>
  </si>
  <si>
    <t xml:space="preserve">Давление газа после кр.20</t>
  </si>
  <si>
    <t xml:space="preserve">91M439743.217</t>
  </si>
  <si>
    <t xml:space="preserve">Давление газа до кр.8</t>
  </si>
  <si>
    <t xml:space="preserve">YOKOGAWA EJX430А</t>
  </si>
  <si>
    <t xml:space="preserve">91LC20094</t>
  </si>
  <si>
    <t xml:space="preserve">Давление газа в аккумуляторе Г-6КЗ</t>
  </si>
  <si>
    <t xml:space="preserve">YOKOGAWA EJX510А</t>
  </si>
  <si>
    <t xml:space="preserve">91M439696.217</t>
  </si>
  <si>
    <t xml:space="preserve">0..160 КPa</t>
  </si>
  <si>
    <t xml:space="preserve">Атмосферное давление</t>
  </si>
  <si>
    <t xml:space="preserve">ТСМУ 011.16</t>
  </si>
  <si>
    <t xml:space="preserve">161</t>
  </si>
  <si>
    <t xml:space="preserve">-50..+50 °С</t>
  </si>
  <si>
    <t xml:space="preserve">Температура газа после кр. 20-6</t>
  </si>
  <si>
    <t xml:space="preserve">ТСП 015.70</t>
  </si>
  <si>
    <t xml:space="preserve">Садко 44 ТЖИУ 406422.005.01</t>
  </si>
  <si>
    <t xml:space="preserve">0,15…0,5 МПа</t>
  </si>
  <si>
    <t xml:space="preserve">Перепад давления на кр. Г-6КП</t>
  </si>
  <si>
    <t xml:space="preserve">Перепад давления на кр. 7</t>
  </si>
  <si>
    <t xml:space="preserve">Перепад давления на кр. 7-1</t>
  </si>
  <si>
    <t xml:space="preserve">Перепад давления на кр. 20</t>
  </si>
  <si>
    <t xml:space="preserve">Перепад давления на кр. 8</t>
  </si>
  <si>
    <r>
      <rPr>
        <sz val="8"/>
        <color rgb="FF000000"/>
        <rFont val="Times New Roman"/>
        <family val="1"/>
        <charset val="204"/>
      </rPr>
      <t xml:space="preserve">0..160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</si>
  <si>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имп. газа в ресивере</t>
  </si>
  <si>
    <t xml:space="preserve">Р имп. газа кр. №7</t>
  </si>
  <si>
    <t xml:space="preserve">Р газа до кр. №7</t>
  </si>
  <si>
    <t xml:space="preserve">Р газа после кр. №7</t>
  </si>
  <si>
    <t xml:space="preserve">Р имп. газа     кр. №7с</t>
  </si>
  <si>
    <t xml:space="preserve">ТМ6</t>
  </si>
  <si>
    <t xml:space="preserve">Р имп. газа     кр. №7р</t>
  </si>
  <si>
    <t xml:space="preserve">Р газа до кр. №7-1</t>
  </si>
  <si>
    <t xml:space="preserve">МП4-У</t>
  </si>
  <si>
    <t xml:space="preserve">Р газа после кр. №7-1</t>
  </si>
  <si>
    <t xml:space="preserve">Р имп. газа    кр. №7-1р1</t>
  </si>
  <si>
    <t xml:space="preserve">Р имп. газа     кр. №7-1р2</t>
  </si>
  <si>
    <t xml:space="preserve">Р имп. газа     кр. №Т1</t>
  </si>
  <si>
    <t xml:space="preserve">Р имп. газа     кр. №Т2</t>
  </si>
  <si>
    <t xml:space="preserve">Р имп. газа     кр. №Т3</t>
  </si>
  <si>
    <t xml:space="preserve">Р имп. газа     кр. №Т4</t>
  </si>
  <si>
    <t xml:space="preserve">Р имп. газа кр. №3с</t>
  </si>
  <si>
    <t xml:space="preserve">Р имп. газа кр. №1с</t>
  </si>
  <si>
    <t xml:space="preserve">Р имп. газа кр. №2с</t>
  </si>
  <si>
    <t xml:space="preserve">Р газа до  кр. №20-6</t>
  </si>
  <si>
    <t xml:space="preserve">Р газа после кр. №20-6</t>
  </si>
  <si>
    <t xml:space="preserve">Р имп. газа  кр. №20-6</t>
  </si>
  <si>
    <t xml:space="preserve">Р газа до кр. №8</t>
  </si>
  <si>
    <t xml:space="preserve">Р газа после кр. №8</t>
  </si>
  <si>
    <t xml:space="preserve">Р имп. газа     кр. №8с</t>
  </si>
  <si>
    <t xml:space="preserve">Р имп. газа     кр. №8р1</t>
  </si>
  <si>
    <t xml:space="preserve">Р имп. газа     кр. №8р2</t>
  </si>
  <si>
    <t xml:space="preserve">Р имп. газа     кр. №22</t>
  </si>
  <si>
    <t xml:space="preserve">Р имп. газа     кр. №23</t>
  </si>
  <si>
    <t xml:space="preserve">Р имп. газа     кр. №24</t>
  </si>
  <si>
    <t xml:space="preserve">Р имп. газа     кр. №26</t>
  </si>
  <si>
    <t xml:space="preserve">Р имп. газа     кр. №27</t>
  </si>
  <si>
    <t xml:space="preserve">Р имп. газа     кр. №28</t>
  </si>
  <si>
    <t xml:space="preserve">Р имп. газа     кр. №33</t>
  </si>
  <si>
    <t xml:space="preserve">Р имп. газа     кр. №35</t>
  </si>
  <si>
    <t xml:space="preserve">0..16 МPa </t>
  </si>
  <si>
    <t xml:space="preserve">Р имп. газа     кр. №36</t>
  </si>
  <si>
    <t xml:space="preserve">Р имп. газа     кр. №37</t>
  </si>
  <si>
    <t xml:space="preserve">15386а</t>
  </si>
  <si>
    <t xml:space="preserve">Р имп. газа     кр. №41</t>
  </si>
  <si>
    <t xml:space="preserve">Р имп. газа     кр. №42</t>
  </si>
  <si>
    <t xml:space="preserve">Р имп. газа     кр. №43</t>
  </si>
  <si>
    <t xml:space="preserve">Р имп. газа     кр. №43б</t>
  </si>
  <si>
    <t xml:space="preserve">Р имп. газа     кр. №44</t>
  </si>
  <si>
    <t xml:space="preserve">Р имп. газа     кр. №45</t>
  </si>
  <si>
    <t xml:space="preserve">Р имп. газа     кр. №46</t>
  </si>
  <si>
    <t xml:space="preserve">Р имп. газа     кр. №47</t>
  </si>
  <si>
    <t xml:space="preserve">Р газа до кр. №Г-6КП</t>
  </si>
  <si>
    <t xml:space="preserve">Р газа после кр. №Г-6КП</t>
  </si>
  <si>
    <t xml:space="preserve">МП4-УФБСУХЛ1</t>
  </si>
  <si>
    <t xml:space="preserve">Р имп. газа кр. №Г-6КП</t>
  </si>
  <si>
    <t xml:space="preserve">Р газа до кр. №Г-6КЗ</t>
  </si>
  <si>
    <t xml:space="preserve">Р имп. газа кр. №Г-6КЗ</t>
  </si>
  <si>
    <t xml:space="preserve">15381а</t>
  </si>
  <si>
    <t xml:space="preserve">Р конденсата в инвентарной емкости</t>
  </si>
  <si>
    <r>
      <rPr>
        <sz val="8"/>
        <color rgb="FF000000"/>
        <rFont val="Times New Roman"/>
        <family val="1"/>
        <charset val="204"/>
      </rPr>
      <t xml:space="preserve">0..6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</si>
  <si>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конденсата в емкости сбора конденсата</t>
  </si>
  <si>
    <t xml:space="preserve">Р конденсата на сливе</t>
  </si>
  <si>
    <t xml:space="preserve">Рг в камере запуска </t>
  </si>
  <si>
    <t xml:space="preserve">Рг в камере приема</t>
  </si>
  <si>
    <t xml:space="preserve">Заводской 
номер</t>
  </si>
  <si>
    <t xml:space="preserve">Температура воздуха в блоке автоматики УПГ</t>
  </si>
  <si>
    <t xml:space="preserve">УПГ</t>
  </si>
  <si>
    <t xml:space="preserve">ТСПУ 014.55</t>
  </si>
  <si>
    <t xml:space="preserve">0..+200 °С</t>
  </si>
  <si>
    <t xml:space="preserve">Температура антифриза в ЭПГ 800/2</t>
  </si>
  <si>
    <t xml:space="preserve">Температура масла в конвекторе ЕК1</t>
  </si>
  <si>
    <t xml:space="preserve">ТСПУ 030.МП</t>
  </si>
  <si>
    <t xml:space="preserve">-50..+500 °С</t>
  </si>
  <si>
    <t xml:space="preserve">Температура газа регенерац. на входе в АТ401</t>
  </si>
  <si>
    <t xml:space="preserve">Температура газа регенерац. на выходе в АТ401</t>
  </si>
  <si>
    <t xml:space="preserve">11W03 C3287149003073</t>
  </si>
  <si>
    <t xml:space="preserve">0..10 Mpa</t>
  </si>
  <si>
    <t xml:space="preserve">Давление газа на входе в УПГ</t>
  </si>
  <si>
    <t xml:space="preserve">11W03 C3287149003019</t>
  </si>
  <si>
    <t xml:space="preserve">Давление импульсного газа на выходе из УПГ</t>
  </si>
  <si>
    <t xml:space="preserve">11W44 C3273967002057</t>
  </si>
  <si>
    <t xml:space="preserve">0..0,6 Mpa</t>
  </si>
  <si>
    <t xml:space="preserve">Давление газа на выходе из УПГ</t>
  </si>
  <si>
    <t xml:space="preserve">11W04 C3287149005002</t>
  </si>
  <si>
    <t xml:space="preserve">0..160 кPa</t>
  </si>
  <si>
    <t xml:space="preserve">Перепад давления газа на ФС801, ФС802</t>
  </si>
  <si>
    <t xml:space="preserve">11W04 C3287149005004</t>
  </si>
  <si>
    <t xml:space="preserve">Перепад давления газа на А401, А402</t>
  </si>
  <si>
    <t xml:space="preserve">Гигрометр точки росы</t>
  </si>
  <si>
    <t xml:space="preserve">Michell EASIDEW EA2-TX-100-HD</t>
  </si>
  <si>
    <t xml:space="preserve">DF66-012</t>
  </si>
  <si>
    <t xml:space="preserve">­100…+20°С</t>
  </si>
  <si>
    <t xml:space="preserve">±2 °С</t>
  </si>
  <si>
    <t xml:space="preserve">Температура точки росы газа на входе в УПГ</t>
  </si>
  <si>
    <t xml:space="preserve">BC13-058</t>
  </si>
  <si>
    <t xml:space="preserve">Температура точки росы импульсного газа на выходе из УПИГ</t>
  </si>
  <si>
    <t xml:space="preserve">F025-S12-0-C-A-Z-E-ZZZ-Z</t>
  </si>
  <si>
    <t xml:space="preserve">sensor       14232402    голова            3812918</t>
  </si>
  <si>
    <t xml:space="preserve">0,06….75,5 кг/с</t>
  </si>
  <si>
    <t xml:space="preserve">Расход топливного газа на 801/1</t>
  </si>
  <si>
    <t xml:space="preserve">sensor       14233029    голова            3813003</t>
  </si>
  <si>
    <t xml:space="preserve">Расход топливного газа на 801/2</t>
  </si>
  <si>
    <t xml:space="preserve">sensor       14233030    голова            3813019</t>
  </si>
  <si>
    <t xml:space="preserve">Расход топливного газа на РР802</t>
  </si>
  <si>
    <t xml:space="preserve">ТСМУ 014.06</t>
  </si>
  <si>
    <t xml:space="preserve">-50-+50 °С</t>
  </si>
  <si>
    <t xml:space="preserve">Температура газа на входе в УПГ</t>
  </si>
  <si>
    <t xml:space="preserve">0-+200 °С</t>
  </si>
  <si>
    <t xml:space="preserve">Температура масла в конвекторе ЕК2</t>
  </si>
  <si>
    <t xml:space="preserve">Температура газа на выходе из УПГ</t>
  </si>
  <si>
    <t xml:space="preserve">0-+100 °С</t>
  </si>
  <si>
    <t xml:space="preserve">Температура воздуха в технологическом отсеке УПГ</t>
  </si>
  <si>
    <t xml:space="preserve">Температура газа на выходе ЭПГ 800/1</t>
  </si>
  <si>
    <t xml:space="preserve">Температура антифриза в ЭПГ 800/1</t>
  </si>
  <si>
    <t xml:space="preserve">Температура газа на выходе ЭПГ 800/2</t>
  </si>
  <si>
    <t xml:space="preserve">Манометр электроконтактный</t>
  </si>
  <si>
    <t xml:space="preserve">ДМ2005CrIExУ3</t>
  </si>
  <si>
    <r>
      <rPr>
        <sz val="8"/>
        <color rgb="FF000000"/>
        <rFont val="Times New Roman"/>
        <family val="1"/>
        <charset val="204"/>
      </rPr>
      <t xml:space="preserve">0..4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</si>
  <si>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газа на выходе УПГ</t>
  </si>
  <si>
    <t xml:space="preserve">P газа на входе в УПГ</t>
  </si>
  <si>
    <t xml:space="preserve">P газа после фильтра 801</t>
  </si>
  <si>
    <t xml:space="preserve">P газа после фильтра 802</t>
  </si>
  <si>
    <t xml:space="preserve">P газа на выходе УПГ</t>
  </si>
  <si>
    <t xml:space="preserve">P газа после клапана  801/1</t>
  </si>
  <si>
    <t xml:space="preserve">P газа после клапана регулятора 801/2</t>
  </si>
  <si>
    <t xml:space="preserve">P газа после КР801</t>
  </si>
  <si>
    <t xml:space="preserve">P газа после КШ 814/1</t>
  </si>
  <si>
    <t xml:space="preserve">P газа после КШ 814/2</t>
  </si>
  <si>
    <t xml:space="preserve">P газа перед подогревателем</t>
  </si>
  <si>
    <t xml:space="preserve">P газа в подогревателе ЭПГ 800/1</t>
  </si>
  <si>
    <t xml:space="preserve">P газа в подогревателе ЭПГ 800/2</t>
  </si>
  <si>
    <t xml:space="preserve">P газа на адсорбере 1</t>
  </si>
  <si>
    <t xml:space="preserve">P газа на адсорбере 2</t>
  </si>
  <si>
    <t xml:space="preserve">P газа в теплообменнике</t>
  </si>
  <si>
    <t xml:space="preserve">P газа на выходе с теплообменника</t>
  </si>
  <si>
    <t xml:space="preserve">P газа после адсорбера 401</t>
  </si>
  <si>
    <t xml:space="preserve">P газа после адсорбера 402</t>
  </si>
  <si>
    <t xml:space="preserve">Р конденсата в емкости Е801</t>
  </si>
  <si>
    <t xml:space="preserve">Р газа пред блоком редуцирования</t>
  </si>
  <si>
    <t xml:space="preserve">ТБ-2Р</t>
  </si>
  <si>
    <t xml:space="preserve">0  ..  120°С</t>
  </si>
  <si>
    <t xml:space="preserve">Тг на входе в УПГ</t>
  </si>
  <si>
    <t xml:space="preserve">ТБ-2Р УХЛ2</t>
  </si>
  <si>
    <t xml:space="preserve">0  ..  150°С</t>
  </si>
  <si>
    <t xml:space="preserve">Тг на выходе УПГ после редуцирования</t>
  </si>
  <si>
    <t xml:space="preserve">Тг на выходе ЭПГ 800/1</t>
  </si>
  <si>
    <t xml:space="preserve">Тг на выходе ЭПГ 800/2</t>
  </si>
  <si>
    <t xml:space="preserve">Тг регенерации на входе в АТ 401</t>
  </si>
  <si>
    <t xml:space="preserve">0  ..  300°С</t>
  </si>
  <si>
    <t xml:space="preserve">Тг регенерации на выходе  ПГР 401</t>
  </si>
  <si>
    <t xml:space="preserve">ИП330/3-20-А2</t>
  </si>
  <si>
    <t xml:space="preserve">000991</t>
  </si>
  <si>
    <t xml:space="preserve">В помещении УПГ</t>
  </si>
  <si>
    <t xml:space="preserve">ИП330/3-20-А3</t>
  </si>
  <si>
    <t xml:space="preserve">000974</t>
  </si>
  <si>
    <t xml:space="preserve">ИП330/3-20-А4</t>
  </si>
  <si>
    <t xml:space="preserve">000990</t>
  </si>
  <si>
    <t xml:space="preserve">ИП330/3-20-А5</t>
  </si>
  <si>
    <t xml:space="preserve">001006</t>
  </si>
  <si>
    <t xml:space="preserve">Rosemount 2120</t>
  </si>
  <si>
    <t xml:space="preserve">MS13453800200002</t>
  </si>
  <si>
    <t xml:space="preserve">Н конденсата в ЭПГ 800/2</t>
  </si>
  <si>
    <t xml:space="preserve">MS13453800200001</t>
  </si>
  <si>
    <t xml:space="preserve">Н конденсата в ЭПГ 800/1</t>
  </si>
  <si>
    <t xml:space="preserve">MS13453800100005</t>
  </si>
  <si>
    <t xml:space="preserve">Н конденсата в Е801</t>
  </si>
  <si>
    <t xml:space="preserve">MS13453800100001</t>
  </si>
  <si>
    <t xml:space="preserve">Н конденсата в ФС801</t>
  </si>
  <si>
    <t xml:space="preserve">MS13453800100002</t>
  </si>
  <si>
    <t xml:space="preserve">Н конденсата в ФС802</t>
  </si>
  <si>
    <t xml:space="preserve">Р газа на входе ПУ1</t>
  </si>
  <si>
    <t xml:space="preserve">Установка очистки газа</t>
  </si>
  <si>
    <t xml:space="preserve">Р газа на выходе ПУ1</t>
  </si>
  <si>
    <t xml:space="preserve">Р газа на входе ПУ2</t>
  </si>
  <si>
    <t xml:space="preserve">Р газа на выходе ПУ2</t>
  </si>
  <si>
    <t xml:space="preserve">Р газа на входе ПУ3</t>
  </si>
  <si>
    <t xml:space="preserve">Р газа на выходе ПУ3</t>
  </si>
  <si>
    <t xml:space="preserve">Р газа на входе ПУ4</t>
  </si>
  <si>
    <t xml:space="preserve">Р газа на выходе ПУ4</t>
  </si>
  <si>
    <t xml:space="preserve">Р газа на входе ПУ5</t>
  </si>
  <si>
    <t xml:space="preserve">Р газа на выходе ПУ5</t>
  </si>
  <si>
    <t xml:space="preserve">Р газа на входе ПУ6</t>
  </si>
  <si>
    <t xml:space="preserve">Р газа на выходе ПУ6</t>
  </si>
  <si>
    <t xml:space="preserve">15085</t>
  </si>
  <si>
    <t xml:space="preserve">Р газа на входе ПУ</t>
  </si>
  <si>
    <t xml:space="preserve">Р газа на выходе ПУ</t>
  </si>
  <si>
    <r>
      <rPr>
        <sz val="8"/>
        <color rgb="FF000000"/>
        <rFont val="Times New Roman"/>
        <family val="1"/>
        <charset val="204"/>
      </rPr>
      <t xml:space="preserve">0..10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</si>
  <si>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в конденсатной емкости Е3</t>
  </si>
  <si>
    <t xml:space="preserve">25ДЯУ</t>
  </si>
  <si>
    <t xml:space="preserve">0  ..  100°С</t>
  </si>
  <si>
    <t xml:space="preserve">Температура конденсата в ПУ1</t>
  </si>
  <si>
    <t xml:space="preserve">Температура конденсата в ПУ2</t>
  </si>
  <si>
    <t xml:space="preserve">Температура конденсата в ПУ3</t>
  </si>
  <si>
    <t xml:space="preserve">Температура конденсата в ПУ4</t>
  </si>
  <si>
    <t xml:space="preserve">Температура конденсата в ПУ5</t>
  </si>
  <si>
    <t xml:space="preserve">Температура конденсата в ПУ6</t>
  </si>
  <si>
    <t xml:space="preserve">MS13395900100007</t>
  </si>
  <si>
    <t xml:space="preserve">Уровень конденсата в ПУ1</t>
  </si>
  <si>
    <t xml:space="preserve">MS13395900100004</t>
  </si>
  <si>
    <t xml:space="preserve">Уровень конденсата в ПУ2</t>
  </si>
  <si>
    <t xml:space="preserve">MS13395900100008</t>
  </si>
  <si>
    <t xml:space="preserve">Уровень конденсата в ПУ3</t>
  </si>
  <si>
    <t xml:space="preserve">MS13395900100002</t>
  </si>
  <si>
    <t xml:space="preserve">Уровень конденсата в ПУ4</t>
  </si>
  <si>
    <t xml:space="preserve">MS13395900100003</t>
  </si>
  <si>
    <t xml:space="preserve">Уровень конденсата в ПУ5</t>
  </si>
  <si>
    <t xml:space="preserve">MS13395900100001</t>
  </si>
  <si>
    <t xml:space="preserve">Уровень конденсата в ПУ6</t>
  </si>
  <si>
    <t xml:space="preserve">Дата последней поверки </t>
  </si>
  <si>
    <t xml:space="preserve">КМ2</t>
  </si>
  <si>
    <t xml:space="preserve">0..60 kPa</t>
  </si>
  <si>
    <t xml:space="preserve">Р газа в общем коллекторе</t>
  </si>
  <si>
    <t xml:space="preserve">Котельная</t>
  </si>
  <si>
    <t xml:space="preserve">Р газа после РД до Г5</t>
  </si>
  <si>
    <t xml:space="preserve">МТИ</t>
  </si>
  <si>
    <t xml:space="preserve">Р газа до Рд после Г4</t>
  </si>
  <si>
    <t xml:space="preserve">Р газа после КТЗ до КЗ</t>
  </si>
  <si>
    <t xml:space="preserve">Котел 1. Р газа до счетчика</t>
  </si>
  <si>
    <t xml:space="preserve">Wika</t>
  </si>
  <si>
    <t xml:space="preserve">0..400 mbar</t>
  </si>
  <si>
    <t xml:space="preserve">Котел 1. Р газа РБ1</t>
  </si>
  <si>
    <t xml:space="preserve">ТМ5</t>
  </si>
  <si>
    <t xml:space="preserve">Котел 1. Р воды на входе в котел</t>
  </si>
  <si>
    <t xml:space="preserve">Котел 1. Р воды после НР1</t>
  </si>
  <si>
    <t xml:space="preserve">Котел 1. Р воды до НР1</t>
  </si>
  <si>
    <t xml:space="preserve">Котел 1. Р воды на выходе из котла</t>
  </si>
  <si>
    <t xml:space="preserve">Котел 2. Р газа до счетчика</t>
  </si>
  <si>
    <t xml:space="preserve">Котел 2. Р газа РБ2</t>
  </si>
  <si>
    <t xml:space="preserve">Котел 2. Р воды на входе в котел</t>
  </si>
  <si>
    <t xml:space="preserve">Котел 2. Р воды после НР2</t>
  </si>
  <si>
    <t xml:space="preserve">Котел 2. Р воды до НР2</t>
  </si>
  <si>
    <t xml:space="preserve">Котел 2. Р воды на выходе из котла</t>
  </si>
  <si>
    <t xml:space="preserve">Котел 3. Р газа до счетчика</t>
  </si>
  <si>
    <t xml:space="preserve">Котел 3. Р газа РБ3</t>
  </si>
  <si>
    <t xml:space="preserve">Котел 3. Р воды на входе в котел</t>
  </si>
  <si>
    <t xml:space="preserve">Котел 3. Р воды после НР3</t>
  </si>
  <si>
    <t xml:space="preserve">Котел 3. Р воды на выходе из котла</t>
  </si>
  <si>
    <t xml:space="preserve">Котел 3. Р воды до НР3</t>
  </si>
  <si>
    <t xml:space="preserve">Р воды в коллекторе Т2</t>
  </si>
  <si>
    <t xml:space="preserve">Р воды на вых. В коллектор</t>
  </si>
  <si>
    <t xml:space="preserve">Р воды до НПВ1</t>
  </si>
  <si>
    <t xml:space="preserve">Р воды после НПВ1</t>
  </si>
  <si>
    <t xml:space="preserve">ДМ8008-ВУ-УУ2</t>
  </si>
  <si>
    <t xml:space="preserve">Р воды до НПВ2</t>
  </si>
  <si>
    <t xml:space="preserve">Р воды после НПВ2</t>
  </si>
  <si>
    <t xml:space="preserve">Р воды после резервного насоса собственных нужд</t>
  </si>
  <si>
    <t xml:space="preserve">Р воды после основного и резервного насосов собственных нужд в коллектор</t>
  </si>
  <si>
    <t xml:space="preserve">Р воды до основного насоса собственных нужд</t>
  </si>
  <si>
    <t xml:space="preserve">Р воды до резервного насоса собственных нужд</t>
  </si>
  <si>
    <t xml:space="preserve">Р воды после основного насоса собственных нужд</t>
  </si>
  <si>
    <t xml:space="preserve">Р воды перед смесителем</t>
  </si>
  <si>
    <t xml:space="preserve">Р воды в общий коллектор</t>
  </si>
  <si>
    <t xml:space="preserve">Р воды из ТС собственных нужд</t>
  </si>
  <si>
    <r>
      <rPr>
        <sz val="8"/>
        <color rgb="FF000000"/>
        <rFont val="Times New Roman"/>
        <family val="1"/>
        <charset val="204"/>
      </rPr>
      <t xml:space="preserve">0…6 кгс/см</t>
    </r>
    <r>
      <rPr>
        <vertAlign val="superscript"/>
        <sz val="8"/>
        <color rgb="FF000000"/>
        <rFont val="Times New Roman"/>
        <family val="1"/>
        <charset val="204"/>
      </rPr>
      <t xml:space="preserve">2 </t>
    </r>
  </si>
  <si>
    <t xml:space="preserve">Р воды на ХВО после РД</t>
  </si>
  <si>
    <t xml:space="preserve">Р воды на ХВО до РД</t>
  </si>
  <si>
    <t xml:space="preserve">Р воды на ХВО перед фильтром</t>
  </si>
  <si>
    <t xml:space="preserve">Р воды на ХВО перед расходомером</t>
  </si>
  <si>
    <t xml:space="preserve">Р воды на ХВО перед В5</t>
  </si>
  <si>
    <t xml:space="preserve">Р воды на ХВО после В6</t>
  </si>
  <si>
    <t xml:space="preserve">Р воды до сетевого насоса СН1</t>
  </si>
  <si>
    <t xml:space="preserve">Р воды до сетевого насоса СН2</t>
  </si>
  <si>
    <t xml:space="preserve">Р воды после сетевого насоса СН1</t>
  </si>
  <si>
    <t xml:space="preserve">Р воды после сетевого насоса СН2</t>
  </si>
  <si>
    <t xml:space="preserve">Р воды на выходе в теплосеть</t>
  </si>
  <si>
    <t xml:space="preserve">Р воды на входе после фильтра</t>
  </si>
  <si>
    <t xml:space="preserve">Р воды на входе до фильтра</t>
  </si>
  <si>
    <t xml:space="preserve">ДМ02-100-1-G</t>
  </si>
  <si>
    <t xml:space="preserve">0...6bar</t>
  </si>
  <si>
    <t xml:space="preserve">Р газа после Г7 перед Г6</t>
  </si>
  <si>
    <t xml:space="preserve">Газоанализатор CO</t>
  </si>
  <si>
    <t xml:space="preserve">SGY CO0 V4 NC01</t>
  </si>
  <si>
    <t xml:space="preserve">464064</t>
  </si>
  <si>
    <t xml:space="preserve">0..500 ppm</t>
  </si>
  <si>
    <t xml:space="preserve">Шкаф автоматики (AT3)</t>
  </si>
  <si>
    <t xml:space="preserve">Газоанализатор CH4</t>
  </si>
  <si>
    <t xml:space="preserve">SGY ME0 V4 NC01</t>
  </si>
  <si>
    <t xml:space="preserve">464066</t>
  </si>
  <si>
    <t xml:space="preserve">0..50 % L.E.L.</t>
  </si>
  <si>
    <t xml:space="preserve">Шкаф автоматики (AT2)</t>
  </si>
  <si>
    <t xml:space="preserve">SGY ME 0 V4NCSE</t>
  </si>
  <si>
    <t xml:space="preserve">Шкаф автоматики (AT1)</t>
  </si>
  <si>
    <t xml:space="preserve">Корректор расхода газа</t>
  </si>
  <si>
    <t xml:space="preserve">EK270</t>
  </si>
  <si>
    <t xml:space="preserve">Счетчик газа на входе в котельную</t>
  </si>
  <si>
    <t xml:space="preserve">Датчик перепада давления</t>
  </si>
  <si>
    <t xml:space="preserve">АИР 20/М2-ДД модель 400</t>
  </si>
  <si>
    <t xml:space="preserve">20-74142</t>
  </si>
  <si>
    <t xml:space="preserve">Перепад счетчика газа на входе в котельную</t>
  </si>
  <si>
    <t xml:space="preserve">Датчик давления</t>
  </si>
  <si>
    <t xml:space="preserve">АДР-0,25 (Агава)</t>
  </si>
  <si>
    <t xml:space="preserve">12040487</t>
  </si>
  <si>
    <t xml:space="preserve">Разрежение в газоходе котла №1</t>
  </si>
  <si>
    <t xml:space="preserve">Датчик температуры</t>
  </si>
  <si>
    <t xml:space="preserve">Элемер ТС-1088/6 Pt100</t>
  </si>
  <si>
    <t xml:space="preserve">8199</t>
  </si>
  <si>
    <t xml:space="preserve">­50  ..  200°С</t>
  </si>
  <si>
    <t xml:space="preserve">Т воды на входе в котел №1</t>
  </si>
  <si>
    <t xml:space="preserve">Сигнализатор температуры</t>
  </si>
  <si>
    <t xml:space="preserve">Sauter</t>
  </si>
  <si>
    <t xml:space="preserve">1134</t>
  </si>
  <si>
    <t xml:space="preserve">0…130°С</t>
  </si>
  <si>
    <t xml:space="preserve">Т воды в котле №1</t>
  </si>
  <si>
    <t xml:space="preserve">8200</t>
  </si>
  <si>
    <t xml:space="preserve">Т воды на выходе котла №1</t>
  </si>
  <si>
    <t xml:space="preserve">8201</t>
  </si>
  <si>
    <t xml:space="preserve">Сигнализатор давления</t>
  </si>
  <si>
    <t xml:space="preserve">Fantini cosmi</t>
  </si>
  <si>
    <t xml:space="preserve">118341</t>
  </si>
  <si>
    <t xml:space="preserve">Р воды на выходе котла №1 (низкое)</t>
  </si>
  <si>
    <t xml:space="preserve">118238</t>
  </si>
  <si>
    <t xml:space="preserve">Р воды на выходе котла №1 (высокое)</t>
  </si>
  <si>
    <t xml:space="preserve">Агава АДР-2,5.4.1</t>
  </si>
  <si>
    <t xml:space="preserve">12040677</t>
  </si>
  <si>
    <t xml:space="preserve">Р воздуха на горелку котла №1</t>
  </si>
  <si>
    <t xml:space="preserve">12040669</t>
  </si>
  <si>
    <t xml:space="preserve">Р газа перед горелкой котла №1</t>
  </si>
  <si>
    <t xml:space="preserve">4728</t>
  </si>
  <si>
    <t xml:space="preserve">­50  ..  350°С</t>
  </si>
  <si>
    <t xml:space="preserve">Т дымовых газов котла №1</t>
  </si>
  <si>
    <t xml:space="preserve">12030479</t>
  </si>
  <si>
    <t xml:space="preserve">Разрежение в газоходе котла №2</t>
  </si>
  <si>
    <t xml:space="preserve">8197</t>
  </si>
  <si>
    <t xml:space="preserve">Т воды на входе в котел №2</t>
  </si>
  <si>
    <t xml:space="preserve">1143</t>
  </si>
  <si>
    <t xml:space="preserve">Т воды в котле №2</t>
  </si>
  <si>
    <t xml:space="preserve">8195</t>
  </si>
  <si>
    <t xml:space="preserve">Т воды на выходе котла №2</t>
  </si>
  <si>
    <t xml:space="preserve">8198</t>
  </si>
  <si>
    <t xml:space="preserve">118228</t>
  </si>
  <si>
    <t xml:space="preserve">Р воды на выходе котла №2 (низкое)</t>
  </si>
  <si>
    <t xml:space="preserve">118412</t>
  </si>
  <si>
    <t xml:space="preserve">Р воды на выходе котла №2 (высокое)</t>
  </si>
  <si>
    <t xml:space="preserve">12040667</t>
  </si>
  <si>
    <t xml:space="preserve">Р воздуха на горелку котла №2</t>
  </si>
  <si>
    <t xml:space="preserve">12040674</t>
  </si>
  <si>
    <t xml:space="preserve">Р газа перед горелкой котла №2</t>
  </si>
  <si>
    <t xml:space="preserve">4704</t>
  </si>
  <si>
    <t xml:space="preserve">Т дымовых газов котла №2</t>
  </si>
  <si>
    <t xml:space="preserve">12040486</t>
  </si>
  <si>
    <t xml:space="preserve">Разрежение в газоходе котла №3</t>
  </si>
  <si>
    <t xml:space="preserve">8193</t>
  </si>
  <si>
    <t xml:space="preserve">Т воды на входе в котел №3</t>
  </si>
  <si>
    <t xml:space="preserve">1146</t>
  </si>
  <si>
    <t xml:space="preserve">Т воды в котле №3</t>
  </si>
  <si>
    <t xml:space="preserve">8194</t>
  </si>
  <si>
    <t xml:space="preserve">Т воды на выходе котла №3</t>
  </si>
  <si>
    <t xml:space="preserve">8192</t>
  </si>
  <si>
    <t xml:space="preserve">118366</t>
  </si>
  <si>
    <t xml:space="preserve">Р воды на выходе котла №3 (низкое)</t>
  </si>
  <si>
    <t xml:space="preserve">118227</t>
  </si>
  <si>
    <t xml:space="preserve">Р воды на выходе котла №3 (высокое)</t>
  </si>
  <si>
    <t xml:space="preserve">12040661</t>
  </si>
  <si>
    <t xml:space="preserve">Р воздуха на горелку котла №3</t>
  </si>
  <si>
    <t xml:space="preserve">12040671</t>
  </si>
  <si>
    <t xml:space="preserve">Р газа перед горелкой котла №3</t>
  </si>
  <si>
    <t xml:space="preserve">4710</t>
  </si>
  <si>
    <t xml:space="preserve">Т дымовых газов котла №3</t>
  </si>
  <si>
    <t xml:space="preserve">DEM-202</t>
  </si>
  <si>
    <t xml:space="preserve">008652</t>
  </si>
  <si>
    <t xml:space="preserve">-0,05…0,5 MPa</t>
  </si>
  <si>
    <t xml:space="preserve">Перепад Р на насосах циркуляции К1</t>
  </si>
  <si>
    <t xml:space="preserve">8191</t>
  </si>
  <si>
    <t xml:space="preserve">Т прямой сетевой воды к потребителям</t>
  </si>
  <si>
    <t xml:space="preserve">206-073</t>
  </si>
  <si>
    <t xml:space="preserve">0..600kPa</t>
  </si>
  <si>
    <t xml:space="preserve">Р обратной сетевой воды</t>
  </si>
  <si>
    <t xml:space="preserve">АИР-10/М1-ДИ</t>
  </si>
  <si>
    <t xml:space="preserve">14466</t>
  </si>
  <si>
    <t xml:space="preserve">0... 2.5 Mpa</t>
  </si>
  <si>
    <t xml:space="preserve">0,4</t>
  </si>
  <si>
    <t xml:space="preserve">Р водопроводной воды</t>
  </si>
  <si>
    <t xml:space="preserve">64480</t>
  </si>
  <si>
    <t xml:space="preserve">0..0,6 Mpa  (max. 2.5 Mpa)</t>
  </si>
  <si>
    <t xml:space="preserve">Р воды перед насосами К4</t>
  </si>
  <si>
    <t xml:space="preserve">8196</t>
  </si>
  <si>
    <t xml:space="preserve">Т теплоносителя на АВО</t>
  </si>
  <si>
    <t xml:space="preserve">КРТ5-1</t>
  </si>
  <si>
    <t xml:space="preserve">443650</t>
  </si>
  <si>
    <t xml:space="preserve">0…1 MPa</t>
  </si>
  <si>
    <t xml:space="preserve">Р воды после насосов К3</t>
  </si>
  <si>
    <t xml:space="preserve">64324</t>
  </si>
  <si>
    <t xml:space="preserve">0..1 Mpa (max. 2.5 Mpa)</t>
  </si>
  <si>
    <t xml:space="preserve">Р воды перед насосами К2</t>
  </si>
  <si>
    <t xml:space="preserve">Элемер ТС-1288/4 Pt100</t>
  </si>
  <si>
    <t xml:space="preserve">7759</t>
  </si>
  <si>
    <t xml:space="preserve">­50..50°С</t>
  </si>
  <si>
    <t xml:space="preserve">Т воздуха в помещении</t>
  </si>
  <si>
    <t xml:space="preserve">64485</t>
  </si>
  <si>
    <t xml:space="preserve">Р воды после насосов К4</t>
  </si>
  <si>
    <t xml:space="preserve">64313</t>
  </si>
  <si>
    <t xml:space="preserve">0,3</t>
  </si>
  <si>
    <t xml:space="preserve">Р сетевой воды к потребителю</t>
  </si>
  <si>
    <t xml:space="preserve">64483</t>
  </si>
  <si>
    <t xml:space="preserve">0..0,4 Mpa  (max. 2.5 Mpa)</t>
  </si>
  <si>
    <t xml:space="preserve">Р воды от потребителя теплосети</t>
  </si>
  <si>
    <t xml:space="preserve">БТ5</t>
  </si>
  <si>
    <t xml:space="preserve">­40…+60°С</t>
  </si>
  <si>
    <t xml:space="preserve">Т газа на входе в котельную</t>
  </si>
  <si>
    <t xml:space="preserve">0…+160°С</t>
  </si>
  <si>
    <t xml:space="preserve">0…+350°С</t>
  </si>
  <si>
    <t xml:space="preserve">0…+120°С</t>
  </si>
  <si>
    <t xml:space="preserve">Т воды на входе котла №2</t>
  </si>
  <si>
    <t xml:space="preserve">0…+100°С</t>
  </si>
  <si>
    <t xml:space="preserve">Т жидкого топлива на входе в котел №3</t>
  </si>
  <si>
    <t xml:space="preserve">Т воды из теплосети собственных нужд</t>
  </si>
  <si>
    <t xml:space="preserve">Т воды в Т2</t>
  </si>
  <si>
    <t xml:space="preserve">Т перед смесителями</t>
  </si>
  <si>
    <t xml:space="preserve">Т воды после основного и резервного насоса</t>
  </si>
  <si>
    <t xml:space="preserve">Т воды в Т1</t>
  </si>
  <si>
    <t xml:space="preserve">Т воды в общем коллекторе Т2</t>
  </si>
  <si>
    <t xml:space="preserve">Т воды на выходе котельной</t>
  </si>
  <si>
    <t xml:space="preserve">Т воды на входе в котельную</t>
  </si>
  <si>
    <t xml:space="preserve">Т воды на входе котла №1</t>
  </si>
  <si>
    <t xml:space="preserve">-40…+60°С</t>
  </si>
  <si>
    <t xml:space="preserve">Т воды на ХВО перед фильтром</t>
  </si>
  <si>
    <t xml:space="preserve">G25</t>
  </si>
  <si>
    <t xml:space="preserve">G40</t>
  </si>
  <si>
    <t xml:space="preserve">Счетчик котла №1</t>
  </si>
  <si>
    <t xml:space="preserve">Счетчик котла №2</t>
  </si>
  <si>
    <t xml:space="preserve">Счетчик котла №3</t>
  </si>
  <si>
    <t xml:space="preserve">В составе фильтра MADAS FGM DN50</t>
  </si>
  <si>
    <t xml:space="preserve">0…20bar</t>
  </si>
  <si>
    <t xml:space="preserve">Перепад давления на фильтре газа</t>
  </si>
  <si>
    <t xml:space="preserve">­50…+200°С</t>
  </si>
  <si>
    <t xml:space="preserve">Т воды в сливном колодце</t>
  </si>
  <si>
    <t xml:space="preserve">Взлет ТСПpt500</t>
  </si>
  <si>
    <t xml:space="preserve">0…+180°С</t>
  </si>
  <si>
    <t xml:space="preserve">Т воды к потребителям теплосети</t>
  </si>
  <si>
    <t xml:space="preserve">Т воды от потребителям теплосети</t>
  </si>
  <si>
    <t xml:space="preserve">Т водопроводной воды</t>
  </si>
  <si>
    <t xml:space="preserve">Расходомер электромагнитный</t>
  </si>
  <si>
    <t xml:space="preserve">Взлет ЭР ЭРСВ-420Ф</t>
  </si>
  <si>
    <t xml:space="preserve">Расход прямой воды</t>
  </si>
  <si>
    <t xml:space="preserve">Расход обратной воды</t>
  </si>
  <si>
    <t xml:space="preserve">Расход подпиточной воды </t>
  </si>
  <si>
    <t xml:space="preserve">Тепловычислитель</t>
  </si>
  <si>
    <t xml:space="preserve">Взлет ТСРВ-027</t>
  </si>
  <si>
    <t xml:space="preserve">Расход воды в котельной</t>
  </si>
  <si>
    <t xml:space="preserve">Счетчик воды</t>
  </si>
  <si>
    <t xml:space="preserve">itelma WFW2</t>
  </si>
  <si>
    <t xml:space="preserve">11-0978922</t>
  </si>
  <si>
    <t xml:space="preserve">Расход воды на ХВО В5</t>
  </si>
  <si>
    <t xml:space="preserve">Заводской
номер</t>
  </si>
  <si>
    <t xml:space="preserve">0..1,6 MPa</t>
  </si>
  <si>
    <t xml:space="preserve">Р на входе</t>
  </si>
  <si>
    <t xml:space="preserve">КОС, блок доп. очистки</t>
  </si>
  <si>
    <t xml:space="preserve">3К2\6</t>
  </si>
  <si>
    <t xml:space="preserve">Р после промывочного насоса</t>
  </si>
  <si>
    <t xml:space="preserve">0..10 Bar</t>
  </si>
  <si>
    <t xml:space="preserve">Р на выходе</t>
  </si>
  <si>
    <t xml:space="preserve">Р воды на сорбционном фильтре 4 (на схеме 2.2)</t>
  </si>
  <si>
    <r>
      <rPr>
        <sz val="8"/>
        <color rgb="FF000000"/>
        <rFont val="Times New Roman"/>
        <family val="1"/>
        <charset val="204"/>
      </rPr>
      <t xml:space="preserve">0..16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</si>
  <si>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воды на осветлительном фильтре 2 (на схеме 2.1)</t>
  </si>
  <si>
    <t xml:space="preserve">Р воды на осветлительном фильтре 1 (на схеме 2.1)</t>
  </si>
  <si>
    <t xml:space="preserve">Р воды на сорбционном фильтре 3 (на схеме 2.2)</t>
  </si>
  <si>
    <t xml:space="preserve">Измеритель-регулятор </t>
  </si>
  <si>
    <t xml:space="preserve">Измеритель-регулятор ТРМ1</t>
  </si>
  <si>
    <t xml:space="preserve">б/н</t>
  </si>
  <si>
    <t xml:space="preserve">универсальный вход</t>
  </si>
  <si>
    <t xml:space="preserve">КОС</t>
  </si>
  <si>
    <t xml:space="preserve">ТСМ МЕТРАН-203-04</t>
  </si>
  <si>
    <t xml:space="preserve">Взлет ЭРСВ-420Ф</t>
  </si>
  <si>
    <t xml:space="preserve">Расход сточных вод</t>
  </si>
  <si>
    <t xml:space="preserve">Расходомер счетчик ультразвуковой</t>
  </si>
  <si>
    <t xml:space="preserve">Взлет РСЛ</t>
  </si>
  <si>
    <t xml:space="preserve">Расход очищенных сточных вод</t>
  </si>
  <si>
    <t xml:space="preserve">Взлет ТСРВ-034</t>
  </si>
  <si>
    <t xml:space="preserve">Расходомер счетчик электромагнитный</t>
  </si>
  <si>
    <t xml:space="preserve">ТЭР ОФ-032</t>
  </si>
  <si>
    <t xml:space="preserve">Расход бытовых сточных вод</t>
  </si>
  <si>
    <t xml:space="preserve">0..6 Bar</t>
  </si>
  <si>
    <t xml:space="preserve">Р воды после Ф на входе НСХПВ</t>
  </si>
  <si>
    <t xml:space="preserve">НСХПВ</t>
  </si>
  <si>
    <t xml:space="preserve">15154</t>
  </si>
  <si>
    <t xml:space="preserve">Р воды до Ф на входе НСХПВ</t>
  </si>
  <si>
    <t xml:space="preserve">15205</t>
  </si>
  <si>
    <t xml:space="preserve">15584</t>
  </si>
  <si>
    <t xml:space="preserve">Р воды  до Ф на входе НСХПВ</t>
  </si>
  <si>
    <t xml:space="preserve">15585</t>
  </si>
  <si>
    <t xml:space="preserve">-1..24 Bar</t>
  </si>
  <si>
    <t xml:space="preserve">Р воды перед насосной станцией подачи исходной воды</t>
  </si>
  <si>
    <t xml:space="preserve">50291</t>
  </si>
  <si>
    <t xml:space="preserve">Р воды после насосной станции подачи исходной воды</t>
  </si>
  <si>
    <t xml:space="preserve">15206</t>
  </si>
  <si>
    <t xml:space="preserve">Р воды перед фильтром грубой очистки № 1</t>
  </si>
  <si>
    <t xml:space="preserve">15152</t>
  </si>
  <si>
    <t xml:space="preserve">Р воды после фильтра грубой очистки № 1</t>
  </si>
  <si>
    <t xml:space="preserve">15187</t>
  </si>
  <si>
    <t xml:space="preserve">Р воды перед фильтром грубой очистки № 2</t>
  </si>
  <si>
    <t xml:space="preserve">15185</t>
  </si>
  <si>
    <t xml:space="preserve">Р воды после фильтра грубой очистки № 2</t>
  </si>
  <si>
    <t xml:space="preserve">15156</t>
  </si>
  <si>
    <t xml:space="preserve">Р воды перед фильтром сорбционным</t>
  </si>
  <si>
    <t xml:space="preserve">15437</t>
  </si>
  <si>
    <t xml:space="preserve">Р воды после фильтра сорбционного</t>
  </si>
  <si>
    <t xml:space="preserve">15153</t>
  </si>
  <si>
    <t xml:space="preserve">Р воды после промывочных насосов</t>
  </si>
  <si>
    <t xml:space="preserve">15155</t>
  </si>
  <si>
    <t xml:space="preserve">Р воды перед ОСМОСом</t>
  </si>
  <si>
    <t xml:space="preserve">15418</t>
  </si>
  <si>
    <t xml:space="preserve">Р воды на выходе НСХПВ</t>
  </si>
  <si>
    <t xml:space="preserve">15510</t>
  </si>
  <si>
    <t xml:space="preserve">Р воды на входе в насосную станцию III подъема</t>
  </si>
  <si>
    <t xml:space="preserve">Расходомер импульсный</t>
  </si>
  <si>
    <t xml:space="preserve">12-004371</t>
  </si>
  <si>
    <t xml:space="preserve">Расходомер импульсный на схеме 2</t>
  </si>
  <si>
    <t xml:space="preserve">12-005803</t>
  </si>
  <si>
    <t xml:space="preserve">Расход очищенной воды</t>
  </si>
  <si>
    <t xml:space="preserve">Zenner</t>
  </si>
  <si>
    <t xml:space="preserve">6035807</t>
  </si>
  <si>
    <t xml:space="preserve">Расходомер импульсный на схеме 12</t>
  </si>
  <si>
    <t xml:space="preserve">ДМ02-100-1-М</t>
  </si>
  <si>
    <t xml:space="preserve">11016</t>
  </si>
  <si>
    <t xml:space="preserve">Р воды  в Т1 перед Ф</t>
  </si>
  <si>
    <t xml:space="preserve">НППВ</t>
  </si>
  <si>
    <t xml:space="preserve">15608</t>
  </si>
  <si>
    <t xml:space="preserve">Р воды в Т1 после Ф</t>
  </si>
  <si>
    <t xml:space="preserve">2290</t>
  </si>
  <si>
    <t xml:space="preserve">Р воды  в Т2 перед Ф</t>
  </si>
  <si>
    <t xml:space="preserve">1321992</t>
  </si>
  <si>
    <t xml:space="preserve">Р воды в Т2 после Ф</t>
  </si>
  <si>
    <t xml:space="preserve">33</t>
  </si>
  <si>
    <t xml:space="preserve">Р воды в Т2 после клапана регулятора перепада давления</t>
  </si>
  <si>
    <t xml:space="preserve">13778</t>
  </si>
  <si>
    <t xml:space="preserve">Р воды после счетчика воды из водопровода</t>
  </si>
  <si>
    <t xml:space="preserve">5079</t>
  </si>
  <si>
    <t xml:space="preserve">Температура в Т1</t>
  </si>
  <si>
    <t xml:space="preserve">5075</t>
  </si>
  <si>
    <t xml:space="preserve">Температура в Т2</t>
  </si>
  <si>
    <t xml:space="preserve">Датчик абсолютного давления</t>
  </si>
  <si>
    <t xml:space="preserve">Метран 100-Вн-ДА</t>
  </si>
  <si>
    <t xml:space="preserve">395270</t>
  </si>
  <si>
    <t xml:space="preserve">250..25 kPa</t>
  </si>
  <si>
    <t xml:space="preserve">L воды в резервуаре 1</t>
  </si>
  <si>
    <t xml:space="preserve">376431</t>
  </si>
  <si>
    <t xml:space="preserve">L воды в резервуаре 2</t>
  </si>
  <si>
    <t xml:space="preserve">ТСМ Метран-203-04 (50М)</t>
  </si>
  <si>
    <t xml:space="preserve">2074421</t>
  </si>
  <si>
    <t xml:space="preserve">-50  ..  150° С</t>
  </si>
  <si>
    <t xml:space="preserve">В</t>
  </si>
  <si>
    <t xml:space="preserve">ТСМУ 014.51.ИНД</t>
  </si>
  <si>
    <t xml:space="preserve">405</t>
  </si>
  <si>
    <t xml:space="preserve">-50  ..  100° С</t>
  </si>
  <si>
    <t xml:space="preserve">(0,5/0,6)%</t>
  </si>
  <si>
    <t xml:space="preserve">Счетчик импульсный</t>
  </si>
  <si>
    <t xml:space="preserve">ВСХ-15</t>
  </si>
  <si>
    <t xml:space="preserve">002199</t>
  </si>
  <si>
    <t xml:space="preserve">Учет холодной воды</t>
  </si>
  <si>
    <t xml:space="preserve">ВСГ-15</t>
  </si>
  <si>
    <t xml:space="preserve">141778</t>
  </si>
  <si>
    <t xml:space="preserve">Учет горячей воды</t>
  </si>
  <si>
    <t xml:space="preserve">684382</t>
  </si>
  <si>
    <t xml:space="preserve">0...6 кгс/см2</t>
  </si>
  <si>
    <t xml:space="preserve">Р воды после счетчика</t>
  </si>
  <si>
    <t xml:space="preserve">РММ, водомерный узел</t>
  </si>
  <si>
    <t xml:space="preserve">ВСХ 32</t>
  </si>
  <si>
    <t xml:space="preserve">12521533</t>
  </si>
  <si>
    <t xml:space="preserve">Расход воды</t>
  </si>
  <si>
    <t xml:space="preserve">15570</t>
  </si>
  <si>
    <t xml:space="preserve">Р воды после счетчика воды</t>
  </si>
  <si>
    <t xml:space="preserve">ПЭБ, МОП</t>
  </si>
  <si>
    <t xml:space="preserve">15422</t>
  </si>
  <si>
    <t xml:space="preserve">Р воды в пожарном коллекторе</t>
  </si>
  <si>
    <t xml:space="preserve">096492</t>
  </si>
  <si>
    <t xml:space="preserve">Росма ТМ5</t>
  </si>
  <si>
    <r>
      <rPr>
        <sz val="8"/>
        <color rgb="FF000000"/>
        <rFont val="Times New Roman"/>
        <family val="1"/>
        <charset val="204"/>
      </rPr>
      <t xml:space="preserve">0..6 кгс/см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</si>
  <si>
    <t xml:space="preserve">Склад масел в таре</t>
  </si>
  <si>
    <t xml:space="preserve">Р воды перед кр. 2</t>
  </si>
  <si>
    <t xml:space="preserve">Проходная, водомерный узел</t>
  </si>
  <si>
    <t xml:space="preserve">Р воды после счетчика </t>
  </si>
  <si>
    <t xml:space="preserve">КОС, водомерный узел</t>
  </si>
  <si>
    <t xml:space="preserve">0…..600 кПа</t>
  </si>
  <si>
    <t xml:space="preserve">Р воды после расходомера</t>
  </si>
  <si>
    <t xml:space="preserve">35</t>
  </si>
  <si>
    <t xml:space="preserve">Р воды после кр. 3</t>
  </si>
  <si>
    <t xml:space="preserve">37</t>
  </si>
  <si>
    <t xml:space="preserve">Р воды после кр. 5</t>
  </si>
  <si>
    <t xml:space="preserve">Р воды после кр. 7</t>
  </si>
  <si>
    <t xml:space="preserve">Р воды перед кр. 6</t>
  </si>
  <si>
    <t xml:space="preserve">Р воды перед кр. 8</t>
  </si>
  <si>
    <t xml:space="preserve">Р воды перед кр. 1</t>
  </si>
  <si>
    <t xml:space="preserve">Р воды перед кр. 4</t>
  </si>
  <si>
    <t xml:space="preserve">ДМ02-160-1-М</t>
  </si>
  <si>
    <t xml:space="preserve">Р воды после кр. 2</t>
  </si>
  <si>
    <t xml:space="preserve">Т воды после кр. 1</t>
  </si>
  <si>
    <t xml:space="preserve">Т воды перед кр. 6</t>
  </si>
  <si>
    <t xml:space="preserve">Т воды перед кр. 8</t>
  </si>
  <si>
    <t xml:space="preserve">Т воды после кр. 3</t>
  </si>
  <si>
    <t xml:space="preserve">Датчик давления избыточного</t>
  </si>
  <si>
    <t xml:space="preserve">СДВ-И-2,5-1,6</t>
  </si>
  <si>
    <t xml:space="preserve">0..2,5 MPa</t>
  </si>
  <si>
    <t xml:space="preserve">Р прямой воды</t>
  </si>
  <si>
    <t xml:space="preserve">Взлет ТПС</t>
  </si>
  <si>
    <t xml:space="preserve">0…180 С</t>
  </si>
  <si>
    <t xml:space="preserve">Т прямой воды</t>
  </si>
  <si>
    <t xml:space="preserve">Т обратной воды</t>
  </si>
  <si>
    <t xml:space="preserve">Расход сетевой воды</t>
  </si>
  <si>
    <t xml:space="preserve">Учет тепловой энергии</t>
  </si>
  <si>
    <t xml:space="preserve">Р прямой воды </t>
  </si>
  <si>
    <t xml:space="preserve">ПЭБ, тепловой пукт</t>
  </si>
  <si>
    <t xml:space="preserve">15524</t>
  </si>
  <si>
    <t xml:space="preserve">Р воды в В1 после Ф</t>
  </si>
  <si>
    <t xml:space="preserve">29</t>
  </si>
  <si>
    <t xml:space="preserve">28</t>
  </si>
  <si>
    <t xml:space="preserve">7094</t>
  </si>
  <si>
    <t xml:space="preserve">Р воды после кр. 12</t>
  </si>
  <si>
    <t xml:space="preserve">1426120</t>
  </si>
  <si>
    <t xml:space="preserve">Р воды перед клапаном-регулятором перепада давления</t>
  </si>
  <si>
    <t xml:space="preserve">Р воды после клапана-регулятора перепада давления</t>
  </si>
  <si>
    <t xml:space="preserve">7090</t>
  </si>
  <si>
    <t xml:space="preserve">15528</t>
  </si>
  <si>
    <t xml:space="preserve">5858</t>
  </si>
  <si>
    <t xml:space="preserve">Т воды в Т1 перед Ф </t>
  </si>
  <si>
    <t xml:space="preserve">Т воды в Т1 после Ф </t>
  </si>
  <si>
    <t xml:space="preserve">Т воды перед кр. 8 </t>
  </si>
  <si>
    <t xml:space="preserve">Т воды перед кр. 6 </t>
  </si>
  <si>
    <t xml:space="preserve">8957</t>
  </si>
  <si>
    <t xml:space="preserve">Т воды перед кр. 4 </t>
  </si>
  <si>
    <t xml:space="preserve">5886</t>
  </si>
  <si>
    <t xml:space="preserve">Т воды до крана 2</t>
  </si>
  <si>
    <t xml:space="preserve">Р обратной воды</t>
  </si>
  <si>
    <t xml:space="preserve">Взлет ЭРСВ-430Л</t>
  </si>
  <si>
    <t xml:space="preserve">Расход воды в системе отопления</t>
  </si>
  <si>
    <t xml:space="preserve">Проходная, тепловой пункт</t>
  </si>
  <si>
    <t xml:space="preserve">1322167</t>
  </si>
  <si>
    <t xml:space="preserve">МП4-УУ3</t>
  </si>
  <si>
    <r>
      <rPr>
        <sz val="8"/>
        <color rgb="FF000000"/>
        <rFont val="Times New Roman"/>
        <family val="1"/>
        <charset val="204"/>
      </rPr>
      <t xml:space="preserve">0..10 кгс/см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</si>
  <si>
    <t xml:space="preserve">Температура воды перед кр. 6</t>
  </si>
  <si>
    <t xml:space="preserve">Температура воды перед кр. 8</t>
  </si>
  <si>
    <t xml:space="preserve">ТБ-1Р</t>
  </si>
  <si>
    <t xml:space="preserve">Температура воды перед кр. 4 </t>
  </si>
  <si>
    <t xml:space="preserve">Температура воды после кр. 3 </t>
  </si>
  <si>
    <t xml:space="preserve">Температура воды перед кр. 2 </t>
  </si>
  <si>
    <t xml:space="preserve">Температура воды после кр. 1 </t>
  </si>
  <si>
    <t xml:space="preserve">1102</t>
  </si>
  <si>
    <t xml:space="preserve">Р воды после кр. 14</t>
  </si>
  <si>
    <t xml:space="preserve">РММ, тепловой пункт</t>
  </si>
  <si>
    <t xml:space="preserve">Р воды в Т2 перед насосом</t>
  </si>
  <si>
    <t xml:space="preserve">Р воды в Т2 после насоса</t>
  </si>
  <si>
    <t xml:space="preserve">2297</t>
  </si>
  <si>
    <t xml:space="preserve">Р воды перед кр.6 после Ф</t>
  </si>
  <si>
    <t xml:space="preserve">38</t>
  </si>
  <si>
    <t xml:space="preserve">15483</t>
  </si>
  <si>
    <t xml:space="preserve">0..6 кгс/см2</t>
  </si>
  <si>
    <t xml:space="preserve">Р воды перед кр. 11</t>
  </si>
  <si>
    <t xml:space="preserve">2284</t>
  </si>
  <si>
    <t xml:space="preserve">Р воды после кр. 9</t>
  </si>
  <si>
    <t xml:space="preserve">Р воды перед Д3</t>
  </si>
  <si>
    <t xml:space="preserve">Р воды перед В3</t>
  </si>
  <si>
    <t xml:space="preserve">Р воды перед кр.6 до Ф</t>
  </si>
  <si>
    <t xml:space="preserve">Р воды перед кр. 13</t>
  </si>
  <si>
    <t xml:space="preserve">ТБ-1</t>
  </si>
  <si>
    <t xml:space="preserve">1293</t>
  </si>
  <si>
    <t xml:space="preserve">Температура воды перед кр. 14 </t>
  </si>
  <si>
    <t xml:space="preserve">1307</t>
  </si>
  <si>
    <t xml:space="preserve">Температура воды перед кр. 10 </t>
  </si>
  <si>
    <t xml:space="preserve">1298</t>
  </si>
  <si>
    <t xml:space="preserve">Температура воды перед кр. 6 </t>
  </si>
  <si>
    <t xml:space="preserve">1303</t>
  </si>
  <si>
    <t xml:space="preserve">Температура воды в Т2 после расходомера</t>
  </si>
  <si>
    <t xml:space="preserve">Загулшка</t>
  </si>
  <si>
    <t xml:space="preserve">Температура воды в Т1 после кр. 1 </t>
  </si>
  <si>
    <t xml:space="preserve">Температура воды перед Д 3 </t>
  </si>
  <si>
    <t xml:space="preserve">Температура воды перед кр. 13 </t>
  </si>
  <si>
    <t xml:space="preserve">Р воды в В1 до фильтра</t>
  </si>
  <si>
    <t xml:space="preserve">Маслосклад тепловой пункт</t>
  </si>
  <si>
    <t xml:space="preserve">2273</t>
  </si>
  <si>
    <t xml:space="preserve">Р воды в В2 после клапана-регулятора перепада давления</t>
  </si>
  <si>
    <t xml:space="preserve">Температура в В1</t>
  </si>
  <si>
    <t xml:space="preserve">Температура в В2</t>
  </si>
  <si>
    <t xml:space="preserve">СДВ-И-1,6-1-0,6</t>
  </si>
  <si>
    <t xml:space="preserve">Взлет ЭРСВ-420Л</t>
  </si>
  <si>
    <t xml:space="preserve">15572</t>
  </si>
  <si>
    <t xml:space="preserve">0..600 кПа</t>
  </si>
  <si>
    <t xml:space="preserve">Р воды в Т1</t>
  </si>
  <si>
    <t xml:space="preserve">РММ, слесарный цех</t>
  </si>
  <si>
    <t xml:space="preserve">15571</t>
  </si>
  <si>
    <t xml:space="preserve">Р воды в Т2</t>
  </si>
  <si>
    <t xml:space="preserve">заглушка</t>
  </si>
  <si>
    <t xml:space="preserve">нет</t>
  </si>
  <si>
    <t xml:space="preserve">Т воды в Т2 после трехходового клапана</t>
  </si>
  <si>
    <t xml:space="preserve">15573</t>
  </si>
  <si>
    <t xml:space="preserve">Р воды в системе отопления</t>
  </si>
  <si>
    <t xml:space="preserve">РММ, склад резервного двигателя</t>
  </si>
  <si>
    <t xml:space="preserve">Диапазон 
измерений</t>
  </si>
  <si>
    <t xml:space="preserve">Термоманометр технический</t>
  </si>
  <si>
    <t xml:space="preserve">ТМТБ - 3</t>
  </si>
  <si>
    <t xml:space="preserve">0..1,0 МРа                      0..120 °С</t>
  </si>
  <si>
    <t xml:space="preserve">Р и Т воды в Т1 П1,В1</t>
  </si>
  <si>
    <t xml:space="preserve">КОС, венткамера П1, В1, П2</t>
  </si>
  <si>
    <t xml:space="preserve">4К25</t>
  </si>
  <si>
    <t xml:space="preserve">Р и Т воды в Т2 П1,В1</t>
  </si>
  <si>
    <t xml:space="preserve">КОС, венткамера П1, В1, П3</t>
  </si>
  <si>
    <t xml:space="preserve">Р и Т воды в Т1 П2</t>
  </si>
  <si>
    <t xml:space="preserve">КОС, венткамера П1, В1, П4</t>
  </si>
  <si>
    <t xml:space="preserve">Р и Т воды в Т2 П2</t>
  </si>
  <si>
    <t xml:space="preserve">КОС, венткамера П1, В1, П5</t>
  </si>
  <si>
    <t xml:space="preserve">15615</t>
  </si>
  <si>
    <t xml:space="preserve">Р и Т воды в Т1 П1</t>
  </si>
  <si>
    <t xml:space="preserve">ПЭБ Венткамера П1, П6</t>
  </si>
  <si>
    <t xml:space="preserve">15627</t>
  </si>
  <si>
    <t xml:space="preserve">Р и Т воды в Т2 П1</t>
  </si>
  <si>
    <t xml:space="preserve">ICMA 259/91259AD10120</t>
  </si>
  <si>
    <t xml:space="preserve">15525</t>
  </si>
  <si>
    <t xml:space="preserve">0..10 bar                      0..120 °С</t>
  </si>
  <si>
    <t xml:space="preserve">Р и Т воды в Т1 П6</t>
  </si>
  <si>
    <t xml:space="preserve">15526</t>
  </si>
  <si>
    <t xml:space="preserve">0..16 bar                      0..120 °С</t>
  </si>
  <si>
    <t xml:space="preserve">Р и Т воды в Т2 П6</t>
  </si>
  <si>
    <t xml:space="preserve">15618</t>
  </si>
  <si>
    <t xml:space="preserve">Р воды в Т2 П2</t>
  </si>
  <si>
    <t xml:space="preserve">ПЭБ, венткамера П2, П5</t>
  </si>
  <si>
    <t xml:space="preserve">15623</t>
  </si>
  <si>
    <t xml:space="preserve">Р воды в Т1 П2</t>
  </si>
  <si>
    <t xml:space="preserve">15626</t>
  </si>
  <si>
    <t xml:space="preserve">Р воды в Т2 П5</t>
  </si>
  <si>
    <t xml:space="preserve">15619</t>
  </si>
  <si>
    <t xml:space="preserve">Р воды в Т1 П5</t>
  </si>
  <si>
    <t xml:space="preserve">М.8-ТМ</t>
  </si>
  <si>
    <t xml:space="preserve">0..16 bar                      0..150 °С</t>
  </si>
  <si>
    <t xml:space="preserve">РММ, венткамера П1, В1</t>
  </si>
  <si>
    <t xml:space="preserve">15620</t>
  </si>
  <si>
    <t xml:space="preserve">РММ, венткамера П2, В2</t>
  </si>
  <si>
    <t xml:space="preserve">ЗАГЛУШКА</t>
  </si>
  <si>
    <t xml:space="preserve">213123</t>
  </si>
  <si>
    <t xml:space="preserve">Проходная, венткамера П2</t>
  </si>
  <si>
    <t xml:space="preserve">15622</t>
  </si>
  <si>
    <t xml:space="preserve">Проходная, венткамера П1</t>
  </si>
  <si>
    <t xml:space="preserve">Р и Т воды вТ2 П1 </t>
  </si>
  <si>
    <t xml:space="preserve">ДМ 8008-ВУ-У2</t>
  </si>
  <si>
    <t xml:space="preserve">Р воды в скважине</t>
  </si>
  <si>
    <t xml:space="preserve">Артезианская скважина № 1</t>
  </si>
  <si>
    <t xml:space="preserve">Расходомер</t>
  </si>
  <si>
    <t xml:space="preserve">Взлет ЭР</t>
  </si>
  <si>
    <t xml:space="preserve">АСУ, А и ТМ (КЦ №6)</t>
  </si>
  <si>
    <t xml:space="preserve">1 раз в 4 года</t>
  </si>
  <si>
    <t xml:space="preserve">Yokogawa EJX530A</t>
  </si>
  <si>
    <t xml:space="preserve">91M427409</t>
  </si>
  <si>
    <t xml:space="preserve">0,04..2 МПа</t>
  </si>
  <si>
    <t xml:space="preserve">Давление воды на устье скважины</t>
  </si>
  <si>
    <t xml:space="preserve">1 раз в 5 лет</t>
  </si>
  <si>
    <t xml:space="preserve">Артезианская скважина № 2</t>
  </si>
  <si>
    <t xml:space="preserve">91M427408</t>
  </si>
  <si>
    <t xml:space="preserve">Артезианская скважина № 3</t>
  </si>
  <si>
    <t xml:space="preserve">91M427407</t>
  </si>
  <si>
    <t xml:space="preserve">Мультиметр</t>
  </si>
  <si>
    <t xml:space="preserve">APPA</t>
  </si>
  <si>
    <t xml:space="preserve">13151531</t>
  </si>
  <si>
    <t xml:space="preserve">1000В  10А</t>
  </si>
  <si>
    <t xml:space="preserve">Переносной</t>
  </si>
  <si>
    <t xml:space="preserve">22354888</t>
  </si>
  <si>
    <t xml:space="preserve">64454654</t>
  </si>
  <si>
    <t xml:space="preserve">TecSis</t>
  </si>
  <si>
    <t xml:space="preserve">0…16 бар                   </t>
  </si>
  <si>
    <t xml:space="preserve">Давление воды на выходе насосов №1</t>
  </si>
  <si>
    <t xml:space="preserve">Давление воды на выходе с насоса №1</t>
  </si>
  <si>
    <t xml:space="preserve">Давление воды на выходе с насоса №2</t>
  </si>
  <si>
    <t xml:space="preserve">Давление воды на выходе с насоса №3</t>
  </si>
  <si>
    <t xml:space="preserve">Давление воды на выходе с насоса №4</t>
  </si>
  <si>
    <t xml:space="preserve">0…9 бар                   </t>
  </si>
  <si>
    <t xml:space="preserve">Давление воды на входе 1-ой емкости</t>
  </si>
  <si>
    <t xml:space="preserve">Давление воды на входе 2-ой емкости</t>
  </si>
  <si>
    <t xml:space="preserve">0…10 бар                   </t>
  </si>
  <si>
    <t xml:space="preserve">Давление воды на выходе частотной станции подпитки</t>
  </si>
  <si>
    <t xml:space="preserve">НХПВ</t>
  </si>
  <si>
    <t xml:space="preserve">ТМ3</t>
  </si>
  <si>
    <t xml:space="preserve">Давление воды на входе станции промывки</t>
  </si>
  <si>
    <t xml:space="preserve">Давление воды на выходе станции промывки</t>
  </si>
  <si>
    <t xml:space="preserve">YYST</t>
  </si>
  <si>
    <t xml:space="preserve">0…1,0 МПа</t>
  </si>
  <si>
    <t xml:space="preserve">Осмос: вход насоса</t>
  </si>
  <si>
    <t xml:space="preserve">0…3,0 МПа</t>
  </si>
  <si>
    <t xml:space="preserve">Осмос: выход мембран</t>
  </si>
  <si>
    <t xml:space="preserve">Осмос: выход</t>
  </si>
  <si>
    <t xml:space="preserve">КЦ 6</t>
  </si>
  <si>
    <t xml:space="preserve">WIKA</t>
  </si>
  <si>
    <t xml:space="preserve">М300</t>
  </si>
  <si>
    <t xml:space="preserve">Станция для промывки двигателя </t>
  </si>
  <si>
    <t xml:space="preserve">EN 837-1</t>
  </si>
  <si>
    <t xml:space="preserve">2,5</t>
  </si>
  <si>
    <t xml:space="preserve">Давление топливного газа СК12</t>
  </si>
  <si>
    <t xml:space="preserve">0…100 бар                   </t>
  </si>
  <si>
    <t xml:space="preserve">Rotork</t>
  </si>
  <si>
    <t xml:space="preserve">15449</t>
  </si>
  <si>
    <t xml:space="preserve">0…160 бар                   </t>
  </si>
  <si>
    <t xml:space="preserve">кран 61-2-1</t>
  </si>
  <si>
    <t xml:space="preserve">15450</t>
  </si>
  <si>
    <t xml:space="preserve">кран 61-1</t>
  </si>
  <si>
    <t xml:space="preserve">Fisher</t>
  </si>
  <si>
    <t xml:space="preserve">15451</t>
  </si>
  <si>
    <t xml:space="preserve">0…160 кгс/см²</t>
  </si>
  <si>
    <t xml:space="preserve">кран 61-6к</t>
  </si>
  <si>
    <t xml:space="preserve">15452</t>
  </si>
  <si>
    <t xml:space="preserve">0…1000 кПа</t>
  </si>
  <si>
    <t xml:space="preserve">15453</t>
  </si>
  <si>
    <t xml:space="preserve">15454</t>
  </si>
  <si>
    <t xml:space="preserve">кран 61-6</t>
  </si>
  <si>
    <t xml:space="preserve">15455</t>
  </si>
  <si>
    <t xml:space="preserve">кран 61-2</t>
  </si>
  <si>
    <t xml:space="preserve">М320</t>
  </si>
  <si>
    <t xml:space="preserve">Давление топливного газа СК12 </t>
  </si>
  <si>
    <t xml:space="preserve">15456</t>
  </si>
  <si>
    <t xml:space="preserve">кран 62-2-1</t>
  </si>
  <si>
    <t xml:space="preserve">15457</t>
  </si>
  <si>
    <t xml:space="preserve">кран 62-1</t>
  </si>
  <si>
    <t xml:space="preserve">15458</t>
  </si>
  <si>
    <t xml:space="preserve">кран 62-6к</t>
  </si>
  <si>
    <t xml:space="preserve">15459</t>
  </si>
  <si>
    <t xml:space="preserve">15460</t>
  </si>
  <si>
    <t xml:space="preserve">15461</t>
  </si>
  <si>
    <t xml:space="preserve">кран 62-6</t>
  </si>
  <si>
    <t xml:space="preserve">15462</t>
  </si>
  <si>
    <t xml:space="preserve">кран 62-2</t>
  </si>
  <si>
    <t xml:space="preserve">М321</t>
  </si>
  <si>
    <t xml:space="preserve">15463</t>
  </si>
  <si>
    <t xml:space="preserve">кран 63-2-1</t>
  </si>
  <si>
    <t xml:space="preserve">15464</t>
  </si>
  <si>
    <t xml:space="preserve">кран 63-1</t>
  </si>
  <si>
    <t xml:space="preserve">15465</t>
  </si>
  <si>
    <t xml:space="preserve">кран 63-6к</t>
  </si>
  <si>
    <t xml:space="preserve">15466</t>
  </si>
  <si>
    <t xml:space="preserve">15467</t>
  </si>
  <si>
    <t xml:space="preserve">15468</t>
  </si>
  <si>
    <t xml:space="preserve">кран 63-6</t>
  </si>
  <si>
    <t xml:space="preserve">15469</t>
  </si>
  <si>
    <t xml:space="preserve">кран 63-2</t>
  </si>
  <si>
    <t xml:space="preserve">М312</t>
  </si>
  <si>
    <t xml:space="preserve">15470</t>
  </si>
  <si>
    <t xml:space="preserve">кран 64-2-1</t>
  </si>
  <si>
    <t xml:space="preserve">15471</t>
  </si>
  <si>
    <t xml:space="preserve">кран 64-1</t>
  </si>
  <si>
    <t xml:space="preserve">15472</t>
  </si>
  <si>
    <t xml:space="preserve">кран 64-6к</t>
  </si>
  <si>
    <t xml:space="preserve">15473</t>
  </si>
  <si>
    <t xml:space="preserve">15474</t>
  </si>
  <si>
    <t xml:space="preserve">15475</t>
  </si>
  <si>
    <t xml:space="preserve">кран 64-6</t>
  </si>
  <si>
    <t xml:space="preserve">15476</t>
  </si>
  <si>
    <t xml:space="preserve">кран 64-2</t>
  </si>
  <si>
    <t xml:space="preserve">0..160 bar</t>
  </si>
  <si>
    <t xml:space="preserve">кран 36</t>
  </si>
  <si>
    <t xml:space="preserve">15561</t>
  </si>
  <si>
    <t xml:space="preserve">кран 36к</t>
  </si>
  <si>
    <t xml:space="preserve">15445</t>
  </si>
  <si>
    <t xml:space="preserve">15446</t>
  </si>
  <si>
    <t xml:space="preserve">15447</t>
  </si>
  <si>
    <t xml:space="preserve">15448</t>
  </si>
  <si>
    <t xml:space="preserve">кран 36р</t>
  </si>
  <si>
    <t xml:space="preserve">15477</t>
  </si>
  <si>
    <t xml:space="preserve">кран 86</t>
  </si>
  <si>
    <t xml:space="preserve">15478</t>
  </si>
  <si>
    <t xml:space="preserve">кран 76</t>
  </si>
  <si>
    <t xml:space="preserve">EN837-1</t>
  </si>
  <si>
    <t xml:space="preserve">0…250 бар                   </t>
  </si>
  <si>
    <t xml:space="preserve">Кран 7-1 </t>
  </si>
  <si>
    <t xml:space="preserve">Кран 17 </t>
  </si>
  <si>
    <t xml:space="preserve">Кран 8 </t>
  </si>
  <si>
    <t xml:space="preserve">Кран 18 </t>
  </si>
  <si>
    <t xml:space="preserve">КЦ 7</t>
  </si>
  <si>
    <t xml:space="preserve">К671</t>
  </si>
  <si>
    <t xml:space="preserve">P воды в установке промывки</t>
  </si>
  <si>
    <t xml:space="preserve">ГПА 71</t>
  </si>
  <si>
    <t xml:space="preserve">АСУ,А и ТМ (КЦ № 7)</t>
  </si>
  <si>
    <t xml:space="preserve">2020г.</t>
  </si>
  <si>
    <t xml:space="preserve">К738</t>
  </si>
  <si>
    <t xml:space="preserve">0…2,5 бар                   </t>
  </si>
  <si>
    <t xml:space="preserve">P м на выходе блока маслоочистки</t>
  </si>
  <si>
    <t xml:space="preserve">БМД 71</t>
  </si>
  <si>
    <t xml:space="preserve">ЭкМ160</t>
  </si>
  <si>
    <t xml:space="preserve">011712358</t>
  </si>
  <si>
    <t xml:space="preserve">0…40 МПа</t>
  </si>
  <si>
    <t xml:space="preserve">P м в гидроаккумуляторе крана 2-1</t>
  </si>
  <si>
    <t xml:space="preserve">011712368</t>
  </si>
  <si>
    <t xml:space="preserve">P м в гидроаккумуляторе крана 1-1</t>
  </si>
  <si>
    <t xml:space="preserve">011712373</t>
  </si>
  <si>
    <t xml:space="preserve">P м в гидроаккумуляторе крана 1</t>
  </si>
  <si>
    <t xml:space="preserve">011712360</t>
  </si>
  <si>
    <t xml:space="preserve">P м в гидроаккумуляторе крана 2</t>
  </si>
  <si>
    <t xml:space="preserve">P г до регулятора высокого давления 3бис</t>
  </si>
  <si>
    <t xml:space="preserve">0…60 бар                   </t>
  </si>
  <si>
    <t xml:space="preserve">P г после регулятора высокого давления 3бис</t>
  </si>
  <si>
    <t xml:space="preserve">Bifold</t>
  </si>
  <si>
    <t xml:space="preserve">36398/1195</t>
  </si>
  <si>
    <t xml:space="preserve">Шкаф управления краном 3бис</t>
  </si>
  <si>
    <t xml:space="preserve">P г в аккумуляторе крана 3бис</t>
  </si>
  <si>
    <t xml:space="preserve">2014113</t>
  </si>
  <si>
    <t xml:space="preserve">P г до регулятора высокого давления 6к</t>
  </si>
  <si>
    <t xml:space="preserve">700294</t>
  </si>
  <si>
    <t xml:space="preserve">0…40 бар                   </t>
  </si>
  <si>
    <t xml:space="preserve">P г после регулятора высокого давления 6к</t>
  </si>
  <si>
    <t xml:space="preserve">700295</t>
  </si>
  <si>
    <t xml:space="preserve">P г в аккумуляторе крана 6к</t>
  </si>
  <si>
    <t xml:space="preserve">36398/2391</t>
  </si>
  <si>
    <t xml:space="preserve">P в фильтре крана 6к</t>
  </si>
  <si>
    <t xml:space="preserve">700296</t>
  </si>
  <si>
    <t xml:space="preserve">0…8 бар                   </t>
  </si>
  <si>
    <t xml:space="preserve">Шкаф управления краном 6к</t>
  </si>
  <si>
    <t xml:space="preserve">700297</t>
  </si>
  <si>
    <t xml:space="preserve">К650</t>
  </si>
  <si>
    <t xml:space="preserve">ГПА 72</t>
  </si>
  <si>
    <t xml:space="preserve">К744</t>
  </si>
  <si>
    <t xml:space="preserve">011801507</t>
  </si>
  <si>
    <t xml:space="preserve">011801505</t>
  </si>
  <si>
    <t xml:space="preserve">011712397</t>
  </si>
  <si>
    <t xml:space="preserve">011712370</t>
  </si>
  <si>
    <t xml:space="preserve">36398/1199</t>
  </si>
  <si>
    <t xml:space="preserve">2026243</t>
  </si>
  <si>
    <t xml:space="preserve">2030441</t>
  </si>
  <si>
    <t xml:space="preserve">7000261</t>
  </si>
  <si>
    <t xml:space="preserve">36398/2372</t>
  </si>
  <si>
    <t xml:space="preserve">К771</t>
  </si>
  <si>
    <t xml:space="preserve">ГПА 73</t>
  </si>
  <si>
    <t xml:space="preserve">К742</t>
  </si>
  <si>
    <t xml:space="preserve">011712363</t>
  </si>
  <si>
    <t xml:space="preserve">011802718</t>
  </si>
  <si>
    <t xml:space="preserve">011712383</t>
  </si>
  <si>
    <t xml:space="preserve">011712362</t>
  </si>
  <si>
    <t xml:space="preserve">34728/1493</t>
  </si>
  <si>
    <t xml:space="preserve">700300</t>
  </si>
  <si>
    <t xml:space="preserve">P г до регулятора высокого давления   6к</t>
  </si>
  <si>
    <t xml:space="preserve">700301</t>
  </si>
  <si>
    <t xml:space="preserve">P г после регулятора высокого давления   6к</t>
  </si>
  <si>
    <t xml:space="preserve">700302</t>
  </si>
  <si>
    <t xml:space="preserve">36398/2377</t>
  </si>
  <si>
    <t xml:space="preserve">700303</t>
  </si>
  <si>
    <t xml:space="preserve">700304</t>
  </si>
  <si>
    <t xml:space="preserve">Шкаф управления краном 36к</t>
  </si>
  <si>
    <t xml:space="preserve">36398/2379</t>
  </si>
  <si>
    <t xml:space="preserve">011711571</t>
  </si>
  <si>
    <t xml:space="preserve">P м в гидроаккумуляторе крана 36</t>
  </si>
  <si>
    <t xml:space="preserve">011712386</t>
  </si>
  <si>
    <t xml:space="preserve">P м в гидроаккумуляторе крана 77</t>
  </si>
  <si>
    <t xml:space="preserve">011712354</t>
  </si>
  <si>
    <t xml:space="preserve">P м в гидроаккумуляторе крана 78</t>
  </si>
  <si>
    <t xml:space="preserve">без названия</t>
  </si>
  <si>
    <t xml:space="preserve">7000277</t>
  </si>
  <si>
    <t xml:space="preserve">Переносной компрессор</t>
  </si>
  <si>
    <t xml:space="preserve">УТО</t>
  </si>
  <si>
    <t xml:space="preserve">7000278</t>
  </si>
  <si>
    <t xml:space="preserve">700229</t>
  </si>
  <si>
    <t xml:space="preserve">Р в гидросистеме</t>
  </si>
  <si>
    <t xml:space="preserve">700228</t>
  </si>
  <si>
    <t xml:space="preserve">0…12 бар                   </t>
  </si>
  <si>
    <t xml:space="preserve">Р в маслобаке</t>
  </si>
  <si>
    <t xml:space="preserve">ДМ 2005Сг1Eх-УЗ</t>
  </si>
  <si>
    <t xml:space="preserve">0…400 кгс/см²</t>
  </si>
  <si>
    <t xml:space="preserve">Кран 8</t>
  </si>
  <si>
    <t xml:space="preserve">Кран 18</t>
  </si>
  <si>
    <t xml:space="preserve">Кран 7</t>
  </si>
  <si>
    <t xml:space="preserve">Кран 7-1</t>
  </si>
  <si>
    <t xml:space="preserve">163256</t>
  </si>
  <si>
    <t xml:space="preserve">Кран 17</t>
  </si>
  <si>
    <t xml:space="preserve">Тип резьбы</t>
  </si>
  <si>
    <t xml:space="preserve">Ориентация 
штуцера</t>
  </si>
  <si>
    <t xml:space="preserve">ДМ2010СгУ2</t>
  </si>
  <si>
    <t xml:space="preserve">0...10 МПа</t>
  </si>
  <si>
    <t xml:space="preserve">Метрическая</t>
  </si>
  <si>
    <t xml:space="preserve">отсутствует</t>
  </si>
  <si>
    <t xml:space="preserve">Радиальный</t>
  </si>
  <si>
    <t xml:space="preserve">ДМ8008-Вуф</t>
  </si>
  <si>
    <t xml:space="preserve">008736</t>
  </si>
  <si>
    <t xml:space="preserve">0...16 МПа</t>
  </si>
  <si>
    <t xml:space="preserve">2К24</t>
  </si>
  <si>
    <t xml:space="preserve">010356</t>
  </si>
  <si>
    <t xml:space="preserve">008622</t>
  </si>
  <si>
    <t xml:space="preserve">008657</t>
  </si>
  <si>
    <t xml:space="preserve">008759</t>
  </si>
  <si>
    <t xml:space="preserve">007562</t>
  </si>
  <si>
    <t xml:space="preserve">008780</t>
  </si>
  <si>
    <t xml:space="preserve">010164</t>
  </si>
  <si>
    <t xml:space="preserve">010166</t>
  </si>
  <si>
    <t xml:space="preserve">010085</t>
  </si>
  <si>
    <t xml:space="preserve">007557</t>
  </si>
  <si>
    <t xml:space="preserve">007600</t>
  </si>
  <si>
    <t xml:space="preserve">0...1,6 МПа</t>
  </si>
  <si>
    <t xml:space="preserve">Трубная</t>
  </si>
  <si>
    <t xml:space="preserve">0...160 кгс/см2</t>
  </si>
  <si>
    <t xml:space="preserve">Осевой</t>
  </si>
  <si>
    <t xml:space="preserve">0...100 кгс/см2</t>
  </si>
  <si>
    <t xml:space="preserve">23ДЯУ</t>
  </si>
  <si>
    <t xml:space="preserve">0...10 кгс/см2</t>
  </si>
  <si>
    <t xml:space="preserve">3К23</t>
  </si>
  <si>
    <t xml:space="preserve">1К24</t>
  </si>
  <si>
    <t xml:space="preserve">1К23</t>
  </si>
  <si>
    <t xml:space="preserve">1322119</t>
  </si>
  <si>
    <t xml:space="preserve">0...16 кгс/см2</t>
  </si>
  <si>
    <t xml:space="preserve">15115</t>
  </si>
  <si>
    <t xml:space="preserve">15320</t>
  </si>
  <si>
    <t xml:space="preserve">МП4-Уф</t>
  </si>
  <si>
    <t xml:space="preserve">15529</t>
  </si>
  <si>
    <t xml:space="preserve">0…6 кгс/см2</t>
  </si>
  <si>
    <t xml:space="preserve">24ДЯУ</t>
  </si>
  <si>
    <t xml:space="preserve">0...0,6 кгс/см2</t>
  </si>
  <si>
    <t xml:space="preserve">0674</t>
  </si>
  <si>
    <t xml:space="preserve">0…6 bar</t>
  </si>
  <si>
    <t xml:space="preserve">МП3-У</t>
  </si>
  <si>
    <t xml:space="preserve">-1…1,5 кгс/см2</t>
  </si>
  <si>
    <t xml:space="preserve">МВП3-У</t>
  </si>
  <si>
    <t xml:space="preserve">0…10 кгс/см2</t>
  </si>
  <si>
    <t xml:space="preserve">2К25</t>
  </si>
  <si>
    <t xml:space="preserve">-1…24 bar</t>
  </si>
  <si>
    <t xml:space="preserve">0...1 МПа</t>
  </si>
  <si>
    <t xml:space="preserve">0…0,06 МПа</t>
  </si>
  <si>
    <t xml:space="preserve">0…10 bar</t>
  </si>
  <si>
    <t xml:space="preserve">2К23</t>
  </si>
  <si>
    <t xml:space="preserve">МТП-160</t>
  </si>
  <si>
    <t xml:space="preserve">0…4 кгс/см2</t>
  </si>
  <si>
    <t xml:space="preserve">3К24</t>
  </si>
  <si>
    <t xml:space="preserve">22ДЯУ</t>
  </si>
  <si>
    <t xml:space="preserve">0…160 кгс/см2</t>
  </si>
  <si>
    <t xml:space="preserve">7000138</t>
  </si>
  <si>
    <t xml:space="preserve">0..16 МПа</t>
  </si>
  <si>
    <t xml:space="preserve">1К22</t>
  </si>
  <si>
    <t xml:space="preserve">0...160 кПа</t>
  </si>
  <si>
    <t xml:space="preserve">0…100 кгс/см2</t>
  </si>
  <si>
    <t xml:space="preserve">0…16 кгс/см2</t>
  </si>
  <si>
    <t xml:space="preserve">1К25</t>
  </si>
  <si>
    <t xml:space="preserve">Радиальный Ушастый</t>
  </si>
  <si>
    <t xml:space="preserve">ВП4-УУ2</t>
  </si>
  <si>
    <t xml:space="preserve">-0,6…0 кгс/см2</t>
  </si>
  <si>
    <t xml:space="preserve">МП4-УфБСУХЛ1</t>
  </si>
  <si>
    <t xml:space="preserve">А0810410</t>
  </si>
  <si>
    <t xml:space="preserve">0…600 кПа</t>
  </si>
  <si>
    <t xml:space="preserve">МП3-УУ1</t>
  </si>
  <si>
    <t xml:space="preserve">0…160 кПа</t>
  </si>
  <si>
    <t xml:space="preserve">0…0,6 кгс/см2</t>
  </si>
  <si>
    <t xml:space="preserve">15087а</t>
  </si>
  <si>
    <t xml:space="preserve">А0810157</t>
  </si>
  <si>
    <t xml:space="preserve">0…1,6 кгс/см2</t>
  </si>
  <si>
    <t xml:space="preserve">2К13</t>
  </si>
  <si>
    <t xml:space="preserve">0…2,5 МПа</t>
  </si>
  <si>
    <t xml:space="preserve">0…60 кгс/см2</t>
  </si>
  <si>
    <t xml:space="preserve">004668</t>
  </si>
  <si>
    <t xml:space="preserve">212033580</t>
  </si>
  <si>
    <t xml:space="preserve">15588</t>
  </si>
  <si>
    <t xml:space="preserve">15164</t>
  </si>
  <si>
    <t xml:space="preserve">50251</t>
  </si>
  <si>
    <t xml:space="preserve">15166</t>
  </si>
  <si>
    <t xml:space="preserve">050924</t>
  </si>
  <si>
    <t xml:space="preserve">15673</t>
  </si>
  <si>
    <t xml:space="preserve">004498</t>
  </si>
  <si>
    <t xml:space="preserve">40241</t>
  </si>
  <si>
    <t xml:space="preserve">20256</t>
  </si>
  <si>
    <t xml:space="preserve">700003</t>
  </si>
  <si>
    <t xml:space="preserve">7000193</t>
  </si>
  <si>
    <t xml:space="preserve">700290</t>
  </si>
  <si>
    <t xml:space="preserve">0…0,6 МПа</t>
  </si>
  <si>
    <t xml:space="preserve">700017</t>
  </si>
  <si>
    <t xml:space="preserve">700000</t>
  </si>
  <si>
    <t xml:space="preserve">700016</t>
  </si>
  <si>
    <t xml:space="preserve">700015</t>
  </si>
  <si>
    <t xml:space="preserve">50178</t>
  </si>
  <si>
    <t xml:space="preserve">002232</t>
  </si>
  <si>
    <t xml:space="preserve">700013</t>
  </si>
  <si>
    <t xml:space="preserve">700005</t>
  </si>
  <si>
    <t xml:space="preserve">212033570</t>
  </si>
  <si>
    <t xml:space="preserve">15186</t>
  </si>
  <si>
    <t xml:space="preserve">7000180</t>
  </si>
  <si>
    <t xml:space="preserve">700018</t>
  </si>
  <si>
    <t xml:space="preserve">700009</t>
  </si>
  <si>
    <t xml:space="preserve">10619</t>
  </si>
  <si>
    <t xml:space="preserve">15429</t>
  </si>
  <si>
    <t xml:space="preserve">15419</t>
  </si>
  <si>
    <t xml:space="preserve">15350</t>
  </si>
  <si>
    <t xml:space="preserve">15444</t>
  </si>
  <si>
    <t xml:space="preserve">0…60 bar</t>
  </si>
  <si>
    <t xml:space="preserve">4К12</t>
  </si>
  <si>
    <t xml:space="preserve">15355</t>
  </si>
  <si>
    <t xml:space="preserve">6106</t>
  </si>
  <si>
    <t xml:space="preserve">15107</t>
  </si>
  <si>
    <t xml:space="preserve">15343</t>
  </si>
  <si>
    <t xml:space="preserve">15353</t>
  </si>
  <si>
    <t xml:space="preserve">436</t>
  </si>
  <si>
    <t xml:space="preserve">15340</t>
  </si>
  <si>
    <t xml:space="preserve">15077</t>
  </si>
  <si>
    <t xml:space="preserve">15329</t>
  </si>
  <si>
    <t xml:space="preserve">15347</t>
  </si>
  <si>
    <t xml:space="preserve">15073</t>
  </si>
  <si>
    <t xml:space="preserve">15647</t>
  </si>
  <si>
    <t xml:space="preserve">15341</t>
  </si>
  <si>
    <t xml:space="preserve">15687</t>
  </si>
  <si>
    <t xml:space="preserve">600273</t>
  </si>
  <si>
    <t xml:space="preserve">051744</t>
  </si>
  <si>
    <t xml:space="preserve">1322108</t>
  </si>
  <si>
    <t xml:space="preserve">15344</t>
  </si>
  <si>
    <t xml:space="preserve">ТБ-2УХЛ2</t>
  </si>
  <si>
    <t xml:space="preserve">3744</t>
  </si>
  <si>
    <t xml:space="preserve">0...150°С</t>
  </si>
  <si>
    <t xml:space="preserve">Осевой L=80мм</t>
  </si>
  <si>
    <t xml:space="preserve">3748</t>
  </si>
  <si>
    <t xml:space="preserve">2989</t>
  </si>
  <si>
    <t xml:space="preserve">0...120°С</t>
  </si>
  <si>
    <t xml:space="preserve">2118</t>
  </si>
  <si>
    <t xml:space="preserve">-50...50°С</t>
  </si>
  <si>
    <t xml:space="preserve">Осевой L=125мм</t>
  </si>
  <si>
    <t xml:space="preserve">Manotherm</t>
  </si>
  <si>
    <t xml:space="preserve">0...200°С</t>
  </si>
  <si>
    <t xml:space="preserve">Радиальный L=70мм</t>
  </si>
  <si>
    <t xml:space="preserve">Радиальный L=100мм</t>
  </si>
  <si>
    <t xml:space="preserve">Радиальный L=125мм</t>
  </si>
  <si>
    <t xml:space="preserve">-20...40°С</t>
  </si>
  <si>
    <t xml:space="preserve">Радиальный L=80мм</t>
  </si>
  <si>
    <t xml:space="preserve">-50...150°С</t>
  </si>
  <si>
    <t xml:space="preserve">Осевой L=250мм</t>
  </si>
  <si>
    <t xml:space="preserve">0...100°С</t>
  </si>
  <si>
    <t xml:space="preserve">ТБ-2РУХЛ2</t>
  </si>
  <si>
    <t xml:space="preserve">-30…60°С</t>
  </si>
  <si>
    <t xml:space="preserve">Ориентация штуцера</t>
  </si>
  <si>
    <t xml:space="preserve">0…2,5 кПа</t>
  </si>
  <si>
    <t xml:space="preserve">0…25 кПа</t>
  </si>
  <si>
    <t xml:space="preserve">012869</t>
  </si>
  <si>
    <t xml:space="preserve">01.2020</t>
  </si>
  <si>
    <t xml:space="preserve">012849</t>
  </si>
  <si>
    <t xml:space="preserve">004887</t>
  </si>
  <si>
    <t xml:space="preserve">012783</t>
  </si>
  <si>
    <t xml:space="preserve">012980</t>
  </si>
  <si>
    <t xml:space="preserve">012994</t>
  </si>
  <si>
    <t xml:space="preserve">004898</t>
  </si>
  <si>
    <t xml:space="preserve">005050</t>
  </si>
  <si>
    <t xml:space="preserve">012860</t>
  </si>
  <si>
    <t xml:space="preserve">005055</t>
  </si>
  <si>
    <t xml:space="preserve">004998</t>
  </si>
  <si>
    <t xml:space="preserve">013815</t>
  </si>
  <si>
    <t xml:space="preserve">005008</t>
  </si>
  <si>
    <t xml:space="preserve">004848</t>
  </si>
  <si>
    <t xml:space="preserve">012875</t>
  </si>
  <si>
    <t xml:space="preserve">012880</t>
  </si>
  <si>
    <t xml:space="preserve">013398</t>
  </si>
  <si>
    <t xml:space="preserve">012757</t>
  </si>
  <si>
    <t xml:space="preserve">0…600 Кпа</t>
  </si>
  <si>
    <t xml:space="preserve">005029</t>
  </si>
  <si>
    <t xml:space="preserve">012854</t>
  </si>
  <si>
    <t xml:space="preserve">МП3-Уф</t>
  </si>
  <si>
    <t xml:space="preserve">0…250 кгс/см2</t>
  </si>
  <si>
    <t xml:space="preserve">08.2018</t>
  </si>
  <si>
    <t xml:space="preserve">014533</t>
  </si>
  <si>
    <t xml:space="preserve">010746</t>
  </si>
  <si>
    <t xml:space="preserve">005994</t>
  </si>
  <si>
    <t xml:space="preserve">005903</t>
  </si>
  <si>
    <t xml:space="preserve">005414</t>
  </si>
  <si>
    <t xml:space="preserve">ТМТБ-3</t>
  </si>
  <si>
    <t xml:space="preserve">В1852413</t>
  </si>
  <si>
    <t xml:space="preserve">0..1,0 МРа                      0..150 °С</t>
  </si>
  <si>
    <t xml:space="preserve">08.2025</t>
  </si>
  <si>
    <t xml:space="preserve">В1854246</t>
  </si>
  <si>
    <t xml:space="preserve">В1852307</t>
  </si>
  <si>
    <t xml:space="preserve">В1854248</t>
  </si>
  <si>
    <t xml:space="preserve">В1851887</t>
  </si>
  <si>
    <t xml:space="preserve">В1853131</t>
  </si>
  <si>
    <t xml:space="preserve">Объект 
установки</t>
  </si>
  <si>
    <t xml:space="preserve">P газа на выходе нагнетателя</t>
  </si>
  <si>
    <t xml:space="preserve">0…6 МПа</t>
  </si>
  <si>
    <t xml:space="preserve">P т.г. после РД5101</t>
  </si>
  <si>
    <t xml:space="preserve">P т.г. после РД5102</t>
  </si>
  <si>
    <t xml:space="preserve">7000100</t>
  </si>
  <si>
    <t xml:space="preserve">P т.г. после фильтра-сепаратора</t>
  </si>
  <si>
    <t xml:space="preserve">15655</t>
  </si>
  <si>
    <t xml:space="preserve">P з.в. после РД5303</t>
  </si>
  <si>
    <t xml:space="preserve">700088</t>
  </si>
  <si>
    <t xml:space="preserve">P з.в. после ФВ-100</t>
  </si>
  <si>
    <t xml:space="preserve">P з.в. после РД5301</t>
  </si>
  <si>
    <t xml:space="preserve">P б.г. в фильтре-сепараторе</t>
  </si>
  <si>
    <t xml:space="preserve">860008BK</t>
  </si>
  <si>
    <t xml:space="preserve">P б.г. после фильтра PI1</t>
  </si>
  <si>
    <t xml:space="preserve">860008BC</t>
  </si>
  <si>
    <t xml:space="preserve">P б.г. после фильтра PI2</t>
  </si>
  <si>
    <t xml:space="preserve">860008BN</t>
  </si>
  <si>
    <t xml:space="preserve">P б.г. после фильтра PI3</t>
  </si>
  <si>
    <t xml:space="preserve">860008BQ</t>
  </si>
  <si>
    <t xml:space="preserve">P б.г. после фильтра PI4</t>
  </si>
  <si>
    <t xml:space="preserve">2236038</t>
  </si>
  <si>
    <t xml:space="preserve">P газа на входе в нагнетатель</t>
  </si>
  <si>
    <t xml:space="preserve">15243</t>
  </si>
  <si>
    <t xml:space="preserve">P т.г. в фильтре ФГ-80 №1-2</t>
  </si>
  <si>
    <t xml:space="preserve">15485</t>
  </si>
  <si>
    <t xml:space="preserve">P т.г. в фильтре ФГ-80 №1-1</t>
  </si>
  <si>
    <t xml:space="preserve">700286</t>
  </si>
  <si>
    <t xml:space="preserve">Pм для настройки перепускного  клапана</t>
  </si>
  <si>
    <t xml:space="preserve">15661</t>
  </si>
  <si>
    <t xml:space="preserve">P м на входе в фильтры БВМФ 6002</t>
  </si>
  <si>
    <t xml:space="preserve">10232</t>
  </si>
  <si>
    <t xml:space="preserve">P м на входе в фильтры БВМФ 6001</t>
  </si>
  <si>
    <t xml:space="preserve">P м на выходе из фильтров БВМФ 6001</t>
  </si>
  <si>
    <t xml:space="preserve">МП4-УФ БС УФЛ1</t>
  </si>
  <si>
    <t xml:space="preserve">P м суфлирования полостей двигателя</t>
  </si>
  <si>
    <t xml:space="preserve">P м при пополнении бака маслом</t>
  </si>
  <si>
    <t xml:space="preserve">7000177</t>
  </si>
  <si>
    <t xml:space="preserve">P в на выходе воздуходувок PI5322</t>
  </si>
  <si>
    <t xml:space="preserve">БКК 71</t>
  </si>
  <si>
    <t xml:space="preserve">211222848</t>
  </si>
  <si>
    <t xml:space="preserve">P в в 1 адсорбере PI5314</t>
  </si>
  <si>
    <t xml:space="preserve">211222302</t>
  </si>
  <si>
    <t xml:space="preserve">P в во 2 адсорбере PI5315</t>
  </si>
  <si>
    <t xml:space="preserve">211222570</t>
  </si>
  <si>
    <t xml:space="preserve">P в в 3 адсорбере PI5313</t>
  </si>
  <si>
    <t xml:space="preserve">211222312</t>
  </si>
  <si>
    <t xml:space="preserve">P в в 4 адсорбере PI5312</t>
  </si>
  <si>
    <t xml:space="preserve">Перепад давления ДМ 5301</t>
  </si>
  <si>
    <t xml:space="preserve">110BGBZ5</t>
  </si>
  <si>
    <t xml:space="preserve">0…0,6 бар</t>
  </si>
  <si>
    <r>
      <rPr>
        <sz val="8"/>
        <color rgb="FF000000"/>
        <rFont val="Calibri"/>
        <family val="2"/>
        <charset val="204"/>
      </rPr>
      <t xml:space="preserve">∆</t>
    </r>
    <r>
      <rPr>
        <sz val="8"/>
        <color rgb="FF000000"/>
        <rFont val="Times New Roman"/>
        <family val="1"/>
        <charset val="204"/>
      </rPr>
      <t xml:space="preserve">P в на фильтре</t>
    </r>
  </si>
  <si>
    <t xml:space="preserve">1к26</t>
  </si>
  <si>
    <t xml:space="preserve">Перепад давления ДМ 5302</t>
  </si>
  <si>
    <t xml:space="preserve">110BGBZR</t>
  </si>
  <si>
    <t xml:space="preserve">Перепад давления ДМ 5303</t>
  </si>
  <si>
    <t xml:space="preserve">110BGBZM</t>
  </si>
  <si>
    <t xml:space="preserve">Перепад давления ДМ 5304</t>
  </si>
  <si>
    <t xml:space="preserve">110BGBZN</t>
  </si>
  <si>
    <t xml:space="preserve">Перепад давления ДМ 5305</t>
  </si>
  <si>
    <t xml:space="preserve">110BGBZT</t>
  </si>
  <si>
    <t xml:space="preserve">0…0,1 МПа</t>
  </si>
  <si>
    <t xml:space="preserve">P в в ГШ 5301</t>
  </si>
  <si>
    <t xml:space="preserve">P в в ГШ 5302</t>
  </si>
  <si>
    <t xml:space="preserve">P в в ресивере</t>
  </si>
  <si>
    <t xml:space="preserve">P г во 2 фильтроэлементе БФБГ №1</t>
  </si>
  <si>
    <t xml:space="preserve">P г в 1 фильтроэлементе БФБГ №1</t>
  </si>
  <si>
    <t xml:space="preserve">P г во 2 фильтроэлементе БФБГ №2</t>
  </si>
  <si>
    <t xml:space="preserve">P г в 1 фильтроэлементе БФБГ №2</t>
  </si>
  <si>
    <t xml:space="preserve">P г во 2 фильтроэлементе БФТГ №1</t>
  </si>
  <si>
    <t xml:space="preserve">P г в 1 фильтроэлементе БФТГ №1</t>
  </si>
  <si>
    <t xml:space="preserve">P г в 1 фильтроэлементе БФТГ №2</t>
  </si>
  <si>
    <t xml:space="preserve">P г во 2 фильтроэлементе БФТГ №2</t>
  </si>
  <si>
    <t xml:space="preserve">P имп г крана 3бис</t>
  </si>
  <si>
    <t xml:space="preserve">700283</t>
  </si>
  <si>
    <t xml:space="preserve">P г после счётчика MH2</t>
  </si>
  <si>
    <t xml:space="preserve">АВГМ 71</t>
  </si>
  <si>
    <t xml:space="preserve">15421</t>
  </si>
  <si>
    <r>
      <rPr>
        <sz val="8"/>
        <color rgb="FF000000"/>
        <rFont val="Times New Roman"/>
        <family val="1"/>
        <charset val="204"/>
      </rPr>
      <t xml:space="preserve">0…10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</si>
  <si>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P г на входе MH1</t>
  </si>
  <si>
    <t xml:space="preserve">7000105</t>
  </si>
  <si>
    <t xml:space="preserve">P г после защитной решётки</t>
  </si>
  <si>
    <t xml:space="preserve">7000102</t>
  </si>
  <si>
    <t xml:space="preserve">P г до защитной решётки</t>
  </si>
  <si>
    <t xml:space="preserve">311558</t>
  </si>
  <si>
    <t xml:space="preserve">P г до крана №1-1</t>
  </si>
  <si>
    <t xml:space="preserve">7000104</t>
  </si>
  <si>
    <t xml:space="preserve">P г после крана №1-1</t>
  </si>
  <si>
    <t xml:space="preserve">212033565</t>
  </si>
  <si>
    <t xml:space="preserve">P г в ёмкости Е-1</t>
  </si>
  <si>
    <t xml:space="preserve">7000111</t>
  </si>
  <si>
    <t xml:space="preserve">P г до крана №1</t>
  </si>
  <si>
    <t xml:space="preserve">7000113</t>
  </si>
  <si>
    <t xml:space="preserve">P г после крана №1</t>
  </si>
  <si>
    <t xml:space="preserve">7000127</t>
  </si>
  <si>
    <t xml:space="preserve">P г на входе в АВОГ</t>
  </si>
  <si>
    <t xml:space="preserve">P г на выходе из АВОГ</t>
  </si>
  <si>
    <t xml:space="preserve">7000107</t>
  </si>
  <si>
    <t xml:space="preserve">P г перед краном №2</t>
  </si>
  <si>
    <t xml:space="preserve">7000101</t>
  </si>
  <si>
    <t xml:space="preserve">P г после крана №2</t>
  </si>
  <si>
    <t xml:space="preserve">P г на входе установки</t>
  </si>
  <si>
    <t xml:space="preserve">АВОГ 71</t>
  </si>
  <si>
    <t xml:space="preserve">212027275</t>
  </si>
  <si>
    <t xml:space="preserve">212028009</t>
  </si>
  <si>
    <t xml:space="preserve">212028008</t>
  </si>
  <si>
    <t xml:space="preserve">P имп г крана 6к</t>
  </si>
  <si>
    <t xml:space="preserve">ТБ-2р ухл2</t>
  </si>
  <si>
    <t xml:space="preserve">T в до фильтра</t>
  </si>
  <si>
    <t xml:space="preserve">-50…100 °С</t>
  </si>
  <si>
    <t xml:space="preserve">T г на выходе установки</t>
  </si>
  <si>
    <t xml:space="preserve">2к26</t>
  </si>
  <si>
    <t xml:space="preserve">Yokogawa D-79664</t>
  </si>
  <si>
    <t xml:space="preserve">D1U302281</t>
  </si>
  <si>
    <r>
      <rPr>
        <sz val="8"/>
        <color rgb="FF000000"/>
        <rFont val="Times New Roman"/>
        <family val="1"/>
        <charset val="204"/>
      </rPr>
      <t xml:space="preserve">1200 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  <r>
      <rPr>
        <sz val="8"/>
        <color rgb="FF000000"/>
        <rFont val="Times New Roman"/>
        <family val="1"/>
        <charset val="204"/>
      </rPr>
      <t xml:space="preserve">/ч</t>
    </r>
  </si>
  <si>
    <t xml:space="preserve">Qбг на входе в ГДУ ПКВ</t>
  </si>
  <si>
    <t xml:space="preserve">D1U302286</t>
  </si>
  <si>
    <t xml:space="preserve">Qбг на входе в ГДУ ЗКВ</t>
  </si>
  <si>
    <t xml:space="preserve">D1U42350</t>
  </si>
  <si>
    <r>
      <rPr>
        <sz val="8"/>
        <color rgb="FF000000"/>
        <rFont val="Times New Roman"/>
        <family val="1"/>
        <charset val="204"/>
      </rPr>
      <t xml:space="preserve">20 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  <r>
      <rPr>
        <sz val="8"/>
        <color rgb="FF000000"/>
        <rFont val="Times New Roman"/>
        <family val="1"/>
        <charset val="204"/>
      </rPr>
      <t xml:space="preserve">/ч</t>
    </r>
  </si>
  <si>
    <t xml:space="preserve">Qбг в линии утечек 1-ой ступени ГДУ ПКВ  </t>
  </si>
  <si>
    <t xml:space="preserve">D1U42346</t>
  </si>
  <si>
    <t xml:space="preserve">Qбг в линии утечек 1-ой ступени ГДУ ЗКВ  </t>
  </si>
  <si>
    <t xml:space="preserve">Turbo Flow UFG-F</t>
  </si>
  <si>
    <r>
      <rPr>
        <sz val="8"/>
        <color rgb="FF000000"/>
        <rFont val="Times New Roman"/>
        <family val="1"/>
        <charset val="204"/>
      </rPr>
      <t xml:space="preserve">2,2…440 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  <r>
      <rPr>
        <sz val="8"/>
        <color rgb="FF000000"/>
        <rFont val="Times New Roman"/>
        <family val="1"/>
        <charset val="204"/>
      </rPr>
      <t xml:space="preserve">/ч</t>
    </r>
  </si>
  <si>
    <t xml:space="preserve">Расход топл. газа</t>
  </si>
  <si>
    <t xml:space="preserve">Корректор объёма газа</t>
  </si>
  <si>
    <t xml:space="preserve">ЕК270</t>
  </si>
  <si>
    <t xml:space="preserve">коммерческий учет газа</t>
  </si>
  <si>
    <t xml:space="preserve">Комплекс для измерения количества газа</t>
  </si>
  <si>
    <t xml:space="preserve">СГ-ЭК-Вз-Р-0,2-160/1,6</t>
  </si>
  <si>
    <t xml:space="preserve">1519090064</t>
  </si>
  <si>
    <t xml:space="preserve">Счётчик газа</t>
  </si>
  <si>
    <t xml:space="preserve">RVG G100</t>
  </si>
  <si>
    <t xml:space="preserve">1219090046</t>
  </si>
  <si>
    <r>
      <rPr>
        <sz val="8"/>
        <color rgb="FF000000"/>
        <rFont val="Times New Roman"/>
        <family val="1"/>
        <charset val="204"/>
      </rPr>
      <t xml:space="preserve">3…160 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  <r>
      <rPr>
        <sz val="8"/>
        <color rgb="FF000000"/>
        <rFont val="Times New Roman"/>
        <family val="1"/>
        <charset val="204"/>
      </rPr>
      <t xml:space="preserve">/ч</t>
    </r>
  </si>
  <si>
    <t xml:space="preserve">Газоанализатор оптический</t>
  </si>
  <si>
    <t xml:space="preserve">ОГС-ПГП/М</t>
  </si>
  <si>
    <t xml:space="preserve">15313</t>
  </si>
  <si>
    <t xml:space="preserve">Измерение уровня загазованности</t>
  </si>
  <si>
    <t xml:space="preserve">15349</t>
  </si>
  <si>
    <t xml:space="preserve">Преобразователь давления</t>
  </si>
  <si>
    <t xml:space="preserve">ПД100И-ДИ 0,0016-811-1,0</t>
  </si>
  <si>
    <t xml:space="preserve">74625190446018251</t>
  </si>
  <si>
    <t xml:space="preserve">Давление воздуха в воздуховоде на ангар ГПА</t>
  </si>
  <si>
    <t xml:space="preserve">ДТС145-PT100.В3.180</t>
  </si>
  <si>
    <t xml:space="preserve">52199190444135103</t>
  </si>
  <si>
    <t xml:space="preserve">-60…500 °С</t>
  </si>
  <si>
    <t xml:space="preserve">Температура нагретого воздуха</t>
  </si>
  <si>
    <t xml:space="preserve">ПД100-ДИ 0,04-111-1,0</t>
  </si>
  <si>
    <t xml:space="preserve">42770190446018201</t>
  </si>
  <si>
    <t xml:space="preserve">Давление газа после регулятора давления</t>
  </si>
  <si>
    <t xml:space="preserve">ТСПУ-Л-22322 УХЛ3,1</t>
  </si>
  <si>
    <t xml:space="preserve">026</t>
  </si>
  <si>
    <t xml:space="preserve">-50…350 °С</t>
  </si>
  <si>
    <t xml:space="preserve">Температура теплообменника №1</t>
  </si>
  <si>
    <t xml:space="preserve">Датчик давления микропроцессорный</t>
  </si>
  <si>
    <t xml:space="preserve">ДДМ-03-МИ</t>
  </si>
  <si>
    <t xml:space="preserve">807108</t>
  </si>
  <si>
    <t xml:space="preserve">Давление газа перед газовой горелкой №2</t>
  </si>
  <si>
    <t xml:space="preserve">ПД100-ДИ 1,0-111-1,0</t>
  </si>
  <si>
    <t xml:space="preserve">42219190446016660</t>
  </si>
  <si>
    <t xml:space="preserve">0…1 МПа</t>
  </si>
  <si>
    <t xml:space="preserve">Давление газа на входе</t>
  </si>
  <si>
    <t xml:space="preserve">ДТС145-PT100.В3.120</t>
  </si>
  <si>
    <t xml:space="preserve">11068181144233299</t>
  </si>
  <si>
    <t xml:space="preserve">-50…500 °С</t>
  </si>
  <si>
    <t xml:space="preserve">Температура газа на входе </t>
  </si>
  <si>
    <t xml:space="preserve">09190190444135123</t>
  </si>
  <si>
    <t xml:space="preserve">Температура в секции обслуживания</t>
  </si>
  <si>
    <t xml:space="preserve">ДДМ-03-ДИ-МИ</t>
  </si>
  <si>
    <t xml:space="preserve">805004</t>
  </si>
  <si>
    <t xml:space="preserve">Давление газа перед газовой горелкой №1</t>
  </si>
  <si>
    <t xml:space="preserve">025</t>
  </si>
  <si>
    <t xml:space="preserve">Температура теплообменника №2</t>
  </si>
  <si>
    <t xml:space="preserve">Реле давления</t>
  </si>
  <si>
    <t xml:space="preserve">GW 150 A6</t>
  </si>
  <si>
    <t xml:space="preserve">CE-0085AO3220-15T70</t>
  </si>
  <si>
    <t xml:space="preserve">Давление газа между предохранительно-запорными клапанами Y1 и Y2 горелки №2</t>
  </si>
  <si>
    <t xml:space="preserve">Не является СИ</t>
  </si>
  <si>
    <t xml:space="preserve">РД-016</t>
  </si>
  <si>
    <t xml:space="preserve">808132</t>
  </si>
  <si>
    <t xml:space="preserve">Давление газа перед предохранительно-запорным клапаном горелки №1</t>
  </si>
  <si>
    <t xml:space="preserve">давление газа после газовой заслонки R2 </t>
  </si>
  <si>
    <t xml:space="preserve">Давление газа между предохранительно-запорными клапанами Y1 и Y2 горелки №1</t>
  </si>
  <si>
    <t xml:space="preserve">906050</t>
  </si>
  <si>
    <t xml:space="preserve">Давление газа перед предохранительно-запорным клапаном горелки №2</t>
  </si>
  <si>
    <t xml:space="preserve">Метран 150 TG</t>
  </si>
  <si>
    <t xml:space="preserve">Pм на выходе из двигателя</t>
  </si>
  <si>
    <t xml:space="preserve">Масленая  консоль</t>
  </si>
  <si>
    <t xml:space="preserve">Pм в линий откачки от СТ</t>
  </si>
  <si>
    <t xml:space="preserve">Метран 150 CD</t>
  </si>
  <si>
    <t xml:space="preserve">∆Рм  на фтльтрах БМФ1</t>
  </si>
  <si>
    <t xml:space="preserve">∆Рм  на фтльтрах БМФ2</t>
  </si>
  <si>
    <t xml:space="preserve">∆Рм  на фтльтрах ГМТ</t>
  </si>
  <si>
    <t xml:space="preserve">Метран 150 CG</t>
  </si>
  <si>
    <t xml:space="preserve">Р воздушно-масляной смеси в маслобаке двигателя</t>
  </si>
  <si>
    <t xml:space="preserve">0…6,3 кПа</t>
  </si>
  <si>
    <t xml:space="preserve">0.1</t>
  </si>
  <si>
    <t xml:space="preserve">Избыточное давление воздуха в блоке силовом</t>
  </si>
  <si>
    <t xml:space="preserve">Укрытие</t>
  </si>
  <si>
    <t xml:space="preserve">Рв охлаждения кожуха муфты</t>
  </si>
  <si>
    <t xml:space="preserve">0…25 МПа</t>
  </si>
  <si>
    <t xml:space="preserve">Ртг на входе ГПА</t>
  </si>
  <si>
    <t xml:space="preserve">Ртг на выходе из блока фильтров</t>
  </si>
  <si>
    <t xml:space="preserve">Ртг на входе турбоблок </t>
  </si>
  <si>
    <t xml:space="preserve">Ртг в буферной полоскости ГМТ</t>
  </si>
  <si>
    <t xml:space="preserve">∆Рм  на фильтрах </t>
  </si>
  <si>
    <t xml:space="preserve">Разрежение воздуха на фильтрах ВОУ</t>
  </si>
  <si>
    <t xml:space="preserve">Разрежение воздуха в камере всасывания</t>
  </si>
  <si>
    <t xml:space="preserve">∆Р между давлением на выходе из улитки и атмосферой</t>
  </si>
  <si>
    <t xml:space="preserve">Метран 150 ТА</t>
  </si>
  <si>
    <t xml:space="preserve">барометрическое давление</t>
  </si>
  <si>
    <t xml:space="preserve">САУ</t>
  </si>
  <si>
    <t xml:space="preserve">Р защитного воздуха из блока подготовки воздуха </t>
  </si>
  <si>
    <t xml:space="preserve">Р воздуха на выходе из ГТД</t>
  </si>
  <si>
    <t xml:space="preserve">∆Р воздуха на фильтре в линии подвода на охлаждение опор ГТД</t>
  </si>
  <si>
    <t xml:space="preserve">Р воздуха на выходе из оболочки радиального подшипника (ПКВ)</t>
  </si>
  <si>
    <t xml:space="preserve">Р воздуха на выходе из оболочки радиального подшипника (ЗКВ)</t>
  </si>
  <si>
    <t xml:space="preserve">∆Р между оболочкой радиального подшипника и второй ступенью ГДУ ( ПКВ)</t>
  </si>
  <si>
    <t xml:space="preserve">∆Р между оболочкой радиального подшипника и второй ступенью ГДУ ( ЗКВ)</t>
  </si>
  <si>
    <t xml:space="preserve">∆Р воздуха на фильтре в линии подвода к МП</t>
  </si>
  <si>
    <t xml:space="preserve">∆Р буферного газа на фильтре грубой очистки</t>
  </si>
  <si>
    <t xml:space="preserve">∆Рбг  на фильтре тонкой очистки</t>
  </si>
  <si>
    <t xml:space="preserve">∆Р газ-газ в линии ПКВ</t>
  </si>
  <si>
    <t xml:space="preserve">∆Р газ-газ в линии ЗКВ</t>
  </si>
  <si>
    <t xml:space="preserve">Р в линии утечек 1-ой ступени ГДУ ПКВ</t>
  </si>
  <si>
    <t xml:space="preserve">Р в линии утечек 1-ой ступени ГДУ ЗКВ</t>
  </si>
  <si>
    <t xml:space="preserve">Рг перед конфузором </t>
  </si>
  <si>
    <t xml:space="preserve">Рг на входе в компрессор                                              ( после конфузора)</t>
  </si>
  <si>
    <t xml:space="preserve">Рг на выходе из компрессора</t>
  </si>
  <si>
    <t xml:space="preserve">YOKOGAWA EJA110E</t>
  </si>
  <si>
    <t xml:space="preserve">91V907127</t>
  </si>
  <si>
    <t xml:space="preserve">∆Рг на конфузоре</t>
  </si>
  <si>
    <t xml:space="preserve">YOKOGAWA EJA530E</t>
  </si>
  <si>
    <t xml:space="preserve">91TC20781</t>
  </si>
  <si>
    <t xml:space="preserve">Давление воздуха после ВВТ1 агрегата БВВТ25</t>
  </si>
  <si>
    <t xml:space="preserve">Рг на выходе АВО газа</t>
  </si>
  <si>
    <t xml:space="preserve">Улица</t>
  </si>
  <si>
    <t xml:space="preserve">Рг после крана 2-1</t>
  </si>
  <si>
    <t xml:space="preserve">Рг перед краном 2-1</t>
  </si>
  <si>
    <t xml:space="preserve">∆Рг на кране 1-1</t>
  </si>
  <si>
    <t xml:space="preserve">∆Рг на кране 1</t>
  </si>
  <si>
    <t xml:space="preserve">∆Рг на защитной решетке перед компрессором</t>
  </si>
  <si>
    <t xml:space="preserve">∆Рг на АВО газа</t>
  </si>
  <si>
    <t xml:space="preserve">Преобразователь давления корабельный</t>
  </si>
  <si>
    <t xml:space="preserve">ВАЛКОМ ПДК-ВО-Д-250К-А-2-Б04-Н-01-Д20</t>
  </si>
  <si>
    <t xml:space="preserve">8К10983</t>
  </si>
  <si>
    <t xml:space="preserve">∆Р на фильтре №1 БФТГ</t>
  </si>
  <si>
    <t xml:space="preserve">8К10998</t>
  </si>
  <si>
    <t xml:space="preserve">∆Р на фильтре №2 БФТГ</t>
  </si>
  <si>
    <t xml:space="preserve">8К10980</t>
  </si>
  <si>
    <t xml:space="preserve">∆Р на фильтре №1 БФБГ</t>
  </si>
  <si>
    <t xml:space="preserve">8К10988</t>
  </si>
  <si>
    <t xml:space="preserve">∆Р на фильтре №2 БФБГ</t>
  </si>
  <si>
    <t xml:space="preserve">∆Рбг на сепараторе СГУ</t>
  </si>
  <si>
    <t xml:space="preserve">∆Рбг на фильтре-сепараторе</t>
  </si>
  <si>
    <t xml:space="preserve">Рв  в установке воздухонагнетателя №1</t>
  </si>
  <si>
    <t xml:space="preserve">БКВ</t>
  </si>
  <si>
    <t xml:space="preserve">Давление воздуха на линии подвода к ресиверу</t>
  </si>
  <si>
    <t xml:space="preserve">Рв  в установке воздухонагнетателя №2</t>
  </si>
  <si>
    <t xml:space="preserve">Рв на выходе из БКВ к укрытию ГПА</t>
  </si>
  <si>
    <t xml:space="preserve">∆Р воздуха в выходном воздуховоде БС</t>
  </si>
  <si>
    <t xml:space="preserve">ИПТВ-206</t>
  </si>
  <si>
    <t xml:space="preserve">09-0575</t>
  </si>
  <si>
    <t xml:space="preserve">-60…110 °С
0…100%</t>
  </si>
  <si>
    <t xml:space="preserve">± 2%</t>
  </si>
  <si>
    <t xml:space="preserve">Температура и влажность наружного воздуха (МТ2051)</t>
  </si>
  <si>
    <t xml:space="preserve">ТСП 012.60</t>
  </si>
  <si>
    <t xml:space="preserve">-60…200 °С
120 мм</t>
  </si>
  <si>
    <t xml:space="preserve">Температура масла на входе в ГМТ (ТЕ6003)</t>
  </si>
  <si>
    <t xml:space="preserve">Тм после ГМТ (ТЕ6004)</t>
  </si>
  <si>
    <t xml:space="preserve">Тм в баке двигателя (ТЕ6005)</t>
  </si>
  <si>
    <t xml:space="preserve">-60…200 °С
320 мм</t>
  </si>
  <si>
    <t xml:space="preserve">Т воздуха в выходном воздуховоде блока силового (ТЕ4001)</t>
  </si>
  <si>
    <t xml:space="preserve">-60…200 °С
100 мм</t>
  </si>
  <si>
    <t xml:space="preserve">Тг на входе в ГПА (ТЕ5101)</t>
  </si>
  <si>
    <t xml:space="preserve">Тг на входе в турбоблок (ТЕ5102)</t>
  </si>
  <si>
    <t xml:space="preserve">Тг на выходе подогревателя (ТЕ5103)</t>
  </si>
  <si>
    <t xml:space="preserve">-60…200 °С
400 мм</t>
  </si>
  <si>
    <t xml:space="preserve">Тв во всасывающей камере (ТЕ2031)</t>
  </si>
  <si>
    <t xml:space="preserve">ТСП 012.08</t>
  </si>
  <si>
    <t xml:space="preserve">-60…200 °С
80 мм</t>
  </si>
  <si>
    <t xml:space="preserve">Тв на выходе из БКВ к укрытию ГПА (ТЕ5302)</t>
  </si>
  <si>
    <t xml:space="preserve">-60…200 °С
60 мм</t>
  </si>
  <si>
    <t xml:space="preserve">Тв из блока подоготовки на входе в оболчки МП (ТЕ5304)</t>
  </si>
  <si>
    <t xml:space="preserve">Тв на выходе из узла отбора (ТЕ5303)</t>
  </si>
  <si>
    <t xml:space="preserve">Тбг на входе в ГДУ ПКВ (ТЕ5203)</t>
  </si>
  <si>
    <t xml:space="preserve">Тбг на входе в ГДУ ЗКВ (ТЕ5204)</t>
  </si>
  <si>
    <t xml:space="preserve">ДТС 214</t>
  </si>
  <si>
    <t xml:space="preserve">61216180507116377</t>
  </si>
  <si>
    <t xml:space="preserve">-60…250 °С</t>
  </si>
  <si>
    <t xml:space="preserve">Т алюминиевого блока подогревателя топливного газа (ТЕ5104)</t>
  </si>
  <si>
    <t xml:space="preserve">-60…200 °С
160 мм</t>
  </si>
  <si>
    <t xml:space="preserve">Тв на выходе из оболочки радиального подшипника (ПКВ)  (ТЕ5205)</t>
  </si>
  <si>
    <t xml:space="preserve">ТСП 012.52В</t>
  </si>
  <si>
    <t xml:space="preserve">Тв на выходе из оболочки радиального подшипника ЗКВ (ТЕ5206)</t>
  </si>
  <si>
    <t xml:space="preserve">Тг на входе в компрессор (ТЕ8001)</t>
  </si>
  <si>
    <t xml:space="preserve">Тг на выходе из компрессор (ТЕ8002)</t>
  </si>
  <si>
    <t xml:space="preserve">ТСП 012.СП</t>
  </si>
  <si>
    <t xml:space="preserve">Тв в БКВ (ТЕ5301)</t>
  </si>
  <si>
    <t xml:space="preserve">ТСП 012.02</t>
  </si>
  <si>
    <t xml:space="preserve">Тв в отсеке САУ (ТЕ8101)</t>
  </si>
  <si>
    <t xml:space="preserve">Тв в БЭТ (ТЕ8102)</t>
  </si>
  <si>
    <t xml:space="preserve">Тм на выходе из двигателя (ТЕ6002)</t>
  </si>
  <si>
    <t xml:space="preserve">-50…150 °С
250 мм</t>
  </si>
  <si>
    <t xml:space="preserve">Тбг после подогревателя в стойке СГУ (ТТ5202)</t>
  </si>
  <si>
    <t xml:space="preserve">61216200344079927</t>
  </si>
  <si>
    <t xml:space="preserve">Т алюминиевого блока подогревателя предпусковой подготовки буферного газа (ТТ5206)</t>
  </si>
  <si>
    <t xml:space="preserve">Тв в блоке маслоочистителя (ТЕ6006)</t>
  </si>
  <si>
    <t xml:space="preserve">Тв в БЭТ АВОГ (ТЕ8201)</t>
  </si>
  <si>
    <t xml:space="preserve">Ттг перед ДГ</t>
  </si>
  <si>
    <t xml:space="preserve">Метран-2700</t>
  </si>
  <si>
    <t xml:space="preserve">-50…300 °С
60 мм</t>
  </si>
  <si>
    <t xml:space="preserve">Тбг на подогревателе СГУ</t>
  </si>
  <si>
    <t xml:space="preserve">Тбг после подогревателя предпусковой подготовки (ТЕ5208)</t>
  </si>
  <si>
    <t xml:space="preserve">Тв подоваемого в воздуходовки (ТЕ5306)</t>
  </si>
  <si>
    <t xml:space="preserve">ТСПУ 031 СК</t>
  </si>
  <si>
    <t xml:space="preserve">-50…200 °С
250 мм</t>
  </si>
  <si>
    <t xml:space="preserve">Тг на выходе АВО перед клапаном 6к (ТТ2)</t>
  </si>
  <si>
    <t xml:space="preserve">Тг на выходе АВО перед клапаном 2 (ТТ1)</t>
  </si>
  <si>
    <t xml:space="preserve">Тв в общем колекторе</t>
  </si>
  <si>
    <t xml:space="preserve">ТСПУ014.12</t>
  </si>
  <si>
    <t xml:space="preserve">-50…150 °С
80 мм</t>
  </si>
  <si>
    <t xml:space="preserve">Метран-2000 А02 НСХ</t>
  </si>
  <si>
    <t xml:space="preserve">-50…200 °С
60 мм</t>
  </si>
  <si>
    <t xml:space="preserve">Тв на выходе ресивера ГШ5301</t>
  </si>
  <si>
    <t xml:space="preserve">Тм подшипника ВК2 В5301</t>
  </si>
  <si>
    <t xml:space="preserve">Тмподшипника ВК3 В5301</t>
  </si>
  <si>
    <t xml:space="preserve">Тв на выходе ресивера ГШ5302</t>
  </si>
  <si>
    <t xml:space="preserve">Тм подшипника ВК2 В5302</t>
  </si>
  <si>
    <t xml:space="preserve">Тм подшипника ВК3 В5302</t>
  </si>
  <si>
    <t xml:space="preserve"> Расходомер</t>
  </si>
  <si>
    <t xml:space="preserve">Эмис-Вихрь 200 ЭВ-200</t>
  </si>
  <si>
    <r>
      <rPr>
        <sz val="8"/>
        <color rgb="FF000000"/>
        <rFont val="Times New Roman"/>
        <family val="1"/>
        <charset val="204"/>
      </rPr>
      <t xml:space="preserve">18…480 м</t>
    </r>
    <r>
      <rPr>
        <sz val="8"/>
        <color rgb="FF000000"/>
        <rFont val="Calibri"/>
        <family val="2"/>
        <charset val="204"/>
      </rPr>
      <t xml:space="preserve">³/ч</t>
    </r>
  </si>
  <si>
    <t xml:space="preserve">Qв на выходе из оболочки радиального подшипника ( ПКВ)</t>
  </si>
  <si>
    <t xml:space="preserve">Qв на выходе из оболочки радиального подшипника ( ЗКВ)</t>
  </si>
  <si>
    <t xml:space="preserve">2018</t>
  </si>
  <si>
    <t xml:space="preserve">Тв подоваемого из воздуходовки </t>
  </si>
  <si>
    <t xml:space="preserve">Валком</t>
  </si>
  <si>
    <t xml:space="preserve">8А10719</t>
  </si>
  <si>
    <t xml:space="preserve">200 мм</t>
  </si>
  <si>
    <t xml:space="preserve">БФБГ-1 (верхний)</t>
  </si>
  <si>
    <t xml:space="preserve">не является СИ</t>
  </si>
  <si>
    <t xml:space="preserve">8А10727</t>
  </si>
  <si>
    <t xml:space="preserve">БФБГ-1 (нижний)</t>
  </si>
  <si>
    <t xml:space="preserve">8А10726</t>
  </si>
  <si>
    <t xml:space="preserve">БФБГ-2 (верхний)</t>
  </si>
  <si>
    <t xml:space="preserve">8А10725</t>
  </si>
  <si>
    <t xml:space="preserve">БФБГ-2 (нижний)</t>
  </si>
  <si>
    <t xml:space="preserve">8А10739</t>
  </si>
  <si>
    <t xml:space="preserve">БФТГ-1 (верхний)</t>
  </si>
  <si>
    <t xml:space="preserve">8А10734</t>
  </si>
  <si>
    <t xml:space="preserve">БФТГ-1 (нижний)</t>
  </si>
  <si>
    <t xml:space="preserve">8А10753</t>
  </si>
  <si>
    <t xml:space="preserve">БФТГ-2 (верхний)</t>
  </si>
  <si>
    <t xml:space="preserve">8А10747</t>
  </si>
  <si>
    <t xml:space="preserve">БФТГ-2 (нижний)</t>
  </si>
  <si>
    <t xml:space="preserve">Садко 107</t>
  </si>
  <si>
    <r>
      <rPr>
        <sz val="8"/>
        <color rgb="FF000000"/>
        <rFont val="Times New Roman"/>
        <family val="1"/>
        <charset val="204"/>
      </rPr>
      <t xml:space="preserve">P</t>
    </r>
    <r>
      <rPr>
        <vertAlign val="subscript"/>
        <sz val="8"/>
        <color rgb="FF000000"/>
        <rFont val="Times New Roman"/>
        <family val="1"/>
        <charset val="204"/>
      </rPr>
      <t xml:space="preserve">КПВ КВД</t>
    </r>
    <r>
      <rPr>
        <sz val="8"/>
        <color rgb="FF000000"/>
        <rFont val="Times New Roman"/>
        <family val="1"/>
        <charset val="204"/>
      </rPr>
      <t xml:space="preserve"> (А61)</t>
    </r>
  </si>
  <si>
    <t xml:space="preserve">0,04…0,1 МПа</t>
  </si>
  <si>
    <t xml:space="preserve">Pкпвз (А31)</t>
  </si>
  <si>
    <t xml:space="preserve">Yokogawa EJA530E</t>
  </si>
  <si>
    <t xml:space="preserve">91U935186</t>
  </si>
  <si>
    <t xml:space="preserve">Pквд (A71)</t>
  </si>
  <si>
    <t xml:space="preserve">91T832902</t>
  </si>
  <si>
    <t xml:space="preserve">Pрп квд (A33)</t>
  </si>
  <si>
    <t xml:space="preserve">91UB38720</t>
  </si>
  <si>
    <t xml:space="preserve">P*тнд (A87)</t>
  </si>
  <si>
    <t xml:space="preserve">91UC19751</t>
  </si>
  <si>
    <t xml:space="preserve">P*охл. тнд (A88)</t>
  </si>
  <si>
    <t xml:space="preserve">91UC19471</t>
  </si>
  <si>
    <t xml:space="preserve">P*твд (A39)</t>
  </si>
  <si>
    <t xml:space="preserve">91UB38717</t>
  </si>
  <si>
    <t xml:space="preserve">Pрп ст (A30)</t>
  </si>
  <si>
    <t xml:space="preserve">91UC19360</t>
  </si>
  <si>
    <t xml:space="preserve">0…16 кПа</t>
  </si>
  <si>
    <t xml:space="preserve">P*ст (A81)</t>
  </si>
  <si>
    <t xml:space="preserve">91UC19771</t>
  </si>
  <si>
    <t xml:space="preserve">Перепад между атмосферным давлением и полным давлением воздуха на входе КНД</t>
  </si>
  <si>
    <t xml:space="preserve">91UC16310</t>
  </si>
  <si>
    <t xml:space="preserve">Перепад между атмосферным давлением и статистическим давлением воздуха на входе КНД</t>
  </si>
  <si>
    <t xml:space="preserve">91UC18507</t>
  </si>
  <si>
    <t xml:space="preserve">Ртг передд ДГ (А72)</t>
  </si>
  <si>
    <t xml:space="preserve">91UC18508</t>
  </si>
  <si>
    <t xml:space="preserve">Ртг передд СК (А73)</t>
  </si>
  <si>
    <t xml:space="preserve">91UC19435</t>
  </si>
  <si>
    <t xml:space="preserve">0…0,2 МПа</t>
  </si>
  <si>
    <t xml:space="preserve">Рв полное за КНД (А86)</t>
  </si>
  <si>
    <t xml:space="preserve">91UC18536</t>
  </si>
  <si>
    <t xml:space="preserve">Рм на входе в двигатель (А40)</t>
  </si>
  <si>
    <t xml:space="preserve">91UC19513</t>
  </si>
  <si>
    <t xml:space="preserve">0…0,2 кПа</t>
  </si>
  <si>
    <t xml:space="preserve">Давление суфлирования (А43)</t>
  </si>
  <si>
    <t xml:space="preserve">Тв на выходе из осевого подшипника</t>
  </si>
  <si>
    <t xml:space="preserve">ТСПУ 014.12</t>
  </si>
  <si>
    <t xml:space="preserve">Температура воздуха после доохладителя</t>
  </si>
  <si>
    <t xml:space="preserve">Газоанализатор оптический стационарный </t>
  </si>
  <si>
    <t xml:space="preserve">ГПА 71 (вход КШТ)</t>
  </si>
  <si>
    <t xml:space="preserve">ГПА 71 (выход КШТ)</t>
  </si>
  <si>
    <t xml:space="preserve">Заменён на:</t>
  </si>
  <si>
    <r>
      <rPr>
        <sz val="8"/>
        <color rgb="FF000000"/>
        <rFont val="Times New Roman"/>
        <family val="1"/>
        <charset val="204"/>
      </rPr>
      <t xml:space="preserve">0…60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</si>
  <si>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700095</t>
  </si>
  <si>
    <t xml:space="preserve">15656</t>
  </si>
  <si>
    <t xml:space="preserve">700090</t>
  </si>
  <si>
    <t xml:space="preserve">860008B5</t>
  </si>
  <si>
    <t xml:space="preserve">860008BE</t>
  </si>
  <si>
    <t xml:space="preserve">860008BF</t>
  </si>
  <si>
    <t xml:space="preserve">860008BH</t>
  </si>
  <si>
    <t xml:space="preserve">7000125</t>
  </si>
  <si>
    <t xml:space="preserve">1873023</t>
  </si>
  <si>
    <t xml:space="preserve">P т.г. в фильтре ФГ-80 №2-2</t>
  </si>
  <si>
    <t xml:space="preserve">15237</t>
  </si>
  <si>
    <t xml:space="preserve">P т.г. в фильтре ФГ-80 №2-1</t>
  </si>
  <si>
    <t xml:space="preserve">15662</t>
  </si>
  <si>
    <t xml:space="preserve">700077</t>
  </si>
  <si>
    <t xml:space="preserve">15114</t>
  </si>
  <si>
    <t xml:space="preserve">15295</t>
  </si>
  <si>
    <t xml:space="preserve">А0810248</t>
  </si>
  <si>
    <t xml:space="preserve">211016829</t>
  </si>
  <si>
    <t xml:space="preserve">БКК 72</t>
  </si>
  <si>
    <t xml:space="preserve">7000195</t>
  </si>
  <si>
    <t xml:space="preserve">7000179</t>
  </si>
  <si>
    <t xml:space="preserve">7000194</t>
  </si>
  <si>
    <t xml:space="preserve">7000192</t>
  </si>
  <si>
    <t xml:space="preserve">110BGBZA</t>
  </si>
  <si>
    <t xml:space="preserve">110BGBZJ</t>
  </si>
  <si>
    <t xml:space="preserve">110BGBZ3</t>
  </si>
  <si>
    <t xml:space="preserve">110BGBZD</t>
  </si>
  <si>
    <t xml:space="preserve">110BGBZ7</t>
  </si>
  <si>
    <t xml:space="preserve">-</t>
  </si>
  <si>
    <t xml:space="preserve">700284</t>
  </si>
  <si>
    <t xml:space="preserve">АВГМ 72</t>
  </si>
  <si>
    <t xml:space="preserve">7000171</t>
  </si>
  <si>
    <t xml:space="preserve">15179</t>
  </si>
  <si>
    <t xml:space="preserve">80518</t>
  </si>
  <si>
    <t xml:space="preserve">2097310</t>
  </si>
  <si>
    <t xml:space="preserve">7000112</t>
  </si>
  <si>
    <t xml:space="preserve">7000106</t>
  </si>
  <si>
    <t xml:space="preserve">15387</t>
  </si>
  <si>
    <t xml:space="preserve">7000118</t>
  </si>
  <si>
    <t xml:space="preserve">7000117</t>
  </si>
  <si>
    <t xml:space="preserve">7000116</t>
  </si>
  <si>
    <t xml:space="preserve">212027942</t>
  </si>
  <si>
    <t xml:space="preserve">АВОГ 72</t>
  </si>
  <si>
    <t xml:space="preserve">212027987</t>
  </si>
  <si>
    <t xml:space="preserve">212028006</t>
  </si>
  <si>
    <t xml:space="preserve">212027918</t>
  </si>
  <si>
    <t xml:space="preserve">212027930</t>
  </si>
  <si>
    <t xml:space="preserve">212028007</t>
  </si>
  <si>
    <t xml:space="preserve">212027986</t>
  </si>
  <si>
    <t xml:space="preserve">212027984</t>
  </si>
  <si>
    <t xml:space="preserve">D1U302285</t>
  </si>
  <si>
    <t xml:space="preserve">D1U302284</t>
  </si>
  <si>
    <t xml:space="preserve">D1U402343</t>
  </si>
  <si>
    <t xml:space="preserve">D1U402344</t>
  </si>
  <si>
    <t xml:space="preserve">1519090070</t>
  </si>
  <si>
    <t xml:space="preserve">1219090052</t>
  </si>
  <si>
    <t xml:space="preserve">74625190446018237</t>
  </si>
  <si>
    <t xml:space="preserve">52199190444135110</t>
  </si>
  <si>
    <t xml:space="preserve">42770190446018210</t>
  </si>
  <si>
    <t xml:space="preserve">004</t>
  </si>
  <si>
    <t xml:space="preserve">808260</t>
  </si>
  <si>
    <t xml:space="preserve">42219190446016686</t>
  </si>
  <si>
    <t xml:space="preserve">1106818114233323</t>
  </si>
  <si>
    <t xml:space="preserve">09190190444135118</t>
  </si>
  <si>
    <t xml:space="preserve">808261</t>
  </si>
  <si>
    <t xml:space="preserve">019</t>
  </si>
  <si>
    <t xml:space="preserve">808065</t>
  </si>
  <si>
    <t xml:space="preserve">808061</t>
  </si>
  <si>
    <t xml:space="preserve">91V907131</t>
  </si>
  <si>
    <t xml:space="preserve">91TC20783</t>
  </si>
  <si>
    <t xml:space="preserve">8К10994</t>
  </si>
  <si>
    <t xml:space="preserve">8К11000</t>
  </si>
  <si>
    <t xml:space="preserve">8К10987</t>
  </si>
  <si>
    <t xml:space="preserve">8К10979</t>
  </si>
  <si>
    <t xml:space="preserve">09-5142</t>
  </si>
  <si>
    <t xml:space="preserve">61216180507116380</t>
  </si>
  <si>
    <t xml:space="preserve">58861200244052276</t>
  </si>
  <si>
    <t xml:space="preserve">8A10710</t>
  </si>
  <si>
    <t xml:space="preserve">8A10721</t>
  </si>
  <si>
    <t xml:space="preserve">8A10728</t>
  </si>
  <si>
    <t xml:space="preserve">8A10729</t>
  </si>
  <si>
    <t xml:space="preserve">8A10742</t>
  </si>
  <si>
    <t xml:space="preserve">8A10751</t>
  </si>
  <si>
    <t xml:space="preserve">8К10996</t>
  </si>
  <si>
    <t xml:space="preserve">8A10750</t>
  </si>
  <si>
    <t xml:space="preserve">91UB38695</t>
  </si>
  <si>
    <t xml:space="preserve">91UC19421</t>
  </si>
  <si>
    <t xml:space="preserve">91UC19451</t>
  </si>
  <si>
    <t xml:space="preserve">91T812737</t>
  </si>
  <si>
    <t xml:space="preserve">91UB37823</t>
  </si>
  <si>
    <t xml:space="preserve">91UB38714</t>
  </si>
  <si>
    <t xml:space="preserve">91UC19362</t>
  </si>
  <si>
    <t xml:space="preserve">91UC16296</t>
  </si>
  <si>
    <t xml:space="preserve">91UC16306</t>
  </si>
  <si>
    <t xml:space="preserve">91UC18519</t>
  </si>
  <si>
    <t xml:space="preserve">91UC18517</t>
  </si>
  <si>
    <t xml:space="preserve">91UC19431</t>
  </si>
  <si>
    <t xml:space="preserve">91V114304</t>
  </si>
  <si>
    <t xml:space="preserve">91UC19516</t>
  </si>
  <si>
    <t xml:space="preserve">700092</t>
  </si>
  <si>
    <t xml:space="preserve">15654</t>
  </si>
  <si>
    <r>
      <rPr>
        <sz val="8"/>
        <color rgb="FF000000"/>
        <rFont val="Times New Roman"/>
        <family val="1"/>
        <charset val="204"/>
      </rPr>
      <t xml:space="preserve">0…1,6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</si>
  <si>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А0810195</t>
  </si>
  <si>
    <t xml:space="preserve">860008BM</t>
  </si>
  <si>
    <t xml:space="preserve">860008B4</t>
  </si>
  <si>
    <t xml:space="preserve">860008BP</t>
  </si>
  <si>
    <t xml:space="preserve">860008BL</t>
  </si>
  <si>
    <t xml:space="preserve">700036</t>
  </si>
  <si>
    <t xml:space="preserve">1900</t>
  </si>
  <si>
    <t xml:space="preserve">P т.г. в фильтре ФГ-80 №3-2</t>
  </si>
  <si>
    <t xml:space="preserve">2302</t>
  </si>
  <si>
    <t xml:space="preserve">P т.г. в фильтре ФГ-80 №3-1</t>
  </si>
  <si>
    <t xml:space="preserve">20227</t>
  </si>
  <si>
    <t xml:space="preserve">700084</t>
  </si>
  <si>
    <t xml:space="preserve">7000185</t>
  </si>
  <si>
    <t xml:space="preserve">15291</t>
  </si>
  <si>
    <t xml:space="preserve">700094</t>
  </si>
  <si>
    <t xml:space="preserve">15190</t>
  </si>
  <si>
    <t xml:space="preserve">БКК 73</t>
  </si>
  <si>
    <t xml:space="preserve">7000201</t>
  </si>
  <si>
    <t xml:space="preserve">7000200</t>
  </si>
  <si>
    <t xml:space="preserve">15676</t>
  </si>
  <si>
    <t xml:space="preserve">211222308</t>
  </si>
  <si>
    <t xml:space="preserve">110BGBZ6</t>
  </si>
  <si>
    <t xml:space="preserve">110BCU5T</t>
  </si>
  <si>
    <t xml:space="preserve">110BGBZK</t>
  </si>
  <si>
    <t xml:space="preserve">110BGBZB</t>
  </si>
  <si>
    <t xml:space="preserve">110BGBZ8</t>
  </si>
  <si>
    <t xml:space="preserve">П </t>
  </si>
  <si>
    <t xml:space="preserve">7000285</t>
  </si>
  <si>
    <t xml:space="preserve">АВГМ 73</t>
  </si>
  <si>
    <t xml:space="preserve">7000168</t>
  </si>
  <si>
    <t xml:space="preserve">7000141</t>
  </si>
  <si>
    <t xml:space="preserve">7000129</t>
  </si>
  <si>
    <t xml:space="preserve">7000130</t>
  </si>
  <si>
    <t xml:space="preserve">7000140</t>
  </si>
  <si>
    <t xml:space="preserve">212033564</t>
  </si>
  <si>
    <t xml:space="preserve">700024</t>
  </si>
  <si>
    <t xml:space="preserve">7000145</t>
  </si>
  <si>
    <t xml:space="preserve">700040</t>
  </si>
  <si>
    <t xml:space="preserve">700291</t>
  </si>
  <si>
    <t xml:space="preserve">7000128</t>
  </si>
  <si>
    <t xml:space="preserve">АВОГ 73</t>
  </si>
  <si>
    <t xml:space="preserve">700010</t>
  </si>
  <si>
    <t xml:space="preserve">700008</t>
  </si>
  <si>
    <t xml:space="preserve">700014</t>
  </si>
  <si>
    <t xml:space="preserve">D1U302278</t>
  </si>
  <si>
    <t xml:space="preserve">D1U302282</t>
  </si>
  <si>
    <t xml:space="preserve">D1U402353</t>
  </si>
  <si>
    <t xml:space="preserve">D1U402349</t>
  </si>
  <si>
    <t xml:space="preserve">1519090066</t>
  </si>
  <si>
    <t xml:space="preserve">1219090048</t>
  </si>
  <si>
    <t xml:space="preserve">15335</t>
  </si>
  <si>
    <t xml:space="preserve">15330</t>
  </si>
  <si>
    <t xml:space="preserve">74625190446018249</t>
  </si>
  <si>
    <t xml:space="preserve">52199190244045438</t>
  </si>
  <si>
    <t xml:space="preserve">42770190446018212</t>
  </si>
  <si>
    <t xml:space="preserve">016</t>
  </si>
  <si>
    <t xml:space="preserve">808256</t>
  </si>
  <si>
    <t xml:space="preserve">4219190446016681</t>
  </si>
  <si>
    <t xml:space="preserve">09190190444135125</t>
  </si>
  <si>
    <t xml:space="preserve">11068190444135096</t>
  </si>
  <si>
    <t xml:space="preserve">805001</t>
  </si>
  <si>
    <t xml:space="preserve">008</t>
  </si>
  <si>
    <t xml:space="preserve">808149</t>
  </si>
  <si>
    <t xml:space="preserve">808146</t>
  </si>
  <si>
    <t xml:space="preserve">2021</t>
  </si>
  <si>
    <t xml:space="preserve">71V907132</t>
  </si>
  <si>
    <t xml:space="preserve">91TC20785</t>
  </si>
  <si>
    <t xml:space="preserve">8К10997</t>
  </si>
  <si>
    <t xml:space="preserve">8К10981</t>
  </si>
  <si>
    <t xml:space="preserve">8К10954</t>
  </si>
  <si>
    <t xml:space="preserve">09-0570</t>
  </si>
  <si>
    <t xml:space="preserve">33+</t>
  </si>
  <si>
    <t xml:space="preserve">61216180507116372</t>
  </si>
  <si>
    <t xml:space="preserve">ТСПУ 014.52</t>
  </si>
  <si>
    <t xml:space="preserve">61216200344079928</t>
  </si>
  <si>
    <t xml:space="preserve">596+</t>
  </si>
  <si>
    <t xml:space="preserve">-50…200 °С
80 мм</t>
  </si>
  <si>
    <t xml:space="preserve">8А10711</t>
  </si>
  <si>
    <t xml:space="preserve">8А10731</t>
  </si>
  <si>
    <t xml:space="preserve">8А10718</t>
  </si>
  <si>
    <t xml:space="preserve">8К10984</t>
  </si>
  <si>
    <t xml:space="preserve">8А10743</t>
  </si>
  <si>
    <t xml:space="preserve">2К021244</t>
  </si>
  <si>
    <t xml:space="preserve">8А10738</t>
  </si>
  <si>
    <t xml:space="preserve">8А10749</t>
  </si>
  <si>
    <t xml:space="preserve">уточнить номер</t>
  </si>
  <si>
    <t xml:space="preserve">91V114491</t>
  </si>
  <si>
    <t xml:space="preserve">91UB38703</t>
  </si>
  <si>
    <t xml:space="preserve">91V114313</t>
  </si>
  <si>
    <t xml:space="preserve">91UC19746</t>
  </si>
  <si>
    <t xml:space="preserve">91V114299</t>
  </si>
  <si>
    <t xml:space="preserve">91V114309</t>
  </si>
  <si>
    <t xml:space="preserve">91V11114745</t>
  </si>
  <si>
    <t xml:space="preserve">91T832296</t>
  </si>
  <si>
    <t xml:space="preserve">91UC19359</t>
  </si>
  <si>
    <t xml:space="preserve">91T832328</t>
  </si>
  <si>
    <t xml:space="preserve">91T832325</t>
  </si>
  <si>
    <t xml:space="preserve">91UC19442</t>
  </si>
  <si>
    <t xml:space="preserve">91UC19464</t>
  </si>
  <si>
    <t xml:space="preserve">91UB38698</t>
  </si>
  <si>
    <t xml:space="preserve">7000149</t>
  </si>
  <si>
    <t xml:space="preserve">P г на входе в ПУ1</t>
  </si>
  <si>
    <r>
      <rPr>
        <sz val="8"/>
        <rFont val="Times New Roman"/>
        <family val="1"/>
        <charset val="204"/>
      </rPr>
      <t xml:space="preserve">7000154  </t>
    </r>
    <r>
      <rPr>
        <sz val="8"/>
        <color rgb="FFFF0000"/>
        <rFont val="Times New Roman"/>
        <family val="1"/>
        <charset val="204"/>
      </rPr>
      <t xml:space="preserve">                         </t>
    </r>
  </si>
  <si>
    <t xml:space="preserve">P г на входе в ПУ2</t>
  </si>
  <si>
    <r>
      <rPr>
        <sz val="8"/>
        <rFont val="Times New Roman"/>
        <family val="1"/>
        <charset val="204"/>
      </rPr>
      <t xml:space="preserve">7000158  </t>
    </r>
    <r>
      <rPr>
        <sz val="8"/>
        <color rgb="FFFF0000"/>
        <rFont val="Times New Roman"/>
        <family val="1"/>
        <charset val="204"/>
      </rPr>
      <t xml:space="preserve">         </t>
    </r>
  </si>
  <si>
    <t xml:space="preserve">P г на входе в ПУ3</t>
  </si>
  <si>
    <r>
      <rPr>
        <sz val="8"/>
        <rFont val="Times New Roman"/>
        <family val="1"/>
        <charset val="204"/>
      </rPr>
      <t xml:space="preserve">7000150   </t>
    </r>
    <r>
      <rPr>
        <sz val="8"/>
        <color rgb="FFFF0000"/>
        <rFont val="Times New Roman"/>
        <family val="1"/>
        <charset val="204"/>
      </rPr>
      <t xml:space="preserve">        </t>
    </r>
  </si>
  <si>
    <t xml:space="preserve">P г на входе в ПУ4</t>
  </si>
  <si>
    <t xml:space="preserve">7000152          </t>
  </si>
  <si>
    <t xml:space="preserve">P г на входе в ПУ5</t>
  </si>
  <si>
    <t xml:space="preserve">7000156                          </t>
  </si>
  <si>
    <t xml:space="preserve">P г на входе в ПУ6</t>
  </si>
  <si>
    <t xml:space="preserve">P г на выходе из ПУ1</t>
  </si>
  <si>
    <t xml:space="preserve">P г на выходе из ПУ2</t>
  </si>
  <si>
    <t xml:space="preserve">P г на выходе из ПУ3</t>
  </si>
  <si>
    <t xml:space="preserve">P г на выходе из ПУ4</t>
  </si>
  <si>
    <t xml:space="preserve">P г на выходе из ПУ5</t>
  </si>
  <si>
    <t xml:space="preserve">P г на выходе из ПУ6</t>
  </si>
  <si>
    <t xml:space="preserve">P г до блока ПУ</t>
  </si>
  <si>
    <t xml:space="preserve">P г после блока ПУ</t>
  </si>
  <si>
    <t xml:space="preserve">P имп. г крана 36к</t>
  </si>
  <si>
    <t xml:space="preserve">7000121</t>
  </si>
  <si>
    <t xml:space="preserve">P г до крана 87</t>
  </si>
  <si>
    <t xml:space="preserve">7000302</t>
  </si>
  <si>
    <t xml:space="preserve">P г после крана 87</t>
  </si>
  <si>
    <t xml:space="preserve">700293</t>
  </si>
  <si>
    <t xml:space="preserve">P г после крана 77</t>
  </si>
  <si>
    <t xml:space="preserve">7000124</t>
  </si>
  <si>
    <t xml:space="preserve">P г до крана 77</t>
  </si>
  <si>
    <t xml:space="preserve">700033</t>
  </si>
  <si>
    <t xml:space="preserve">P технологичского газа в коллекторах</t>
  </si>
  <si>
    <t xml:space="preserve">15250</t>
  </si>
  <si>
    <t xml:space="preserve">0..10 кгс/см²</t>
  </si>
  <si>
    <t xml:space="preserve">P в блоке ёмкости Е-2</t>
  </si>
  <si>
    <t xml:space="preserve">700031</t>
  </si>
  <si>
    <t xml:space="preserve">P после клапана 101</t>
  </si>
  <si>
    <t xml:space="preserve">7000206</t>
  </si>
  <si>
    <t xml:space="preserve">-30..+50 °С</t>
  </si>
  <si>
    <t xml:space="preserve">T в блоке ёмкости Е-2</t>
  </si>
  <si>
    <t xml:space="preserve">3к26</t>
  </si>
  <si>
    <t xml:space="preserve">1938</t>
  </si>
  <si>
    <t xml:space="preserve">T в блоке ПУ</t>
  </si>
  <si>
    <t xml:space="preserve">1954</t>
  </si>
  <si>
    <t xml:space="preserve">1931</t>
  </si>
  <si>
    <t xml:space="preserve">1947</t>
  </si>
  <si>
    <t xml:space="preserve">1956</t>
  </si>
  <si>
    <t xml:space="preserve">1948</t>
  </si>
  <si>
    <t xml:space="preserve">Газоанализатор стационарный одноканальный</t>
  </si>
  <si>
    <t xml:space="preserve">Сенсор-СВ-5031-СТ</t>
  </si>
  <si>
    <t xml:space="preserve">19100330</t>
  </si>
  <si>
    <t xml:space="preserve">Загазованность по дизтопливу QISA-1</t>
  </si>
  <si>
    <t xml:space="preserve">не является средством измерения</t>
  </si>
  <si>
    <t xml:space="preserve">19100331</t>
  </si>
  <si>
    <t xml:space="preserve">Загазованность по дизтопливу QISA-2</t>
  </si>
  <si>
    <t xml:space="preserve">19100332</t>
  </si>
  <si>
    <t xml:space="preserve">Загазованность по дизтопливу QISA-3</t>
  </si>
  <si>
    <t xml:space="preserve">ТСПУ 031П</t>
  </si>
  <si>
    <t xml:space="preserve">44</t>
  </si>
  <si>
    <t xml:space="preserve">42</t>
  </si>
  <si>
    <t xml:space="preserve">43</t>
  </si>
  <si>
    <t xml:space="preserve">45</t>
  </si>
  <si>
    <t xml:space="preserve">Метран-150</t>
  </si>
  <si>
    <t xml:space="preserve">YOKOGAWA EJX110A</t>
  </si>
  <si>
    <t xml:space="preserve">91M439691 217</t>
  </si>
  <si>
    <t xml:space="preserve">91M439684 217</t>
  </si>
  <si>
    <t xml:space="preserve">ПИР RG704</t>
  </si>
  <si>
    <t xml:space="preserve">0,15…35 м/с</t>
  </si>
  <si>
    <t xml:space="preserve">Давление в емкости   Е-3</t>
  </si>
  <si>
    <t xml:space="preserve">ПМП-062</t>
  </si>
  <si>
    <t xml:space="preserve">0..1000 мм</t>
  </si>
  <si>
    <t xml:space="preserve">Уровень конденсата в емкости Е-3</t>
  </si>
  <si>
    <t xml:space="preserve">ТСП 012.52</t>
  </si>
  <si>
    <t xml:space="preserve">ВАЛКОМ ПДК-ВО-Д-63К0-А-2-Б01-Н-02-Д20</t>
  </si>
  <si>
    <t xml:space="preserve">2К021246</t>
  </si>
  <si>
    <t xml:space="preserve">Перепад давления на пылеуловителе №1</t>
  </si>
  <si>
    <t xml:space="preserve">УОГ</t>
  </si>
  <si>
    <t xml:space="preserve">2К021248</t>
  </si>
  <si>
    <t xml:space="preserve">Перепад давления на пылеуловителе №2</t>
  </si>
  <si>
    <t xml:space="preserve">2К021250</t>
  </si>
  <si>
    <t xml:space="preserve">Перепад давления на пылеуловителе №3</t>
  </si>
  <si>
    <t xml:space="preserve">2К021245</t>
  </si>
  <si>
    <t xml:space="preserve">Перепад давления на пылеуловителе №4</t>
  </si>
  <si>
    <t xml:space="preserve">2К021247</t>
  </si>
  <si>
    <t xml:space="preserve">Перепад давления на пылеуловителе №5</t>
  </si>
  <si>
    <t xml:space="preserve">2К021249</t>
  </si>
  <si>
    <t xml:space="preserve">Перепад давления на пылеуловителе №6</t>
  </si>
  <si>
    <t xml:space="preserve">700230</t>
  </si>
  <si>
    <t xml:space="preserve">0..10 бар</t>
  </si>
  <si>
    <t xml:space="preserve">Рв в камеру сгорания</t>
  </si>
  <si>
    <t xml:space="preserve">700232</t>
  </si>
  <si>
    <t xml:space="preserve">0..6 бар</t>
  </si>
  <si>
    <t xml:space="preserve">Рж.т  в камеру сгорания</t>
  </si>
  <si>
    <t xml:space="preserve">15669</t>
  </si>
  <si>
    <r>
      <rPr>
        <sz val="8"/>
        <color rgb="FF000000"/>
        <rFont val="Times New Roman"/>
        <family val="1"/>
        <charset val="204"/>
      </rPr>
      <t xml:space="preserve">0..0,6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</si>
  <si>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 после   регулятора 2</t>
  </si>
  <si>
    <t xml:space="preserve">15670</t>
  </si>
  <si>
    <t xml:space="preserve">Р после   регулятора 1</t>
  </si>
  <si>
    <t xml:space="preserve">0..160 кПa</t>
  </si>
  <si>
    <t xml:space="preserve">Давление перед газовой рампой</t>
  </si>
  <si>
    <t xml:space="preserve">Метран-75</t>
  </si>
  <si>
    <t xml:space="preserve">0..200 кПa</t>
  </si>
  <si>
    <t xml:space="preserve">Давление в инсинераторе</t>
  </si>
  <si>
    <t xml:space="preserve">Давление на входе УТО</t>
  </si>
  <si>
    <t xml:space="preserve">0..1 МПa</t>
  </si>
  <si>
    <t xml:space="preserve">Давление перед переносным насосом</t>
  </si>
  <si>
    <t xml:space="preserve">Давление после   №1</t>
  </si>
  <si>
    <t xml:space="preserve">Давление перед фильтром №2</t>
  </si>
  <si>
    <t xml:space="preserve">0..0,63 кПa</t>
  </si>
  <si>
    <t xml:space="preserve">Перепад давления на фильтре           №1</t>
  </si>
  <si>
    <t xml:space="preserve">Перепад давления на фильтре           №2</t>
  </si>
  <si>
    <t xml:space="preserve">-50..+200 °С</t>
  </si>
  <si>
    <t xml:space="preserve">Т перед вкнтилятором</t>
  </si>
  <si>
    <t xml:space="preserve">Т после пылеуловителя</t>
  </si>
  <si>
    <t xml:space="preserve">Элемер ТПУ 0304/М1</t>
  </si>
  <si>
    <t xml:space="preserve">-50..+1300 °С</t>
  </si>
  <si>
    <t xml:space="preserve">Т в камере   поджига</t>
  </si>
  <si>
    <t xml:space="preserve">Т в камере сжигания</t>
  </si>
  <si>
    <t xml:space="preserve">ТСМУ 014Сп</t>
  </si>
  <si>
    <t xml:space="preserve">Т в помешении УТО</t>
  </si>
  <si>
    <t xml:space="preserve">СГОЭС-2</t>
  </si>
  <si>
    <t xml:space="preserve">48037</t>
  </si>
  <si>
    <t xml:space="preserve">ТСМУ 014.71</t>
  </si>
  <si>
    <t xml:space="preserve">655</t>
  </si>
  <si>
    <t xml:space="preserve">Тг на входе    ГРПШ</t>
  </si>
  <si>
    <t xml:space="preserve">6103886</t>
  </si>
  <si>
    <t xml:space="preserve">Рг на входе    ГРПШ</t>
  </si>
  <si>
    <t xml:space="preserve">1976</t>
  </si>
  <si>
    <t xml:space="preserve">1118470050</t>
  </si>
  <si>
    <t xml:space="preserve">Коммерческий учет газа</t>
  </si>
  <si>
    <t xml:space="preserve">СГ-ЭК-Вз-Р-02-65/1.6</t>
  </si>
  <si>
    <t xml:space="preserve">1518470029</t>
  </si>
  <si>
    <t xml:space="preserve">RABO G40</t>
  </si>
  <si>
    <t xml:space="preserve">1418470036</t>
  </si>
  <si>
    <t xml:space="preserve">1…65 м3/ч</t>
  </si>
  <si>
    <t xml:space="preserve">Извещатель пожарный тепловой</t>
  </si>
  <si>
    <t xml:space="preserve">ИП103-1В-С-А</t>
  </si>
  <si>
    <t xml:space="preserve">833</t>
  </si>
  <si>
    <t xml:space="preserve">827</t>
  </si>
  <si>
    <t xml:space="preserve">Регулятор температуры</t>
  </si>
  <si>
    <t xml:space="preserve">УВТР-10А.4(РТ)</t>
  </si>
  <si>
    <t xml:space="preserve">7038</t>
  </si>
  <si>
    <t xml:space="preserve">-50..+60 °С</t>
  </si>
  <si>
    <t xml:space="preserve">ТБ2</t>
  </si>
  <si>
    <t xml:space="preserve">4122</t>
  </si>
  <si>
    <t xml:space="preserve">Т жидких отходов</t>
  </si>
  <si>
    <t xml:space="preserve">Метран 2700</t>
  </si>
  <si>
    <t xml:space="preserve">2471845</t>
  </si>
  <si>
    <t xml:space="preserve">0..+100 °С</t>
  </si>
  <si>
    <t xml:space="preserve">700233</t>
  </si>
  <si>
    <t xml:space="preserve">Рг перед горелкой 1</t>
  </si>
  <si>
    <t xml:space="preserve">700231</t>
  </si>
  <si>
    <t xml:space="preserve">Рг перед горелкой 2</t>
  </si>
  <si>
    <t xml:space="preserve">15668</t>
  </si>
  <si>
    <t xml:space="preserve">Электроконтактный манометр</t>
  </si>
  <si>
    <t xml:space="preserve">ДМ2005СгУ2</t>
  </si>
  <si>
    <t xml:space="preserve">700054</t>
  </si>
  <si>
    <t xml:space="preserve">0..4 кгс/см²</t>
  </si>
  <si>
    <t xml:space="preserve">Р на входе в отсек теплоносителя</t>
  </si>
  <si>
    <t xml:space="preserve">Отсек теплоносителя</t>
  </si>
  <si>
    <t xml:space="preserve">3567</t>
  </si>
  <si>
    <t xml:space="preserve">0..+150 °С</t>
  </si>
  <si>
    <t xml:space="preserve">Т на входе в отсек теплоносителя</t>
  </si>
  <si>
    <t xml:space="preserve">700043</t>
  </si>
  <si>
    <t xml:space="preserve">0..600 кПa</t>
  </si>
  <si>
    <t xml:space="preserve">Ртн на выходе котла №1</t>
  </si>
  <si>
    <t xml:space="preserve">Росма БТ3</t>
  </si>
  <si>
    <t xml:space="preserve">0..+350 °С</t>
  </si>
  <si>
    <t xml:space="preserve">Т дымовых гвзов котла №2</t>
  </si>
  <si>
    <t xml:space="preserve">9693</t>
  </si>
  <si>
    <t xml:space="preserve">Ттн на выходе котла №1</t>
  </si>
  <si>
    <t xml:space="preserve">3к25</t>
  </si>
  <si>
    <t xml:space="preserve">Т дымовых гвзов котла №1</t>
  </si>
  <si>
    <t xml:space="preserve">Росма          КМ2</t>
  </si>
  <si>
    <t xml:space="preserve">0..25 кПa</t>
  </si>
  <si>
    <t xml:space="preserve">Рг  перед котлом №1</t>
  </si>
  <si>
    <t xml:space="preserve">700044</t>
  </si>
  <si>
    <t xml:space="preserve">Ртн на выходе котла №2</t>
  </si>
  <si>
    <t xml:space="preserve">Ттн на выходе котла №2</t>
  </si>
  <si>
    <t xml:space="preserve">Рг  перед котлом №2</t>
  </si>
  <si>
    <t xml:space="preserve">051750</t>
  </si>
  <si>
    <t xml:space="preserve">Ртн перед насосом #1</t>
  </si>
  <si>
    <t xml:space="preserve">Ртн после насоса №1</t>
  </si>
  <si>
    <t xml:space="preserve">Ттн в общем коллекторе</t>
  </si>
  <si>
    <t xml:space="preserve">М-3ВУУ2</t>
  </si>
  <si>
    <r>
      <rPr>
        <sz val="8"/>
        <color rgb="FF000000"/>
        <rFont val="Times New Roman"/>
        <family val="1"/>
        <charset val="204"/>
      </rPr>
      <t xml:space="preserve">     0….6 кгс/см</t>
    </r>
    <r>
      <rPr>
        <vertAlign val="superscript"/>
        <sz val="8"/>
        <color rgb="FF000000"/>
        <rFont val="Times New Roman"/>
        <family val="1"/>
        <charset val="204"/>
      </rPr>
      <t xml:space="preserve">2</t>
    </r>
  </si>
  <si>
    <t xml:space="preserve">Ртн после насоса №2</t>
  </si>
  <si>
    <t xml:space="preserve">замена</t>
  </si>
  <si>
    <t xml:space="preserve">051751</t>
  </si>
  <si>
    <t xml:space="preserve">Ртн в общем коллекторе</t>
  </si>
  <si>
    <t xml:space="preserve">Р перед насосом №2</t>
  </si>
  <si>
    <t xml:space="preserve">Метран-276-02</t>
  </si>
  <si>
    <t xml:space="preserve">-50..+150 °С</t>
  </si>
  <si>
    <t xml:space="preserve">Т в общем коллекторе</t>
  </si>
  <si>
    <t xml:space="preserve">Р в общем коллекторе</t>
  </si>
  <si>
    <t xml:space="preserve">Сигнализатор загазованности</t>
  </si>
  <si>
    <t xml:space="preserve">ДГТ-902</t>
  </si>
  <si>
    <t xml:space="preserve">Метан CH4</t>
  </si>
  <si>
    <t xml:space="preserve">Загазованность в отсеке теплоносителя (СН4)</t>
  </si>
  <si>
    <t xml:space="preserve">Учет топливного газа подготовки теплоносителя.</t>
  </si>
  <si>
    <t xml:space="preserve">СГ-ЭК-Вз-Р-02-25/1,6</t>
  </si>
  <si>
    <t xml:space="preserve">1518040043</t>
  </si>
  <si>
    <t xml:space="preserve">Уже внесен кем-то</t>
  </si>
  <si>
    <t xml:space="preserve">RVG G16</t>
  </si>
  <si>
    <t xml:space="preserve">1218040030</t>
  </si>
  <si>
    <t xml:space="preserve">0,8…25 м3/ч</t>
  </si>
  <si>
    <t xml:space="preserve">0..25 МПa</t>
  </si>
  <si>
    <t xml:space="preserve">Рг на входе УПТГ</t>
  </si>
  <si>
    <t xml:space="preserve">Технологический отсек</t>
  </si>
  <si>
    <t xml:space="preserve">700041</t>
  </si>
  <si>
    <t xml:space="preserve">0..16 МПa</t>
  </si>
  <si>
    <t xml:space="preserve">700042</t>
  </si>
  <si>
    <t xml:space="preserve">Рг перед фильтром-сепаратором №1</t>
  </si>
  <si>
    <t xml:space="preserve">700044А</t>
  </si>
  <si>
    <t xml:space="preserve">Рг перед фильтром-сепаратором №2</t>
  </si>
  <si>
    <t xml:space="preserve">700051</t>
  </si>
  <si>
    <t xml:space="preserve">Рг в дренаже</t>
  </si>
  <si>
    <t xml:space="preserve">700045</t>
  </si>
  <si>
    <t xml:space="preserve">Рг на выходе с фильтров</t>
  </si>
  <si>
    <t xml:space="preserve">Метран-276-08</t>
  </si>
  <si>
    <t xml:space="preserve">Т на входе УПТГ</t>
  </si>
  <si>
    <t xml:space="preserve">3417</t>
  </si>
  <si>
    <t xml:space="preserve">-30..+60 °С</t>
  </si>
  <si>
    <t xml:space="preserve">Сигнализатор уровня ультразвуковой</t>
  </si>
  <si>
    <t xml:space="preserve">РИЗУР-1100-0-1Н-5-75-16-М-430/180-Д-Х-П-660-840(А)</t>
  </si>
  <si>
    <t xml:space="preserve">КИ286-1-2-13919</t>
  </si>
  <si>
    <t xml:space="preserve">Уровень в дренаже</t>
  </si>
  <si>
    <t xml:space="preserve">Метран 150CD</t>
  </si>
  <si>
    <t xml:space="preserve">0..250 кПa</t>
  </si>
  <si>
    <t xml:space="preserve">Перепад на фильтрах</t>
  </si>
  <si>
    <t xml:space="preserve">Turbo Flow PS</t>
  </si>
  <si>
    <t xml:space="preserve">403908</t>
  </si>
  <si>
    <t xml:space="preserve">0..10 МПa</t>
  </si>
  <si>
    <t xml:space="preserve">В составе расходомера</t>
  </si>
  <si>
    <t xml:space="preserve">Расходомер термоанемометрический</t>
  </si>
  <si>
    <t xml:space="preserve">TFG-HF</t>
  </si>
  <si>
    <t xml:space="preserve">6915</t>
  </si>
  <si>
    <t xml:space="preserve">0,05…1200 м3/ч</t>
  </si>
  <si>
    <t xml:space="preserve">Т в технологическом отсеке</t>
  </si>
  <si>
    <t xml:space="preserve">ДМ2005Сг1ЕхУ2</t>
  </si>
  <si>
    <t xml:space="preserve">201623</t>
  </si>
  <si>
    <t xml:space="preserve">0..1,6 МПa</t>
  </si>
  <si>
    <t xml:space="preserve">Р в подогревателе №2</t>
  </si>
  <si>
    <t xml:space="preserve">201436</t>
  </si>
  <si>
    <t xml:space="preserve">Р в подогревателе №1</t>
  </si>
  <si>
    <t xml:space="preserve">7441</t>
  </si>
  <si>
    <t xml:space="preserve">Тг на выходе подогревателя №1</t>
  </si>
  <si>
    <t xml:space="preserve">7467</t>
  </si>
  <si>
    <t xml:space="preserve">Тг на выходе подогревателя №2</t>
  </si>
  <si>
    <t xml:space="preserve">700043А</t>
  </si>
  <si>
    <t xml:space="preserve">Р на выходе подогревателя электрического</t>
  </si>
  <si>
    <t xml:space="preserve">Росма КМ2</t>
  </si>
  <si>
    <t xml:space="preserve">700050</t>
  </si>
  <si>
    <t xml:space="preserve">0..4 кПa</t>
  </si>
  <si>
    <t xml:space="preserve">Рг после РД4</t>
  </si>
  <si>
    <t xml:space="preserve">700049</t>
  </si>
  <si>
    <t xml:space="preserve">Рг после РД3</t>
  </si>
  <si>
    <t xml:space="preserve">700046</t>
  </si>
  <si>
    <t xml:space="preserve">Рг после регулятора</t>
  </si>
  <si>
    <t xml:space="preserve">700064</t>
  </si>
  <si>
    <t xml:space="preserve">Рг после РД2</t>
  </si>
  <si>
    <t xml:space="preserve">700048</t>
  </si>
  <si>
    <t xml:space="preserve">Рг после РД1</t>
  </si>
  <si>
    <t xml:space="preserve">Тг на линии редуцирования</t>
  </si>
  <si>
    <t xml:space="preserve">Перепад установки УПИГ</t>
  </si>
  <si>
    <t xml:space="preserve">МП100</t>
  </si>
  <si>
    <t xml:space="preserve">1805691462</t>
  </si>
  <si>
    <t xml:space="preserve">М1/КР13 Давление входа</t>
  </si>
  <si>
    <t xml:space="preserve">1803211630</t>
  </si>
  <si>
    <t xml:space="preserve">-100..+0 кПа</t>
  </si>
  <si>
    <t xml:space="preserve">В1/ДВ1 Вакуумирование</t>
  </si>
  <si>
    <t xml:space="preserve">1805691456</t>
  </si>
  <si>
    <t xml:space="preserve">М2/КР14 Давление выхода</t>
  </si>
  <si>
    <t xml:space="preserve">1805691473</t>
  </si>
  <si>
    <t xml:space="preserve">М3/КР15 Давление А1</t>
  </si>
  <si>
    <t xml:space="preserve">1805691468</t>
  </si>
  <si>
    <t xml:space="preserve">М4/КР16 Давление А2</t>
  </si>
  <si>
    <t xml:space="preserve">700053</t>
  </si>
  <si>
    <t xml:space="preserve">0..4 bar</t>
  </si>
  <si>
    <t xml:space="preserve">Давление газа после Р2.</t>
  </si>
  <si>
    <t xml:space="preserve">700052</t>
  </si>
  <si>
    <t xml:space="preserve">0..25 bar</t>
  </si>
  <si>
    <t xml:space="preserve">Давление газа после Р1.</t>
  </si>
  <si>
    <t xml:space="preserve">Извещатель пламени инфракрасный</t>
  </si>
  <si>
    <t xml:space="preserve">ИП 330/1-20-A1</t>
  </si>
  <si>
    <t xml:space="preserve">000027</t>
  </si>
  <si>
    <t xml:space="preserve">BTF 1</t>
  </si>
  <si>
    <t xml:space="preserve">000026</t>
  </si>
  <si>
    <t xml:space="preserve">BTF 2</t>
  </si>
  <si>
    <t xml:space="preserve">87605</t>
  </si>
  <si>
    <t xml:space="preserve">QE1</t>
  </si>
  <si>
    <t xml:space="preserve">87675</t>
  </si>
  <si>
    <t xml:space="preserve">QE2</t>
  </si>
  <si>
    <t xml:space="preserve">2422388</t>
  </si>
  <si>
    <t xml:space="preserve">Тг после линии редуцирования</t>
  </si>
  <si>
    <t xml:space="preserve">Газоанализатор электрохимический</t>
  </si>
  <si>
    <t xml:space="preserve">ДАХ-М-06ТР</t>
  </si>
  <si>
    <t xml:space="preserve">210910</t>
  </si>
  <si>
    <t xml:space="preserve">Оксид углерода (СО)</t>
  </si>
  <si>
    <t xml:space="preserve">Загазованность в отсеке теплоносителя (СО)</t>
  </si>
  <si>
    <t xml:space="preserve">ДАК-CH4-129</t>
  </si>
  <si>
    <t xml:space="preserve">211003</t>
  </si>
  <si>
    <t xml:space="preserve">Метан (СН4)</t>
  </si>
  <si>
    <t xml:space="preserve">50282</t>
  </si>
  <si>
    <t xml:space="preserve">Р после Кр7</t>
  </si>
  <si>
    <t xml:space="preserve">ПЭБ КЦ №7</t>
  </si>
  <si>
    <t xml:space="preserve">051758</t>
  </si>
  <si>
    <t xml:space="preserve">Р перед Фобр</t>
  </si>
  <si>
    <t xml:space="preserve">Росма БТ5</t>
  </si>
  <si>
    <t xml:space="preserve">7000216</t>
  </si>
  <si>
    <t xml:space="preserve">0..+120 °С</t>
  </si>
  <si>
    <t xml:space="preserve">Т перед Кр6</t>
  </si>
  <si>
    <t xml:space="preserve">0052475</t>
  </si>
  <si>
    <t xml:space="preserve">Р на входе теплообменника после насоса</t>
  </si>
  <si>
    <t xml:space="preserve">61119</t>
  </si>
  <si>
    <t xml:space="preserve">0..0,6 МПa</t>
  </si>
  <si>
    <t xml:space="preserve">Р перед регулятором</t>
  </si>
  <si>
    <t xml:space="preserve">Т после Кр5</t>
  </si>
  <si>
    <t xml:space="preserve">15195</t>
  </si>
  <si>
    <t xml:space="preserve">Р после Кр5</t>
  </si>
  <si>
    <t xml:space="preserve">211222535</t>
  </si>
  <si>
    <t xml:space="preserve">Р перед Кр2</t>
  </si>
  <si>
    <t xml:space="preserve">50281</t>
  </si>
  <si>
    <t xml:space="preserve">Р после Ф</t>
  </si>
  <si>
    <t xml:space="preserve">7000225</t>
  </si>
  <si>
    <t xml:space="preserve">Т перед регулятором клапана</t>
  </si>
  <si>
    <t xml:space="preserve">051759</t>
  </si>
  <si>
    <t xml:space="preserve">Р перед Ф</t>
  </si>
  <si>
    <t xml:space="preserve">7000229</t>
  </si>
  <si>
    <t xml:space="preserve">Т на входе</t>
  </si>
  <si>
    <t xml:space="preserve">0051627</t>
  </si>
  <si>
    <t xml:space="preserve">Р перед Кр10</t>
  </si>
  <si>
    <t xml:space="preserve">7000227</t>
  </si>
  <si>
    <t xml:space="preserve">Т перед Кр4</t>
  </si>
  <si>
    <t xml:space="preserve">15426</t>
  </si>
  <si>
    <t xml:space="preserve">0..16 кгс/см²</t>
  </si>
  <si>
    <t xml:space="preserve">Р на выходе теплообменника до регулятора</t>
  </si>
  <si>
    <t xml:space="preserve">Т на выходе теплообменника до регулятора</t>
  </si>
  <si>
    <t xml:space="preserve">051756</t>
  </si>
  <si>
    <t xml:space="preserve">Р после Фобр</t>
  </si>
  <si>
    <t xml:space="preserve">7000231</t>
  </si>
  <si>
    <t xml:space="preserve">Т перед Кр5</t>
  </si>
  <si>
    <t xml:space="preserve">0051573</t>
  </si>
  <si>
    <t xml:space="preserve">Р перед Кр9</t>
  </si>
  <si>
    <t xml:space="preserve">Т после  Кр9</t>
  </si>
  <si>
    <t xml:space="preserve">0051753</t>
  </si>
  <si>
    <t xml:space="preserve">Р перед Кр6</t>
  </si>
  <si>
    <t xml:space="preserve">Росма ТМ3</t>
  </si>
  <si>
    <t xml:space="preserve">7000235</t>
  </si>
  <si>
    <t xml:space="preserve">Р перед насосом</t>
  </si>
  <si>
    <t xml:space="preserve">7000236</t>
  </si>
  <si>
    <t xml:space="preserve">Р после насоса</t>
  </si>
  <si>
    <t xml:space="preserve">7000237</t>
  </si>
  <si>
    <t xml:space="preserve">Р после Кр6</t>
  </si>
  <si>
    <t xml:space="preserve">Т перед  Кр2</t>
  </si>
  <si>
    <t xml:space="preserve">211207240</t>
  </si>
  <si>
    <t xml:space="preserve">Р перед кр4</t>
  </si>
  <si>
    <t xml:space="preserve">1322004</t>
  </si>
  <si>
    <r>
      <rPr>
        <sz val="8"/>
        <rFont val="Times New Roman"/>
        <family val="1"/>
        <charset val="204"/>
      </rPr>
      <t xml:space="preserve">0..6 кг/см</t>
    </r>
    <r>
      <rPr>
        <vertAlign val="superscript"/>
        <sz val="8"/>
        <rFont val="Times New Roman"/>
        <family val="1"/>
        <charset val="204"/>
      </rPr>
      <t xml:space="preserve">2</t>
    </r>
  </si>
  <si>
    <t xml:space="preserve">Р после клапана регулятора на входе в теплообменник</t>
  </si>
  <si>
    <t xml:space="preserve">7000215</t>
  </si>
  <si>
    <t xml:space="preserve">Р в коллекторах</t>
  </si>
  <si>
    <t xml:space="preserve">1321994</t>
  </si>
  <si>
    <t xml:space="preserve">0..6 кг/см2</t>
  </si>
  <si>
    <t xml:space="preserve">Р перед кр5</t>
  </si>
  <si>
    <t xml:space="preserve">0052415</t>
  </si>
  <si>
    <t xml:space="preserve">Р после Ф перед насосом</t>
  </si>
  <si>
    <t xml:space="preserve">0051789</t>
  </si>
  <si>
    <t xml:space="preserve">Р после кр9</t>
  </si>
  <si>
    <t xml:space="preserve">7000246</t>
  </si>
  <si>
    <t xml:space="preserve">Т перед регулятором</t>
  </si>
  <si>
    <t xml:space="preserve">15194</t>
  </si>
  <si>
    <t xml:space="preserve">Р перед Ф после кр10</t>
  </si>
  <si>
    <t xml:space="preserve">7000248</t>
  </si>
  <si>
    <t xml:space="preserve">Т перед кр9</t>
  </si>
  <si>
    <t xml:space="preserve">61120</t>
  </si>
  <si>
    <t xml:space="preserve">Р перед регулирующим клапаном</t>
  </si>
  <si>
    <t xml:space="preserve">(Тепловычислитель)       Взлет-ТСРВ </t>
  </si>
  <si>
    <t xml:space="preserve">ТСРВ-027</t>
  </si>
  <si>
    <t xml:space="preserve">Многопараметр.</t>
  </si>
  <si>
    <t xml:space="preserve">ПГ 0,5%</t>
  </si>
  <si>
    <t xml:space="preserve">Автоматизированный т/пункт "ВЗЛЕТ АТП"</t>
  </si>
  <si>
    <t xml:space="preserve">СТВС (КЦ №7)</t>
  </si>
  <si>
    <t xml:space="preserve">(Теплосчетчик регистратор)   Взлет-ТСР-М </t>
  </si>
  <si>
    <t xml:space="preserve">ТСР-027</t>
  </si>
  <si>
    <t xml:space="preserve">16.11.2018</t>
  </si>
  <si>
    <t xml:space="preserve">(Расходомер-счетчик электромагнитный)      ВЗЛЕТ ЭР</t>
  </si>
  <si>
    <t xml:space="preserve">ЭРСВ-440ЛВ</t>
  </si>
  <si>
    <t xml:space="preserve">(Датчик избыточного давления)                  </t>
  </si>
  <si>
    <t xml:space="preserve">КОРУНД-ДИ-001М</t>
  </si>
  <si>
    <t xml:space="preserve">220147</t>
  </si>
  <si>
    <t xml:space="preserve">Рв после фильтра</t>
  </si>
  <si>
    <t xml:space="preserve">25.10.2018</t>
  </si>
  <si>
    <t xml:space="preserve">212982</t>
  </si>
  <si>
    <t xml:space="preserve">Рв перед кр2</t>
  </si>
  <si>
    <t xml:space="preserve">(Термопреобразователь сопротивления) ВЗЛЕТ ТПС</t>
  </si>
  <si>
    <t xml:space="preserve">ТПС</t>
  </si>
  <si>
    <t xml:space="preserve">1827632</t>
  </si>
  <si>
    <r>
      <rPr>
        <sz val="8"/>
        <color rgb="FF000000"/>
        <rFont val="Times New Roman"/>
        <family val="1"/>
        <charset val="204"/>
      </rPr>
      <t xml:space="preserve">0…180 </t>
    </r>
    <r>
      <rPr>
        <sz val="8"/>
        <color rgb="FF000000"/>
        <rFont val="Calibri"/>
        <family val="2"/>
        <charset val="204"/>
      </rPr>
      <t xml:space="preserve">°</t>
    </r>
    <r>
      <rPr>
        <sz val="9.2"/>
        <color rgb="FF000000"/>
        <rFont val="Times New Roman"/>
        <family val="1"/>
        <charset val="204"/>
      </rPr>
      <t xml:space="preserve">С</t>
    </r>
  </si>
  <si>
    <t xml:space="preserve">Тв на выходе теплообменника</t>
  </si>
  <si>
    <t xml:space="preserve">24.12.2018</t>
  </si>
  <si>
    <t xml:space="preserve">1827627</t>
  </si>
  <si>
    <t xml:space="preserve">Тв после кр9</t>
  </si>
  <si>
    <t xml:space="preserve">1819723</t>
  </si>
  <si>
    <r>
      <rPr>
        <sz val="8"/>
        <color rgb="FF000000"/>
        <rFont val="Times New Roman"/>
        <family val="1"/>
        <charset val="204"/>
      </rPr>
      <t xml:space="preserve">-50…100 </t>
    </r>
    <r>
      <rPr>
        <sz val="8"/>
        <color rgb="FF000000"/>
        <rFont val="Calibri"/>
        <family val="2"/>
        <charset val="204"/>
      </rPr>
      <t xml:space="preserve">°</t>
    </r>
    <r>
      <rPr>
        <sz val="9.2"/>
        <color rgb="FF000000"/>
        <rFont val="Times New Roman"/>
        <family val="1"/>
        <charset val="204"/>
      </rPr>
      <t xml:space="preserve">С</t>
    </r>
  </si>
  <si>
    <t xml:space="preserve">Тв перед кр4</t>
  </si>
  <si>
    <t xml:space="preserve">1819906</t>
  </si>
  <si>
    <t xml:space="preserve">Тв перед кр5</t>
  </si>
  <si>
    <t xml:space="preserve">04.12.2018</t>
  </si>
  <si>
    <t xml:space="preserve">1821457</t>
  </si>
  <si>
    <t xml:space="preserve">Тв перед регулятором</t>
  </si>
  <si>
    <t xml:space="preserve">1821484</t>
  </si>
  <si>
    <t xml:space="preserve">Тв перед кр2</t>
  </si>
  <si>
    <t xml:space="preserve">ЭРСВ-540ЛВ (мдификация ЛАЙТ М)</t>
  </si>
  <si>
    <t xml:space="preserve">1928378</t>
  </si>
  <si>
    <t xml:space="preserve">2019</t>
  </si>
  <si>
    <t xml:space="preserve">ПГ 0,15%</t>
  </si>
  <si>
    <t xml:space="preserve">10.10.2019</t>
  </si>
  <si>
    <t xml:space="preserve">15253</t>
  </si>
  <si>
    <t xml:space="preserve">МОП</t>
  </si>
  <si>
    <t xml:space="preserve">16.07.2026</t>
  </si>
  <si>
    <t xml:space="preserve">7000131</t>
  </si>
  <si>
    <t xml:space="preserve">P импульсного газа на УП</t>
  </si>
  <si>
    <t xml:space="preserve">212027933</t>
  </si>
  <si>
    <t xml:space="preserve">P импульсного газа крана 7р (фильтр)</t>
  </si>
  <si>
    <t xml:space="preserve">311423</t>
  </si>
  <si>
    <t xml:space="preserve">P импульсного газа крана 7р (до фильтра)</t>
  </si>
  <si>
    <t xml:space="preserve">7000153</t>
  </si>
  <si>
    <t xml:space="preserve">0..160 кгс/см2</t>
  </si>
  <si>
    <t xml:space="preserve">P импульсного газа крана 7с (фильтр)</t>
  </si>
  <si>
    <t xml:space="preserve">7000133</t>
  </si>
  <si>
    <t xml:space="preserve">P импульсного газа крана 7с (до фильтра)</t>
  </si>
  <si>
    <t xml:space="preserve">212027940</t>
  </si>
  <si>
    <t xml:space="preserve">P импульсного газа крана 7-1р1 (фильтр)</t>
  </si>
  <si>
    <t xml:space="preserve">212032063</t>
  </si>
  <si>
    <t xml:space="preserve">P импульсного газа крана 7-1р1 (до фильтра)</t>
  </si>
  <si>
    <t xml:space="preserve">P импульсного газа крана 7-1р2 (фильтр)</t>
  </si>
  <si>
    <t xml:space="preserve">7000139</t>
  </si>
  <si>
    <t xml:space="preserve">P импульсного газа крана 7-1р2 (до фильтра)</t>
  </si>
  <si>
    <t xml:space="preserve">15435</t>
  </si>
  <si>
    <t xml:space="preserve">P импульсного газа крана 2т (фильтр)</t>
  </si>
  <si>
    <t xml:space="preserve">309019</t>
  </si>
  <si>
    <t xml:space="preserve">P импульсного газа крана 2т (до фильтра)</t>
  </si>
  <si>
    <t xml:space="preserve">15228</t>
  </si>
  <si>
    <t xml:space="preserve">P импульсного газа крана 4т (фильтр)</t>
  </si>
  <si>
    <t xml:space="preserve">312551</t>
  </si>
  <si>
    <t xml:space="preserve">P импульсного газа крана 4т (до фильтра)</t>
  </si>
  <si>
    <t xml:space="preserve">15226</t>
  </si>
  <si>
    <t xml:space="preserve">P импульсного газа крана 3т (фильтр)</t>
  </si>
  <si>
    <t xml:space="preserve">232017119</t>
  </si>
  <si>
    <t xml:space="preserve">P импульсного газа крана 3т (до фильтра)</t>
  </si>
  <si>
    <t xml:space="preserve">15666</t>
  </si>
  <si>
    <t xml:space="preserve">P импульсного газа крана 1т (фильтр)</t>
  </si>
  <si>
    <t xml:space="preserve">7000134</t>
  </si>
  <si>
    <t xml:space="preserve">P импульсного газа крана 1т (до фильтра)</t>
  </si>
  <si>
    <t xml:space="preserve">15667</t>
  </si>
  <si>
    <t xml:space="preserve">P импульсного газа крана 1с (фильтр)</t>
  </si>
  <si>
    <t xml:space="preserve">15325</t>
  </si>
  <si>
    <t xml:space="preserve">P импульсного газа крана 1с (до фильтра)</t>
  </si>
  <si>
    <t xml:space="preserve">7000148</t>
  </si>
  <si>
    <t xml:space="preserve">P импульсного газа крана 2с (фильтр)</t>
  </si>
  <si>
    <t xml:space="preserve">310380</t>
  </si>
  <si>
    <t xml:space="preserve">P импульсного газа крана 2с (до фильтра)</t>
  </si>
  <si>
    <t xml:space="preserve">15263</t>
  </si>
  <si>
    <t xml:space="preserve">P импульсного газа крана 3с (фильтр)</t>
  </si>
  <si>
    <t xml:space="preserve">7000137</t>
  </si>
  <si>
    <t xml:space="preserve">P импульсного газа крана 3с (до фильтра)</t>
  </si>
  <si>
    <t xml:space="preserve">7000274</t>
  </si>
  <si>
    <t xml:space="preserve">P импульсного газа крана 20-7</t>
  </si>
  <si>
    <t xml:space="preserve">004463</t>
  </si>
  <si>
    <t xml:space="preserve">P импульсного газа крана 8р2 (фильтр)</t>
  </si>
  <si>
    <t xml:space="preserve">2097322</t>
  </si>
  <si>
    <t xml:space="preserve">P импульсного газа крана 8р2 (до фильтра)</t>
  </si>
  <si>
    <t xml:space="preserve">15551</t>
  </si>
  <si>
    <t xml:space="preserve">P импульсного газа крана 8с (фильтр)</t>
  </si>
  <si>
    <t xml:space="preserve">7000144</t>
  </si>
  <si>
    <t xml:space="preserve">P импульсного газа крана 8с (до фильтра)</t>
  </si>
  <si>
    <t xml:space="preserve">212027983</t>
  </si>
  <si>
    <t xml:space="preserve">P импульсного газа крана 8р1 (фильтр)</t>
  </si>
  <si>
    <t xml:space="preserve">15535</t>
  </si>
  <si>
    <t xml:space="preserve">P импульсного газа крана 8р1 (до фильтра)</t>
  </si>
  <si>
    <t xml:space="preserve">212027929</t>
  </si>
  <si>
    <t xml:space="preserve">P импульсного газа крана 26 (фильтр)</t>
  </si>
  <si>
    <t xml:space="preserve">7000135</t>
  </si>
  <si>
    <t xml:space="preserve">P импульсного газа крана 26 (до фильтра)</t>
  </si>
  <si>
    <t xml:space="preserve">212027932</t>
  </si>
  <si>
    <t xml:space="preserve">P импульсного газа крана Г-7 КЗ</t>
  </si>
  <si>
    <t xml:space="preserve">212033572</t>
  </si>
  <si>
    <t xml:space="preserve">P импульсного газа крана 22</t>
  </si>
  <si>
    <t xml:space="preserve">15554</t>
  </si>
  <si>
    <t xml:space="preserve">P импульсного газа крана 23</t>
  </si>
  <si>
    <t xml:space="preserve">15215</t>
  </si>
  <si>
    <t xml:space="preserve">P импульсного газа крана 24</t>
  </si>
  <si>
    <t xml:space="preserve">28552</t>
  </si>
  <si>
    <t xml:space="preserve">002338</t>
  </si>
  <si>
    <t xml:space="preserve">P импульсного газа крана 27</t>
  </si>
  <si>
    <t xml:space="preserve">15650</t>
  </si>
  <si>
    <t xml:space="preserve">P импульсного газа крана 28</t>
  </si>
  <si>
    <t xml:space="preserve">15541</t>
  </si>
  <si>
    <t xml:space="preserve">P  газа после крана 8</t>
  </si>
  <si>
    <t xml:space="preserve">311028</t>
  </si>
  <si>
    <t xml:space="preserve">P  газа до  крана 8</t>
  </si>
  <si>
    <t xml:space="preserve">7000142</t>
  </si>
  <si>
    <t xml:space="preserve">P топливного газа </t>
  </si>
  <si>
    <t xml:space="preserve">7000143</t>
  </si>
  <si>
    <t xml:space="preserve">P газа после крана 7-1</t>
  </si>
  <si>
    <t xml:space="preserve">2097325</t>
  </si>
  <si>
    <t xml:space="preserve">P газа до   крана 7-1</t>
  </si>
  <si>
    <t xml:space="preserve">7000136</t>
  </si>
  <si>
    <t xml:space="preserve">P газа до   крана 7</t>
  </si>
  <si>
    <t xml:space="preserve">15074</t>
  </si>
  <si>
    <r>
      <rPr>
        <sz val="8"/>
        <color rgb="FF000000"/>
        <rFont val="Times New Roman"/>
        <family val="1"/>
        <charset val="204"/>
      </rPr>
      <t xml:space="preserve">0..160 кгс/см</t>
    </r>
    <r>
      <rPr>
        <vertAlign val="superscript"/>
        <sz val="8"/>
        <color rgb="FF000000"/>
        <rFont val="Times New Roman"/>
        <family val="1"/>
        <charset val="204"/>
      </rPr>
      <t xml:space="preserve">3</t>
    </r>
  </si>
  <si>
    <t xml:space="preserve">P импульсного газа</t>
  </si>
  <si>
    <t xml:space="preserve">Метран 150 TGR</t>
  </si>
  <si>
    <t xml:space="preserve">Рг  до крана 7-1</t>
  </si>
  <si>
    <t xml:space="preserve">Рг  после крана 7-1</t>
  </si>
  <si>
    <t xml:space="preserve">Рг  до крана 7</t>
  </si>
  <si>
    <t xml:space="preserve">Рг  после крана 7</t>
  </si>
  <si>
    <t xml:space="preserve">Рг  после крана 20</t>
  </si>
  <si>
    <t xml:space="preserve">Рг  до крана 20</t>
  </si>
  <si>
    <t xml:space="preserve">Рг  до крана 8</t>
  </si>
  <si>
    <t xml:space="preserve">Рг  после крана 8</t>
  </si>
  <si>
    <t xml:space="preserve">Рг в аккумуляторе импульсного газа крана 8</t>
  </si>
  <si>
    <t xml:space="preserve">Р топливного газа</t>
  </si>
  <si>
    <t xml:space="preserve">Метран 150 TAR</t>
  </si>
  <si>
    <t xml:space="preserve">0..16 кПа</t>
  </si>
  <si>
    <t xml:space="preserve">Р атмосферного воздуъа</t>
  </si>
  <si>
    <t xml:space="preserve">-50..+150 °С (120мм)</t>
  </si>
  <si>
    <t xml:space="preserve">0,5-0,6%</t>
  </si>
  <si>
    <t xml:space="preserve">Уровень защитного катализатора на трубопроводе</t>
  </si>
  <si>
    <t xml:space="preserve">ТСПУ 031С</t>
  </si>
  <si>
    <t xml:space="preserve">-50..+200 °С (120мм)</t>
  </si>
  <si>
    <t xml:space="preserve">Температура атмосферного воздуха</t>
  </si>
  <si>
    <t xml:space="preserve">0…..6 кгс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</si>
</sst>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m/d/yyyy"/>
    <numFmt numFmtId="166" formatCode="dd/mm/yy;@"/>
    <numFmt numFmtId="167" formatCode="@"/>
    <numFmt numFmtId="168" formatCode="General"/>
    <numFmt numFmtId="169" formatCode="0.00%"/>
    <numFmt numFmtId="170" formatCode="0%"/>
    <numFmt numFmtId="171" formatCode="0.000%"/>
    <numFmt numFmtId="172" formatCode="0.0"/>
    <numFmt numFmtId="173" formatCode="mmm\-yy"/>
    <numFmt numFmtId="174" formatCode="[$-419]mmm\.yy"/>
    <numFmt numFmtId="175" formatCode="[$-419]dd\.mmm"/>
    <numFmt numFmtId="176" formatCode="dd\.mm\.yyyy"/>
    <numFmt numFmtId="177" formatCode="d\-mmm"/>
  </numFmts>
  <fonts count="22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204"/>
    </font>
    <font>
      <sz val="8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8"/>
      <color rgb="FF000000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sz val="8"/>
      <color rgb="FFFFFFFF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9"/>
      <name val="Times New Roman"/>
      <family val="1"/>
      <charset val="204"/>
    </font>
    <font>
      <sz val="8"/>
      <name val="Calibri"/>
      <family val="2"/>
      <charset val="204"/>
    </font>
    <font>
      <sz val="8"/>
      <color rgb="FFFF0000"/>
      <name val="Calibri"/>
      <family val="2"/>
      <charset val="204"/>
    </font>
    <font>
      <sz val="8"/>
      <color rgb="FFFF0000"/>
      <name val="Times New Roman"/>
      <family val="1"/>
      <charset val="204"/>
    </font>
    <font>
      <sz val="12"/>
      <color rgb="FF000000"/>
      <name val="Calibri"/>
      <family val="2"/>
      <charset val="204"/>
    </font>
    <font>
      <vertAlign val="subscript"/>
      <sz val="8"/>
      <color rgb="FF000000"/>
      <name val="Times New Roman"/>
      <family val="1"/>
      <charset val="204"/>
    </font>
    <font>
      <sz val="8"/>
      <color rgb="FFC00000"/>
      <name val="Times New Roman"/>
      <family val="1"/>
      <charset val="204"/>
    </font>
    <font>
      <sz val="9.2"/>
      <color rgb="FF00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A9D18E"/>
        <bgColor rgb="FF92D050"/>
      </patternFill>
    </fill>
    <fill>
      <patternFill patternType="solid">
        <fgColor rgb="FFFFD966"/>
        <bgColor rgb="FFFFCC00"/>
      </patternFill>
    </fill>
    <fill>
      <patternFill patternType="solid">
        <fgColor rgb="FF9DC3E6"/>
        <bgColor rgb="FFCCCCFF"/>
      </patternFill>
    </fill>
    <fill>
      <patternFill patternType="solid">
        <fgColor rgb="FF92D050"/>
        <bgColor rgb="FFA9D18E"/>
      </patternFill>
    </fill>
    <fill>
      <patternFill patternType="solid">
        <fgColor rgb="FF385724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rgb="FFC000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7" xfId="21"/>
  </cellStyles>
  <dxfs count="4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D966"/>
      <rgbColor rgb="FF9DC3E6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1.99"/>
  </cols>
  <sheetData>
    <row r="1" customFormat="false" ht="15" hidden="false" customHeight="false" outlineLevel="0" collapsed="false">
      <c r="A1" s="1"/>
      <c r="B1" s="2" t="s">
        <v>0</v>
      </c>
      <c r="E1" s="0" t="e">
        <f aca="true">AND(IF(VALUE(LEFT(TEXT($N1,"0"),1))&lt;=INT((MONTH(TODAY())+2)/3),1),IF(VALUE(RIGHT(TEXT($N1,"0"),2))+($R1/12)&lt;=VALUE(TEXT(TODAY(),"ГГ")),1),OR($S1="К",$S1="K"))</f>
        <v>#VALUE!</v>
      </c>
      <c r="F1" s="0" t="n">
        <v>12</v>
      </c>
      <c r="G1" s="0" t="s">
        <v>1</v>
      </c>
    </row>
    <row r="2" customFormat="false" ht="15" hidden="false" customHeight="false" outlineLevel="0" collapsed="false">
      <c r="A2" s="0" t="e">
        <f aca="true">INT((MONTH(TODAY())+2)/3)&amp;"К"&amp;VALUE(TEXT(TODAY(),"ГГ"))-1</f>
        <v>#VALUE!</v>
      </c>
      <c r="B2" s="2"/>
    </row>
    <row r="3" customFormat="false" ht="15" hidden="false" customHeight="false" outlineLevel="0" collapsed="false">
      <c r="A3" s="1" t="n">
        <f aca="true">TODAY()</f>
        <v>46300</v>
      </c>
      <c r="B3" s="2"/>
      <c r="D3" s="0" t="s">
        <v>2</v>
      </c>
      <c r="E3" s="0" t="s">
        <v>3</v>
      </c>
    </row>
    <row r="4" customFormat="false" ht="15" hidden="false" customHeight="false" outlineLevel="0" collapsed="false">
      <c r="A4" s="0" t="str">
        <f aca="true">TEXT(TODAY(),"ГГ")</f>
        <v>ГГ</v>
      </c>
      <c r="B4" s="2"/>
      <c r="D4" s="0" t="s">
        <v>4</v>
      </c>
      <c r="E4" s="0" t="s">
        <v>5</v>
      </c>
    </row>
    <row r="5" customFormat="false" ht="15" hidden="false" customHeight="false" outlineLevel="0" collapsed="false">
      <c r="B5" s="2" t="s">
        <v>6</v>
      </c>
      <c r="D5" s="0" t="s">
        <v>7</v>
      </c>
      <c r="E5" s="0" t="s">
        <v>8</v>
      </c>
    </row>
    <row r="6" customFormat="false" ht="15" hidden="false" customHeight="false" outlineLevel="0" collapsed="false">
      <c r="B6" s="2" t="s">
        <v>9</v>
      </c>
    </row>
    <row r="7" customFormat="false" ht="15" hidden="false" customHeight="false" outlineLevel="0" collapsed="false">
      <c r="B7" s="2" t="s">
        <v>10</v>
      </c>
    </row>
    <row r="8" customFormat="false" ht="15" hidden="false" customHeight="false" outlineLevel="0" collapsed="false">
      <c r="A8" s="0" t="e">
        <f aca="true">VALUE(TEXT(TODAY(),"ГГ"))-1</f>
        <v>#VALUE!</v>
      </c>
      <c r="B8" s="2" t="s">
        <v>10</v>
      </c>
      <c r="C8" s="0" t="s">
        <v>11</v>
      </c>
    </row>
    <row r="9" customFormat="false" ht="15" hidden="false" customHeight="false" outlineLevel="0" collapsed="false">
      <c r="B9" s="2" t="s">
        <v>10</v>
      </c>
      <c r="C9" s="0" t="s">
        <v>12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A12" s="3" t="n">
        <v>44785</v>
      </c>
      <c r="B12" s="2"/>
    </row>
    <row r="13" customFormat="false" ht="15" hidden="false" customHeight="false" outlineLevel="0" collapsed="false">
      <c r="A13" s="0" t="n">
        <f aca="false">INT((MONTH(A12)+2)/3)</f>
        <v>3</v>
      </c>
      <c r="B13" s="2"/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B23" s="2"/>
    </row>
    <row r="24" customFormat="false" ht="15" hidden="false" customHeight="false" outlineLevel="0" collapsed="false">
      <c r="B24" s="2"/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2"/>
    </row>
    <row r="29" customFormat="false" ht="15" hidden="false" customHeight="false" outlineLevel="0" collapsed="false">
      <c r="B29" s="2"/>
    </row>
    <row r="30" customFormat="false" ht="15" hidden="false" customHeight="false" outlineLevel="0" collapsed="false">
      <c r="B30" s="2"/>
    </row>
    <row r="31" customFormat="false" ht="15" hidden="false" customHeight="false" outlineLevel="0" collapsed="false">
      <c r="B31" s="2"/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2"/>
    </row>
    <row r="34" customFormat="false" ht="15" hidden="false" customHeight="false" outlineLevel="0" collapsed="false">
      <c r="B34" s="2"/>
    </row>
    <row r="35" customFormat="false" ht="15" hidden="false" customHeight="false" outlineLevel="0" collapsed="false">
      <c r="B35" s="2"/>
    </row>
    <row r="36" customFormat="false" ht="15" hidden="false" customHeight="false" outlineLevel="0" collapsed="false">
      <c r="B36" s="2"/>
    </row>
    <row r="37" customFormat="false" ht="15" hidden="false" customHeight="false" outlineLevel="0" collapsed="false">
      <c r="B37" s="2"/>
    </row>
    <row r="38" customFormat="false" ht="15" hidden="false" customHeight="false" outlineLevel="0" collapsed="false">
      <c r="B38" s="2"/>
    </row>
    <row r="39" customFormat="false" ht="15" hidden="false" customHeight="false" outlineLevel="0" collapsed="false">
      <c r="B39" s="2"/>
    </row>
    <row r="40" customFormat="false" ht="15" hidden="false" customHeight="false" outlineLevel="0" collapsed="false">
      <c r="B40" s="2"/>
    </row>
  </sheetData>
  <conditionalFormatting sqref="B1:B40">
    <cfRule type="expression" priority="2" aboveAverage="0" equalAverage="0" bottom="0" percent="0" rank="0" text="" dxfId="0">
      <formula>AND(IF(#ref!="3К21",1),IF(#ref!="термометр",1))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26"/>
  <sheetViews>
    <sheetView showFormulas="false" showGridLines="true" showRowColHeaders="true" showZeros="true" rightToLeft="false" tabSelected="false" showOutlineSymbols="true" defaultGridColor="true" view="normal" topLeftCell="D193" colorId="64" zoomScale="118" zoomScaleNormal="118" zoomScalePageLayoutView="100" workbookViewId="0">
      <selection pane="topLeft" activeCell="N64" activeCellId="0" sqref="N64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57"/>
    <col collapsed="false" customWidth="true" hidden="false" outlineLevel="0" max="2" min="2" style="4" width="21.43"/>
    <col collapsed="false" customWidth="true" hidden="false" outlineLevel="0" max="3" min="3" style="4" width="26.42"/>
    <col collapsed="false" customWidth="true" hidden="false" outlineLevel="0" max="4" min="4" style="4" width="15.29"/>
    <col collapsed="false" customWidth="true" hidden="false" outlineLevel="0" max="5" min="5" style="4" width="7"/>
    <col collapsed="false" customWidth="true" hidden="false" outlineLevel="0" max="7" min="6" style="4" width="15.42"/>
    <col collapsed="false" customWidth="true" hidden="false" outlineLevel="0" max="8" min="8" style="4" width="28.57"/>
    <col collapsed="false" customWidth="true" hidden="false" outlineLevel="0" max="9" min="9" style="4" width="12.57"/>
    <col collapsed="false" customWidth="true" hidden="false" outlineLevel="0" max="10" min="10" style="4" width="17.58"/>
    <col collapsed="false" customWidth="true" hidden="false" outlineLevel="0" max="11" min="11" style="4" width="8.71"/>
    <col collapsed="false" customWidth="true" hidden="false" outlineLevel="0" max="12" min="12" style="4" width="7.57"/>
    <col collapsed="false" customWidth="true" hidden="false" outlineLevel="0" max="13" min="13" style="4" width="8"/>
    <col collapsed="false" customWidth="true" hidden="false" outlineLevel="0" max="14" min="14" style="4" width="7.29"/>
    <col collapsed="false" customWidth="false" hidden="false" outlineLevel="0" max="1024" min="15" style="4" width="9.14"/>
  </cols>
  <sheetData>
    <row r="1" customFormat="false" ht="56.2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7" t="s">
        <v>27</v>
      </c>
      <c r="C2" s="8" t="s">
        <v>28</v>
      </c>
      <c r="D2" s="8" t="n">
        <v>15088</v>
      </c>
      <c r="E2" s="8" t="n">
        <v>2010</v>
      </c>
      <c r="F2" s="8" t="s">
        <v>29</v>
      </c>
      <c r="G2" s="8" t="n">
        <v>1.5</v>
      </c>
      <c r="H2" s="5" t="s">
        <v>30</v>
      </c>
      <c r="I2" s="8" t="s">
        <v>31</v>
      </c>
      <c r="J2" s="5" t="s">
        <v>32</v>
      </c>
      <c r="K2" s="5" t="n">
        <v>2012</v>
      </c>
      <c r="L2" s="5" t="n">
        <v>12</v>
      </c>
      <c r="M2" s="6" t="s">
        <v>33</v>
      </c>
      <c r="N2" s="8" t="s">
        <v>1</v>
      </c>
    </row>
    <row r="3" customFormat="false" ht="15" hidden="false" customHeight="false" outlineLevel="0" collapsed="false">
      <c r="A3" s="5" t="n">
        <f aca="false">IF(B3&lt;&gt;"", COUNTA($B$2:B3), "")</f>
        <v>2</v>
      </c>
      <c r="B3" s="7" t="s">
        <v>27</v>
      </c>
      <c r="C3" s="8" t="s">
        <v>28</v>
      </c>
      <c r="D3" s="9" t="n">
        <v>15105</v>
      </c>
      <c r="E3" s="8" t="n">
        <v>2010</v>
      </c>
      <c r="F3" s="8" t="s">
        <v>34</v>
      </c>
      <c r="G3" s="8" t="n">
        <v>1.5</v>
      </c>
      <c r="H3" s="5" t="s">
        <v>35</v>
      </c>
      <c r="I3" s="8" t="s">
        <v>31</v>
      </c>
      <c r="J3" s="5" t="s">
        <v>32</v>
      </c>
      <c r="K3" s="5" t="n">
        <v>2012</v>
      </c>
      <c r="L3" s="5" t="n">
        <v>12</v>
      </c>
      <c r="M3" s="6" t="s">
        <v>33</v>
      </c>
      <c r="N3" s="8" t="s">
        <v>1</v>
      </c>
    </row>
    <row r="4" customFormat="false" ht="15" hidden="false" customHeight="false" outlineLevel="0" collapsed="false">
      <c r="A4" s="5" t="n">
        <f aca="false">IF(B4&lt;&gt;"", COUNTA($B$2:B4), "")</f>
        <v>3</v>
      </c>
      <c r="B4" s="7" t="s">
        <v>27</v>
      </c>
      <c r="C4" s="10" t="s">
        <v>28</v>
      </c>
      <c r="D4" s="11" t="n">
        <v>15564</v>
      </c>
      <c r="E4" s="8" t="n">
        <v>2010</v>
      </c>
      <c r="F4" s="8" t="s">
        <v>29</v>
      </c>
      <c r="G4" s="10" t="n">
        <v>1</v>
      </c>
      <c r="H4" s="12" t="s">
        <v>36</v>
      </c>
      <c r="I4" s="8" t="s">
        <v>31</v>
      </c>
      <c r="J4" s="5" t="s">
        <v>32</v>
      </c>
      <c r="K4" s="5" t="n">
        <v>2012</v>
      </c>
      <c r="L4" s="5" t="n">
        <v>12</v>
      </c>
      <c r="M4" s="13" t="s">
        <v>37</v>
      </c>
      <c r="N4" s="8" t="s">
        <v>38</v>
      </c>
      <c r="O4" s="14"/>
    </row>
    <row r="5" customFormat="false" ht="15" hidden="false" customHeight="false" outlineLevel="0" collapsed="false">
      <c r="A5" s="5" t="n">
        <f aca="false">IF(B5&lt;&gt;"", COUNTA($B$2:B5), "")</f>
        <v>4</v>
      </c>
      <c r="B5" s="7" t="s">
        <v>27</v>
      </c>
      <c r="C5" s="8" t="s">
        <v>28</v>
      </c>
      <c r="D5" s="15" t="s">
        <v>39</v>
      </c>
      <c r="E5" s="8" t="n">
        <v>2010</v>
      </c>
      <c r="F5" s="8" t="s">
        <v>29</v>
      </c>
      <c r="G5" s="8" t="n">
        <v>1.5</v>
      </c>
      <c r="H5" s="5" t="s">
        <v>40</v>
      </c>
      <c r="I5" s="8" t="s">
        <v>31</v>
      </c>
      <c r="J5" s="5" t="s">
        <v>32</v>
      </c>
      <c r="K5" s="5" t="n">
        <v>2012</v>
      </c>
      <c r="L5" s="5" t="n">
        <v>12</v>
      </c>
      <c r="M5" s="6" t="s">
        <v>41</v>
      </c>
      <c r="N5" s="8" t="s">
        <v>1</v>
      </c>
    </row>
    <row r="6" customFormat="false" ht="15" hidden="false" customHeight="false" outlineLevel="0" collapsed="false">
      <c r="A6" s="5" t="n">
        <f aca="false">IF(B6&lt;&gt;"", COUNTA($B$2:B6), "")</f>
        <v>5</v>
      </c>
      <c r="B6" s="7" t="s">
        <v>27</v>
      </c>
      <c r="C6" s="8" t="s">
        <v>28</v>
      </c>
      <c r="D6" s="15" t="s">
        <v>42</v>
      </c>
      <c r="E6" s="8" t="n">
        <v>2010</v>
      </c>
      <c r="F6" s="8" t="s">
        <v>34</v>
      </c>
      <c r="G6" s="8" t="n">
        <v>1.5</v>
      </c>
      <c r="H6" s="5" t="s">
        <v>43</v>
      </c>
      <c r="I6" s="8" t="s">
        <v>31</v>
      </c>
      <c r="J6" s="5" t="s">
        <v>32</v>
      </c>
      <c r="K6" s="5" t="n">
        <v>2012</v>
      </c>
      <c r="L6" s="5" t="n">
        <v>12</v>
      </c>
      <c r="M6" s="6" t="s">
        <v>33</v>
      </c>
      <c r="N6" s="8" t="s">
        <v>1</v>
      </c>
    </row>
    <row r="7" customFormat="false" ht="15" hidden="false" customHeight="false" outlineLevel="0" collapsed="false">
      <c r="A7" s="5" t="n">
        <f aca="false">IF(B7&lt;&gt;"", COUNTA($B$2:B7), "")</f>
        <v>6</v>
      </c>
      <c r="B7" s="7" t="s">
        <v>27</v>
      </c>
      <c r="C7" s="8" t="s">
        <v>28</v>
      </c>
      <c r="D7" s="15" t="s">
        <v>44</v>
      </c>
      <c r="E7" s="8" t="n">
        <v>2010</v>
      </c>
      <c r="F7" s="8" t="s">
        <v>29</v>
      </c>
      <c r="G7" s="8" t="n">
        <v>1.5</v>
      </c>
      <c r="H7" s="5" t="s">
        <v>45</v>
      </c>
      <c r="I7" s="8" t="s">
        <v>31</v>
      </c>
      <c r="J7" s="5" t="s">
        <v>32</v>
      </c>
      <c r="K7" s="5" t="n">
        <v>2012</v>
      </c>
      <c r="L7" s="5" t="n">
        <v>12</v>
      </c>
      <c r="M7" s="6" t="s">
        <v>33</v>
      </c>
      <c r="N7" s="8" t="s">
        <v>1</v>
      </c>
    </row>
    <row r="8" customFormat="false" ht="22.5" hidden="false" customHeight="false" outlineLevel="0" collapsed="false">
      <c r="A8" s="5" t="n">
        <f aca="false">IF(B8&lt;&gt;"", COUNTA($B$2:B8), "")</f>
        <v>7</v>
      </c>
      <c r="B8" s="12" t="s">
        <v>46</v>
      </c>
      <c r="C8" s="8" t="s">
        <v>47</v>
      </c>
      <c r="D8" s="8" t="n">
        <v>7557</v>
      </c>
      <c r="E8" s="16" t="n">
        <v>2010</v>
      </c>
      <c r="F8" s="8" t="s">
        <v>48</v>
      </c>
      <c r="G8" s="8" t="n">
        <v>1.5</v>
      </c>
      <c r="H8" s="5" t="s">
        <v>49</v>
      </c>
      <c r="I8" s="8" t="s">
        <v>31</v>
      </c>
      <c r="J8" s="5" t="s">
        <v>32</v>
      </c>
      <c r="K8" s="5" t="n">
        <v>2012</v>
      </c>
      <c r="L8" s="5" t="n">
        <v>24</v>
      </c>
      <c r="M8" s="6" t="s">
        <v>41</v>
      </c>
      <c r="N8" s="8" t="s">
        <v>1</v>
      </c>
    </row>
    <row r="9" customFormat="false" ht="18" hidden="false" customHeight="true" outlineLevel="0" collapsed="false">
      <c r="A9" s="5" t="n">
        <f aca="false">IF(B9&lt;&gt;"", COUNTA($B$2:B9), "")</f>
        <v>8</v>
      </c>
      <c r="B9" s="12" t="s">
        <v>46</v>
      </c>
      <c r="C9" s="8" t="s">
        <v>47</v>
      </c>
      <c r="D9" s="8" t="n">
        <v>7563</v>
      </c>
      <c r="E9" s="16" t="n">
        <v>2005</v>
      </c>
      <c r="F9" s="8" t="s">
        <v>48</v>
      </c>
      <c r="G9" s="8" t="n">
        <v>1.5</v>
      </c>
      <c r="H9" s="5" t="s">
        <v>50</v>
      </c>
      <c r="I9" s="8" t="s">
        <v>31</v>
      </c>
      <c r="J9" s="5" t="s">
        <v>32</v>
      </c>
      <c r="K9" s="5" t="n">
        <v>2012</v>
      </c>
      <c r="L9" s="5" t="n">
        <v>24</v>
      </c>
      <c r="M9" s="6" t="s">
        <v>41</v>
      </c>
      <c r="N9" s="8" t="s">
        <v>1</v>
      </c>
    </row>
    <row r="10" customFormat="false" ht="16.5" hidden="false" customHeight="true" outlineLevel="0" collapsed="false">
      <c r="A10" s="5" t="n">
        <f aca="false">IF(B10&lt;&gt;"", COUNTA($B$2:B10), "")</f>
        <v>9</v>
      </c>
      <c r="B10" s="5" t="s">
        <v>51</v>
      </c>
      <c r="C10" s="12" t="s">
        <v>52</v>
      </c>
      <c r="D10" s="12" t="s">
        <v>53</v>
      </c>
      <c r="E10" s="17" t="n">
        <v>2011</v>
      </c>
      <c r="F10" s="12" t="s">
        <v>54</v>
      </c>
      <c r="G10" s="12" t="s">
        <v>55</v>
      </c>
      <c r="H10" s="12" t="s">
        <v>56</v>
      </c>
      <c r="I10" s="8" t="s">
        <v>31</v>
      </c>
      <c r="J10" s="5" t="s">
        <v>32</v>
      </c>
      <c r="K10" s="5" t="n">
        <v>2012</v>
      </c>
      <c r="L10" s="12" t="n">
        <v>48</v>
      </c>
      <c r="M10" s="6"/>
      <c r="N10" s="8"/>
    </row>
    <row r="11" customFormat="false" ht="27" hidden="false" customHeight="true" outlineLevel="0" collapsed="false">
      <c r="A11" s="5" t="n">
        <f aca="false">IF(B11&lt;&gt;"", COUNTA($B$2:B11), "")</f>
        <v>10</v>
      </c>
      <c r="B11" s="18" t="s">
        <v>57</v>
      </c>
      <c r="C11" s="12" t="s">
        <v>58</v>
      </c>
      <c r="D11" s="12" t="s">
        <v>59</v>
      </c>
      <c r="E11" s="17" t="n">
        <v>2011</v>
      </c>
      <c r="F11" s="12" t="s">
        <v>60</v>
      </c>
      <c r="G11" s="12" t="n">
        <v>0.075</v>
      </c>
      <c r="H11" s="12" t="s">
        <v>61</v>
      </c>
      <c r="I11" s="8" t="s">
        <v>31</v>
      </c>
      <c r="J11" s="5" t="s">
        <v>32</v>
      </c>
      <c r="K11" s="5" t="n">
        <v>2012</v>
      </c>
      <c r="L11" s="12" t="n">
        <v>36</v>
      </c>
      <c r="M11" s="6"/>
      <c r="N11" s="8"/>
    </row>
    <row r="12" customFormat="false" ht="26.25" hidden="false" customHeight="true" outlineLevel="0" collapsed="false">
      <c r="A12" s="5" t="n">
        <f aca="false">IF(B12&lt;&gt;"", COUNTA($B$2:B12), "")</f>
        <v>11</v>
      </c>
      <c r="B12" s="18" t="s">
        <v>57</v>
      </c>
      <c r="C12" s="12" t="s">
        <v>58</v>
      </c>
      <c r="D12" s="12" t="s">
        <v>62</v>
      </c>
      <c r="E12" s="17" t="n">
        <v>2011</v>
      </c>
      <c r="F12" s="12" t="s">
        <v>60</v>
      </c>
      <c r="G12" s="12" t="n">
        <v>0.075</v>
      </c>
      <c r="H12" s="12" t="s">
        <v>63</v>
      </c>
      <c r="I12" s="8" t="s">
        <v>31</v>
      </c>
      <c r="J12" s="5" t="s">
        <v>32</v>
      </c>
      <c r="K12" s="5" t="n">
        <v>2012</v>
      </c>
      <c r="L12" s="12" t="n">
        <v>36</v>
      </c>
      <c r="M12" s="6"/>
      <c r="N12" s="8"/>
    </row>
    <row r="13" customFormat="false" ht="15" hidden="false" customHeight="false" outlineLevel="0" collapsed="false">
      <c r="A13" s="5" t="n">
        <f aca="false">IF(B13&lt;&gt;"", COUNTA($B$2:B13), "")</f>
        <v>12</v>
      </c>
      <c r="B13" s="6" t="s">
        <v>64</v>
      </c>
      <c r="C13" s="19" t="s">
        <v>65</v>
      </c>
      <c r="D13" s="19" t="s">
        <v>66</v>
      </c>
      <c r="E13" s="17" t="n">
        <v>2011</v>
      </c>
      <c r="F13" s="19" t="s">
        <v>67</v>
      </c>
      <c r="G13" s="19" t="s">
        <v>68</v>
      </c>
      <c r="H13" s="19" t="s">
        <v>69</v>
      </c>
      <c r="I13" s="8" t="s">
        <v>31</v>
      </c>
      <c r="J13" s="5" t="s">
        <v>32</v>
      </c>
      <c r="K13" s="5"/>
      <c r="L13" s="5"/>
      <c r="M13" s="6"/>
      <c r="N13" s="8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6" t="s">
        <v>64</v>
      </c>
      <c r="C14" s="19" t="s">
        <v>65</v>
      </c>
      <c r="D14" s="19" t="s">
        <v>70</v>
      </c>
      <c r="E14" s="17" t="n">
        <v>2011</v>
      </c>
      <c r="F14" s="19" t="s">
        <v>67</v>
      </c>
      <c r="G14" s="19" t="s">
        <v>68</v>
      </c>
      <c r="H14" s="19" t="s">
        <v>71</v>
      </c>
      <c r="I14" s="8" t="s">
        <v>31</v>
      </c>
      <c r="J14" s="5" t="s">
        <v>32</v>
      </c>
      <c r="K14" s="5" t="n">
        <v>2012</v>
      </c>
      <c r="L14" s="12" t="n">
        <v>36</v>
      </c>
      <c r="M14" s="6"/>
      <c r="N14" s="8"/>
    </row>
    <row r="15" customFormat="false" ht="15" hidden="false" customHeight="false" outlineLevel="0" collapsed="false">
      <c r="A15" s="5" t="n">
        <f aca="false">IF(B15&lt;&gt;"", COUNTA($B$2:B15), "")</f>
        <v>14</v>
      </c>
      <c r="B15" s="6" t="s">
        <v>64</v>
      </c>
      <c r="C15" s="19" t="s">
        <v>65</v>
      </c>
      <c r="D15" s="19" t="s">
        <v>72</v>
      </c>
      <c r="E15" s="17" t="n">
        <v>2011</v>
      </c>
      <c r="F15" s="19" t="s">
        <v>67</v>
      </c>
      <c r="G15" s="19" t="s">
        <v>68</v>
      </c>
      <c r="H15" s="19" t="s">
        <v>73</v>
      </c>
      <c r="I15" s="8" t="s">
        <v>31</v>
      </c>
      <c r="J15" s="5" t="s">
        <v>32</v>
      </c>
      <c r="K15" s="5" t="n">
        <v>2012</v>
      </c>
      <c r="L15" s="12" t="n">
        <v>36</v>
      </c>
      <c r="M15" s="6"/>
      <c r="N15" s="8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6" t="s">
        <v>64</v>
      </c>
      <c r="C16" s="19" t="s">
        <v>65</v>
      </c>
      <c r="D16" s="19" t="s">
        <v>74</v>
      </c>
      <c r="E16" s="17" t="n">
        <v>2011</v>
      </c>
      <c r="F16" s="19" t="s">
        <v>67</v>
      </c>
      <c r="G16" s="19" t="s">
        <v>68</v>
      </c>
      <c r="H16" s="19" t="s">
        <v>75</v>
      </c>
      <c r="I16" s="8" t="s">
        <v>31</v>
      </c>
      <c r="J16" s="5" t="s">
        <v>32</v>
      </c>
      <c r="K16" s="5" t="n">
        <v>2012</v>
      </c>
      <c r="L16" s="12" t="n">
        <v>36</v>
      </c>
      <c r="M16" s="6"/>
      <c r="N16" s="8"/>
    </row>
    <row r="17" customFormat="false" ht="15" hidden="false" customHeight="false" outlineLevel="0" collapsed="false">
      <c r="A17" s="5" t="n">
        <f aca="false">IF(B17&lt;&gt;"", COUNTA($B$2:B17), "")</f>
        <v>16</v>
      </c>
      <c r="B17" s="6" t="s">
        <v>64</v>
      </c>
      <c r="C17" s="19" t="s">
        <v>65</v>
      </c>
      <c r="D17" s="19" t="s">
        <v>76</v>
      </c>
      <c r="E17" s="17" t="n">
        <v>2011</v>
      </c>
      <c r="F17" s="19" t="s">
        <v>67</v>
      </c>
      <c r="G17" s="19" t="s">
        <v>68</v>
      </c>
      <c r="H17" s="19" t="s">
        <v>77</v>
      </c>
      <c r="I17" s="8" t="s">
        <v>31</v>
      </c>
      <c r="J17" s="5" t="s">
        <v>32</v>
      </c>
      <c r="K17" s="5" t="n">
        <v>2012</v>
      </c>
      <c r="L17" s="12" t="n">
        <v>36</v>
      </c>
      <c r="M17" s="6"/>
      <c r="N17" s="8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6" t="s">
        <v>64</v>
      </c>
      <c r="C18" s="19" t="s">
        <v>65</v>
      </c>
      <c r="D18" s="19" t="s">
        <v>78</v>
      </c>
      <c r="E18" s="17" t="n">
        <v>2011</v>
      </c>
      <c r="F18" s="19" t="s">
        <v>67</v>
      </c>
      <c r="G18" s="19" t="s">
        <v>68</v>
      </c>
      <c r="H18" s="6" t="s">
        <v>79</v>
      </c>
      <c r="I18" s="8" t="s">
        <v>31</v>
      </c>
      <c r="J18" s="5" t="s">
        <v>32</v>
      </c>
      <c r="K18" s="5" t="n">
        <v>2012</v>
      </c>
      <c r="L18" s="12" t="n">
        <v>36</v>
      </c>
      <c r="M18" s="6"/>
      <c r="N18" s="8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6" t="s">
        <v>64</v>
      </c>
      <c r="C19" s="19" t="s">
        <v>65</v>
      </c>
      <c r="D19" s="19" t="s">
        <v>80</v>
      </c>
      <c r="E19" s="17" t="n">
        <v>2011</v>
      </c>
      <c r="F19" s="19" t="s">
        <v>67</v>
      </c>
      <c r="G19" s="19" t="s">
        <v>68</v>
      </c>
      <c r="H19" s="6" t="s">
        <v>81</v>
      </c>
      <c r="I19" s="8" t="s">
        <v>31</v>
      </c>
      <c r="J19" s="5" t="s">
        <v>32</v>
      </c>
      <c r="K19" s="5" t="n">
        <v>2012</v>
      </c>
      <c r="L19" s="12" t="n">
        <v>36</v>
      </c>
      <c r="M19" s="6"/>
      <c r="N19" s="8"/>
    </row>
    <row r="20" customFormat="false" ht="15" hidden="false" customHeight="false" outlineLevel="0" collapsed="false">
      <c r="A20" s="5" t="n">
        <f aca="false">IF(B20&lt;&gt;"", COUNTA($B$2:B20), "")</f>
        <v>19</v>
      </c>
      <c r="B20" s="6" t="s">
        <v>64</v>
      </c>
      <c r="C20" s="19" t="s">
        <v>65</v>
      </c>
      <c r="D20" s="19" t="s">
        <v>82</v>
      </c>
      <c r="E20" s="17" t="n">
        <v>2011</v>
      </c>
      <c r="F20" s="19" t="s">
        <v>67</v>
      </c>
      <c r="G20" s="19" t="s">
        <v>68</v>
      </c>
      <c r="H20" s="19" t="s">
        <v>83</v>
      </c>
      <c r="I20" s="8" t="s">
        <v>31</v>
      </c>
      <c r="J20" s="5" t="s">
        <v>32</v>
      </c>
      <c r="K20" s="5" t="n">
        <v>2012</v>
      </c>
      <c r="L20" s="12" t="n">
        <v>36</v>
      </c>
      <c r="M20" s="6"/>
      <c r="N20" s="8"/>
    </row>
    <row r="21" customFormat="false" ht="15" hidden="false" customHeight="false" outlineLevel="0" collapsed="false">
      <c r="A21" s="5" t="n">
        <f aca="false">IF(B21&lt;&gt;"", COUNTA($B$2:B21), "")</f>
        <v>20</v>
      </c>
      <c r="B21" s="6" t="s">
        <v>64</v>
      </c>
      <c r="C21" s="19" t="s">
        <v>65</v>
      </c>
      <c r="D21" s="19" t="s">
        <v>84</v>
      </c>
      <c r="E21" s="17" t="n">
        <v>2011</v>
      </c>
      <c r="F21" s="19" t="s">
        <v>67</v>
      </c>
      <c r="G21" s="19" t="s">
        <v>68</v>
      </c>
      <c r="H21" s="19" t="s">
        <v>85</v>
      </c>
      <c r="I21" s="8" t="s">
        <v>31</v>
      </c>
      <c r="J21" s="5" t="s">
        <v>32</v>
      </c>
      <c r="K21" s="5" t="n">
        <v>2012</v>
      </c>
      <c r="L21" s="12" t="n">
        <v>36</v>
      </c>
      <c r="M21" s="6"/>
      <c r="N21" s="8"/>
    </row>
    <row r="22" customFormat="false" ht="15" hidden="false" customHeight="false" outlineLevel="0" collapsed="false">
      <c r="A22" s="5" t="n">
        <f aca="false">IF(B22&lt;&gt;"", COUNTA($B$2:B22), "")</f>
        <v>21</v>
      </c>
      <c r="B22" s="6" t="s">
        <v>86</v>
      </c>
      <c r="C22" s="19" t="s">
        <v>87</v>
      </c>
      <c r="D22" s="6" t="s">
        <v>88</v>
      </c>
      <c r="E22" s="17" t="n">
        <v>2011</v>
      </c>
      <c r="F22" s="19" t="s">
        <v>89</v>
      </c>
      <c r="G22" s="19"/>
      <c r="H22" s="6" t="s">
        <v>90</v>
      </c>
      <c r="I22" s="8" t="s">
        <v>31</v>
      </c>
      <c r="J22" s="5" t="s">
        <v>32</v>
      </c>
      <c r="K22" s="5"/>
      <c r="L22" s="12"/>
      <c r="M22" s="6"/>
      <c r="N22" s="8"/>
    </row>
    <row r="23" customFormat="false" ht="15" hidden="false" customHeight="false" outlineLevel="0" collapsed="false">
      <c r="A23" s="5" t="n">
        <f aca="false">IF(B23&lt;&gt;"", COUNTA($B$2:B23), "")</f>
        <v>22</v>
      </c>
      <c r="B23" s="6" t="s">
        <v>86</v>
      </c>
      <c r="C23" s="19" t="s">
        <v>87</v>
      </c>
      <c r="D23" s="6" t="s">
        <v>91</v>
      </c>
      <c r="E23" s="17" t="n">
        <v>2011</v>
      </c>
      <c r="F23" s="19" t="s">
        <v>89</v>
      </c>
      <c r="G23" s="19"/>
      <c r="H23" s="6" t="s">
        <v>92</v>
      </c>
      <c r="I23" s="8" t="s">
        <v>31</v>
      </c>
      <c r="J23" s="5" t="s">
        <v>32</v>
      </c>
      <c r="K23" s="5"/>
      <c r="L23" s="12"/>
      <c r="M23" s="6"/>
      <c r="N23" s="8"/>
    </row>
    <row r="24" customFormat="false" ht="15" hidden="false" customHeight="false" outlineLevel="0" collapsed="false">
      <c r="A24" s="5" t="n">
        <f aca="false">IF(B24&lt;&gt;"", COUNTA($B$2:B24), "")</f>
        <v>23</v>
      </c>
      <c r="B24" s="7" t="s">
        <v>93</v>
      </c>
      <c r="C24" s="8" t="s">
        <v>94</v>
      </c>
      <c r="D24" s="8" t="n">
        <v>1105076</v>
      </c>
      <c r="E24" s="17" t="n">
        <v>2011</v>
      </c>
      <c r="F24" s="20"/>
      <c r="G24" s="20"/>
      <c r="H24" s="5" t="s">
        <v>95</v>
      </c>
      <c r="I24" s="5" t="s">
        <v>31</v>
      </c>
      <c r="J24" s="5" t="s">
        <v>32</v>
      </c>
      <c r="K24" s="5" t="n">
        <v>2012</v>
      </c>
      <c r="L24" s="12"/>
      <c r="M24" s="6"/>
      <c r="N24" s="20"/>
    </row>
    <row r="25" s="28" customFormat="true" ht="15" hidden="false" customHeight="false" outlineLevel="0" collapsed="false">
      <c r="A25" s="21" t="n">
        <f aca="false">IF(B25&lt;&gt;"", COUNTA($B$2:B25), "")</f>
        <v>24</v>
      </c>
      <c r="B25" s="22" t="s">
        <v>93</v>
      </c>
      <c r="C25" s="23" t="s">
        <v>96</v>
      </c>
      <c r="D25" s="23" t="n">
        <v>24102</v>
      </c>
      <c r="E25" s="24" t="n">
        <v>2023</v>
      </c>
      <c r="F25" s="25"/>
      <c r="G25" s="25"/>
      <c r="H25" s="21" t="s">
        <v>97</v>
      </c>
      <c r="I25" s="21" t="s">
        <v>31</v>
      </c>
      <c r="J25" s="21" t="s">
        <v>32</v>
      </c>
      <c r="K25" s="21" t="n">
        <v>2012</v>
      </c>
      <c r="L25" s="26"/>
      <c r="M25" s="27"/>
      <c r="N25" s="25"/>
    </row>
    <row r="26" customFormat="false" ht="15" hidden="false" customHeight="false" outlineLevel="0" collapsed="false">
      <c r="A26" s="5" t="n">
        <f aca="false">IF(B26&lt;&gt;"", COUNTA($B$2:B26), "")</f>
        <v>25</v>
      </c>
      <c r="B26" s="7" t="s">
        <v>98</v>
      </c>
      <c r="C26" s="8" t="s">
        <v>99</v>
      </c>
      <c r="D26" s="15" t="s">
        <v>100</v>
      </c>
      <c r="E26" s="17"/>
      <c r="F26" s="20"/>
      <c r="G26" s="20"/>
      <c r="H26" s="5" t="s">
        <v>101</v>
      </c>
      <c r="I26" s="5" t="s">
        <v>31</v>
      </c>
      <c r="J26" s="5" t="s">
        <v>32</v>
      </c>
      <c r="K26" s="5" t="n">
        <v>2012</v>
      </c>
      <c r="L26" s="20"/>
      <c r="M26" s="20"/>
      <c r="N26" s="20"/>
    </row>
    <row r="27" customFormat="false" ht="15" hidden="false" customHeight="false" outlineLevel="0" collapsed="false">
      <c r="A27" s="5" t="n">
        <f aca="false">IF(B27&lt;&gt;"", COUNTA($B$2:B27), "")</f>
        <v>26</v>
      </c>
      <c r="B27" s="7" t="s">
        <v>98</v>
      </c>
      <c r="C27" s="8" t="s">
        <v>99</v>
      </c>
      <c r="D27" s="15" t="s">
        <v>102</v>
      </c>
      <c r="E27" s="17"/>
      <c r="F27" s="20"/>
      <c r="G27" s="20"/>
      <c r="H27" s="5" t="s">
        <v>103</v>
      </c>
      <c r="I27" s="5" t="s">
        <v>31</v>
      </c>
      <c r="J27" s="5" t="s">
        <v>32</v>
      </c>
      <c r="K27" s="5" t="n">
        <v>2012</v>
      </c>
      <c r="L27" s="20"/>
      <c r="M27" s="20"/>
      <c r="N27" s="20"/>
    </row>
    <row r="28" customFormat="false" ht="15" hidden="false" customHeight="false" outlineLevel="0" collapsed="false">
      <c r="A28" s="5" t="n">
        <f aca="false">IF(B28&lt;&gt;"", COUNTA($B$2:B28), "")</f>
        <v>27</v>
      </c>
      <c r="B28" s="7" t="s">
        <v>98</v>
      </c>
      <c r="C28" s="8" t="s">
        <v>99</v>
      </c>
      <c r="D28" s="15" t="s">
        <v>104</v>
      </c>
      <c r="E28" s="17"/>
      <c r="F28" s="20"/>
      <c r="G28" s="20"/>
      <c r="H28" s="5" t="s">
        <v>105</v>
      </c>
      <c r="I28" s="5" t="s">
        <v>31</v>
      </c>
      <c r="J28" s="5" t="s">
        <v>32</v>
      </c>
      <c r="K28" s="5" t="n">
        <v>2012</v>
      </c>
      <c r="L28" s="20"/>
      <c r="M28" s="20"/>
      <c r="N28" s="20"/>
    </row>
    <row r="29" customFormat="false" ht="15" hidden="false" customHeight="false" outlineLevel="0" collapsed="false">
      <c r="A29" s="5" t="n">
        <f aca="false">IF(B29&lt;&gt;"", COUNTA($B$2:B29), "")</f>
        <v>28</v>
      </c>
      <c r="B29" s="7" t="s">
        <v>98</v>
      </c>
      <c r="C29" s="8" t="s">
        <v>99</v>
      </c>
      <c r="D29" s="15" t="s">
        <v>106</v>
      </c>
      <c r="E29" s="17"/>
      <c r="F29" s="20"/>
      <c r="G29" s="20"/>
      <c r="H29" s="5" t="s">
        <v>107</v>
      </c>
      <c r="I29" s="5" t="s">
        <v>31</v>
      </c>
      <c r="J29" s="5" t="s">
        <v>32</v>
      </c>
      <c r="K29" s="5" t="n">
        <v>2012</v>
      </c>
      <c r="L29" s="20"/>
      <c r="M29" s="20"/>
      <c r="N29" s="20"/>
    </row>
    <row r="30" customFormat="false" ht="15" hidden="false" customHeight="false" outlineLevel="0" collapsed="false">
      <c r="A30" s="5" t="n">
        <f aca="false">IF(B30&lt;&gt;"", COUNTA($B$2:B30), "")</f>
        <v>29</v>
      </c>
      <c r="B30" s="6" t="s">
        <v>64</v>
      </c>
      <c r="C30" s="12" t="s">
        <v>108</v>
      </c>
      <c r="D30" s="12" t="n">
        <v>18</v>
      </c>
      <c r="E30" s="17" t="n">
        <v>2011</v>
      </c>
      <c r="F30" s="19" t="s">
        <v>109</v>
      </c>
      <c r="G30" s="12" t="s">
        <v>110</v>
      </c>
      <c r="H30" s="5" t="s">
        <v>111</v>
      </c>
      <c r="I30" s="5" t="s">
        <v>112</v>
      </c>
      <c r="J30" s="5" t="s">
        <v>32</v>
      </c>
      <c r="K30" s="5" t="n">
        <v>2012</v>
      </c>
      <c r="L30" s="12" t="n">
        <v>24</v>
      </c>
      <c r="M30" s="6"/>
      <c r="N30" s="8"/>
    </row>
    <row r="31" customFormat="false" ht="15" hidden="false" customHeight="false" outlineLevel="0" collapsed="false">
      <c r="A31" s="5" t="n">
        <f aca="false">IF(B31&lt;&gt;"", COUNTA($B$2:B31), "")</f>
        <v>30</v>
      </c>
      <c r="B31" s="6" t="s">
        <v>64</v>
      </c>
      <c r="C31" s="12" t="s">
        <v>108</v>
      </c>
      <c r="D31" s="12" t="n">
        <v>7</v>
      </c>
      <c r="E31" s="17" t="n">
        <v>2011</v>
      </c>
      <c r="F31" s="19" t="s">
        <v>109</v>
      </c>
      <c r="G31" s="12" t="s">
        <v>110</v>
      </c>
      <c r="H31" s="5" t="s">
        <v>113</v>
      </c>
      <c r="I31" s="5" t="s">
        <v>112</v>
      </c>
      <c r="J31" s="5" t="s">
        <v>32</v>
      </c>
      <c r="K31" s="5" t="n">
        <v>2012</v>
      </c>
      <c r="L31" s="12" t="n">
        <v>24</v>
      </c>
      <c r="M31" s="6"/>
      <c r="N31" s="8"/>
    </row>
    <row r="32" customFormat="false" ht="15" hidden="false" customHeight="false" outlineLevel="0" collapsed="false">
      <c r="A32" s="5" t="n">
        <f aca="false">IF(B32&lt;&gt;"", COUNTA($B$2:B32), "")</f>
        <v>31</v>
      </c>
      <c r="B32" s="6" t="s">
        <v>64</v>
      </c>
      <c r="C32" s="12" t="s">
        <v>108</v>
      </c>
      <c r="D32" s="12" t="n">
        <v>31</v>
      </c>
      <c r="E32" s="17" t="n">
        <v>2011</v>
      </c>
      <c r="F32" s="19" t="s">
        <v>114</v>
      </c>
      <c r="G32" s="12" t="s">
        <v>110</v>
      </c>
      <c r="H32" s="5" t="s">
        <v>115</v>
      </c>
      <c r="I32" s="5" t="s">
        <v>112</v>
      </c>
      <c r="J32" s="5" t="s">
        <v>32</v>
      </c>
      <c r="K32" s="5" t="n">
        <v>2012</v>
      </c>
      <c r="L32" s="12" t="n">
        <v>24</v>
      </c>
      <c r="M32" s="6"/>
      <c r="N32" s="8"/>
    </row>
    <row r="33" customFormat="false" ht="15" hidden="false" customHeight="false" outlineLevel="0" collapsed="false">
      <c r="A33" s="5" t="n">
        <f aca="false">IF(B33&lt;&gt;"", COUNTA($B$2:B33), "")</f>
        <v>32</v>
      </c>
      <c r="B33" s="6" t="s">
        <v>64</v>
      </c>
      <c r="C33" s="12" t="s">
        <v>108</v>
      </c>
      <c r="D33" s="12" t="n">
        <v>26</v>
      </c>
      <c r="E33" s="17" t="n">
        <v>2011</v>
      </c>
      <c r="F33" s="19" t="s">
        <v>114</v>
      </c>
      <c r="G33" s="12" t="s">
        <v>110</v>
      </c>
      <c r="H33" s="5" t="s">
        <v>116</v>
      </c>
      <c r="I33" s="5" t="s">
        <v>112</v>
      </c>
      <c r="J33" s="5" t="s">
        <v>32</v>
      </c>
      <c r="K33" s="5" t="n">
        <v>2012</v>
      </c>
      <c r="L33" s="12" t="n">
        <v>24</v>
      </c>
      <c r="M33" s="6"/>
      <c r="N33" s="8"/>
    </row>
    <row r="34" customFormat="false" ht="15" hidden="false" customHeight="false" outlineLevel="0" collapsed="false">
      <c r="A34" s="5" t="n">
        <f aca="false">IF(B34&lt;&gt;"", COUNTA($B$2:B34), "")</f>
        <v>33</v>
      </c>
      <c r="B34" s="6" t="s">
        <v>64</v>
      </c>
      <c r="C34" s="12" t="s">
        <v>108</v>
      </c>
      <c r="D34" s="12" t="n">
        <v>9</v>
      </c>
      <c r="E34" s="17" t="n">
        <v>2011</v>
      </c>
      <c r="F34" s="19" t="s">
        <v>109</v>
      </c>
      <c r="G34" s="12" t="s">
        <v>110</v>
      </c>
      <c r="H34" s="5" t="s">
        <v>117</v>
      </c>
      <c r="I34" s="5" t="s">
        <v>112</v>
      </c>
      <c r="J34" s="5" t="s">
        <v>32</v>
      </c>
      <c r="K34" s="5" t="n">
        <v>2012</v>
      </c>
      <c r="L34" s="12" t="n">
        <v>24</v>
      </c>
      <c r="M34" s="6"/>
      <c r="N34" s="8"/>
    </row>
    <row r="35" customFormat="false" ht="15" hidden="false" customHeight="false" outlineLevel="0" collapsed="false">
      <c r="A35" s="5" t="n">
        <f aca="false">IF(B35&lt;&gt;"", COUNTA($B$2:B35), "")</f>
        <v>34</v>
      </c>
      <c r="B35" s="6" t="s">
        <v>64</v>
      </c>
      <c r="C35" s="12" t="s">
        <v>108</v>
      </c>
      <c r="D35" s="12" t="n">
        <v>1</v>
      </c>
      <c r="E35" s="17" t="n">
        <v>2011</v>
      </c>
      <c r="F35" s="19" t="s">
        <v>109</v>
      </c>
      <c r="G35" s="12" t="s">
        <v>110</v>
      </c>
      <c r="H35" s="5" t="s">
        <v>118</v>
      </c>
      <c r="I35" s="5" t="s">
        <v>112</v>
      </c>
      <c r="J35" s="5" t="s">
        <v>32</v>
      </c>
      <c r="K35" s="5" t="n">
        <v>2012</v>
      </c>
      <c r="L35" s="12" t="n">
        <v>24</v>
      </c>
      <c r="M35" s="6"/>
      <c r="N35" s="8"/>
    </row>
    <row r="36" customFormat="false" ht="15" hidden="false" customHeight="false" outlineLevel="0" collapsed="false">
      <c r="A36" s="5" t="n">
        <f aca="false">IF(B36&lt;&gt;"", COUNTA($B$2:B36), "")</f>
        <v>35</v>
      </c>
      <c r="B36" s="29" t="s">
        <v>27</v>
      </c>
      <c r="C36" s="5" t="s">
        <v>28</v>
      </c>
      <c r="D36" s="5" t="n">
        <v>15169</v>
      </c>
      <c r="E36" s="8"/>
      <c r="F36" s="5" t="s">
        <v>119</v>
      </c>
      <c r="G36" s="5" t="n">
        <v>1.5</v>
      </c>
      <c r="H36" s="5" t="s">
        <v>120</v>
      </c>
      <c r="I36" s="8" t="s">
        <v>112</v>
      </c>
      <c r="J36" s="5" t="s">
        <v>32</v>
      </c>
      <c r="K36" s="5" t="n">
        <v>2012</v>
      </c>
      <c r="L36" s="5" t="n">
        <v>12</v>
      </c>
      <c r="M36" s="6" t="s">
        <v>33</v>
      </c>
      <c r="N36" s="8" t="s">
        <v>1</v>
      </c>
    </row>
    <row r="37" customFormat="false" ht="15" hidden="false" customHeight="false" outlineLevel="0" collapsed="false">
      <c r="A37" s="5" t="n">
        <f aca="false">IF(B37&lt;&gt;"", COUNTA($B$2:B37), "")</f>
        <v>36</v>
      </c>
      <c r="B37" s="29" t="s">
        <v>27</v>
      </c>
      <c r="C37" s="6" t="s">
        <v>121</v>
      </c>
      <c r="D37" s="5" t="n">
        <v>15583</v>
      </c>
      <c r="E37" s="8" t="n">
        <v>2010</v>
      </c>
      <c r="F37" s="5" t="s">
        <v>122</v>
      </c>
      <c r="G37" s="5" t="n">
        <v>1.5</v>
      </c>
      <c r="H37" s="5" t="s">
        <v>123</v>
      </c>
      <c r="I37" s="8" t="s">
        <v>112</v>
      </c>
      <c r="J37" s="5" t="s">
        <v>32</v>
      </c>
      <c r="K37" s="5" t="n">
        <v>2012</v>
      </c>
      <c r="L37" s="5" t="n">
        <v>12</v>
      </c>
      <c r="M37" s="6" t="s">
        <v>33</v>
      </c>
      <c r="N37" s="8" t="s">
        <v>1</v>
      </c>
    </row>
    <row r="38" customFormat="false" ht="15" hidden="false" customHeight="false" outlineLevel="0" collapsed="false">
      <c r="A38" s="5" t="n">
        <f aca="false">IF(B38&lt;&gt;"", COUNTA($B$2:B38), "")</f>
        <v>37</v>
      </c>
      <c r="B38" s="7" t="s">
        <v>93</v>
      </c>
      <c r="C38" s="8" t="s">
        <v>94</v>
      </c>
      <c r="D38" s="8" t="n">
        <v>2310064</v>
      </c>
      <c r="E38" s="17" t="n">
        <v>2011</v>
      </c>
      <c r="F38" s="20"/>
      <c r="G38" s="20"/>
      <c r="H38" s="5" t="s">
        <v>124</v>
      </c>
      <c r="I38" s="5" t="s">
        <v>112</v>
      </c>
      <c r="J38" s="5" t="s">
        <v>32</v>
      </c>
      <c r="K38" s="5" t="n">
        <v>2012</v>
      </c>
      <c r="L38" s="12"/>
      <c r="M38" s="6"/>
      <c r="N38" s="20"/>
    </row>
    <row r="39" customFormat="false" ht="22.5" hidden="false" customHeight="false" outlineLevel="0" collapsed="false">
      <c r="A39" s="5" t="n">
        <f aca="false">IF(B39&lt;&gt;"", COUNTA($B$2:B39), "")</f>
        <v>38</v>
      </c>
      <c r="B39" s="7" t="s">
        <v>125</v>
      </c>
      <c r="C39" s="8" t="s">
        <v>126</v>
      </c>
      <c r="D39" s="8" t="n">
        <v>1918</v>
      </c>
      <c r="E39" s="17" t="n">
        <v>2011</v>
      </c>
      <c r="F39" s="19" t="s">
        <v>127</v>
      </c>
      <c r="G39" s="20"/>
      <c r="H39" s="5" t="s">
        <v>128</v>
      </c>
      <c r="I39" s="5" t="s">
        <v>112</v>
      </c>
      <c r="J39" s="5" t="s">
        <v>32</v>
      </c>
      <c r="K39" s="5" t="n">
        <v>2012</v>
      </c>
      <c r="L39" s="20"/>
      <c r="M39" s="20"/>
      <c r="N39" s="20"/>
    </row>
    <row r="40" customFormat="false" ht="22.5" hidden="false" customHeight="false" outlineLevel="0" collapsed="false">
      <c r="A40" s="5" t="n">
        <f aca="false">IF(B40&lt;&gt;"", COUNTA($B$2:B40), "")</f>
        <v>39</v>
      </c>
      <c r="B40" s="7" t="s">
        <v>125</v>
      </c>
      <c r="C40" s="8" t="s">
        <v>126</v>
      </c>
      <c r="D40" s="8" t="n">
        <v>1919</v>
      </c>
      <c r="E40" s="17" t="n">
        <v>2011</v>
      </c>
      <c r="F40" s="19" t="s">
        <v>127</v>
      </c>
      <c r="G40" s="20"/>
      <c r="H40" s="5" t="s">
        <v>129</v>
      </c>
      <c r="I40" s="5" t="s">
        <v>112</v>
      </c>
      <c r="J40" s="5" t="s">
        <v>32</v>
      </c>
      <c r="K40" s="5" t="n">
        <v>2012</v>
      </c>
      <c r="L40" s="20"/>
      <c r="M40" s="20"/>
      <c r="N40" s="20"/>
    </row>
    <row r="41" customFormat="false" ht="22.5" hidden="false" customHeight="false" outlineLevel="0" collapsed="false">
      <c r="A41" s="5" t="n">
        <f aca="false">IF(B41&lt;&gt;"", COUNTA($B$2:B41), "")</f>
        <v>40</v>
      </c>
      <c r="B41" s="7" t="s">
        <v>125</v>
      </c>
      <c r="C41" s="8" t="s">
        <v>126</v>
      </c>
      <c r="D41" s="8" t="n">
        <v>1920</v>
      </c>
      <c r="E41" s="17" t="n">
        <v>2011</v>
      </c>
      <c r="F41" s="19" t="s">
        <v>127</v>
      </c>
      <c r="G41" s="20"/>
      <c r="H41" s="5" t="s">
        <v>130</v>
      </c>
      <c r="I41" s="5" t="s">
        <v>112</v>
      </c>
      <c r="J41" s="5" t="s">
        <v>32</v>
      </c>
      <c r="K41" s="5" t="n">
        <v>2012</v>
      </c>
      <c r="L41" s="20"/>
      <c r="M41" s="20"/>
      <c r="N41" s="20"/>
    </row>
    <row r="42" customFormat="false" ht="22.5" hidden="false" customHeight="false" outlineLevel="0" collapsed="false">
      <c r="A42" s="5" t="n">
        <f aca="false">IF(B42&lt;&gt;"", COUNTA($B$2:B42), "")</f>
        <v>41</v>
      </c>
      <c r="B42" s="18" t="s">
        <v>57</v>
      </c>
      <c r="C42" s="8" t="s">
        <v>131</v>
      </c>
      <c r="D42" s="8" t="s">
        <v>132</v>
      </c>
      <c r="E42" s="8"/>
      <c r="F42" s="8" t="s">
        <v>133</v>
      </c>
      <c r="G42" s="8"/>
      <c r="H42" s="8" t="s">
        <v>134</v>
      </c>
      <c r="I42" s="5" t="s">
        <v>112</v>
      </c>
      <c r="J42" s="5" t="s">
        <v>32</v>
      </c>
      <c r="K42" s="5" t="n">
        <v>2012</v>
      </c>
      <c r="L42" s="30"/>
      <c r="M42" s="30"/>
      <c r="N42" s="30"/>
    </row>
    <row r="43" customFormat="false" ht="22.5" hidden="false" customHeight="false" outlineLevel="0" collapsed="false">
      <c r="A43" s="5" t="n">
        <f aca="false">IF(B43&lt;&gt;"", COUNTA($B$2:B43), "")</f>
        <v>42</v>
      </c>
      <c r="B43" s="18" t="s">
        <v>57</v>
      </c>
      <c r="C43" s="8" t="s">
        <v>135</v>
      </c>
      <c r="D43" s="8" t="n">
        <v>108165</v>
      </c>
      <c r="E43" s="8" t="n">
        <v>2011</v>
      </c>
      <c r="F43" s="8" t="s">
        <v>136</v>
      </c>
      <c r="G43" s="8"/>
      <c r="H43" s="5" t="s">
        <v>137</v>
      </c>
      <c r="I43" s="5" t="s">
        <v>112</v>
      </c>
      <c r="J43" s="5" t="s">
        <v>32</v>
      </c>
      <c r="K43" s="5" t="n">
        <v>2012</v>
      </c>
      <c r="L43" s="30"/>
      <c r="M43" s="30"/>
      <c r="N43" s="30"/>
    </row>
    <row r="44" customFormat="false" ht="22.5" hidden="false" customHeight="false" outlineLevel="0" collapsed="false">
      <c r="A44" s="5" t="n">
        <f aca="false">IF(B44&lt;&gt;"", COUNTA($B$2:B44), "")</f>
        <v>43</v>
      </c>
      <c r="B44" s="18" t="s">
        <v>57</v>
      </c>
      <c r="C44" s="8" t="s">
        <v>138</v>
      </c>
      <c r="D44" s="8" t="n">
        <v>303046</v>
      </c>
      <c r="E44" s="8"/>
      <c r="F44" s="8" t="s">
        <v>139</v>
      </c>
      <c r="G44" s="8"/>
      <c r="H44" s="8" t="s">
        <v>140</v>
      </c>
      <c r="I44" s="5" t="s">
        <v>112</v>
      </c>
      <c r="J44" s="5" t="s">
        <v>32</v>
      </c>
      <c r="K44" s="5" t="n">
        <v>2012</v>
      </c>
      <c r="L44" s="30"/>
      <c r="M44" s="30"/>
      <c r="N44" s="30"/>
    </row>
    <row r="45" customFormat="false" ht="15" hidden="false" customHeight="false" outlineLevel="0" collapsed="false">
      <c r="A45" s="5" t="n">
        <f aca="false">IF(B45&lt;&gt;"", COUNTA($B$2:B45), "")</f>
        <v>44</v>
      </c>
      <c r="B45" s="8" t="s">
        <v>141</v>
      </c>
      <c r="C45" s="8" t="s">
        <v>142</v>
      </c>
      <c r="D45" s="8" t="n">
        <v>11024687</v>
      </c>
      <c r="E45" s="8" t="n">
        <v>2011</v>
      </c>
      <c r="F45" s="6" t="s">
        <v>143</v>
      </c>
      <c r="G45" s="8"/>
      <c r="H45" s="8" t="s">
        <v>141</v>
      </c>
      <c r="I45" s="5" t="s">
        <v>112</v>
      </c>
      <c r="J45" s="5" t="s">
        <v>32</v>
      </c>
      <c r="K45" s="5" t="n">
        <v>2012</v>
      </c>
      <c r="L45" s="30"/>
      <c r="M45" s="30"/>
      <c r="N45" s="30"/>
    </row>
    <row r="46" customFormat="false" ht="1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8" t="s">
        <v>144</v>
      </c>
      <c r="D46" s="8" t="n">
        <v>15652</v>
      </c>
      <c r="E46" s="8" t="n">
        <v>2010</v>
      </c>
      <c r="F46" s="8" t="s">
        <v>29</v>
      </c>
      <c r="G46" s="8" t="n">
        <v>1.5</v>
      </c>
      <c r="H46" s="5" t="s">
        <v>145</v>
      </c>
      <c r="I46" s="8" t="s">
        <v>146</v>
      </c>
      <c r="J46" s="5" t="s">
        <v>32</v>
      </c>
      <c r="K46" s="5" t="n">
        <v>2012</v>
      </c>
      <c r="L46" s="5" t="n">
        <v>12</v>
      </c>
      <c r="M46" s="6" t="s">
        <v>33</v>
      </c>
      <c r="N46" s="8" t="s">
        <v>1</v>
      </c>
    </row>
    <row r="47" customFormat="false" ht="1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8" t="s">
        <v>144</v>
      </c>
      <c r="D47" s="8" t="n">
        <v>15207</v>
      </c>
      <c r="E47" s="8" t="n">
        <v>2010</v>
      </c>
      <c r="F47" s="8" t="s">
        <v>29</v>
      </c>
      <c r="G47" s="8" t="n">
        <v>1.5</v>
      </c>
      <c r="H47" s="5" t="s">
        <v>147</v>
      </c>
      <c r="I47" s="8" t="s">
        <v>146</v>
      </c>
      <c r="J47" s="5" t="s">
        <v>32</v>
      </c>
      <c r="K47" s="5" t="n">
        <v>2012</v>
      </c>
      <c r="L47" s="5" t="n">
        <v>12</v>
      </c>
      <c r="M47" s="6" t="s">
        <v>33</v>
      </c>
      <c r="N47" s="8" t="s">
        <v>1</v>
      </c>
    </row>
    <row r="48" customFormat="false" ht="1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8" t="s">
        <v>144</v>
      </c>
      <c r="D48" s="8" t="n">
        <v>15360</v>
      </c>
      <c r="E48" s="8" t="n">
        <v>2010</v>
      </c>
      <c r="F48" s="8" t="s">
        <v>29</v>
      </c>
      <c r="G48" s="8" t="n">
        <v>1.5</v>
      </c>
      <c r="H48" s="5" t="s">
        <v>148</v>
      </c>
      <c r="I48" s="8" t="s">
        <v>146</v>
      </c>
      <c r="J48" s="5" t="s">
        <v>32</v>
      </c>
      <c r="K48" s="5" t="n">
        <v>2012</v>
      </c>
      <c r="L48" s="5" t="n">
        <v>12</v>
      </c>
      <c r="M48" s="6" t="s">
        <v>33</v>
      </c>
      <c r="N48" s="8" t="s">
        <v>1</v>
      </c>
    </row>
    <row r="49" customFormat="false" ht="1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8" t="s">
        <v>144</v>
      </c>
      <c r="D49" s="8" t="n">
        <v>15224</v>
      </c>
      <c r="E49" s="8" t="n">
        <v>2010</v>
      </c>
      <c r="F49" s="8" t="s">
        <v>29</v>
      </c>
      <c r="G49" s="8" t="n">
        <v>1.5</v>
      </c>
      <c r="H49" s="5" t="s">
        <v>149</v>
      </c>
      <c r="I49" s="8" t="s">
        <v>146</v>
      </c>
      <c r="J49" s="5" t="s">
        <v>32</v>
      </c>
      <c r="K49" s="5" t="n">
        <v>2012</v>
      </c>
      <c r="L49" s="5" t="n">
        <v>12</v>
      </c>
      <c r="M49" s="6" t="s">
        <v>33</v>
      </c>
      <c r="N49" s="8" t="s">
        <v>1</v>
      </c>
    </row>
    <row r="50" customFormat="false" ht="1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8" t="s">
        <v>144</v>
      </c>
      <c r="D50" s="8" t="n">
        <v>15222</v>
      </c>
      <c r="E50" s="8" t="n">
        <v>2010</v>
      </c>
      <c r="F50" s="8" t="s">
        <v>29</v>
      </c>
      <c r="G50" s="8" t="n">
        <v>1.5</v>
      </c>
      <c r="H50" s="5" t="s">
        <v>150</v>
      </c>
      <c r="I50" s="8" t="s">
        <v>146</v>
      </c>
      <c r="J50" s="5" t="s">
        <v>32</v>
      </c>
      <c r="K50" s="5" t="n">
        <v>2012</v>
      </c>
      <c r="L50" s="5" t="n">
        <v>12</v>
      </c>
      <c r="M50" s="6" t="s">
        <v>33</v>
      </c>
      <c r="N50" s="8" t="s">
        <v>1</v>
      </c>
    </row>
    <row r="51" customFormat="false" ht="1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8" t="s">
        <v>144</v>
      </c>
      <c r="D51" s="8" t="n">
        <v>15262</v>
      </c>
      <c r="E51" s="8" t="n">
        <v>2010</v>
      </c>
      <c r="F51" s="8" t="s">
        <v>29</v>
      </c>
      <c r="G51" s="8" t="n">
        <v>1.5</v>
      </c>
      <c r="H51" s="5" t="s">
        <v>151</v>
      </c>
      <c r="I51" s="8" t="s">
        <v>146</v>
      </c>
      <c r="J51" s="5" t="s">
        <v>32</v>
      </c>
      <c r="K51" s="5" t="n">
        <v>2012</v>
      </c>
      <c r="L51" s="5" t="n">
        <v>12</v>
      </c>
      <c r="M51" s="6" t="s">
        <v>33</v>
      </c>
      <c r="N51" s="8" t="s">
        <v>1</v>
      </c>
    </row>
    <row r="52" customFormat="false" ht="1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8" t="s">
        <v>144</v>
      </c>
      <c r="D52" s="8" t="n">
        <v>15264</v>
      </c>
      <c r="E52" s="8" t="n">
        <v>2010</v>
      </c>
      <c r="F52" s="8" t="s">
        <v>29</v>
      </c>
      <c r="G52" s="8" t="n">
        <v>1.5</v>
      </c>
      <c r="H52" s="5" t="s">
        <v>152</v>
      </c>
      <c r="I52" s="8" t="s">
        <v>146</v>
      </c>
      <c r="J52" s="5" t="s">
        <v>32</v>
      </c>
      <c r="K52" s="5" t="n">
        <v>2012</v>
      </c>
      <c r="L52" s="5" t="n">
        <v>12</v>
      </c>
      <c r="M52" s="6" t="s">
        <v>33</v>
      </c>
      <c r="N52" s="8" t="s">
        <v>1</v>
      </c>
    </row>
    <row r="53" customFormat="false" ht="1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8" t="s">
        <v>144</v>
      </c>
      <c r="D53" s="8" t="n">
        <v>15574</v>
      </c>
      <c r="E53" s="8" t="n">
        <v>2010</v>
      </c>
      <c r="F53" s="8" t="s">
        <v>29</v>
      </c>
      <c r="G53" s="8" t="n">
        <v>1.5</v>
      </c>
      <c r="H53" s="5" t="s">
        <v>153</v>
      </c>
      <c r="I53" s="8" t="s">
        <v>146</v>
      </c>
      <c r="J53" s="5" t="s">
        <v>32</v>
      </c>
      <c r="K53" s="5" t="n">
        <v>2012</v>
      </c>
      <c r="L53" s="5" t="n">
        <v>12</v>
      </c>
      <c r="M53" s="6" t="s">
        <v>33</v>
      </c>
      <c r="N53" s="8" t="s">
        <v>1</v>
      </c>
    </row>
    <row r="54" customFormat="false" ht="22.5" hidden="false" customHeight="false" outlineLevel="0" collapsed="false">
      <c r="A54" s="5" t="n">
        <f aca="false">IF(B54&lt;&gt;"", COUNTA($B$2:B54), "")</f>
        <v>53</v>
      </c>
      <c r="B54" s="12" t="s">
        <v>46</v>
      </c>
      <c r="C54" s="8" t="s">
        <v>154</v>
      </c>
      <c r="D54" s="15" t="s">
        <v>155</v>
      </c>
      <c r="E54" s="8" t="n">
        <v>2018</v>
      </c>
      <c r="F54" s="8" t="s">
        <v>156</v>
      </c>
      <c r="G54" s="8" t="n">
        <v>1.5</v>
      </c>
      <c r="H54" s="5" t="s">
        <v>157</v>
      </c>
      <c r="I54" s="8" t="s">
        <v>146</v>
      </c>
      <c r="J54" s="5" t="s">
        <v>32</v>
      </c>
      <c r="K54" s="5" t="n">
        <v>2019</v>
      </c>
      <c r="L54" s="5" t="n">
        <v>24</v>
      </c>
      <c r="M54" s="6" t="s">
        <v>158</v>
      </c>
      <c r="N54" s="8" t="s">
        <v>1</v>
      </c>
    </row>
    <row r="55" customFormat="false" ht="22.5" hidden="false" customHeight="false" outlineLevel="0" collapsed="false">
      <c r="A55" s="5" t="n">
        <f aca="false">IF(B55&lt;&gt;"", COUNTA($B$2:B55), "")</f>
        <v>54</v>
      </c>
      <c r="B55" s="12" t="s">
        <v>46</v>
      </c>
      <c r="C55" s="8" t="s">
        <v>154</v>
      </c>
      <c r="D55" s="15" t="s">
        <v>159</v>
      </c>
      <c r="E55" s="8" t="n">
        <v>2018</v>
      </c>
      <c r="F55" s="8" t="s">
        <v>156</v>
      </c>
      <c r="G55" s="8" t="n">
        <v>1.5</v>
      </c>
      <c r="H55" s="5" t="s">
        <v>160</v>
      </c>
      <c r="I55" s="8" t="s">
        <v>146</v>
      </c>
      <c r="J55" s="5" t="s">
        <v>32</v>
      </c>
      <c r="K55" s="5" t="n">
        <v>2019</v>
      </c>
      <c r="L55" s="5" t="n">
        <v>24</v>
      </c>
      <c r="M55" s="6" t="s">
        <v>158</v>
      </c>
      <c r="N55" s="8" t="s">
        <v>1</v>
      </c>
    </row>
    <row r="56" customFormat="false" ht="22.5" hidden="false" customHeight="false" outlineLevel="0" collapsed="false">
      <c r="A56" s="5" t="n">
        <f aca="false">IF(B56&lt;&gt;"", COUNTA($B$2:B56), "")</f>
        <v>55</v>
      </c>
      <c r="B56" s="12" t="s">
        <v>46</v>
      </c>
      <c r="C56" s="8" t="s">
        <v>154</v>
      </c>
      <c r="D56" s="15" t="s">
        <v>161</v>
      </c>
      <c r="E56" s="8" t="n">
        <v>2018</v>
      </c>
      <c r="F56" s="8" t="s">
        <v>156</v>
      </c>
      <c r="G56" s="8" t="n">
        <v>1.5</v>
      </c>
      <c r="H56" s="5" t="s">
        <v>162</v>
      </c>
      <c r="I56" s="8" t="s">
        <v>146</v>
      </c>
      <c r="J56" s="5" t="s">
        <v>32</v>
      </c>
      <c r="K56" s="5" t="n">
        <v>2019</v>
      </c>
      <c r="L56" s="5" t="n">
        <v>24</v>
      </c>
      <c r="M56" s="6" t="s">
        <v>158</v>
      </c>
      <c r="N56" s="8" t="s">
        <v>1</v>
      </c>
    </row>
    <row r="57" customFormat="false" ht="22.5" hidden="false" customHeight="false" outlineLevel="0" collapsed="false">
      <c r="A57" s="5" t="n">
        <f aca="false">IF(B57&lt;&gt;"", COUNTA($B$2:B57), "")</f>
        <v>56</v>
      </c>
      <c r="B57" s="12" t="s">
        <v>46</v>
      </c>
      <c r="C57" s="8" t="s">
        <v>154</v>
      </c>
      <c r="D57" s="15" t="s">
        <v>163</v>
      </c>
      <c r="E57" s="8" t="n">
        <v>2018</v>
      </c>
      <c r="F57" s="8" t="s">
        <v>156</v>
      </c>
      <c r="G57" s="8" t="n">
        <v>1.5</v>
      </c>
      <c r="H57" s="5" t="s">
        <v>164</v>
      </c>
      <c r="I57" s="8" t="s">
        <v>146</v>
      </c>
      <c r="J57" s="5" t="s">
        <v>32</v>
      </c>
      <c r="K57" s="5" t="n">
        <v>2019</v>
      </c>
      <c r="L57" s="5" t="n">
        <v>24</v>
      </c>
      <c r="M57" s="6" t="s">
        <v>158</v>
      </c>
      <c r="N57" s="8" t="s">
        <v>1</v>
      </c>
    </row>
    <row r="58" customFormat="false" ht="22.5" hidden="false" customHeight="false" outlineLevel="0" collapsed="false">
      <c r="A58" s="5" t="n">
        <f aca="false">IF(B58&lt;&gt;"", COUNTA($B$2:B58), "")</f>
        <v>57</v>
      </c>
      <c r="B58" s="12" t="s">
        <v>46</v>
      </c>
      <c r="C58" s="8" t="s">
        <v>47</v>
      </c>
      <c r="D58" s="15" t="s">
        <v>165</v>
      </c>
      <c r="E58" s="8" t="n">
        <v>2018</v>
      </c>
      <c r="F58" s="8" t="s">
        <v>156</v>
      </c>
      <c r="G58" s="8" t="n">
        <v>1</v>
      </c>
      <c r="H58" s="5" t="s">
        <v>166</v>
      </c>
      <c r="I58" s="8" t="s">
        <v>146</v>
      </c>
      <c r="J58" s="5" t="s">
        <v>32</v>
      </c>
      <c r="K58" s="5" t="n">
        <v>2019</v>
      </c>
      <c r="L58" s="5" t="n">
        <v>24</v>
      </c>
      <c r="M58" s="6" t="s">
        <v>158</v>
      </c>
      <c r="N58" s="8" t="s">
        <v>1</v>
      </c>
    </row>
    <row r="59" customFormat="false" ht="22.5" hidden="false" customHeight="false" outlineLevel="0" collapsed="false">
      <c r="A59" s="5" t="n">
        <f aca="false">IF(B59&lt;&gt;"", COUNTA($B$2:B59), "")</f>
        <v>58</v>
      </c>
      <c r="B59" s="12" t="s">
        <v>46</v>
      </c>
      <c r="C59" s="8" t="s">
        <v>154</v>
      </c>
      <c r="D59" s="15" t="s">
        <v>167</v>
      </c>
      <c r="E59" s="8" t="n">
        <v>2018</v>
      </c>
      <c r="F59" s="8" t="s">
        <v>156</v>
      </c>
      <c r="G59" s="8" t="n">
        <v>1.5</v>
      </c>
      <c r="H59" s="5" t="s">
        <v>168</v>
      </c>
      <c r="I59" s="8" t="s">
        <v>146</v>
      </c>
      <c r="J59" s="5" t="s">
        <v>32</v>
      </c>
      <c r="K59" s="5" t="n">
        <v>2019</v>
      </c>
      <c r="L59" s="5" t="n">
        <v>24</v>
      </c>
      <c r="M59" s="6" t="s">
        <v>158</v>
      </c>
      <c r="N59" s="8" t="s">
        <v>1</v>
      </c>
    </row>
    <row r="60" customFormat="false" ht="22.5" hidden="false" customHeight="false" outlineLevel="0" collapsed="false">
      <c r="A60" s="5" t="n">
        <f aca="false">IF(B60&lt;&gt;"", COUNTA($B$2:B60), "")</f>
        <v>59</v>
      </c>
      <c r="B60" s="12" t="s">
        <v>46</v>
      </c>
      <c r="C60" s="8" t="s">
        <v>154</v>
      </c>
      <c r="D60" s="15" t="s">
        <v>169</v>
      </c>
      <c r="E60" s="8" t="n">
        <v>2018</v>
      </c>
      <c r="F60" s="8" t="s">
        <v>156</v>
      </c>
      <c r="G60" s="8" t="n">
        <v>1.5</v>
      </c>
      <c r="H60" s="5" t="s">
        <v>170</v>
      </c>
      <c r="I60" s="8" t="s">
        <v>146</v>
      </c>
      <c r="J60" s="5" t="s">
        <v>32</v>
      </c>
      <c r="K60" s="5" t="n">
        <v>2019</v>
      </c>
      <c r="L60" s="5" t="n">
        <v>24</v>
      </c>
      <c r="M60" s="6" t="s">
        <v>158</v>
      </c>
      <c r="N60" s="8" t="s">
        <v>1</v>
      </c>
    </row>
    <row r="61" customFormat="false" ht="22.5" hidden="false" customHeight="false" outlineLevel="0" collapsed="false">
      <c r="A61" s="5" t="n">
        <f aca="false">IF(B61&lt;&gt;"", COUNTA($B$2:B61), "")</f>
        <v>60</v>
      </c>
      <c r="B61" s="12" t="s">
        <v>46</v>
      </c>
      <c r="C61" s="8" t="s">
        <v>154</v>
      </c>
      <c r="D61" s="15" t="s">
        <v>171</v>
      </c>
      <c r="E61" s="8" t="n">
        <v>2018</v>
      </c>
      <c r="F61" s="8" t="s">
        <v>156</v>
      </c>
      <c r="G61" s="8" t="n">
        <v>1.5</v>
      </c>
      <c r="H61" s="5" t="s">
        <v>172</v>
      </c>
      <c r="I61" s="8" t="s">
        <v>146</v>
      </c>
      <c r="J61" s="5" t="s">
        <v>32</v>
      </c>
      <c r="K61" s="5" t="n">
        <v>2019</v>
      </c>
      <c r="L61" s="5" t="n">
        <v>24</v>
      </c>
      <c r="M61" s="6" t="s">
        <v>158</v>
      </c>
      <c r="N61" s="8" t="s">
        <v>1</v>
      </c>
    </row>
    <row r="62" customFormat="false" ht="15" hidden="false" customHeight="false" outlineLevel="0" collapsed="false">
      <c r="A62" s="5" t="n">
        <f aca="false">IF(B62&lt;&gt;"", COUNTA($B$2:B62), "")</f>
        <v>61</v>
      </c>
      <c r="B62" s="7" t="s">
        <v>27</v>
      </c>
      <c r="C62" s="8" t="s">
        <v>173</v>
      </c>
      <c r="D62" s="15" t="s">
        <v>174</v>
      </c>
      <c r="E62" s="8" t="n">
        <v>2010</v>
      </c>
      <c r="F62" s="8" t="s">
        <v>29</v>
      </c>
      <c r="G62" s="8" t="n">
        <v>1.5</v>
      </c>
      <c r="H62" s="5" t="s">
        <v>175</v>
      </c>
      <c r="I62" s="8" t="s">
        <v>146</v>
      </c>
      <c r="J62" s="5" t="s">
        <v>32</v>
      </c>
      <c r="K62" s="5" t="n">
        <v>2012</v>
      </c>
      <c r="L62" s="5" t="n">
        <v>12</v>
      </c>
      <c r="M62" s="6" t="s">
        <v>33</v>
      </c>
      <c r="N62" s="8" t="s">
        <v>1</v>
      </c>
    </row>
    <row r="63" customFormat="false" ht="15" hidden="false" customHeight="false" outlineLevel="0" collapsed="false">
      <c r="A63" s="5" t="n">
        <f aca="false">IF(B63&lt;&gt;"", COUNTA($B$2:B63), "")</f>
        <v>62</v>
      </c>
      <c r="B63" s="7" t="s">
        <v>27</v>
      </c>
      <c r="C63" s="8" t="s">
        <v>173</v>
      </c>
      <c r="D63" s="15" t="s">
        <v>176</v>
      </c>
      <c r="E63" s="8" t="n">
        <v>2010</v>
      </c>
      <c r="F63" s="8" t="s">
        <v>29</v>
      </c>
      <c r="G63" s="8" t="n">
        <v>1.5</v>
      </c>
      <c r="H63" s="5" t="s">
        <v>177</v>
      </c>
      <c r="I63" s="8" t="s">
        <v>146</v>
      </c>
      <c r="J63" s="5" t="s">
        <v>32</v>
      </c>
      <c r="K63" s="5" t="n">
        <v>2012</v>
      </c>
      <c r="L63" s="5" t="n">
        <v>12</v>
      </c>
      <c r="M63" s="6" t="s">
        <v>33</v>
      </c>
      <c r="N63" s="8" t="s">
        <v>1</v>
      </c>
    </row>
    <row r="64" customFormat="false" ht="15" hidden="false" customHeight="false" outlineLevel="0" collapsed="false">
      <c r="A64" s="5" t="n">
        <f aca="false">IF(B64&lt;&gt;"", COUNTA($B$2:B64), "")</f>
        <v>63</v>
      </c>
      <c r="B64" s="7" t="s">
        <v>27</v>
      </c>
      <c r="C64" s="5" t="s">
        <v>28</v>
      </c>
      <c r="D64" s="5" t="n">
        <v>15145</v>
      </c>
      <c r="E64" s="8" t="n">
        <v>2010</v>
      </c>
      <c r="F64" s="5" t="s">
        <v>178</v>
      </c>
      <c r="G64" s="5" t="n">
        <v>1.5</v>
      </c>
      <c r="H64" s="5" t="s">
        <v>179</v>
      </c>
      <c r="I64" s="8" t="s">
        <v>146</v>
      </c>
      <c r="J64" s="5" t="s">
        <v>32</v>
      </c>
      <c r="K64" s="5" t="n">
        <v>2012</v>
      </c>
      <c r="L64" s="5" t="n">
        <v>12</v>
      </c>
      <c r="M64" s="27" t="s">
        <v>33</v>
      </c>
      <c r="N64" s="23" t="s">
        <v>1</v>
      </c>
    </row>
    <row r="65" customFormat="false" ht="22.5" hidden="false" customHeight="false" outlineLevel="0" collapsed="false">
      <c r="A65" s="5" t="n">
        <f aca="false">IF(B65&lt;&gt;"", COUNTA($B$2:B65), "")</f>
        <v>64</v>
      </c>
      <c r="B65" s="6" t="s">
        <v>64</v>
      </c>
      <c r="C65" s="19" t="s">
        <v>180</v>
      </c>
      <c r="D65" s="19" t="s">
        <v>181</v>
      </c>
      <c r="E65" s="17" t="n">
        <v>2011</v>
      </c>
      <c r="F65" s="19" t="s">
        <v>67</v>
      </c>
      <c r="G65" s="19" t="s">
        <v>182</v>
      </c>
      <c r="H65" s="19" t="s">
        <v>183</v>
      </c>
      <c r="I65" s="8" t="s">
        <v>146</v>
      </c>
      <c r="J65" s="5" t="s">
        <v>32</v>
      </c>
      <c r="K65" s="5" t="n">
        <v>2012</v>
      </c>
      <c r="L65" s="12" t="n">
        <v>36</v>
      </c>
      <c r="M65" s="6"/>
      <c r="N65" s="8"/>
    </row>
    <row r="66" customFormat="false" ht="22.5" hidden="false" customHeight="false" outlineLevel="0" collapsed="false">
      <c r="A66" s="5" t="n">
        <f aca="false">IF(B66&lt;&gt;"", COUNTA($B$2:B66), "")</f>
        <v>65</v>
      </c>
      <c r="B66" s="6" t="s">
        <v>64</v>
      </c>
      <c r="C66" s="19" t="s">
        <v>180</v>
      </c>
      <c r="D66" s="19" t="s">
        <v>184</v>
      </c>
      <c r="E66" s="17" t="n">
        <v>2011</v>
      </c>
      <c r="F66" s="19" t="s">
        <v>67</v>
      </c>
      <c r="G66" s="19" t="s">
        <v>182</v>
      </c>
      <c r="H66" s="19" t="s">
        <v>185</v>
      </c>
      <c r="I66" s="8" t="s">
        <v>146</v>
      </c>
      <c r="J66" s="5" t="s">
        <v>32</v>
      </c>
      <c r="K66" s="5" t="n">
        <v>2012</v>
      </c>
      <c r="L66" s="12" t="n">
        <v>36</v>
      </c>
      <c r="M66" s="6"/>
      <c r="N66" s="8"/>
    </row>
    <row r="67" customFormat="false" ht="22.5" hidden="false" customHeight="false" outlineLevel="0" collapsed="false">
      <c r="A67" s="5" t="n">
        <f aca="false">IF(B67&lt;&gt;"", COUNTA($B$2:B67), "")</f>
        <v>66</v>
      </c>
      <c r="B67" s="18" t="s">
        <v>57</v>
      </c>
      <c r="C67" s="12" t="s">
        <v>186</v>
      </c>
      <c r="D67" s="12" t="s">
        <v>187</v>
      </c>
      <c r="E67" s="16" t="n">
        <v>2012</v>
      </c>
      <c r="F67" s="12" t="s">
        <v>188</v>
      </c>
      <c r="G67" s="31" t="n">
        <v>0.0004</v>
      </c>
      <c r="H67" s="12" t="s">
        <v>189</v>
      </c>
      <c r="I67" s="8" t="s">
        <v>146</v>
      </c>
      <c r="J67" s="5" t="s">
        <v>32</v>
      </c>
      <c r="K67" s="5" t="n">
        <v>2012</v>
      </c>
      <c r="L67" s="12" t="n">
        <v>60</v>
      </c>
      <c r="M67" s="6"/>
      <c r="N67" s="8"/>
    </row>
    <row r="68" customFormat="false" ht="22.5" hidden="false" customHeight="false" outlineLevel="0" collapsed="false">
      <c r="A68" s="5" t="n">
        <f aca="false">IF(B68&lt;&gt;"", COUNTA($B$2:B68), "")</f>
        <v>67</v>
      </c>
      <c r="B68" s="18" t="s">
        <v>57</v>
      </c>
      <c r="C68" s="12" t="s">
        <v>190</v>
      </c>
      <c r="D68" s="12" t="s">
        <v>191</v>
      </c>
      <c r="E68" s="16" t="n">
        <v>2012</v>
      </c>
      <c r="F68" s="12" t="s">
        <v>192</v>
      </c>
      <c r="G68" s="31" t="n">
        <v>0.001</v>
      </c>
      <c r="H68" s="12" t="s">
        <v>193</v>
      </c>
      <c r="I68" s="8" t="s">
        <v>146</v>
      </c>
      <c r="J68" s="5" t="s">
        <v>32</v>
      </c>
      <c r="K68" s="5" t="n">
        <v>2012</v>
      </c>
      <c r="L68" s="12" t="n">
        <v>60</v>
      </c>
      <c r="M68" s="6"/>
      <c r="N68" s="8"/>
    </row>
    <row r="69" customFormat="false" ht="15" hidden="false" customHeight="false" outlineLevel="0" collapsed="false">
      <c r="A69" s="5" t="n">
        <f aca="false">IF(B69&lt;&gt;"", COUNTA($B$2:B69), "")</f>
        <v>68</v>
      </c>
      <c r="B69" s="6" t="s">
        <v>64</v>
      </c>
      <c r="C69" s="19" t="s">
        <v>65</v>
      </c>
      <c r="D69" s="19" t="s">
        <v>194</v>
      </c>
      <c r="E69" s="16" t="n">
        <v>2011</v>
      </c>
      <c r="F69" s="19" t="s">
        <v>195</v>
      </c>
      <c r="G69" s="19" t="s">
        <v>68</v>
      </c>
      <c r="H69" s="6" t="s">
        <v>196</v>
      </c>
      <c r="I69" s="5" t="s">
        <v>197</v>
      </c>
      <c r="J69" s="5" t="s">
        <v>32</v>
      </c>
      <c r="K69" s="5" t="n">
        <v>2012</v>
      </c>
      <c r="L69" s="12" t="n">
        <v>36</v>
      </c>
      <c r="M69" s="6"/>
      <c r="N69" s="8"/>
    </row>
    <row r="70" customFormat="false" ht="15" hidden="false" customHeight="false" outlineLevel="0" collapsed="false">
      <c r="A70" s="5" t="n">
        <f aca="false">IF(B70&lt;&gt;"", COUNTA($B$2:B70), "")</f>
        <v>69</v>
      </c>
      <c r="B70" s="6" t="s">
        <v>64</v>
      </c>
      <c r="C70" s="19" t="s">
        <v>198</v>
      </c>
      <c r="D70" s="19" t="s">
        <v>199</v>
      </c>
      <c r="E70" s="19" t="s">
        <v>200</v>
      </c>
      <c r="F70" s="19" t="s">
        <v>201</v>
      </c>
      <c r="G70" s="19" t="s">
        <v>68</v>
      </c>
      <c r="H70" s="6" t="s">
        <v>202</v>
      </c>
      <c r="I70" s="5" t="s">
        <v>197</v>
      </c>
      <c r="J70" s="5" t="s">
        <v>32</v>
      </c>
      <c r="K70" s="5"/>
      <c r="L70" s="5"/>
      <c r="M70" s="6"/>
      <c r="N70" s="8"/>
    </row>
    <row r="71" customFormat="false" ht="15" hidden="false" customHeight="false" outlineLevel="0" collapsed="false">
      <c r="A71" s="5" t="n">
        <f aca="false">IF(B71&lt;&gt;"", COUNTA($B$2:B71), "")</f>
        <v>70</v>
      </c>
      <c r="B71" s="6" t="s">
        <v>64</v>
      </c>
      <c r="C71" s="19" t="s">
        <v>203</v>
      </c>
      <c r="D71" s="17" t="n">
        <v>17</v>
      </c>
      <c r="E71" s="17" t="n">
        <v>2011</v>
      </c>
      <c r="F71" s="19" t="s">
        <v>195</v>
      </c>
      <c r="G71" s="19" t="s">
        <v>68</v>
      </c>
      <c r="H71" s="6" t="s">
        <v>204</v>
      </c>
      <c r="I71" s="5" t="s">
        <v>197</v>
      </c>
      <c r="J71" s="5" t="s">
        <v>32</v>
      </c>
      <c r="K71" s="5" t="n">
        <v>2012</v>
      </c>
      <c r="L71" s="12" t="n">
        <v>36</v>
      </c>
      <c r="M71" s="6"/>
      <c r="N71" s="8"/>
    </row>
    <row r="72" customFormat="false" ht="22.5" hidden="false" customHeight="false" outlineLevel="0" collapsed="false">
      <c r="A72" s="5" t="n">
        <f aca="false">IF(B72&lt;&gt;"", COUNTA($B$2:B72), "")</f>
        <v>71</v>
      </c>
      <c r="B72" s="6" t="s">
        <v>64</v>
      </c>
      <c r="C72" s="19" t="s">
        <v>203</v>
      </c>
      <c r="D72" s="19" t="s">
        <v>205</v>
      </c>
      <c r="E72" s="17" t="n">
        <v>2013</v>
      </c>
      <c r="F72" s="19" t="s">
        <v>201</v>
      </c>
      <c r="G72" s="19" t="s">
        <v>68</v>
      </c>
      <c r="H72" s="19" t="s">
        <v>206</v>
      </c>
      <c r="I72" s="5" t="s">
        <v>197</v>
      </c>
      <c r="J72" s="5" t="s">
        <v>32</v>
      </c>
      <c r="K72" s="5" t="n">
        <v>2012</v>
      </c>
      <c r="L72" s="12" t="n">
        <v>36</v>
      </c>
      <c r="M72" s="6"/>
      <c r="N72" s="8"/>
    </row>
    <row r="73" customFormat="false" ht="22.5" hidden="false" customHeight="false" outlineLevel="0" collapsed="false">
      <c r="A73" s="5" t="n">
        <f aca="false">IF(B73&lt;&gt;"", COUNTA($B$2:B73), "")</f>
        <v>72</v>
      </c>
      <c r="B73" s="7" t="s">
        <v>207</v>
      </c>
      <c r="C73" s="8" t="s">
        <v>208</v>
      </c>
      <c r="D73" s="10" t="n">
        <v>124603</v>
      </c>
      <c r="E73" s="8" t="n">
        <v>2011</v>
      </c>
      <c r="F73" s="16" t="s">
        <v>209</v>
      </c>
      <c r="G73" s="8"/>
      <c r="H73" s="5" t="s">
        <v>210</v>
      </c>
      <c r="I73" s="5" t="s">
        <v>197</v>
      </c>
      <c r="J73" s="5" t="s">
        <v>32</v>
      </c>
      <c r="K73" s="5" t="n">
        <v>2012</v>
      </c>
      <c r="L73" s="5"/>
      <c r="M73" s="6"/>
      <c r="N73" s="8"/>
    </row>
    <row r="74" customFormat="false" ht="22.5" hidden="false" customHeight="false" outlineLevel="0" collapsed="false">
      <c r="A74" s="5" t="n">
        <f aca="false">IF(B74&lt;&gt;"", COUNTA($B$2:B74), "")</f>
        <v>73</v>
      </c>
      <c r="B74" s="7" t="s">
        <v>207</v>
      </c>
      <c r="C74" s="8" t="s">
        <v>208</v>
      </c>
      <c r="D74" s="10" t="n">
        <v>124779</v>
      </c>
      <c r="E74" s="8" t="n">
        <v>2011</v>
      </c>
      <c r="F74" s="16" t="s">
        <v>211</v>
      </c>
      <c r="G74" s="8"/>
      <c r="H74" s="5" t="s">
        <v>212</v>
      </c>
      <c r="I74" s="5" t="s">
        <v>197</v>
      </c>
      <c r="J74" s="5" t="s">
        <v>32</v>
      </c>
      <c r="K74" s="5" t="n">
        <v>2012</v>
      </c>
      <c r="L74" s="5"/>
      <c r="M74" s="6"/>
      <c r="N74" s="8"/>
    </row>
    <row r="75" customFormat="false" ht="22.5" hidden="false" customHeight="false" outlineLevel="0" collapsed="false">
      <c r="A75" s="5" t="n">
        <f aca="false">IF(B75&lt;&gt;"", COUNTA($B$2:B75), "")</f>
        <v>74</v>
      </c>
      <c r="B75" s="7" t="s">
        <v>207</v>
      </c>
      <c r="C75" s="8" t="s">
        <v>213</v>
      </c>
      <c r="D75" s="10" t="n">
        <v>124019</v>
      </c>
      <c r="E75" s="8" t="n">
        <v>2011</v>
      </c>
      <c r="F75" s="16" t="s">
        <v>214</v>
      </c>
      <c r="G75" s="8"/>
      <c r="H75" s="5" t="s">
        <v>215</v>
      </c>
      <c r="I75" s="5" t="s">
        <v>197</v>
      </c>
      <c r="J75" s="5" t="s">
        <v>32</v>
      </c>
      <c r="K75" s="5" t="n">
        <v>2012</v>
      </c>
      <c r="L75" s="5"/>
      <c r="M75" s="6"/>
      <c r="N75" s="8"/>
    </row>
    <row r="76" customFormat="false" ht="22.5" hidden="false" customHeight="false" outlineLevel="0" collapsed="false">
      <c r="A76" s="5" t="n">
        <f aca="false">IF(B76&lt;&gt;"", COUNTA($B$2:B76), "")</f>
        <v>75</v>
      </c>
      <c r="B76" s="7" t="s">
        <v>207</v>
      </c>
      <c r="C76" s="8" t="s">
        <v>208</v>
      </c>
      <c r="D76" s="10" t="n">
        <v>122901</v>
      </c>
      <c r="E76" s="8" t="n">
        <v>2011</v>
      </c>
      <c r="F76" s="16" t="s">
        <v>209</v>
      </c>
      <c r="G76" s="8"/>
      <c r="H76" s="5" t="s">
        <v>216</v>
      </c>
      <c r="I76" s="5" t="s">
        <v>197</v>
      </c>
      <c r="J76" s="5" t="s">
        <v>32</v>
      </c>
      <c r="K76" s="5" t="n">
        <v>2012</v>
      </c>
      <c r="L76" s="5"/>
      <c r="M76" s="6"/>
      <c r="N76" s="8"/>
    </row>
    <row r="77" customFormat="false" ht="15" hidden="false" customHeight="false" outlineLevel="0" collapsed="false">
      <c r="A77" s="5" t="n">
        <f aca="false">IF(B77&lt;&gt;"", COUNTA($B$2:B77), "")</f>
        <v>76</v>
      </c>
      <c r="B77" s="7" t="s">
        <v>207</v>
      </c>
      <c r="C77" s="8" t="s">
        <v>213</v>
      </c>
      <c r="D77" s="10" t="n">
        <v>122938</v>
      </c>
      <c r="E77" s="8" t="n">
        <v>2011</v>
      </c>
      <c r="F77" s="16" t="s">
        <v>217</v>
      </c>
      <c r="G77" s="8"/>
      <c r="H77" s="5" t="s">
        <v>218</v>
      </c>
      <c r="I77" s="5" t="s">
        <v>197</v>
      </c>
      <c r="J77" s="5" t="s">
        <v>32</v>
      </c>
      <c r="K77" s="5" t="n">
        <v>2012</v>
      </c>
      <c r="L77" s="5"/>
      <c r="M77" s="6"/>
      <c r="N77" s="8"/>
    </row>
    <row r="78" customFormat="false" ht="33.75" hidden="false" customHeight="false" outlineLevel="0" collapsed="false">
      <c r="A78" s="5" t="n">
        <f aca="false">IF(B78&lt;&gt;"", COUNTA($B$2:B78), "")</f>
        <v>77</v>
      </c>
      <c r="B78" s="6" t="s">
        <v>64</v>
      </c>
      <c r="C78" s="19" t="s">
        <v>65</v>
      </c>
      <c r="D78" s="19" t="s">
        <v>219</v>
      </c>
      <c r="E78" s="17" t="n">
        <v>2011</v>
      </c>
      <c r="F78" s="19" t="s">
        <v>67</v>
      </c>
      <c r="G78" s="19" t="s">
        <v>68</v>
      </c>
      <c r="H78" s="19" t="s">
        <v>220</v>
      </c>
      <c r="I78" s="5" t="s">
        <v>197</v>
      </c>
      <c r="J78" s="5" t="s">
        <v>32</v>
      </c>
      <c r="K78" s="5" t="n">
        <v>2012</v>
      </c>
      <c r="L78" s="12" t="n">
        <v>36</v>
      </c>
      <c r="M78" s="6"/>
      <c r="N78" s="8"/>
    </row>
    <row r="79" customFormat="false" ht="15" hidden="false" customHeight="false" outlineLevel="0" collapsed="false">
      <c r="A79" s="5" t="n">
        <f aca="false">IF(B79&lt;&gt;"", COUNTA($B$2:B79), "")</f>
        <v>78</v>
      </c>
      <c r="B79" s="6" t="s">
        <v>221</v>
      </c>
      <c r="C79" s="12" t="s">
        <v>222</v>
      </c>
      <c r="D79" s="12" t="s">
        <v>223</v>
      </c>
      <c r="E79" s="17" t="n">
        <v>2011</v>
      </c>
      <c r="F79" s="12" t="s">
        <v>224</v>
      </c>
      <c r="G79" s="32" t="n">
        <v>0.03</v>
      </c>
      <c r="H79" s="12" t="s">
        <v>225</v>
      </c>
      <c r="I79" s="5" t="s">
        <v>197</v>
      </c>
      <c r="J79" s="5" t="s">
        <v>32</v>
      </c>
      <c r="K79" s="5" t="n">
        <v>2012</v>
      </c>
      <c r="L79" s="12" t="n">
        <v>36</v>
      </c>
      <c r="M79" s="6"/>
      <c r="N79" s="8"/>
    </row>
    <row r="80" customFormat="false" ht="22.5" hidden="false" customHeight="false" outlineLevel="0" collapsed="false">
      <c r="A80" s="5" t="n">
        <f aca="false">IF(B80&lt;&gt;"", COUNTA($B$2:B80), "")</f>
        <v>79</v>
      </c>
      <c r="B80" s="18" t="s">
        <v>57</v>
      </c>
      <c r="C80" s="12" t="s">
        <v>226</v>
      </c>
      <c r="D80" s="12" t="n">
        <v>950560</v>
      </c>
      <c r="E80" s="16" t="n">
        <v>2010</v>
      </c>
      <c r="F80" s="12" t="s">
        <v>227</v>
      </c>
      <c r="G80" s="31" t="n">
        <v>0.002</v>
      </c>
      <c r="H80" s="12" t="s">
        <v>228</v>
      </c>
      <c r="I80" s="5" t="s">
        <v>197</v>
      </c>
      <c r="J80" s="5" t="s">
        <v>32</v>
      </c>
      <c r="K80" s="5" t="n">
        <v>2012</v>
      </c>
      <c r="L80" s="12" t="n">
        <v>48</v>
      </c>
      <c r="M80" s="6"/>
      <c r="N80" s="8"/>
    </row>
    <row r="81" customFormat="false" ht="22.5" hidden="false" customHeight="false" outlineLevel="0" collapsed="false">
      <c r="A81" s="5" t="n">
        <f aca="false">IF(B81&lt;&gt;"", COUNTA($B$2:B83), "")</f>
        <v>82</v>
      </c>
      <c r="B81" s="18" t="s">
        <v>57</v>
      </c>
      <c r="C81" s="12" t="s">
        <v>226</v>
      </c>
      <c r="D81" s="12" t="n">
        <v>1066247</v>
      </c>
      <c r="E81" s="17" t="n">
        <v>2011</v>
      </c>
      <c r="F81" s="12" t="s">
        <v>227</v>
      </c>
      <c r="G81" s="31" t="n">
        <v>0.002</v>
      </c>
      <c r="H81" s="12" t="s">
        <v>229</v>
      </c>
      <c r="I81" s="5" t="s">
        <v>197</v>
      </c>
      <c r="J81" s="5" t="s">
        <v>32</v>
      </c>
      <c r="K81" s="5" t="n">
        <v>2012</v>
      </c>
      <c r="L81" s="12" t="n">
        <v>48</v>
      </c>
      <c r="M81" s="6"/>
      <c r="N81" s="8"/>
    </row>
    <row r="82" customFormat="false" ht="22.5" hidden="false" customHeight="false" outlineLevel="0" collapsed="false">
      <c r="A82" s="5" t="n">
        <f aca="false">IF(B82&lt;&gt;"", COUNTA($B$2:B82), "")</f>
        <v>81</v>
      </c>
      <c r="B82" s="18" t="s">
        <v>57</v>
      </c>
      <c r="C82" s="12" t="s">
        <v>230</v>
      </c>
      <c r="D82" s="12" t="n">
        <v>6112274</v>
      </c>
      <c r="E82" s="16" t="n">
        <v>2019</v>
      </c>
      <c r="F82" s="12" t="s">
        <v>192</v>
      </c>
      <c r="G82" s="19" t="s">
        <v>231</v>
      </c>
      <c r="H82" s="12" t="s">
        <v>232</v>
      </c>
      <c r="I82" s="5" t="s">
        <v>197</v>
      </c>
      <c r="J82" s="5" t="s">
        <v>32</v>
      </c>
      <c r="K82" s="5" t="n">
        <v>2019</v>
      </c>
      <c r="L82" s="12"/>
      <c r="M82" s="6"/>
      <c r="N82" s="8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18" t="s">
        <v>57</v>
      </c>
      <c r="C83" s="12" t="s">
        <v>233</v>
      </c>
      <c r="D83" s="12" t="n">
        <v>6112272</v>
      </c>
      <c r="E83" s="16" t="n">
        <v>2019</v>
      </c>
      <c r="F83" s="12" t="s">
        <v>234</v>
      </c>
      <c r="G83" s="19" t="s">
        <v>231</v>
      </c>
      <c r="H83" s="12" t="s">
        <v>235</v>
      </c>
      <c r="I83" s="5" t="s">
        <v>197</v>
      </c>
      <c r="J83" s="5" t="s">
        <v>32</v>
      </c>
      <c r="K83" s="5" t="n">
        <v>2019</v>
      </c>
      <c r="L83" s="12"/>
      <c r="M83" s="6"/>
      <c r="N83" s="8"/>
    </row>
    <row r="84" customFormat="false" ht="22.5" hidden="false" customHeight="false" outlineLevel="0" collapsed="false">
      <c r="A84" s="5" t="n">
        <f aca="false">IF(B84&lt;&gt;"", COUNTA($B$2:B84), "")</f>
        <v>83</v>
      </c>
      <c r="B84" s="18" t="s">
        <v>57</v>
      </c>
      <c r="C84" s="12" t="s">
        <v>236</v>
      </c>
      <c r="D84" s="12" t="s">
        <v>237</v>
      </c>
      <c r="E84" s="17" t="n">
        <v>2011</v>
      </c>
      <c r="F84" s="12" t="s">
        <v>238</v>
      </c>
      <c r="G84" s="31" t="n">
        <v>0.00075</v>
      </c>
      <c r="H84" s="12" t="s">
        <v>239</v>
      </c>
      <c r="I84" s="5" t="s">
        <v>197</v>
      </c>
      <c r="J84" s="5" t="s">
        <v>32</v>
      </c>
      <c r="K84" s="5" t="n">
        <v>2012</v>
      </c>
      <c r="L84" s="12" t="n">
        <v>60</v>
      </c>
      <c r="M84" s="6"/>
      <c r="N84" s="8"/>
    </row>
    <row r="85" customFormat="false" ht="22.5" hidden="false" customHeight="false" outlineLevel="0" collapsed="false">
      <c r="A85" s="5" t="n">
        <f aca="false">IF(B85&lt;&gt;"", COUNTA($B$2:B85), "")</f>
        <v>84</v>
      </c>
      <c r="B85" s="18" t="s">
        <v>57</v>
      </c>
      <c r="C85" s="12" t="s">
        <v>240</v>
      </c>
      <c r="D85" s="12" t="n">
        <v>1011861</v>
      </c>
      <c r="E85" s="17" t="n">
        <v>2011</v>
      </c>
      <c r="F85" s="12" t="s">
        <v>241</v>
      </c>
      <c r="G85" s="31" t="n">
        <v>0.002</v>
      </c>
      <c r="H85" s="12" t="s">
        <v>242</v>
      </c>
      <c r="I85" s="5" t="s">
        <v>197</v>
      </c>
      <c r="J85" s="5" t="s">
        <v>32</v>
      </c>
      <c r="K85" s="5" t="n">
        <v>2012</v>
      </c>
      <c r="L85" s="12" t="n">
        <v>48</v>
      </c>
      <c r="M85" s="6"/>
      <c r="N85" s="8"/>
    </row>
    <row r="86" customFormat="false" ht="22.5" hidden="false" customHeight="false" outlineLevel="0" collapsed="false">
      <c r="A86" s="5" t="n">
        <f aca="false">IF(B86&lt;&gt;"", COUNTA($B$2:B86), "")</f>
        <v>85</v>
      </c>
      <c r="B86" s="18" t="s">
        <v>57</v>
      </c>
      <c r="C86" s="12" t="s">
        <v>243</v>
      </c>
      <c r="D86" s="12" t="n">
        <v>1372832</v>
      </c>
      <c r="E86" s="17" t="n">
        <v>2011</v>
      </c>
      <c r="F86" s="12" t="s">
        <v>244</v>
      </c>
      <c r="G86" s="31" t="n">
        <v>0.001</v>
      </c>
      <c r="H86" s="12" t="s">
        <v>245</v>
      </c>
      <c r="I86" s="5" t="s">
        <v>197</v>
      </c>
      <c r="J86" s="5" t="s">
        <v>32</v>
      </c>
      <c r="K86" s="5" t="n">
        <v>2012</v>
      </c>
      <c r="L86" s="12" t="n">
        <v>60</v>
      </c>
      <c r="M86" s="6"/>
      <c r="N86" s="8"/>
    </row>
    <row r="87" customFormat="false" ht="22.5" hidden="false" customHeight="false" outlineLevel="0" collapsed="false">
      <c r="A87" s="5" t="n">
        <f aca="false">IF(B87&lt;&gt;"", COUNTA($B$2:B87), "")</f>
        <v>86</v>
      </c>
      <c r="B87" s="18" t="s">
        <v>57</v>
      </c>
      <c r="C87" s="12" t="s">
        <v>243</v>
      </c>
      <c r="D87" s="12" t="n">
        <v>1372833</v>
      </c>
      <c r="E87" s="17" t="n">
        <v>2011</v>
      </c>
      <c r="F87" s="12" t="s">
        <v>246</v>
      </c>
      <c r="G87" s="31" t="n">
        <v>0.001</v>
      </c>
      <c r="H87" s="12" t="s">
        <v>247</v>
      </c>
      <c r="I87" s="5" t="s">
        <v>197</v>
      </c>
      <c r="J87" s="5" t="s">
        <v>32</v>
      </c>
      <c r="K87" s="5" t="n">
        <v>2012</v>
      </c>
      <c r="L87" s="12" t="n">
        <v>60</v>
      </c>
      <c r="M87" s="6"/>
      <c r="N87" s="8"/>
    </row>
    <row r="88" customFormat="false" ht="22.5" hidden="false" customHeight="false" outlineLevel="0" collapsed="false">
      <c r="A88" s="5" t="n">
        <f aca="false">IF(B88&lt;&gt;"", COUNTA($B$2:B88), "")</f>
        <v>87</v>
      </c>
      <c r="B88" s="18" t="s">
        <v>57</v>
      </c>
      <c r="C88" s="12" t="s">
        <v>190</v>
      </c>
      <c r="D88" s="12" t="s">
        <v>248</v>
      </c>
      <c r="E88" s="16" t="n">
        <v>2012</v>
      </c>
      <c r="F88" s="12" t="s">
        <v>192</v>
      </c>
      <c r="G88" s="31" t="n">
        <v>0.001</v>
      </c>
      <c r="H88" s="12" t="s">
        <v>249</v>
      </c>
      <c r="I88" s="5" t="s">
        <v>197</v>
      </c>
      <c r="J88" s="5" t="s">
        <v>32</v>
      </c>
      <c r="K88" s="5" t="n">
        <v>2012</v>
      </c>
      <c r="L88" s="12" t="n">
        <v>60</v>
      </c>
      <c r="M88" s="6"/>
      <c r="N88" s="8"/>
    </row>
    <row r="89" customFormat="false" ht="22.5" hidden="false" customHeight="false" outlineLevel="0" collapsed="false">
      <c r="A89" s="5" t="n">
        <f aca="false">IF(B89&lt;&gt;"", COUNTA($B$2:B89), "")</f>
        <v>88</v>
      </c>
      <c r="B89" s="18" t="s">
        <v>57</v>
      </c>
      <c r="C89" s="12" t="s">
        <v>186</v>
      </c>
      <c r="D89" s="12" t="s">
        <v>250</v>
      </c>
      <c r="E89" s="16" t="n">
        <v>2012</v>
      </c>
      <c r="F89" s="12" t="s">
        <v>251</v>
      </c>
      <c r="G89" s="31" t="n">
        <v>0.0004</v>
      </c>
      <c r="H89" s="12" t="s">
        <v>252</v>
      </c>
      <c r="I89" s="5" t="s">
        <v>197</v>
      </c>
      <c r="J89" s="5" t="s">
        <v>32</v>
      </c>
      <c r="K89" s="5" t="n">
        <v>2012</v>
      </c>
      <c r="L89" s="12" t="n">
        <v>60</v>
      </c>
      <c r="M89" s="6"/>
      <c r="N89" s="8"/>
    </row>
    <row r="90" customFormat="false" ht="22.5" hidden="false" customHeight="false" outlineLevel="0" collapsed="false">
      <c r="A90" s="5" t="n">
        <f aca="false">IF(B90&lt;&gt;"", COUNTA($B$2:B90), "")</f>
        <v>89</v>
      </c>
      <c r="B90" s="18" t="s">
        <v>57</v>
      </c>
      <c r="C90" s="12" t="s">
        <v>186</v>
      </c>
      <c r="D90" s="12" t="s">
        <v>253</v>
      </c>
      <c r="E90" s="16" t="n">
        <v>2012</v>
      </c>
      <c r="F90" s="12" t="s">
        <v>254</v>
      </c>
      <c r="G90" s="31" t="n">
        <v>0.0004</v>
      </c>
      <c r="H90" s="12" t="s">
        <v>255</v>
      </c>
      <c r="I90" s="5" t="s">
        <v>197</v>
      </c>
      <c r="J90" s="5" t="s">
        <v>32</v>
      </c>
      <c r="K90" s="5" t="n">
        <v>2012</v>
      </c>
      <c r="L90" s="12" t="n">
        <v>60</v>
      </c>
      <c r="M90" s="6"/>
      <c r="N90" s="8"/>
    </row>
    <row r="91" customFormat="false" ht="22.5" hidden="false" customHeight="false" outlineLevel="0" collapsed="false">
      <c r="A91" s="5" t="n">
        <f aca="false">IF(B91&lt;&gt;"", COUNTA($B$2:B91), "")</f>
        <v>90</v>
      </c>
      <c r="B91" s="18" t="s">
        <v>57</v>
      </c>
      <c r="C91" s="12" t="s">
        <v>58</v>
      </c>
      <c r="D91" s="12" t="s">
        <v>256</v>
      </c>
      <c r="E91" s="16" t="n">
        <v>2010</v>
      </c>
      <c r="F91" s="12" t="s">
        <v>257</v>
      </c>
      <c r="G91" s="12" t="n">
        <v>0.075</v>
      </c>
      <c r="H91" s="12" t="s">
        <v>258</v>
      </c>
      <c r="I91" s="5" t="s">
        <v>197</v>
      </c>
      <c r="J91" s="5" t="s">
        <v>32</v>
      </c>
      <c r="K91" s="5" t="n">
        <v>2012</v>
      </c>
      <c r="L91" s="12" t="n">
        <v>36</v>
      </c>
      <c r="M91" s="6"/>
      <c r="N91" s="8"/>
    </row>
    <row r="92" customFormat="false" ht="22.5" hidden="false" customHeight="false" outlineLevel="0" collapsed="false">
      <c r="A92" s="5" t="n">
        <f aca="false">IF(B92&lt;&gt;"", COUNTA($B$2:B92), "")</f>
        <v>91</v>
      </c>
      <c r="B92" s="18" t="s">
        <v>57</v>
      </c>
      <c r="C92" s="12" t="s">
        <v>58</v>
      </c>
      <c r="D92" s="12" t="s">
        <v>259</v>
      </c>
      <c r="E92" s="17" t="n">
        <v>2011</v>
      </c>
      <c r="F92" s="12" t="s">
        <v>260</v>
      </c>
      <c r="G92" s="12" t="n">
        <v>0.075</v>
      </c>
      <c r="H92" s="12" t="s">
        <v>261</v>
      </c>
      <c r="I92" s="5" t="s">
        <v>197</v>
      </c>
      <c r="J92" s="5" t="s">
        <v>32</v>
      </c>
      <c r="K92" s="5" t="n">
        <v>2012</v>
      </c>
      <c r="L92" s="12" t="n">
        <v>36</v>
      </c>
      <c r="M92" s="6"/>
      <c r="N92" s="8"/>
    </row>
    <row r="93" customFormat="false" ht="22.5" hidden="false" customHeight="false" outlineLevel="0" collapsed="false">
      <c r="A93" s="5" t="n">
        <f aca="false">IF(B93&lt;&gt;"", COUNTA($B$2:B93), "")</f>
        <v>92</v>
      </c>
      <c r="B93" s="18" t="s">
        <v>57</v>
      </c>
      <c r="C93" s="12" t="s">
        <v>58</v>
      </c>
      <c r="D93" s="12" t="s">
        <v>262</v>
      </c>
      <c r="E93" s="17" t="n">
        <v>2011</v>
      </c>
      <c r="F93" s="12" t="s">
        <v>192</v>
      </c>
      <c r="G93" s="12" t="n">
        <v>0.075</v>
      </c>
      <c r="H93" s="12" t="s">
        <v>263</v>
      </c>
      <c r="I93" s="5" t="s">
        <v>197</v>
      </c>
      <c r="J93" s="5" t="s">
        <v>32</v>
      </c>
      <c r="K93" s="5" t="n">
        <v>2012</v>
      </c>
      <c r="L93" s="12" t="n">
        <v>36</v>
      </c>
      <c r="M93" s="6"/>
      <c r="N93" s="8"/>
    </row>
    <row r="94" customFormat="false" ht="22.5" hidden="false" customHeight="false" outlineLevel="0" collapsed="false">
      <c r="A94" s="5" t="n">
        <f aca="false">IF(B94&lt;&gt;"", COUNTA($B$2:B94), "")</f>
        <v>93</v>
      </c>
      <c r="B94" s="18" t="s">
        <v>57</v>
      </c>
      <c r="C94" s="12" t="s">
        <v>58</v>
      </c>
      <c r="D94" s="12" t="s">
        <v>264</v>
      </c>
      <c r="E94" s="16" t="n">
        <v>2010</v>
      </c>
      <c r="F94" s="6" t="s">
        <v>260</v>
      </c>
      <c r="G94" s="12" t="n">
        <v>0.075</v>
      </c>
      <c r="H94" s="12" t="s">
        <v>265</v>
      </c>
      <c r="I94" s="5" t="s">
        <v>197</v>
      </c>
      <c r="J94" s="5" t="s">
        <v>32</v>
      </c>
      <c r="K94" s="5" t="n">
        <v>2012</v>
      </c>
      <c r="L94" s="12" t="n">
        <v>36</v>
      </c>
      <c r="M94" s="6"/>
      <c r="N94" s="8"/>
    </row>
    <row r="95" customFormat="false" ht="22.5" hidden="false" customHeight="false" outlineLevel="0" collapsed="false">
      <c r="A95" s="5" t="n">
        <f aca="false">IF(B95&lt;&gt;"", COUNTA($B$2:B95), "")</f>
        <v>94</v>
      </c>
      <c r="B95" s="18" t="s">
        <v>57</v>
      </c>
      <c r="C95" s="12" t="s">
        <v>58</v>
      </c>
      <c r="D95" s="12" t="s">
        <v>266</v>
      </c>
      <c r="E95" s="17" t="n">
        <v>2011</v>
      </c>
      <c r="F95" s="6" t="s">
        <v>260</v>
      </c>
      <c r="G95" s="12" t="n">
        <v>0.075</v>
      </c>
      <c r="H95" s="12" t="s">
        <v>267</v>
      </c>
      <c r="I95" s="5" t="s">
        <v>197</v>
      </c>
      <c r="J95" s="5" t="s">
        <v>32</v>
      </c>
      <c r="K95" s="5" t="n">
        <v>2012</v>
      </c>
      <c r="L95" s="12" t="n">
        <v>36</v>
      </c>
      <c r="M95" s="6"/>
      <c r="N95" s="8"/>
    </row>
    <row r="96" customFormat="false" ht="33.75" hidden="false" customHeight="false" outlineLevel="0" collapsed="false">
      <c r="A96" s="5" t="n">
        <f aca="false">IF(B96&lt;&gt;"", COUNTA($B$2:B96), "")</f>
        <v>95</v>
      </c>
      <c r="B96" s="18" t="s">
        <v>57</v>
      </c>
      <c r="C96" s="12" t="s">
        <v>58</v>
      </c>
      <c r="D96" s="12" t="s">
        <v>268</v>
      </c>
      <c r="E96" s="17" t="n">
        <v>2011</v>
      </c>
      <c r="F96" s="6" t="s">
        <v>260</v>
      </c>
      <c r="G96" s="12" t="n">
        <v>0.075</v>
      </c>
      <c r="H96" s="12" t="s">
        <v>269</v>
      </c>
      <c r="I96" s="5" t="s">
        <v>197</v>
      </c>
      <c r="J96" s="5" t="s">
        <v>32</v>
      </c>
      <c r="K96" s="5" t="n">
        <v>2012</v>
      </c>
      <c r="L96" s="12" t="n">
        <v>36</v>
      </c>
      <c r="M96" s="6"/>
      <c r="N96" s="8"/>
    </row>
    <row r="97" customFormat="false" ht="22.5" hidden="false" customHeight="false" outlineLevel="0" collapsed="false">
      <c r="A97" s="5" t="n">
        <f aca="false">IF(B97&lt;&gt;"", COUNTA($B$2:B97), "")</f>
        <v>96</v>
      </c>
      <c r="B97" s="18" t="s">
        <v>57</v>
      </c>
      <c r="C97" s="12" t="s">
        <v>58</v>
      </c>
      <c r="D97" s="12" t="s">
        <v>270</v>
      </c>
      <c r="E97" s="16" t="n">
        <v>2010</v>
      </c>
      <c r="F97" s="6" t="s">
        <v>271</v>
      </c>
      <c r="G97" s="12" t="n">
        <v>0.075</v>
      </c>
      <c r="H97" s="12" t="s">
        <v>272</v>
      </c>
      <c r="I97" s="5" t="s">
        <v>197</v>
      </c>
      <c r="J97" s="5" t="s">
        <v>32</v>
      </c>
      <c r="K97" s="5" t="n">
        <v>2012</v>
      </c>
      <c r="L97" s="12" t="n">
        <v>36</v>
      </c>
      <c r="M97" s="6"/>
      <c r="N97" s="8"/>
    </row>
    <row r="98" customFormat="false" ht="22.5" hidden="false" customHeight="false" outlineLevel="0" collapsed="false">
      <c r="A98" s="5" t="n">
        <f aca="false">IF(B98&lt;&gt;"", COUNTA($B$2:B98), "")</f>
        <v>97</v>
      </c>
      <c r="B98" s="18" t="s">
        <v>57</v>
      </c>
      <c r="C98" s="12" t="s">
        <v>273</v>
      </c>
      <c r="D98" s="12" t="s">
        <v>274</v>
      </c>
      <c r="E98" s="17" t="n">
        <v>2011</v>
      </c>
      <c r="F98" s="12" t="s">
        <v>275</v>
      </c>
      <c r="G98" s="12" t="n">
        <v>0.075</v>
      </c>
      <c r="H98" s="12" t="s">
        <v>276</v>
      </c>
      <c r="I98" s="5" t="s">
        <v>197</v>
      </c>
      <c r="J98" s="5" t="s">
        <v>32</v>
      </c>
      <c r="K98" s="5" t="n">
        <v>2012</v>
      </c>
      <c r="L98" s="12" t="n">
        <v>36</v>
      </c>
      <c r="M98" s="6"/>
      <c r="N98" s="8"/>
    </row>
    <row r="99" customFormat="false" ht="22.5" hidden="false" customHeight="false" outlineLevel="0" collapsed="false">
      <c r="A99" s="5" t="n">
        <f aca="false">IF(B99&lt;&gt;"", COUNTA($B$2:B99), "")</f>
        <v>98</v>
      </c>
      <c r="B99" s="18" t="s">
        <v>57</v>
      </c>
      <c r="C99" s="12" t="s">
        <v>273</v>
      </c>
      <c r="D99" s="12" t="s">
        <v>277</v>
      </c>
      <c r="E99" s="17" t="n">
        <v>2011</v>
      </c>
      <c r="F99" s="12" t="s">
        <v>275</v>
      </c>
      <c r="G99" s="12" t="n">
        <v>0.075</v>
      </c>
      <c r="H99" s="12" t="s">
        <v>278</v>
      </c>
      <c r="I99" s="5" t="s">
        <v>197</v>
      </c>
      <c r="J99" s="5" t="s">
        <v>32</v>
      </c>
      <c r="K99" s="5" t="n">
        <v>2012</v>
      </c>
      <c r="L99" s="12" t="n">
        <v>36</v>
      </c>
      <c r="M99" s="6"/>
      <c r="N99" s="8"/>
    </row>
    <row r="100" customFormat="false" ht="22.5" hidden="false" customHeight="false" outlineLevel="0" collapsed="false">
      <c r="A100" s="5" t="n">
        <f aca="false">IF(B100&lt;&gt;"", COUNTA($B$2:B100), "")</f>
        <v>99</v>
      </c>
      <c r="B100" s="18" t="s">
        <v>57</v>
      </c>
      <c r="C100" s="12" t="s">
        <v>273</v>
      </c>
      <c r="D100" s="12" t="s">
        <v>279</v>
      </c>
      <c r="E100" s="17" t="n">
        <v>2011</v>
      </c>
      <c r="F100" s="6" t="s">
        <v>280</v>
      </c>
      <c r="G100" s="12" t="n">
        <v>0.075</v>
      </c>
      <c r="H100" s="12" t="s">
        <v>281</v>
      </c>
      <c r="I100" s="5" t="s">
        <v>197</v>
      </c>
      <c r="J100" s="5" t="s">
        <v>32</v>
      </c>
      <c r="K100" s="5" t="n">
        <v>2012</v>
      </c>
      <c r="L100" s="12" t="n">
        <v>36</v>
      </c>
      <c r="M100" s="6"/>
      <c r="N100" s="8"/>
    </row>
    <row r="101" customFormat="false" ht="33.75" hidden="false" customHeight="false" outlineLevel="0" collapsed="false">
      <c r="A101" s="5" t="n">
        <f aca="false">IF(B101&lt;&gt;"", COUNTA($B$2:B101), "")</f>
        <v>100</v>
      </c>
      <c r="B101" s="18" t="s">
        <v>57</v>
      </c>
      <c r="C101" s="12" t="s">
        <v>273</v>
      </c>
      <c r="D101" s="12" t="s">
        <v>282</v>
      </c>
      <c r="E101" s="17" t="n">
        <v>2011</v>
      </c>
      <c r="F101" s="12" t="s">
        <v>283</v>
      </c>
      <c r="G101" s="12" t="n">
        <v>0.075</v>
      </c>
      <c r="H101" s="12" t="s">
        <v>284</v>
      </c>
      <c r="I101" s="5" t="s">
        <v>197</v>
      </c>
      <c r="J101" s="5" t="s">
        <v>32</v>
      </c>
      <c r="K101" s="5" t="n">
        <v>2012</v>
      </c>
      <c r="L101" s="12" t="n">
        <v>36</v>
      </c>
      <c r="M101" s="6"/>
      <c r="N101" s="8"/>
    </row>
    <row r="102" customFormat="false" ht="22.5" hidden="false" customHeight="false" outlineLevel="0" collapsed="false">
      <c r="A102" s="5" t="n">
        <f aca="false">IF(B102&lt;&gt;"", COUNTA($B$2:B102), "")</f>
        <v>101</v>
      </c>
      <c r="B102" s="18" t="s">
        <v>57</v>
      </c>
      <c r="C102" s="12" t="s">
        <v>285</v>
      </c>
      <c r="D102" s="12" t="s">
        <v>286</v>
      </c>
      <c r="E102" s="17" t="n">
        <v>2011</v>
      </c>
      <c r="F102" s="6" t="s">
        <v>287</v>
      </c>
      <c r="G102" s="12" t="n">
        <v>0.075</v>
      </c>
      <c r="H102" s="12" t="s">
        <v>288</v>
      </c>
      <c r="I102" s="5" t="s">
        <v>197</v>
      </c>
      <c r="J102" s="5" t="s">
        <v>32</v>
      </c>
      <c r="K102" s="5" t="n">
        <v>2012</v>
      </c>
      <c r="L102" s="12" t="n">
        <v>36</v>
      </c>
      <c r="M102" s="6"/>
      <c r="N102" s="8"/>
    </row>
    <row r="103" customFormat="false" ht="22.5" hidden="false" customHeight="false" outlineLevel="0" collapsed="false">
      <c r="A103" s="5" t="n">
        <f aca="false">IF(B103&lt;&gt;"", COUNTA($B$2:B103), "")</f>
        <v>102</v>
      </c>
      <c r="B103" s="18" t="s">
        <v>57</v>
      </c>
      <c r="C103" s="12" t="s">
        <v>236</v>
      </c>
      <c r="D103" s="12" t="s">
        <v>289</v>
      </c>
      <c r="E103" s="17" t="n">
        <v>2011</v>
      </c>
      <c r="F103" s="6" t="s">
        <v>290</v>
      </c>
      <c r="G103" s="12" t="n">
        <v>0.075</v>
      </c>
      <c r="H103" s="12" t="s">
        <v>291</v>
      </c>
      <c r="I103" s="5" t="s">
        <v>197</v>
      </c>
      <c r="J103" s="5" t="s">
        <v>32</v>
      </c>
      <c r="K103" s="5" t="n">
        <v>2012</v>
      </c>
      <c r="L103" s="12" t="n">
        <v>36</v>
      </c>
      <c r="M103" s="6"/>
      <c r="N103" s="8"/>
    </row>
    <row r="104" customFormat="false" ht="33.75" hidden="false" customHeight="false" outlineLevel="0" collapsed="false">
      <c r="A104" s="5" t="n">
        <f aca="false">IF(B104&lt;&gt;"", COUNTA($B$2:B104), "")</f>
        <v>103</v>
      </c>
      <c r="B104" s="18" t="s">
        <v>57</v>
      </c>
      <c r="C104" s="12" t="s">
        <v>236</v>
      </c>
      <c r="D104" s="12" t="s">
        <v>292</v>
      </c>
      <c r="E104" s="17" t="n">
        <v>2011</v>
      </c>
      <c r="F104" s="6" t="s">
        <v>293</v>
      </c>
      <c r="G104" s="12" t="n">
        <v>0.075</v>
      </c>
      <c r="H104" s="12" t="s">
        <v>294</v>
      </c>
      <c r="I104" s="5" t="s">
        <v>197</v>
      </c>
      <c r="J104" s="5" t="s">
        <v>32</v>
      </c>
      <c r="K104" s="5" t="n">
        <v>2012</v>
      </c>
      <c r="L104" s="12" t="n">
        <v>36</v>
      </c>
      <c r="M104" s="6"/>
      <c r="N104" s="8"/>
    </row>
    <row r="105" customFormat="false" ht="33.75" hidden="false" customHeight="false" outlineLevel="0" collapsed="false">
      <c r="A105" s="5" t="n">
        <f aca="false">IF(B105&lt;&gt;"", COUNTA($B$2:B105), "")</f>
        <v>104</v>
      </c>
      <c r="B105" s="18" t="s">
        <v>57</v>
      </c>
      <c r="C105" s="12" t="s">
        <v>236</v>
      </c>
      <c r="D105" s="12" t="s">
        <v>295</v>
      </c>
      <c r="E105" s="17" t="n">
        <v>2011</v>
      </c>
      <c r="F105" s="6" t="s">
        <v>293</v>
      </c>
      <c r="G105" s="12" t="n">
        <v>0.075</v>
      </c>
      <c r="H105" s="12" t="s">
        <v>296</v>
      </c>
      <c r="I105" s="5" t="s">
        <v>197</v>
      </c>
      <c r="J105" s="5" t="s">
        <v>32</v>
      </c>
      <c r="K105" s="5" t="n">
        <v>2012</v>
      </c>
      <c r="L105" s="12" t="n">
        <v>36</v>
      </c>
      <c r="M105" s="6"/>
      <c r="N105" s="8"/>
    </row>
    <row r="106" customFormat="false" ht="22.5" hidden="false" customHeight="false" outlineLevel="0" collapsed="false">
      <c r="A106" s="5" t="n">
        <f aca="false">IF(B106&lt;&gt;"", COUNTA($B$2:B106), "")</f>
        <v>105</v>
      </c>
      <c r="B106" s="18" t="s">
        <v>57</v>
      </c>
      <c r="C106" s="12" t="s">
        <v>236</v>
      </c>
      <c r="D106" s="12" t="s">
        <v>297</v>
      </c>
      <c r="E106" s="17" t="n">
        <v>2011</v>
      </c>
      <c r="F106" s="6" t="s">
        <v>246</v>
      </c>
      <c r="G106" s="12" t="n">
        <v>0.075</v>
      </c>
      <c r="H106" s="12" t="s">
        <v>298</v>
      </c>
      <c r="I106" s="5" t="s">
        <v>197</v>
      </c>
      <c r="J106" s="5" t="s">
        <v>32</v>
      </c>
      <c r="K106" s="5" t="n">
        <v>2012</v>
      </c>
      <c r="L106" s="12" t="n">
        <v>36</v>
      </c>
      <c r="M106" s="6"/>
      <c r="N106" s="8"/>
    </row>
    <row r="107" customFormat="false" ht="22.5" hidden="false" customHeight="false" outlineLevel="0" collapsed="false">
      <c r="A107" s="5" t="n">
        <f aca="false">IF(B107&lt;&gt;"", COUNTA($B$2:B107), "")</f>
        <v>106</v>
      </c>
      <c r="B107" s="18" t="s">
        <v>57</v>
      </c>
      <c r="C107" s="12" t="s">
        <v>236</v>
      </c>
      <c r="D107" s="12" t="s">
        <v>299</v>
      </c>
      <c r="E107" s="17" t="n">
        <v>2011</v>
      </c>
      <c r="F107" s="6" t="s">
        <v>300</v>
      </c>
      <c r="G107" s="12" t="n">
        <v>0.075</v>
      </c>
      <c r="H107" s="12" t="s">
        <v>301</v>
      </c>
      <c r="I107" s="5" t="s">
        <v>197</v>
      </c>
      <c r="J107" s="5" t="s">
        <v>32</v>
      </c>
      <c r="K107" s="5" t="n">
        <v>2012</v>
      </c>
      <c r="L107" s="12" t="n">
        <v>36</v>
      </c>
      <c r="M107" s="6"/>
      <c r="N107" s="8"/>
    </row>
    <row r="108" customFormat="false" ht="22.5" hidden="false" customHeight="false" outlineLevel="0" collapsed="false">
      <c r="A108" s="5" t="n">
        <f aca="false">IF(B108&lt;&gt;"", COUNTA($B$2:B108), "")</f>
        <v>107</v>
      </c>
      <c r="B108" s="18" t="s">
        <v>57</v>
      </c>
      <c r="C108" s="12" t="s">
        <v>236</v>
      </c>
      <c r="D108" s="12" t="s">
        <v>302</v>
      </c>
      <c r="E108" s="17" t="n">
        <v>2011</v>
      </c>
      <c r="F108" s="6" t="s">
        <v>303</v>
      </c>
      <c r="G108" s="12" t="n">
        <v>0.075</v>
      </c>
      <c r="H108" s="12" t="s">
        <v>304</v>
      </c>
      <c r="I108" s="5" t="s">
        <v>197</v>
      </c>
      <c r="J108" s="5" t="s">
        <v>32</v>
      </c>
      <c r="K108" s="5" t="n">
        <v>2012</v>
      </c>
      <c r="L108" s="12" t="n">
        <v>36</v>
      </c>
      <c r="M108" s="6"/>
      <c r="N108" s="8"/>
    </row>
    <row r="109" customFormat="false" ht="22.5" hidden="false" customHeight="false" outlineLevel="0" collapsed="false">
      <c r="A109" s="5" t="n">
        <f aca="false">IF(B109&lt;&gt;"", COUNTA($B$2:B109), "")</f>
        <v>108</v>
      </c>
      <c r="B109" s="18" t="s">
        <v>57</v>
      </c>
      <c r="C109" s="12" t="s">
        <v>236</v>
      </c>
      <c r="D109" s="12" t="s">
        <v>305</v>
      </c>
      <c r="E109" s="17" t="n">
        <v>2011</v>
      </c>
      <c r="F109" s="6" t="s">
        <v>306</v>
      </c>
      <c r="G109" s="12" t="n">
        <v>0.075</v>
      </c>
      <c r="H109" s="12" t="s">
        <v>307</v>
      </c>
      <c r="I109" s="5" t="s">
        <v>197</v>
      </c>
      <c r="J109" s="5" t="s">
        <v>32</v>
      </c>
      <c r="K109" s="5" t="n">
        <v>2012</v>
      </c>
      <c r="L109" s="12" t="n">
        <v>36</v>
      </c>
      <c r="M109" s="6"/>
      <c r="N109" s="8"/>
    </row>
    <row r="110" customFormat="false" ht="22.5" hidden="false" customHeight="false" outlineLevel="0" collapsed="false">
      <c r="A110" s="5" t="n">
        <f aca="false">IF(B110&lt;&gt;"", COUNTA($B$2:B110), "")</f>
        <v>109</v>
      </c>
      <c r="B110" s="18" t="s">
        <v>57</v>
      </c>
      <c r="C110" s="12" t="s">
        <v>236</v>
      </c>
      <c r="D110" s="12" t="s">
        <v>308</v>
      </c>
      <c r="E110" s="17" t="n">
        <v>2011</v>
      </c>
      <c r="F110" s="6" t="s">
        <v>309</v>
      </c>
      <c r="G110" s="12" t="n">
        <v>0.075</v>
      </c>
      <c r="H110" s="12" t="s">
        <v>310</v>
      </c>
      <c r="I110" s="5" t="s">
        <v>197</v>
      </c>
      <c r="J110" s="5" t="s">
        <v>32</v>
      </c>
      <c r="K110" s="5" t="n">
        <v>2012</v>
      </c>
      <c r="L110" s="12" t="n">
        <v>36</v>
      </c>
      <c r="M110" s="6"/>
      <c r="N110" s="8"/>
    </row>
    <row r="111" customFormat="false" ht="22.5" hidden="false" customHeight="false" outlineLevel="0" collapsed="false">
      <c r="A111" s="5" t="n">
        <f aca="false">IF(B111&lt;&gt;"", COUNTA($B$2:B111), "")</f>
        <v>110</v>
      </c>
      <c r="B111" s="18" t="s">
        <v>57</v>
      </c>
      <c r="C111" s="12" t="s">
        <v>236</v>
      </c>
      <c r="D111" s="12" t="s">
        <v>311</v>
      </c>
      <c r="E111" s="17" t="n">
        <v>2011</v>
      </c>
      <c r="F111" s="6" t="s">
        <v>309</v>
      </c>
      <c r="G111" s="12" t="n">
        <v>0.075</v>
      </c>
      <c r="H111" s="12" t="s">
        <v>312</v>
      </c>
      <c r="I111" s="5" t="s">
        <v>197</v>
      </c>
      <c r="J111" s="5" t="s">
        <v>32</v>
      </c>
      <c r="K111" s="5" t="n">
        <v>2012</v>
      </c>
      <c r="L111" s="12" t="n">
        <v>36</v>
      </c>
      <c r="M111" s="6"/>
      <c r="N111" s="8"/>
    </row>
    <row r="112" customFormat="false" ht="22.5" hidden="false" customHeight="false" outlineLevel="0" collapsed="false">
      <c r="A112" s="5" t="n">
        <f aca="false">IF(B112&lt;&gt;"", COUNTA($B$2:B112), "")</f>
        <v>111</v>
      </c>
      <c r="B112" s="18" t="s">
        <v>57</v>
      </c>
      <c r="C112" s="12" t="s">
        <v>313</v>
      </c>
      <c r="D112" s="12" t="s">
        <v>314</v>
      </c>
      <c r="E112" s="16" t="n">
        <v>2010</v>
      </c>
      <c r="F112" s="6" t="s">
        <v>315</v>
      </c>
      <c r="G112" s="12" t="n">
        <v>0.075</v>
      </c>
      <c r="H112" s="12" t="s">
        <v>316</v>
      </c>
      <c r="I112" s="5" t="s">
        <v>197</v>
      </c>
      <c r="J112" s="5" t="s">
        <v>32</v>
      </c>
      <c r="K112" s="5" t="n">
        <v>2012</v>
      </c>
      <c r="L112" s="12" t="n">
        <v>36</v>
      </c>
      <c r="M112" s="6"/>
      <c r="N112" s="8"/>
    </row>
    <row r="113" customFormat="false" ht="22.5" hidden="false" customHeight="false" outlineLevel="0" collapsed="false">
      <c r="A113" s="5" t="n">
        <f aca="false">IF(B113&lt;&gt;"", COUNTA($B$2:B113), "")</f>
        <v>112</v>
      </c>
      <c r="B113" s="18" t="s">
        <v>57</v>
      </c>
      <c r="C113" s="12" t="s">
        <v>313</v>
      </c>
      <c r="D113" s="12" t="s">
        <v>317</v>
      </c>
      <c r="E113" s="16" t="n">
        <v>2010</v>
      </c>
      <c r="F113" s="6" t="s">
        <v>318</v>
      </c>
      <c r="G113" s="12" t="n">
        <v>0.075</v>
      </c>
      <c r="H113" s="12" t="s">
        <v>319</v>
      </c>
      <c r="I113" s="5" t="s">
        <v>197</v>
      </c>
      <c r="J113" s="5" t="s">
        <v>32</v>
      </c>
      <c r="K113" s="5" t="n">
        <v>2012</v>
      </c>
      <c r="L113" s="12" t="n">
        <v>36</v>
      </c>
      <c r="M113" s="6"/>
      <c r="N113" s="8"/>
    </row>
    <row r="114" customFormat="false" ht="22.5" hidden="false" customHeight="false" outlineLevel="0" collapsed="false">
      <c r="A114" s="5" t="n">
        <f aca="false">IF(B114&lt;&gt;"", COUNTA($B$2:B114), "")</f>
        <v>113</v>
      </c>
      <c r="B114" s="18" t="s">
        <v>57</v>
      </c>
      <c r="C114" s="12" t="s">
        <v>313</v>
      </c>
      <c r="D114" s="12" t="s">
        <v>320</v>
      </c>
      <c r="E114" s="16" t="n">
        <v>2010</v>
      </c>
      <c r="F114" s="6" t="s">
        <v>321</v>
      </c>
      <c r="G114" s="12" t="n">
        <v>0.075</v>
      </c>
      <c r="H114" s="12" t="s">
        <v>322</v>
      </c>
      <c r="I114" s="5" t="s">
        <v>197</v>
      </c>
      <c r="J114" s="5" t="s">
        <v>32</v>
      </c>
      <c r="K114" s="5" t="n">
        <v>2012</v>
      </c>
      <c r="L114" s="12" t="n">
        <v>36</v>
      </c>
      <c r="M114" s="6"/>
      <c r="N114" s="8"/>
    </row>
    <row r="115" customFormat="false" ht="22.5" hidden="false" customHeight="false" outlineLevel="0" collapsed="false">
      <c r="A115" s="5" t="n">
        <f aca="false">IF(B115&lt;&gt;"", COUNTA($B$2:B115), "")</f>
        <v>114</v>
      </c>
      <c r="B115" s="18" t="s">
        <v>57</v>
      </c>
      <c r="C115" s="12" t="s">
        <v>313</v>
      </c>
      <c r="D115" s="12" t="s">
        <v>323</v>
      </c>
      <c r="E115" s="17" t="n">
        <v>2011</v>
      </c>
      <c r="F115" s="6" t="s">
        <v>293</v>
      </c>
      <c r="G115" s="12" t="n">
        <v>0.075</v>
      </c>
      <c r="H115" s="12" t="s">
        <v>324</v>
      </c>
      <c r="I115" s="5" t="s">
        <v>197</v>
      </c>
      <c r="J115" s="5" t="s">
        <v>32</v>
      </c>
      <c r="K115" s="5" t="n">
        <v>2012</v>
      </c>
      <c r="L115" s="12" t="n">
        <v>36</v>
      </c>
      <c r="M115" s="6"/>
      <c r="N115" s="8"/>
    </row>
    <row r="116" customFormat="false" ht="33.75" hidden="false" customHeight="false" outlineLevel="0" collapsed="false">
      <c r="A116" s="5" t="n">
        <f aca="false">IF(B116&lt;&gt;"", COUNTA($B$2:B116), "")</f>
        <v>115</v>
      </c>
      <c r="B116" s="18" t="s">
        <v>57</v>
      </c>
      <c r="C116" s="12" t="s">
        <v>313</v>
      </c>
      <c r="D116" s="12" t="s">
        <v>325</v>
      </c>
      <c r="E116" s="16" t="n">
        <v>2010</v>
      </c>
      <c r="F116" s="6" t="s">
        <v>321</v>
      </c>
      <c r="G116" s="12" t="n">
        <v>0.075</v>
      </c>
      <c r="H116" s="12" t="s">
        <v>326</v>
      </c>
      <c r="I116" s="5" t="s">
        <v>197</v>
      </c>
      <c r="J116" s="5" t="s">
        <v>32</v>
      </c>
      <c r="K116" s="5" t="n">
        <v>2012</v>
      </c>
      <c r="L116" s="12" t="n">
        <v>36</v>
      </c>
      <c r="M116" s="6"/>
      <c r="N116" s="8"/>
    </row>
    <row r="117" customFormat="false" ht="33.75" hidden="false" customHeight="false" outlineLevel="0" collapsed="false">
      <c r="A117" s="5" t="n">
        <f aca="false">IF(B117&lt;&gt;"", COUNTA($B$2:B117), "")</f>
        <v>116</v>
      </c>
      <c r="B117" s="18" t="s">
        <v>57</v>
      </c>
      <c r="C117" s="12" t="s">
        <v>313</v>
      </c>
      <c r="D117" s="12" t="s">
        <v>327</v>
      </c>
      <c r="E117" s="16" t="n">
        <v>2010</v>
      </c>
      <c r="F117" s="6" t="s">
        <v>293</v>
      </c>
      <c r="G117" s="12" t="n">
        <v>0.075</v>
      </c>
      <c r="H117" s="12" t="s">
        <v>328</v>
      </c>
      <c r="I117" s="5" t="s">
        <v>197</v>
      </c>
      <c r="J117" s="5" t="s">
        <v>32</v>
      </c>
      <c r="K117" s="5" t="n">
        <v>2012</v>
      </c>
      <c r="L117" s="12" t="n">
        <v>36</v>
      </c>
      <c r="M117" s="6"/>
      <c r="N117" s="8"/>
    </row>
    <row r="118" customFormat="false" ht="22.5" hidden="false" customHeight="false" outlineLevel="0" collapsed="false">
      <c r="A118" s="5" t="n">
        <f aca="false">IF(B118&lt;&gt;"", COUNTA($B$2:B118), "")</f>
        <v>117</v>
      </c>
      <c r="B118" s="18" t="s">
        <v>57</v>
      </c>
      <c r="C118" s="12" t="s">
        <v>313</v>
      </c>
      <c r="D118" s="12" t="s">
        <v>329</v>
      </c>
      <c r="E118" s="16" t="n">
        <v>2010</v>
      </c>
      <c r="F118" s="6" t="s">
        <v>136</v>
      </c>
      <c r="G118" s="12" t="n">
        <v>0.075</v>
      </c>
      <c r="H118" s="12" t="s">
        <v>330</v>
      </c>
      <c r="I118" s="5" t="s">
        <v>197</v>
      </c>
      <c r="J118" s="5" t="s">
        <v>32</v>
      </c>
      <c r="K118" s="5" t="n">
        <v>2012</v>
      </c>
      <c r="L118" s="12" t="n">
        <v>36</v>
      </c>
      <c r="M118" s="6"/>
      <c r="N118" s="8"/>
    </row>
    <row r="119" customFormat="false" ht="22.5" hidden="false" customHeight="false" outlineLevel="0" collapsed="false">
      <c r="A119" s="5" t="n">
        <f aca="false">IF(B119&lt;&gt;"", COUNTA($B$2:B119), "")</f>
        <v>118</v>
      </c>
      <c r="B119" s="6" t="s">
        <v>221</v>
      </c>
      <c r="C119" s="19" t="s">
        <v>331</v>
      </c>
      <c r="D119" s="19" t="s">
        <v>332</v>
      </c>
      <c r="E119" s="17" t="n">
        <v>2011</v>
      </c>
      <c r="F119" s="19" t="s">
        <v>333</v>
      </c>
      <c r="G119" s="19" t="s">
        <v>181</v>
      </c>
      <c r="H119" s="19" t="s">
        <v>334</v>
      </c>
      <c r="I119" s="5" t="s">
        <v>197</v>
      </c>
      <c r="J119" s="5" t="s">
        <v>32</v>
      </c>
      <c r="K119" s="5" t="n">
        <v>2012</v>
      </c>
      <c r="L119" s="12" t="n">
        <v>36</v>
      </c>
      <c r="M119" s="6"/>
      <c r="N119" s="8"/>
      <c r="O119" s="4" t="s">
        <v>335</v>
      </c>
    </row>
    <row r="120" customFormat="false" ht="22.5" hidden="false" customHeight="false" outlineLevel="0" collapsed="false">
      <c r="A120" s="5" t="n">
        <f aca="false">IF(B120&lt;&gt;"", COUNTA($B$2:B120), "")</f>
        <v>119</v>
      </c>
      <c r="B120" s="6" t="s">
        <v>221</v>
      </c>
      <c r="C120" s="19" t="s">
        <v>331</v>
      </c>
      <c r="D120" s="19" t="s">
        <v>336</v>
      </c>
      <c r="E120" s="17" t="n">
        <v>2011</v>
      </c>
      <c r="F120" s="19" t="s">
        <v>333</v>
      </c>
      <c r="G120" s="19" t="s">
        <v>181</v>
      </c>
      <c r="H120" s="19" t="s">
        <v>337</v>
      </c>
      <c r="I120" s="5" t="s">
        <v>197</v>
      </c>
      <c r="J120" s="5" t="s">
        <v>32</v>
      </c>
      <c r="K120" s="5" t="n">
        <v>2012</v>
      </c>
      <c r="L120" s="12" t="n">
        <v>36</v>
      </c>
      <c r="M120" s="6"/>
      <c r="N120" s="8"/>
      <c r="O120" s="4" t="s">
        <v>335</v>
      </c>
    </row>
    <row r="121" customFormat="false" ht="22.5" hidden="false" customHeight="false" outlineLevel="0" collapsed="false">
      <c r="A121" s="5" t="n">
        <f aca="false">IF(B121&lt;&gt;"", COUNTA($B$2:B121), "")</f>
        <v>120</v>
      </c>
      <c r="B121" s="6" t="s">
        <v>221</v>
      </c>
      <c r="C121" s="19" t="s">
        <v>338</v>
      </c>
      <c r="D121" s="19" t="s">
        <v>339</v>
      </c>
      <c r="E121" s="17" t="n">
        <v>2011</v>
      </c>
      <c r="F121" s="19" t="s">
        <v>340</v>
      </c>
      <c r="G121" s="19" t="s">
        <v>341</v>
      </c>
      <c r="H121" s="19" t="s">
        <v>342</v>
      </c>
      <c r="I121" s="5" t="s">
        <v>197</v>
      </c>
      <c r="J121" s="5" t="s">
        <v>32</v>
      </c>
      <c r="K121" s="5" t="n">
        <v>2012</v>
      </c>
      <c r="L121" s="12" t="n">
        <v>36</v>
      </c>
      <c r="M121" s="6"/>
      <c r="N121" s="8"/>
    </row>
    <row r="122" customFormat="false" ht="22.5" hidden="false" customHeight="false" outlineLevel="0" collapsed="false">
      <c r="A122" s="5" t="n">
        <f aca="false">IF(B122&lt;&gt;"", COUNTA($B$2:B122), "")</f>
        <v>121</v>
      </c>
      <c r="B122" s="6" t="s">
        <v>221</v>
      </c>
      <c r="C122" s="19" t="s">
        <v>338</v>
      </c>
      <c r="D122" s="19" t="s">
        <v>343</v>
      </c>
      <c r="E122" s="17" t="n">
        <v>2011</v>
      </c>
      <c r="F122" s="19" t="s">
        <v>340</v>
      </c>
      <c r="G122" s="12" t="n">
        <v>1.6</v>
      </c>
      <c r="H122" s="19" t="s">
        <v>344</v>
      </c>
      <c r="I122" s="5" t="s">
        <v>197</v>
      </c>
      <c r="J122" s="5" t="s">
        <v>32</v>
      </c>
      <c r="K122" s="5" t="n">
        <v>2012</v>
      </c>
      <c r="L122" s="12" t="n">
        <v>36</v>
      </c>
      <c r="M122" s="6"/>
      <c r="N122" s="8"/>
    </row>
    <row r="123" customFormat="false" ht="22.5" hidden="false" customHeight="false" outlineLevel="0" collapsed="false">
      <c r="A123" s="5" t="n">
        <f aca="false">IF(B123&lt;&gt;"", COUNTA($B$2:B123), "")</f>
        <v>122</v>
      </c>
      <c r="B123" s="5" t="s">
        <v>51</v>
      </c>
      <c r="C123" s="12" t="s">
        <v>345</v>
      </c>
      <c r="D123" s="12" t="s">
        <v>346</v>
      </c>
      <c r="E123" s="17" t="n">
        <v>2011</v>
      </c>
      <c r="F123" s="12" t="s">
        <v>54</v>
      </c>
      <c r="G123" s="12" t="s">
        <v>55</v>
      </c>
      <c r="H123" s="12" t="s">
        <v>347</v>
      </c>
      <c r="I123" s="5" t="s">
        <v>197</v>
      </c>
      <c r="J123" s="5" t="s">
        <v>32</v>
      </c>
      <c r="K123" s="5" t="n">
        <v>2012</v>
      </c>
      <c r="L123" s="12" t="n">
        <v>48</v>
      </c>
      <c r="M123" s="6"/>
      <c r="N123" s="8"/>
    </row>
    <row r="124" customFormat="false" ht="15" hidden="false" customHeight="false" outlineLevel="0" collapsed="false">
      <c r="A124" s="5" t="n">
        <f aca="false">IF(B124&lt;&gt;"", COUNTA($B$2:B124), "")</f>
        <v>123</v>
      </c>
      <c r="B124" s="5" t="s">
        <v>51</v>
      </c>
      <c r="C124" s="12" t="s">
        <v>348</v>
      </c>
      <c r="D124" s="12" t="s">
        <v>349</v>
      </c>
      <c r="E124" s="17" t="n">
        <v>2011</v>
      </c>
      <c r="F124" s="12"/>
      <c r="G124" s="12"/>
      <c r="H124" s="12" t="s">
        <v>350</v>
      </c>
      <c r="I124" s="5" t="s">
        <v>197</v>
      </c>
      <c r="J124" s="5" t="s">
        <v>32</v>
      </c>
      <c r="K124" s="5" t="n">
        <v>2012</v>
      </c>
      <c r="L124" s="12"/>
      <c r="M124" s="6"/>
      <c r="N124" s="8"/>
    </row>
    <row r="125" customFormat="false" ht="15" hidden="false" customHeight="false" outlineLevel="0" collapsed="false">
      <c r="A125" s="5" t="n">
        <f aca="false">IF(B125&lt;&gt;"", COUNTA($B$2:B125), "")</f>
        <v>124</v>
      </c>
      <c r="B125" s="5" t="s">
        <v>51</v>
      </c>
      <c r="C125" s="12" t="s">
        <v>348</v>
      </c>
      <c r="D125" s="12" t="s">
        <v>351</v>
      </c>
      <c r="E125" s="17" t="n">
        <v>2011</v>
      </c>
      <c r="F125" s="12"/>
      <c r="G125" s="12"/>
      <c r="H125" s="12" t="s">
        <v>352</v>
      </c>
      <c r="I125" s="5" t="s">
        <v>197</v>
      </c>
      <c r="J125" s="5" t="s">
        <v>32</v>
      </c>
      <c r="K125" s="5" t="n">
        <v>2012</v>
      </c>
      <c r="L125" s="12"/>
      <c r="M125" s="6"/>
      <c r="N125" s="8"/>
    </row>
    <row r="126" customFormat="false" ht="15" hidden="false" customHeight="false" outlineLevel="0" collapsed="false">
      <c r="A126" s="5" t="n">
        <f aca="false">IF(B126&lt;&gt;"", COUNTA($B$2:B126), "")</f>
        <v>125</v>
      </c>
      <c r="B126" s="5" t="s">
        <v>51</v>
      </c>
      <c r="C126" s="12" t="s">
        <v>353</v>
      </c>
      <c r="D126" s="12" t="s">
        <v>354</v>
      </c>
      <c r="E126" s="17" t="n">
        <v>2011</v>
      </c>
      <c r="F126" s="12"/>
      <c r="G126" s="12"/>
      <c r="H126" s="12" t="s">
        <v>355</v>
      </c>
      <c r="I126" s="5" t="s">
        <v>197</v>
      </c>
      <c r="J126" s="5" t="s">
        <v>32</v>
      </c>
      <c r="K126" s="5" t="n">
        <v>2012</v>
      </c>
      <c r="L126" s="12"/>
      <c r="M126" s="6"/>
      <c r="N126" s="8"/>
    </row>
    <row r="127" customFormat="false" ht="22.5" hidden="false" customHeight="false" outlineLevel="0" collapsed="false">
      <c r="A127" s="5" t="n">
        <f aca="false">IF(B127&lt;&gt;"", COUNTA($B$2:B127), "")</f>
        <v>126</v>
      </c>
      <c r="B127" s="5" t="s">
        <v>51</v>
      </c>
      <c r="C127" s="12" t="s">
        <v>345</v>
      </c>
      <c r="D127" s="12" t="s">
        <v>356</v>
      </c>
      <c r="E127" s="17" t="n">
        <v>2011</v>
      </c>
      <c r="F127" s="12" t="s">
        <v>54</v>
      </c>
      <c r="G127" s="12" t="s">
        <v>55</v>
      </c>
      <c r="H127" s="12" t="s">
        <v>357</v>
      </c>
      <c r="I127" s="5" t="s">
        <v>197</v>
      </c>
      <c r="J127" s="5" t="s">
        <v>32</v>
      </c>
      <c r="K127" s="5" t="n">
        <v>2012</v>
      </c>
      <c r="L127" s="12" t="n">
        <v>48</v>
      </c>
      <c r="M127" s="6"/>
      <c r="N127" s="8"/>
    </row>
    <row r="128" customFormat="false" ht="15" hidden="false" customHeight="false" outlineLevel="0" collapsed="false">
      <c r="A128" s="5" t="n">
        <f aca="false">IF(B128&lt;&gt;"", COUNTA($B$2:B128), "")</f>
        <v>127</v>
      </c>
      <c r="B128" s="5" t="s">
        <v>51</v>
      </c>
      <c r="C128" s="12" t="s">
        <v>348</v>
      </c>
      <c r="D128" s="12" t="s">
        <v>358</v>
      </c>
      <c r="E128" s="17" t="n">
        <v>2011</v>
      </c>
      <c r="F128" s="12"/>
      <c r="G128" s="12"/>
      <c r="H128" s="12" t="s">
        <v>359</v>
      </c>
      <c r="I128" s="5" t="s">
        <v>197</v>
      </c>
      <c r="J128" s="5" t="s">
        <v>32</v>
      </c>
      <c r="K128" s="5" t="n">
        <v>2012</v>
      </c>
      <c r="L128" s="12"/>
      <c r="M128" s="6"/>
      <c r="N128" s="8"/>
    </row>
    <row r="129" customFormat="false" ht="15" hidden="false" customHeight="false" outlineLevel="0" collapsed="false">
      <c r="A129" s="5" t="n">
        <f aca="false">IF(B129&lt;&gt;"", COUNTA($B$2:B129), "")</f>
        <v>128</v>
      </c>
      <c r="B129" s="5" t="s">
        <v>51</v>
      </c>
      <c r="C129" s="12" t="s">
        <v>348</v>
      </c>
      <c r="D129" s="12" t="s">
        <v>360</v>
      </c>
      <c r="E129" s="17" t="n">
        <v>2011</v>
      </c>
      <c r="F129" s="12"/>
      <c r="G129" s="12"/>
      <c r="H129" s="12" t="s">
        <v>361</v>
      </c>
      <c r="I129" s="5" t="s">
        <v>197</v>
      </c>
      <c r="J129" s="5" t="s">
        <v>32</v>
      </c>
      <c r="K129" s="5" t="n">
        <v>2012</v>
      </c>
      <c r="L129" s="12"/>
      <c r="M129" s="6"/>
      <c r="N129" s="8"/>
    </row>
    <row r="130" customFormat="false" ht="15" hidden="false" customHeight="false" outlineLevel="0" collapsed="false">
      <c r="A130" s="5" t="n">
        <f aca="false">IF(B130&lt;&gt;"", COUNTA($B$2:B130), "")</f>
        <v>129</v>
      </c>
      <c r="B130" s="5" t="s">
        <v>51</v>
      </c>
      <c r="C130" s="12" t="s">
        <v>353</v>
      </c>
      <c r="D130" s="12" t="s">
        <v>362</v>
      </c>
      <c r="E130" s="17" t="n">
        <v>2011</v>
      </c>
      <c r="F130" s="12"/>
      <c r="G130" s="12"/>
      <c r="H130" s="12" t="s">
        <v>363</v>
      </c>
      <c r="I130" s="5" t="s">
        <v>197</v>
      </c>
      <c r="J130" s="5" t="s">
        <v>32</v>
      </c>
      <c r="K130" s="5" t="n">
        <v>2012</v>
      </c>
      <c r="L130" s="12"/>
      <c r="M130" s="6"/>
      <c r="N130" s="8"/>
    </row>
    <row r="131" customFormat="false" ht="22.5" hidden="false" customHeight="false" outlineLevel="0" collapsed="false">
      <c r="A131" s="5" t="n">
        <f aca="false">IF(B131&lt;&gt;"", COUNTA($B$2:B131), "")</f>
        <v>130</v>
      </c>
      <c r="B131" s="5" t="s">
        <v>51</v>
      </c>
      <c r="C131" s="12" t="s">
        <v>345</v>
      </c>
      <c r="D131" s="12" t="s">
        <v>364</v>
      </c>
      <c r="E131" s="17" t="n">
        <v>2011</v>
      </c>
      <c r="F131" s="12" t="s">
        <v>54</v>
      </c>
      <c r="G131" s="12" t="s">
        <v>55</v>
      </c>
      <c r="H131" s="12" t="s">
        <v>365</v>
      </c>
      <c r="I131" s="5" t="s">
        <v>197</v>
      </c>
      <c r="J131" s="5" t="s">
        <v>32</v>
      </c>
      <c r="K131" s="5" t="n">
        <v>2012</v>
      </c>
      <c r="L131" s="12" t="n">
        <v>48</v>
      </c>
      <c r="M131" s="6"/>
      <c r="N131" s="8"/>
    </row>
    <row r="132" customFormat="false" ht="15" hidden="false" customHeight="false" outlineLevel="0" collapsed="false">
      <c r="A132" s="5" t="n">
        <f aca="false">IF(B132&lt;&gt;"", COUNTA($B$2:B132), "")</f>
        <v>131</v>
      </c>
      <c r="B132" s="5" t="s">
        <v>51</v>
      </c>
      <c r="C132" s="12" t="s">
        <v>348</v>
      </c>
      <c r="D132" s="12" t="s">
        <v>366</v>
      </c>
      <c r="E132" s="17" t="n">
        <v>2011</v>
      </c>
      <c r="F132" s="12"/>
      <c r="G132" s="12"/>
      <c r="H132" s="12" t="s">
        <v>367</v>
      </c>
      <c r="I132" s="5" t="s">
        <v>197</v>
      </c>
      <c r="J132" s="5" t="s">
        <v>32</v>
      </c>
      <c r="K132" s="5" t="n">
        <v>2012</v>
      </c>
      <c r="L132" s="12"/>
      <c r="M132" s="6"/>
      <c r="N132" s="8"/>
    </row>
    <row r="133" customFormat="false" ht="15" hidden="false" customHeight="false" outlineLevel="0" collapsed="false">
      <c r="A133" s="5" t="n">
        <f aca="false">IF(B133&lt;&gt;"", COUNTA($B$2:B133), "")</f>
        <v>132</v>
      </c>
      <c r="B133" s="5" t="s">
        <v>51</v>
      </c>
      <c r="C133" s="12" t="s">
        <v>348</v>
      </c>
      <c r="D133" s="12" t="s">
        <v>368</v>
      </c>
      <c r="E133" s="17" t="n">
        <v>2011</v>
      </c>
      <c r="F133" s="12"/>
      <c r="G133" s="12"/>
      <c r="H133" s="12" t="s">
        <v>369</v>
      </c>
      <c r="I133" s="5" t="s">
        <v>197</v>
      </c>
      <c r="J133" s="5" t="s">
        <v>32</v>
      </c>
      <c r="K133" s="5" t="n">
        <v>2012</v>
      </c>
      <c r="L133" s="12"/>
      <c r="M133" s="6"/>
      <c r="N133" s="8"/>
    </row>
    <row r="134" customFormat="false" ht="15" hidden="false" customHeight="false" outlineLevel="0" collapsed="false">
      <c r="A134" s="5" t="n">
        <f aca="false">IF(B134&lt;&gt;"", COUNTA($B$2:B134), "")</f>
        <v>133</v>
      </c>
      <c r="B134" s="5" t="s">
        <v>51</v>
      </c>
      <c r="C134" s="12" t="s">
        <v>353</v>
      </c>
      <c r="D134" s="12" t="s">
        <v>370</v>
      </c>
      <c r="E134" s="17" t="n">
        <v>2011</v>
      </c>
      <c r="F134" s="12"/>
      <c r="G134" s="12"/>
      <c r="H134" s="12" t="s">
        <v>371</v>
      </c>
      <c r="I134" s="5" t="s">
        <v>197</v>
      </c>
      <c r="J134" s="5" t="s">
        <v>32</v>
      </c>
      <c r="K134" s="5" t="n">
        <v>2012</v>
      </c>
      <c r="L134" s="12"/>
      <c r="M134" s="6"/>
      <c r="N134" s="8"/>
    </row>
    <row r="135" customFormat="false" ht="22.5" hidden="false" customHeight="false" outlineLevel="0" collapsed="false">
      <c r="A135" s="5" t="n">
        <f aca="false">IF(B135&lt;&gt;"", COUNTA($B$2:B135), "")</f>
        <v>134</v>
      </c>
      <c r="B135" s="5" t="s">
        <v>51</v>
      </c>
      <c r="C135" s="12" t="s">
        <v>345</v>
      </c>
      <c r="D135" s="12" t="s">
        <v>372</v>
      </c>
      <c r="E135" s="17" t="n">
        <v>2011</v>
      </c>
      <c r="F135" s="12" t="s">
        <v>54</v>
      </c>
      <c r="G135" s="12" t="s">
        <v>55</v>
      </c>
      <c r="H135" s="12" t="s">
        <v>373</v>
      </c>
      <c r="I135" s="5" t="s">
        <v>197</v>
      </c>
      <c r="J135" s="5" t="s">
        <v>32</v>
      </c>
      <c r="K135" s="5" t="n">
        <v>2012</v>
      </c>
      <c r="L135" s="12" t="n">
        <v>48</v>
      </c>
      <c r="M135" s="6"/>
      <c r="N135" s="8"/>
    </row>
    <row r="136" customFormat="false" ht="15" hidden="false" customHeight="false" outlineLevel="0" collapsed="false">
      <c r="A136" s="5" t="n">
        <f aca="false">IF(B136&lt;&gt;"", COUNTA($B$2:B136), "")</f>
        <v>135</v>
      </c>
      <c r="B136" s="5" t="s">
        <v>51</v>
      </c>
      <c r="C136" s="12" t="s">
        <v>348</v>
      </c>
      <c r="D136" s="12" t="s">
        <v>374</v>
      </c>
      <c r="E136" s="17" t="n">
        <v>2011</v>
      </c>
      <c r="F136" s="12"/>
      <c r="G136" s="12"/>
      <c r="H136" s="12" t="s">
        <v>375</v>
      </c>
      <c r="I136" s="5" t="s">
        <v>197</v>
      </c>
      <c r="J136" s="5" t="s">
        <v>32</v>
      </c>
      <c r="K136" s="5" t="n">
        <v>2012</v>
      </c>
      <c r="L136" s="12"/>
      <c r="M136" s="6"/>
      <c r="N136" s="8"/>
    </row>
    <row r="137" customFormat="false" ht="15" hidden="false" customHeight="false" outlineLevel="0" collapsed="false">
      <c r="A137" s="5" t="n">
        <f aca="false">IF(B137&lt;&gt;"", COUNTA($B$2:B137), "")</f>
        <v>136</v>
      </c>
      <c r="B137" s="5" t="s">
        <v>51</v>
      </c>
      <c r="C137" s="12" t="s">
        <v>348</v>
      </c>
      <c r="D137" s="12" t="s">
        <v>376</v>
      </c>
      <c r="E137" s="17" t="n">
        <v>2011</v>
      </c>
      <c r="F137" s="12"/>
      <c r="G137" s="12"/>
      <c r="H137" s="12" t="s">
        <v>377</v>
      </c>
      <c r="I137" s="5" t="s">
        <v>197</v>
      </c>
      <c r="J137" s="5" t="s">
        <v>32</v>
      </c>
      <c r="K137" s="5" t="n">
        <v>2012</v>
      </c>
      <c r="L137" s="12"/>
      <c r="M137" s="6"/>
      <c r="N137" s="8"/>
    </row>
    <row r="138" customFormat="false" ht="15" hidden="false" customHeight="false" outlineLevel="0" collapsed="false">
      <c r="A138" s="5" t="n">
        <f aca="false">IF(B138&lt;&gt;"", COUNTA($B$2:B138), "")</f>
        <v>137</v>
      </c>
      <c r="B138" s="5" t="s">
        <v>51</v>
      </c>
      <c r="C138" s="12" t="s">
        <v>353</v>
      </c>
      <c r="D138" s="12" t="s">
        <v>378</v>
      </c>
      <c r="E138" s="17" t="n">
        <v>2011</v>
      </c>
      <c r="F138" s="12"/>
      <c r="G138" s="12"/>
      <c r="H138" s="12" t="s">
        <v>379</v>
      </c>
      <c r="I138" s="5" t="s">
        <v>197</v>
      </c>
      <c r="J138" s="5" t="s">
        <v>32</v>
      </c>
      <c r="K138" s="5" t="n">
        <v>2012</v>
      </c>
      <c r="L138" s="12"/>
      <c r="M138" s="6"/>
      <c r="N138" s="8"/>
    </row>
    <row r="139" customFormat="false" ht="22.5" hidden="false" customHeight="false" outlineLevel="0" collapsed="false">
      <c r="A139" s="5" t="n">
        <f aca="false">IF(B139&lt;&gt;"", COUNTA($B$2:B139), "")</f>
        <v>138</v>
      </c>
      <c r="B139" s="5" t="s">
        <v>51</v>
      </c>
      <c r="C139" s="12" t="s">
        <v>380</v>
      </c>
      <c r="D139" s="12" t="n">
        <v>20408761</v>
      </c>
      <c r="E139" s="17" t="n">
        <v>2011</v>
      </c>
      <c r="F139" s="12" t="s">
        <v>89</v>
      </c>
      <c r="G139" s="12"/>
      <c r="H139" s="12" t="s">
        <v>381</v>
      </c>
      <c r="I139" s="5" t="s">
        <v>197</v>
      </c>
      <c r="J139" s="5" t="s">
        <v>32</v>
      </c>
      <c r="K139" s="5" t="n">
        <v>2012</v>
      </c>
      <c r="L139" s="12"/>
      <c r="M139" s="6"/>
      <c r="N139" s="8"/>
    </row>
    <row r="140" customFormat="false" ht="33.75" hidden="false" customHeight="false" outlineLevel="0" collapsed="false">
      <c r="A140" s="5" t="n">
        <f aca="false">IF(B140&lt;&gt;"", COUNTA($B$2:B140), "")</f>
        <v>139</v>
      </c>
      <c r="B140" s="6" t="s">
        <v>221</v>
      </c>
      <c r="C140" s="12" t="s">
        <v>382</v>
      </c>
      <c r="D140" s="12" t="s">
        <v>383</v>
      </c>
      <c r="E140" s="17" t="n">
        <v>2011</v>
      </c>
      <c r="F140" s="12" t="s">
        <v>384</v>
      </c>
      <c r="G140" s="12" t="s">
        <v>385</v>
      </c>
      <c r="H140" s="12" t="s">
        <v>386</v>
      </c>
      <c r="I140" s="5" t="s">
        <v>197</v>
      </c>
      <c r="J140" s="5" t="s">
        <v>32</v>
      </c>
      <c r="K140" s="5" t="n">
        <v>2012</v>
      </c>
      <c r="L140" s="12" t="n">
        <v>48</v>
      </c>
      <c r="M140" s="6"/>
      <c r="N140" s="8"/>
    </row>
    <row r="141" customFormat="false" ht="33.75" hidden="false" customHeight="false" outlineLevel="0" collapsed="false">
      <c r="A141" s="5" t="n">
        <f aca="false">IF(B141&lt;&gt;"", COUNTA($B$2:B141), "")</f>
        <v>140</v>
      </c>
      <c r="B141" s="12" t="s">
        <v>387</v>
      </c>
      <c r="C141" s="8" t="s">
        <v>388</v>
      </c>
      <c r="D141" s="12" t="s">
        <v>389</v>
      </c>
      <c r="E141" s="16" t="n">
        <v>2010</v>
      </c>
      <c r="F141" s="12" t="s">
        <v>390</v>
      </c>
      <c r="G141" s="12" t="s">
        <v>391</v>
      </c>
      <c r="H141" s="5" t="s">
        <v>392</v>
      </c>
      <c r="I141" s="5" t="s">
        <v>197</v>
      </c>
      <c r="J141" s="5" t="s">
        <v>32</v>
      </c>
      <c r="K141" s="5" t="n">
        <v>2012</v>
      </c>
      <c r="L141" s="12" t="n">
        <v>24</v>
      </c>
      <c r="M141" s="6"/>
      <c r="N141" s="8"/>
    </row>
    <row r="142" customFormat="false" ht="22.5" hidden="false" customHeight="false" outlineLevel="0" collapsed="false">
      <c r="A142" s="5" t="n">
        <f aca="false">IF(B142&lt;&gt;"", COUNTA($B$2:B142), "")</f>
        <v>141</v>
      </c>
      <c r="B142" s="12" t="s">
        <v>387</v>
      </c>
      <c r="C142" s="8" t="s">
        <v>388</v>
      </c>
      <c r="D142" s="12" t="s">
        <v>389</v>
      </c>
      <c r="E142" s="16" t="n">
        <v>2010</v>
      </c>
      <c r="F142" s="12" t="s">
        <v>390</v>
      </c>
      <c r="G142" s="12" t="s">
        <v>391</v>
      </c>
      <c r="H142" s="5" t="s">
        <v>393</v>
      </c>
      <c r="I142" s="5" t="s">
        <v>197</v>
      </c>
      <c r="J142" s="5" t="s">
        <v>32</v>
      </c>
      <c r="K142" s="5" t="n">
        <v>2012</v>
      </c>
      <c r="L142" s="12" t="n">
        <v>24</v>
      </c>
      <c r="M142" s="6"/>
      <c r="N142" s="8"/>
    </row>
    <row r="143" customFormat="false" ht="33.75" hidden="false" customHeight="false" outlineLevel="0" collapsed="false">
      <c r="A143" s="5" t="n">
        <f aca="false">IF(B143&lt;&gt;"", COUNTA($B$2:B143), "")</f>
        <v>142</v>
      </c>
      <c r="B143" s="12" t="s">
        <v>387</v>
      </c>
      <c r="C143" s="8" t="s">
        <v>388</v>
      </c>
      <c r="D143" s="12" t="s">
        <v>389</v>
      </c>
      <c r="E143" s="16" t="n">
        <v>2010</v>
      </c>
      <c r="F143" s="12" t="s">
        <v>390</v>
      </c>
      <c r="G143" s="12" t="s">
        <v>391</v>
      </c>
      <c r="H143" s="5" t="s">
        <v>394</v>
      </c>
      <c r="I143" s="5" t="s">
        <v>197</v>
      </c>
      <c r="J143" s="5" t="s">
        <v>32</v>
      </c>
      <c r="K143" s="5" t="n">
        <v>2012</v>
      </c>
      <c r="L143" s="12" t="n">
        <v>24</v>
      </c>
      <c r="M143" s="6"/>
      <c r="N143" s="8"/>
    </row>
    <row r="144" customFormat="false" ht="33.75" hidden="false" customHeight="false" outlineLevel="0" collapsed="false">
      <c r="A144" s="5" t="n">
        <f aca="false">IF(B144&lt;&gt;"", COUNTA($B$2:B144), "")</f>
        <v>143</v>
      </c>
      <c r="B144" s="12" t="s">
        <v>387</v>
      </c>
      <c r="C144" s="8" t="s">
        <v>388</v>
      </c>
      <c r="D144" s="12" t="s">
        <v>389</v>
      </c>
      <c r="E144" s="16" t="n">
        <v>2010</v>
      </c>
      <c r="F144" s="12" t="s">
        <v>390</v>
      </c>
      <c r="G144" s="12" t="s">
        <v>391</v>
      </c>
      <c r="H144" s="5" t="s">
        <v>395</v>
      </c>
      <c r="I144" s="5" t="s">
        <v>197</v>
      </c>
      <c r="J144" s="5" t="s">
        <v>32</v>
      </c>
      <c r="K144" s="5" t="n">
        <v>2012</v>
      </c>
      <c r="L144" s="12" t="n">
        <v>24</v>
      </c>
      <c r="M144" s="6"/>
      <c r="N144" s="8"/>
    </row>
    <row r="145" customFormat="false" ht="22.5" hidden="false" customHeight="false" outlineLevel="0" collapsed="false">
      <c r="A145" s="5" t="n">
        <f aca="false">IF(B145&lt;&gt;"", COUNTA($B$2:B145), "")</f>
        <v>144</v>
      </c>
      <c r="B145" s="12" t="s">
        <v>387</v>
      </c>
      <c r="C145" s="8" t="s">
        <v>388</v>
      </c>
      <c r="D145" s="12" t="s">
        <v>389</v>
      </c>
      <c r="E145" s="16" t="n">
        <v>2010</v>
      </c>
      <c r="F145" s="12" t="s">
        <v>390</v>
      </c>
      <c r="G145" s="12" t="s">
        <v>391</v>
      </c>
      <c r="H145" s="5" t="s">
        <v>396</v>
      </c>
      <c r="I145" s="5" t="s">
        <v>197</v>
      </c>
      <c r="J145" s="5" t="s">
        <v>32</v>
      </c>
      <c r="K145" s="5" t="n">
        <v>2012</v>
      </c>
      <c r="L145" s="12" t="n">
        <v>24</v>
      </c>
      <c r="M145" s="6"/>
      <c r="N145" s="8"/>
    </row>
    <row r="146" customFormat="false" ht="22.5" hidden="false" customHeight="false" outlineLevel="0" collapsed="false">
      <c r="A146" s="5" t="n">
        <f aca="false">IF(B146&lt;&gt;"", COUNTA($B$2:B146), "")</f>
        <v>145</v>
      </c>
      <c r="B146" s="12" t="s">
        <v>387</v>
      </c>
      <c r="C146" s="8" t="s">
        <v>397</v>
      </c>
      <c r="D146" s="12" t="s">
        <v>389</v>
      </c>
      <c r="E146" s="16" t="n">
        <v>2010</v>
      </c>
      <c r="F146" s="12" t="s">
        <v>398</v>
      </c>
      <c r="G146" s="12" t="s">
        <v>391</v>
      </c>
      <c r="H146" s="5" t="s">
        <v>399</v>
      </c>
      <c r="I146" s="5" t="s">
        <v>197</v>
      </c>
      <c r="J146" s="5" t="s">
        <v>32</v>
      </c>
      <c r="K146" s="5" t="n">
        <v>2012</v>
      </c>
      <c r="L146" s="12" t="n">
        <v>24</v>
      </c>
      <c r="M146" s="6"/>
      <c r="N146" s="8"/>
    </row>
    <row r="147" customFormat="false" ht="22.5" hidden="false" customHeight="false" outlineLevel="0" collapsed="false">
      <c r="A147" s="5" t="n">
        <f aca="false">IF(B147&lt;&gt;"", COUNTA($B$2:B147), "")</f>
        <v>146</v>
      </c>
      <c r="B147" s="6" t="s">
        <v>64</v>
      </c>
      <c r="C147" s="19" t="s">
        <v>400</v>
      </c>
      <c r="D147" s="19" t="s">
        <v>401</v>
      </c>
      <c r="E147" s="17" t="n">
        <v>2011</v>
      </c>
      <c r="F147" s="19" t="s">
        <v>67</v>
      </c>
      <c r="G147" s="19" t="s">
        <v>68</v>
      </c>
      <c r="H147" s="6" t="s">
        <v>402</v>
      </c>
      <c r="I147" s="5" t="s">
        <v>197</v>
      </c>
      <c r="J147" s="5" t="s">
        <v>32</v>
      </c>
      <c r="K147" s="5" t="n">
        <v>2012</v>
      </c>
      <c r="L147" s="12" t="n">
        <v>36</v>
      </c>
      <c r="M147" s="6"/>
      <c r="N147" s="8"/>
    </row>
    <row r="148" customFormat="false" ht="22.5" hidden="false" customHeight="false" outlineLevel="0" collapsed="false">
      <c r="A148" s="5" t="n">
        <f aca="false">IF(B148&lt;&gt;"", COUNTA($B$2:B148), "")</f>
        <v>147</v>
      </c>
      <c r="B148" s="6" t="s">
        <v>64</v>
      </c>
      <c r="C148" s="19" t="s">
        <v>400</v>
      </c>
      <c r="D148" s="19" t="s">
        <v>403</v>
      </c>
      <c r="E148" s="17" t="n">
        <v>2011</v>
      </c>
      <c r="F148" s="19" t="s">
        <v>67</v>
      </c>
      <c r="G148" s="19" t="s">
        <v>68</v>
      </c>
      <c r="H148" s="6" t="s">
        <v>404</v>
      </c>
      <c r="I148" s="5" t="s">
        <v>197</v>
      </c>
      <c r="J148" s="5" t="s">
        <v>32</v>
      </c>
      <c r="K148" s="5" t="n">
        <v>2012</v>
      </c>
      <c r="L148" s="12" t="n">
        <v>36</v>
      </c>
      <c r="M148" s="6"/>
      <c r="N148" s="8"/>
    </row>
    <row r="149" customFormat="false" ht="15" hidden="false" customHeight="false" outlineLevel="0" collapsed="false">
      <c r="A149" s="5" t="n">
        <f aca="false">IF(B149&lt;&gt;"", COUNTA($B$2:B149), "")</f>
        <v>148</v>
      </c>
      <c r="B149" s="6" t="s">
        <v>64</v>
      </c>
      <c r="C149" s="19" t="s">
        <v>400</v>
      </c>
      <c r="D149" s="19" t="s">
        <v>405</v>
      </c>
      <c r="E149" s="17" t="n">
        <v>2011</v>
      </c>
      <c r="F149" s="19" t="s">
        <v>67</v>
      </c>
      <c r="G149" s="19" t="s">
        <v>68</v>
      </c>
      <c r="H149" s="6" t="s">
        <v>406</v>
      </c>
      <c r="I149" s="5" t="s">
        <v>197</v>
      </c>
      <c r="J149" s="5" t="s">
        <v>32</v>
      </c>
      <c r="K149" s="5" t="n">
        <v>2012</v>
      </c>
      <c r="L149" s="12" t="n">
        <v>36</v>
      </c>
      <c r="M149" s="6"/>
      <c r="N149" s="8"/>
    </row>
    <row r="150" customFormat="false" ht="22.5" hidden="false" customHeight="false" outlineLevel="0" collapsed="false">
      <c r="A150" s="5" t="n">
        <f aca="false">IF(B150&lt;&gt;"", COUNTA($B$2:B150), "")</f>
        <v>149</v>
      </c>
      <c r="B150" s="6" t="s">
        <v>64</v>
      </c>
      <c r="C150" s="19" t="s">
        <v>400</v>
      </c>
      <c r="D150" s="19" t="s">
        <v>407</v>
      </c>
      <c r="E150" s="17" t="n">
        <v>2011</v>
      </c>
      <c r="F150" s="19" t="s">
        <v>67</v>
      </c>
      <c r="G150" s="19" t="s">
        <v>68</v>
      </c>
      <c r="H150" s="6" t="s">
        <v>408</v>
      </c>
      <c r="I150" s="5" t="s">
        <v>197</v>
      </c>
      <c r="J150" s="5" t="s">
        <v>32</v>
      </c>
      <c r="K150" s="5" t="n">
        <v>2012</v>
      </c>
      <c r="L150" s="12" t="n">
        <v>36</v>
      </c>
      <c r="M150" s="6"/>
      <c r="N150" s="8"/>
    </row>
    <row r="151" customFormat="false" ht="22.5" hidden="false" customHeight="false" outlineLevel="0" collapsed="false">
      <c r="A151" s="5" t="n">
        <f aca="false">IF(B151&lt;&gt;"", COUNTA($B$2:B151), "")</f>
        <v>150</v>
      </c>
      <c r="B151" s="6" t="s">
        <v>64</v>
      </c>
      <c r="C151" s="19" t="s">
        <v>409</v>
      </c>
      <c r="D151" s="19" t="s">
        <v>410</v>
      </c>
      <c r="E151" s="17" t="n">
        <v>2011</v>
      </c>
      <c r="F151" s="19" t="s">
        <v>67</v>
      </c>
      <c r="G151" s="19" t="s">
        <v>68</v>
      </c>
      <c r="H151" s="6" t="s">
        <v>411</v>
      </c>
      <c r="I151" s="5" t="s">
        <v>197</v>
      </c>
      <c r="J151" s="5" t="s">
        <v>32</v>
      </c>
      <c r="K151" s="5" t="n">
        <v>2012</v>
      </c>
      <c r="L151" s="12" t="n">
        <v>36</v>
      </c>
      <c r="M151" s="6"/>
      <c r="N151" s="8"/>
    </row>
    <row r="152" customFormat="false" ht="22.5" hidden="false" customHeight="false" outlineLevel="0" collapsed="false">
      <c r="A152" s="5" t="n">
        <f aca="false">IF(B152&lt;&gt;"", COUNTA($B$2:B152), "")</f>
        <v>151</v>
      </c>
      <c r="B152" s="6" t="s">
        <v>64</v>
      </c>
      <c r="C152" s="19" t="s">
        <v>409</v>
      </c>
      <c r="D152" s="19" t="s">
        <v>412</v>
      </c>
      <c r="E152" s="17" t="n">
        <v>2011</v>
      </c>
      <c r="F152" s="19" t="s">
        <v>67</v>
      </c>
      <c r="G152" s="19" t="s">
        <v>68</v>
      </c>
      <c r="H152" s="6" t="s">
        <v>413</v>
      </c>
      <c r="I152" s="5" t="s">
        <v>197</v>
      </c>
      <c r="J152" s="5" t="s">
        <v>32</v>
      </c>
      <c r="K152" s="5" t="n">
        <v>2012</v>
      </c>
      <c r="L152" s="12" t="n">
        <v>36</v>
      </c>
      <c r="M152" s="6"/>
      <c r="N152" s="8"/>
    </row>
    <row r="153" customFormat="false" ht="22.5" hidden="false" customHeight="false" outlineLevel="0" collapsed="false">
      <c r="A153" s="5" t="n">
        <f aca="false">IF(B153&lt;&gt;"", COUNTA($B$2:B153), "")</f>
        <v>152</v>
      </c>
      <c r="B153" s="6" t="s">
        <v>64</v>
      </c>
      <c r="C153" s="19" t="s">
        <v>409</v>
      </c>
      <c r="D153" s="19" t="s">
        <v>414</v>
      </c>
      <c r="E153" s="17" t="n">
        <v>2011</v>
      </c>
      <c r="F153" s="19" t="s">
        <v>67</v>
      </c>
      <c r="G153" s="19" t="s">
        <v>68</v>
      </c>
      <c r="H153" s="6" t="s">
        <v>415</v>
      </c>
      <c r="I153" s="5" t="s">
        <v>197</v>
      </c>
      <c r="J153" s="5" t="s">
        <v>32</v>
      </c>
      <c r="K153" s="5" t="n">
        <v>2012</v>
      </c>
      <c r="L153" s="12" t="n">
        <v>36</v>
      </c>
      <c r="M153" s="6"/>
      <c r="N153" s="8"/>
    </row>
    <row r="154" customFormat="false" ht="22.5" hidden="false" customHeight="false" outlineLevel="0" collapsed="false">
      <c r="A154" s="5" t="n">
        <f aca="false">IF(B154&lt;&gt;"", COUNTA($B$2:B154), "")</f>
        <v>153</v>
      </c>
      <c r="B154" s="6" t="s">
        <v>64</v>
      </c>
      <c r="C154" s="19" t="s">
        <v>409</v>
      </c>
      <c r="D154" s="19" t="s">
        <v>416</v>
      </c>
      <c r="E154" s="17" t="n">
        <v>2011</v>
      </c>
      <c r="F154" s="19" t="s">
        <v>67</v>
      </c>
      <c r="G154" s="19" t="s">
        <v>68</v>
      </c>
      <c r="H154" s="6" t="s">
        <v>417</v>
      </c>
      <c r="I154" s="5" t="s">
        <v>197</v>
      </c>
      <c r="J154" s="5" t="s">
        <v>32</v>
      </c>
      <c r="K154" s="5" t="n">
        <v>2012</v>
      </c>
      <c r="L154" s="12" t="n">
        <v>36</v>
      </c>
      <c r="M154" s="6"/>
      <c r="N154" s="8"/>
    </row>
    <row r="155" customFormat="false" ht="33.75" hidden="false" customHeight="false" outlineLevel="0" collapsed="false">
      <c r="A155" s="5" t="n">
        <f aca="false">IF(B155&lt;&gt;"", COUNTA($B$2:B155), "")</f>
        <v>154</v>
      </c>
      <c r="B155" s="6" t="s">
        <v>64</v>
      </c>
      <c r="C155" s="19" t="s">
        <v>400</v>
      </c>
      <c r="D155" s="19" t="s">
        <v>418</v>
      </c>
      <c r="E155" s="17" t="n">
        <v>2011</v>
      </c>
      <c r="F155" s="19" t="s">
        <v>67</v>
      </c>
      <c r="G155" s="19" t="s">
        <v>68</v>
      </c>
      <c r="H155" s="6" t="s">
        <v>419</v>
      </c>
      <c r="I155" s="5" t="s">
        <v>197</v>
      </c>
      <c r="J155" s="5" t="s">
        <v>32</v>
      </c>
      <c r="K155" s="5" t="n">
        <v>2012</v>
      </c>
      <c r="L155" s="12" t="n">
        <v>36</v>
      </c>
      <c r="M155" s="6"/>
      <c r="N155" s="8"/>
    </row>
    <row r="156" s="34" customFormat="true" ht="33.75" hidden="false" customHeight="false" outlineLevel="0" collapsed="false">
      <c r="A156" s="5" t="n">
        <f aca="false">IF(B156&lt;&gt;"", COUNTA($B$2:B156), "")</f>
        <v>155</v>
      </c>
      <c r="B156" s="6" t="s">
        <v>64</v>
      </c>
      <c r="C156" s="19" t="s">
        <v>400</v>
      </c>
      <c r="D156" s="19" t="s">
        <v>420</v>
      </c>
      <c r="E156" s="33" t="n">
        <v>2011</v>
      </c>
      <c r="F156" s="19" t="s">
        <v>67</v>
      </c>
      <c r="G156" s="19" t="s">
        <v>68</v>
      </c>
      <c r="H156" s="19" t="s">
        <v>421</v>
      </c>
      <c r="I156" s="5" t="s">
        <v>197</v>
      </c>
      <c r="J156" s="5" t="s">
        <v>32</v>
      </c>
      <c r="K156" s="5" t="n">
        <v>2012</v>
      </c>
      <c r="L156" s="12" t="n">
        <v>36</v>
      </c>
      <c r="M156" s="6"/>
      <c r="N156" s="8"/>
    </row>
    <row r="157" s="34" customFormat="true" ht="22.5" hidden="false" customHeight="false" outlineLevel="0" collapsed="false">
      <c r="A157" s="5" t="n">
        <f aca="false">IF(B157&lt;&gt;"", COUNTA($B$2:B157), "")</f>
        <v>156</v>
      </c>
      <c r="B157" s="6" t="s">
        <v>64</v>
      </c>
      <c r="C157" s="19" t="s">
        <v>400</v>
      </c>
      <c r="D157" s="17" t="n">
        <v>311</v>
      </c>
      <c r="E157" s="33" t="n">
        <v>2011</v>
      </c>
      <c r="F157" s="19" t="s">
        <v>67</v>
      </c>
      <c r="G157" s="19" t="s">
        <v>68</v>
      </c>
      <c r="H157" s="19" t="s">
        <v>422</v>
      </c>
      <c r="I157" s="5" t="s">
        <v>197</v>
      </c>
      <c r="J157" s="5" t="s">
        <v>32</v>
      </c>
      <c r="K157" s="5" t="n">
        <v>2012</v>
      </c>
      <c r="L157" s="12" t="n">
        <v>36</v>
      </c>
      <c r="M157" s="6"/>
      <c r="N157" s="8"/>
    </row>
    <row r="158" s="34" customFormat="true" ht="15" hidden="false" customHeight="false" outlineLevel="0" collapsed="false">
      <c r="A158" s="5" t="n">
        <f aca="false">IF(B158&lt;&gt;"", COUNTA($B$2:B158), "")</f>
        <v>157</v>
      </c>
      <c r="B158" s="6" t="s">
        <v>64</v>
      </c>
      <c r="C158" s="19" t="s">
        <v>423</v>
      </c>
      <c r="D158" s="19" t="s">
        <v>424</v>
      </c>
      <c r="E158" s="35" t="s">
        <v>425</v>
      </c>
      <c r="F158" s="8" t="s">
        <v>156</v>
      </c>
      <c r="G158" s="19" t="s">
        <v>426</v>
      </c>
      <c r="H158" s="19" t="s">
        <v>427</v>
      </c>
      <c r="I158" s="5" t="s">
        <v>197</v>
      </c>
      <c r="J158" s="5" t="s">
        <v>32</v>
      </c>
      <c r="K158" s="5" t="n">
        <v>2012</v>
      </c>
      <c r="L158" s="12" t="n">
        <v>60</v>
      </c>
      <c r="M158" s="6"/>
      <c r="N158" s="8"/>
    </row>
    <row r="159" s="34" customFormat="true" ht="22.5" hidden="false" customHeight="false" outlineLevel="0" collapsed="false">
      <c r="A159" s="5" t="n">
        <f aca="false">IF(B159&lt;&gt;"", COUNTA($B$2:B159), "")</f>
        <v>158</v>
      </c>
      <c r="B159" s="6" t="s">
        <v>64</v>
      </c>
      <c r="C159" s="19" t="s">
        <v>400</v>
      </c>
      <c r="D159" s="19" t="s">
        <v>428</v>
      </c>
      <c r="E159" s="33" t="n">
        <v>2011</v>
      </c>
      <c r="F159" s="19" t="s">
        <v>67</v>
      </c>
      <c r="G159" s="19" t="s">
        <v>68</v>
      </c>
      <c r="H159" s="19" t="s">
        <v>429</v>
      </c>
      <c r="I159" s="5" t="s">
        <v>197</v>
      </c>
      <c r="J159" s="5" t="s">
        <v>32</v>
      </c>
      <c r="K159" s="5" t="n">
        <v>2012</v>
      </c>
      <c r="L159" s="12" t="n">
        <v>36</v>
      </c>
      <c r="M159" s="6"/>
      <c r="N159" s="8"/>
    </row>
    <row r="160" s="34" customFormat="true" ht="22.5" hidden="false" customHeight="false" outlineLevel="0" collapsed="false">
      <c r="A160" s="5" t="n">
        <f aca="false">IF(B160&lt;&gt;"", COUNTA($B$2:B160), "")</f>
        <v>159</v>
      </c>
      <c r="B160" s="6" t="s">
        <v>64</v>
      </c>
      <c r="C160" s="19" t="s">
        <v>400</v>
      </c>
      <c r="D160" s="19" t="s">
        <v>430</v>
      </c>
      <c r="E160" s="33" t="n">
        <v>2011</v>
      </c>
      <c r="F160" s="19" t="s">
        <v>67</v>
      </c>
      <c r="G160" s="19" t="s">
        <v>68</v>
      </c>
      <c r="H160" s="19" t="s">
        <v>431</v>
      </c>
      <c r="I160" s="5" t="s">
        <v>197</v>
      </c>
      <c r="J160" s="5" t="s">
        <v>32</v>
      </c>
      <c r="K160" s="5" t="n">
        <v>2012</v>
      </c>
      <c r="L160" s="12" t="n">
        <v>36</v>
      </c>
      <c r="M160" s="6"/>
      <c r="N160" s="8"/>
    </row>
    <row r="161" s="34" customFormat="true" ht="22.5" hidden="false" customHeight="false" outlineLevel="0" collapsed="false">
      <c r="A161" s="5" t="n">
        <f aca="false">IF(B161&lt;&gt;"", COUNTA($B$2:B161), "")</f>
        <v>160</v>
      </c>
      <c r="B161" s="6" t="s">
        <v>64</v>
      </c>
      <c r="C161" s="19" t="s">
        <v>400</v>
      </c>
      <c r="D161" s="19" t="s">
        <v>432</v>
      </c>
      <c r="E161" s="33" t="n">
        <v>2011</v>
      </c>
      <c r="F161" s="19" t="s">
        <v>67</v>
      </c>
      <c r="G161" s="19" t="s">
        <v>68</v>
      </c>
      <c r="H161" s="19" t="s">
        <v>433</v>
      </c>
      <c r="I161" s="5" t="s">
        <v>197</v>
      </c>
      <c r="J161" s="5" t="s">
        <v>32</v>
      </c>
      <c r="K161" s="5" t="n">
        <v>2012</v>
      </c>
      <c r="L161" s="12" t="n">
        <v>36</v>
      </c>
      <c r="M161" s="6"/>
      <c r="N161" s="8"/>
    </row>
    <row r="162" customFormat="false" ht="33.75" hidden="false" customHeight="false" outlineLevel="0" collapsed="false">
      <c r="A162" s="5" t="n">
        <f aca="false">IF(B162&lt;&gt;"", COUNTA($B$2:B162), "")</f>
        <v>161</v>
      </c>
      <c r="B162" s="6" t="s">
        <v>64</v>
      </c>
      <c r="C162" s="19" t="s">
        <v>434</v>
      </c>
      <c r="D162" s="19" t="s">
        <v>435</v>
      </c>
      <c r="E162" s="36"/>
      <c r="F162" s="36" t="s">
        <v>436</v>
      </c>
      <c r="G162" s="19" t="s">
        <v>68</v>
      </c>
      <c r="H162" s="19" t="s">
        <v>437</v>
      </c>
      <c r="I162" s="5" t="s">
        <v>197</v>
      </c>
      <c r="J162" s="5" t="s">
        <v>32</v>
      </c>
      <c r="K162" s="5"/>
      <c r="L162" s="5"/>
      <c r="M162" s="6"/>
      <c r="N162" s="8"/>
    </row>
    <row r="163" customFormat="false" ht="33.75" hidden="false" customHeight="false" outlineLevel="0" collapsed="false">
      <c r="A163" s="5" t="n">
        <f aca="false">IF(B163&lt;&gt;"", COUNTA($B$2:B163), "")</f>
        <v>162</v>
      </c>
      <c r="B163" s="6" t="s">
        <v>64</v>
      </c>
      <c r="C163" s="19" t="s">
        <v>434</v>
      </c>
      <c r="D163" s="16" t="s">
        <v>438</v>
      </c>
      <c r="E163" s="35" t="s">
        <v>439</v>
      </c>
      <c r="F163" s="36" t="s">
        <v>436</v>
      </c>
      <c r="G163" s="19" t="s">
        <v>68</v>
      </c>
      <c r="H163" s="19" t="s">
        <v>440</v>
      </c>
      <c r="I163" s="5" t="s">
        <v>197</v>
      </c>
      <c r="J163" s="5" t="s">
        <v>32</v>
      </c>
      <c r="K163" s="5" t="n">
        <v>2012</v>
      </c>
      <c r="L163" s="12" t="n">
        <v>24</v>
      </c>
      <c r="M163" s="6"/>
      <c r="N163" s="8"/>
    </row>
    <row r="164" customFormat="false" ht="22.5" hidden="false" customHeight="false" outlineLevel="0" collapsed="false">
      <c r="A164" s="5" t="n">
        <f aca="false">IF(B164&lt;&gt;"", COUNTA($B$2:B164), "")</f>
        <v>163</v>
      </c>
      <c r="B164" s="37" t="s">
        <v>64</v>
      </c>
      <c r="C164" s="36" t="s">
        <v>434</v>
      </c>
      <c r="D164" s="36" t="s">
        <v>441</v>
      </c>
      <c r="E164" s="35" t="s">
        <v>439</v>
      </c>
      <c r="F164" s="36" t="s">
        <v>436</v>
      </c>
      <c r="G164" s="36" t="s">
        <v>68</v>
      </c>
      <c r="H164" s="37" t="s">
        <v>442</v>
      </c>
      <c r="I164" s="5" t="s">
        <v>197</v>
      </c>
      <c r="J164" s="5" t="s">
        <v>32</v>
      </c>
      <c r="K164" s="5" t="n">
        <v>2012</v>
      </c>
      <c r="L164" s="12" t="n">
        <v>24</v>
      </c>
      <c r="M164" s="6"/>
      <c r="N164" s="8"/>
    </row>
    <row r="165" customFormat="false" ht="22.5" hidden="false" customHeight="false" outlineLevel="0" collapsed="false">
      <c r="A165" s="5" t="n">
        <f aca="false">IF(B165&lt;&gt;"", COUNTA($B$2:B165), "")</f>
        <v>164</v>
      </c>
      <c r="B165" s="6" t="s">
        <v>64</v>
      </c>
      <c r="C165" s="19" t="s">
        <v>434</v>
      </c>
      <c r="D165" s="19" t="s">
        <v>443</v>
      </c>
      <c r="E165" s="19"/>
      <c r="F165" s="36" t="s">
        <v>436</v>
      </c>
      <c r="G165" s="19" t="s">
        <v>68</v>
      </c>
      <c r="H165" s="6" t="s">
        <v>444</v>
      </c>
      <c r="I165" s="5" t="s">
        <v>197</v>
      </c>
      <c r="J165" s="5" t="s">
        <v>32</v>
      </c>
      <c r="K165" s="5"/>
      <c r="L165" s="5"/>
      <c r="M165" s="6"/>
      <c r="N165" s="8"/>
    </row>
    <row r="166" customFormat="false" ht="15" hidden="false" customHeight="false" outlineLevel="0" collapsed="false">
      <c r="A166" s="5" t="n">
        <f aca="false">IF(B166&lt;&gt;"", COUNTA($B$2:B166), "")</f>
        <v>165</v>
      </c>
      <c r="B166" s="6" t="s">
        <v>64</v>
      </c>
      <c r="C166" s="19" t="s">
        <v>445</v>
      </c>
      <c r="D166" s="19" t="s">
        <v>446</v>
      </c>
      <c r="E166" s="17" t="n">
        <v>2011</v>
      </c>
      <c r="F166" s="19" t="s">
        <v>447</v>
      </c>
      <c r="G166" s="19" t="s">
        <v>68</v>
      </c>
      <c r="H166" s="6" t="s">
        <v>448</v>
      </c>
      <c r="I166" s="5" t="s">
        <v>197</v>
      </c>
      <c r="J166" s="5" t="s">
        <v>32</v>
      </c>
      <c r="K166" s="5" t="n">
        <v>2012</v>
      </c>
      <c r="L166" s="5" t="n">
        <v>24</v>
      </c>
      <c r="M166" s="6"/>
      <c r="N166" s="8"/>
    </row>
    <row r="167" customFormat="false" ht="22.5" hidden="false" customHeight="false" outlineLevel="0" collapsed="false">
      <c r="A167" s="5" t="n">
        <f aca="false">IF(B167&lt;&gt;"", COUNTA($B$2:B167), "")</f>
        <v>166</v>
      </c>
      <c r="B167" s="6" t="s">
        <v>64</v>
      </c>
      <c r="C167" s="19" t="s">
        <v>400</v>
      </c>
      <c r="D167" s="19" t="s">
        <v>449</v>
      </c>
      <c r="E167" s="17" t="n">
        <v>2011</v>
      </c>
      <c r="F167" s="19" t="s">
        <v>67</v>
      </c>
      <c r="G167" s="19" t="s">
        <v>68</v>
      </c>
      <c r="H167" s="19" t="s">
        <v>450</v>
      </c>
      <c r="I167" s="5" t="s">
        <v>197</v>
      </c>
      <c r="J167" s="5" t="s">
        <v>32</v>
      </c>
      <c r="K167" s="5" t="n">
        <v>2012</v>
      </c>
      <c r="L167" s="12" t="n">
        <v>36</v>
      </c>
      <c r="M167" s="6"/>
      <c r="N167" s="8"/>
    </row>
    <row r="168" customFormat="false" ht="22.5" hidden="false" customHeight="false" outlineLevel="0" collapsed="false">
      <c r="A168" s="5" t="n">
        <f aca="false">IF(B168&lt;&gt;"", COUNTA($B$2:B168), "")</f>
        <v>167</v>
      </c>
      <c r="B168" s="6" t="s">
        <v>64</v>
      </c>
      <c r="C168" s="19" t="s">
        <v>400</v>
      </c>
      <c r="D168" s="19" t="s">
        <v>451</v>
      </c>
      <c r="E168" s="17" t="n">
        <v>2011</v>
      </c>
      <c r="F168" s="19" t="s">
        <v>67</v>
      </c>
      <c r="G168" s="19" t="s">
        <v>68</v>
      </c>
      <c r="H168" s="19" t="s">
        <v>450</v>
      </c>
      <c r="I168" s="5" t="s">
        <v>197</v>
      </c>
      <c r="J168" s="5" t="s">
        <v>32</v>
      </c>
      <c r="K168" s="5" t="n">
        <v>2012</v>
      </c>
      <c r="L168" s="12" t="n">
        <v>36</v>
      </c>
      <c r="M168" s="6"/>
      <c r="N168" s="8"/>
    </row>
    <row r="169" customFormat="false" ht="22.5" hidden="false" customHeight="false" outlineLevel="0" collapsed="false">
      <c r="A169" s="5" t="n">
        <f aca="false">IF(B169&lt;&gt;"", COUNTA($B$2:B169), "")</f>
        <v>168</v>
      </c>
      <c r="B169" s="6" t="s">
        <v>64</v>
      </c>
      <c r="C169" s="19" t="s">
        <v>400</v>
      </c>
      <c r="D169" s="6" t="s">
        <v>418</v>
      </c>
      <c r="E169" s="17" t="n">
        <v>2011</v>
      </c>
      <c r="F169" s="19" t="s">
        <v>67</v>
      </c>
      <c r="G169" s="19" t="s">
        <v>68</v>
      </c>
      <c r="H169" s="19" t="s">
        <v>452</v>
      </c>
      <c r="I169" s="5" t="s">
        <v>197</v>
      </c>
      <c r="J169" s="5" t="s">
        <v>32</v>
      </c>
      <c r="K169" s="5" t="n">
        <v>2012</v>
      </c>
      <c r="L169" s="12" t="n">
        <v>36</v>
      </c>
      <c r="M169" s="6"/>
      <c r="N169" s="8"/>
    </row>
    <row r="170" customFormat="false" ht="22.5" hidden="false" customHeight="false" outlineLevel="0" collapsed="false">
      <c r="A170" s="5" t="n">
        <f aca="false">IF(B170&lt;&gt;"", COUNTA($B$2:B170), "")</f>
        <v>169</v>
      </c>
      <c r="B170" s="6" t="s">
        <v>64</v>
      </c>
      <c r="C170" s="19" t="s">
        <v>453</v>
      </c>
      <c r="D170" s="19" t="s">
        <v>435</v>
      </c>
      <c r="E170" s="17" t="n">
        <v>2011</v>
      </c>
      <c r="F170" s="19" t="s">
        <v>436</v>
      </c>
      <c r="G170" s="19" t="s">
        <v>68</v>
      </c>
      <c r="H170" s="19" t="s">
        <v>454</v>
      </c>
      <c r="I170" s="5" t="s">
        <v>197</v>
      </c>
      <c r="J170" s="5" t="s">
        <v>32</v>
      </c>
      <c r="K170" s="5" t="n">
        <v>2012</v>
      </c>
      <c r="L170" s="12" t="n">
        <v>36</v>
      </c>
      <c r="M170" s="6"/>
      <c r="N170" s="8"/>
    </row>
    <row r="171" customFormat="false" ht="15" hidden="false" customHeight="false" outlineLevel="0" collapsed="false">
      <c r="A171" s="5" t="n">
        <f aca="false">IF(B171&lt;&gt;"", COUNTA($B$2:B171), "")</f>
        <v>170</v>
      </c>
      <c r="B171" s="6" t="s">
        <v>64</v>
      </c>
      <c r="C171" s="19" t="s">
        <v>409</v>
      </c>
      <c r="D171" s="17" t="n">
        <v>338</v>
      </c>
      <c r="E171" s="17" t="n">
        <v>2011</v>
      </c>
      <c r="F171" s="19" t="s">
        <v>67</v>
      </c>
      <c r="G171" s="19" t="s">
        <v>68</v>
      </c>
      <c r="H171" s="19" t="s">
        <v>455</v>
      </c>
      <c r="I171" s="5" t="s">
        <v>197</v>
      </c>
      <c r="J171" s="5" t="s">
        <v>32</v>
      </c>
      <c r="K171" s="5" t="n">
        <v>2012</v>
      </c>
      <c r="L171" s="5" t="n">
        <v>24</v>
      </c>
      <c r="M171" s="6"/>
      <c r="N171" s="8"/>
    </row>
    <row r="172" customFormat="false" ht="22.5" hidden="false" customHeight="false" outlineLevel="0" collapsed="false">
      <c r="A172" s="5" t="n">
        <f aca="false">IF(B172&lt;&gt;"", COUNTA($B$2:B172), "")</f>
        <v>171</v>
      </c>
      <c r="B172" s="6" t="s">
        <v>64</v>
      </c>
      <c r="C172" s="19" t="s">
        <v>456</v>
      </c>
      <c r="D172" s="19" t="s">
        <v>457</v>
      </c>
      <c r="E172" s="17" t="n">
        <v>2011</v>
      </c>
      <c r="F172" s="19" t="s">
        <v>436</v>
      </c>
      <c r="G172" s="19" t="s">
        <v>68</v>
      </c>
      <c r="H172" s="19" t="s">
        <v>458</v>
      </c>
      <c r="I172" s="5" t="s">
        <v>197</v>
      </c>
      <c r="J172" s="5" t="s">
        <v>32</v>
      </c>
      <c r="K172" s="5" t="n">
        <v>2012</v>
      </c>
      <c r="L172" s="5" t="n">
        <v>24</v>
      </c>
      <c r="M172" s="6"/>
      <c r="N172" s="8"/>
    </row>
    <row r="173" customFormat="false" ht="22.5" hidden="false" customHeight="false" outlineLevel="0" collapsed="false">
      <c r="A173" s="5" t="n">
        <f aca="false">IF(B173&lt;&gt;"", COUNTA($B$2:B173), "")</f>
        <v>172</v>
      </c>
      <c r="B173" s="12" t="s">
        <v>387</v>
      </c>
      <c r="C173" s="10" t="s">
        <v>459</v>
      </c>
      <c r="D173" s="12" t="n">
        <v>112683</v>
      </c>
      <c r="E173" s="17" t="n">
        <v>2011</v>
      </c>
      <c r="F173" s="12" t="s">
        <v>460</v>
      </c>
      <c r="G173" s="12" t="n">
        <v>2.5</v>
      </c>
      <c r="H173" s="12" t="s">
        <v>461</v>
      </c>
      <c r="I173" s="5" t="s">
        <v>197</v>
      </c>
      <c r="J173" s="5" t="s">
        <v>32</v>
      </c>
      <c r="K173" s="5" t="n">
        <v>2012</v>
      </c>
      <c r="L173" s="5" t="n">
        <v>12</v>
      </c>
      <c r="M173" s="6"/>
      <c r="N173" s="8"/>
    </row>
    <row r="174" customFormat="false" ht="22.5" hidden="false" customHeight="false" outlineLevel="0" collapsed="false">
      <c r="A174" s="5" t="n">
        <f aca="false">IF(B174&lt;&gt;"", COUNTA($B$2:B174), "")</f>
        <v>173</v>
      </c>
      <c r="B174" s="12" t="s">
        <v>387</v>
      </c>
      <c r="C174" s="10" t="s">
        <v>459</v>
      </c>
      <c r="D174" s="12" t="n">
        <v>112701</v>
      </c>
      <c r="E174" s="17" t="n">
        <v>2011</v>
      </c>
      <c r="F174" s="12" t="s">
        <v>460</v>
      </c>
      <c r="G174" s="12" t="n">
        <v>2.5</v>
      </c>
      <c r="H174" s="12" t="s">
        <v>462</v>
      </c>
      <c r="I174" s="5" t="s">
        <v>197</v>
      </c>
      <c r="J174" s="5" t="s">
        <v>32</v>
      </c>
      <c r="K174" s="5" t="n">
        <v>2012</v>
      </c>
      <c r="L174" s="5" t="n">
        <v>12</v>
      </c>
      <c r="M174" s="6"/>
      <c r="N174" s="8"/>
    </row>
    <row r="175" customFormat="false" ht="22.5" hidden="false" customHeight="false" outlineLevel="0" collapsed="false">
      <c r="A175" s="5" t="n">
        <f aca="false">IF(B175&lt;&gt;"", COUNTA($B$2:B175), "")</f>
        <v>174</v>
      </c>
      <c r="B175" s="12" t="s">
        <v>387</v>
      </c>
      <c r="C175" s="10" t="s">
        <v>459</v>
      </c>
      <c r="D175" s="12" t="n">
        <v>111611</v>
      </c>
      <c r="E175" s="17" t="n">
        <v>2011</v>
      </c>
      <c r="F175" s="12" t="s">
        <v>460</v>
      </c>
      <c r="G175" s="12" t="n">
        <v>2.5</v>
      </c>
      <c r="H175" s="12" t="s">
        <v>463</v>
      </c>
      <c r="I175" s="5" t="s">
        <v>197</v>
      </c>
      <c r="J175" s="5" t="s">
        <v>32</v>
      </c>
      <c r="K175" s="5" t="n">
        <v>2012</v>
      </c>
      <c r="L175" s="5" t="n">
        <v>12</v>
      </c>
      <c r="M175" s="6"/>
      <c r="N175" s="8"/>
    </row>
    <row r="176" customFormat="false" ht="22.5" hidden="false" customHeight="false" outlineLevel="0" collapsed="false">
      <c r="A176" s="5" t="n">
        <f aca="false">IF(B176&lt;&gt;"", COUNTA($B$2:B176), "")</f>
        <v>175</v>
      </c>
      <c r="B176" s="12" t="s">
        <v>387</v>
      </c>
      <c r="C176" s="10" t="s">
        <v>459</v>
      </c>
      <c r="D176" s="12" t="n">
        <v>112687</v>
      </c>
      <c r="E176" s="17" t="n">
        <v>2011</v>
      </c>
      <c r="F176" s="12" t="s">
        <v>460</v>
      </c>
      <c r="G176" s="12" t="n">
        <v>2.5</v>
      </c>
      <c r="H176" s="12" t="s">
        <v>464</v>
      </c>
      <c r="I176" s="5" t="s">
        <v>197</v>
      </c>
      <c r="J176" s="5" t="s">
        <v>32</v>
      </c>
      <c r="K176" s="5" t="n">
        <v>2012</v>
      </c>
      <c r="L176" s="5" t="n">
        <v>12</v>
      </c>
      <c r="M176" s="6"/>
      <c r="N176" s="8"/>
    </row>
    <row r="177" customFormat="false" ht="22.5" hidden="false" customHeight="false" outlineLevel="0" collapsed="false">
      <c r="A177" s="5" t="n">
        <f aca="false">IF(B177&lt;&gt;"", COUNTA($B$2:B177), "")</f>
        <v>176</v>
      </c>
      <c r="B177" s="12" t="s">
        <v>387</v>
      </c>
      <c r="C177" s="10" t="s">
        <v>459</v>
      </c>
      <c r="D177" s="12" t="n">
        <v>84227</v>
      </c>
      <c r="E177" s="17" t="n">
        <v>2011</v>
      </c>
      <c r="F177" s="12" t="s">
        <v>460</v>
      </c>
      <c r="G177" s="12" t="n">
        <v>2.5</v>
      </c>
      <c r="H177" s="12" t="s">
        <v>465</v>
      </c>
      <c r="I177" s="5" t="s">
        <v>197</v>
      </c>
      <c r="J177" s="5" t="s">
        <v>32</v>
      </c>
      <c r="K177" s="5" t="n">
        <v>2012</v>
      </c>
      <c r="L177" s="5" t="n">
        <v>12</v>
      </c>
      <c r="M177" s="6"/>
      <c r="N177" s="8"/>
    </row>
    <row r="178" customFormat="false" ht="15" hidden="false" customHeight="false" outlineLevel="0" collapsed="false">
      <c r="A178" s="5" t="n">
        <f aca="false">IF(B178&lt;&gt;"", COUNTA($B$2:B178), "")</f>
        <v>177</v>
      </c>
      <c r="B178" s="12" t="s">
        <v>387</v>
      </c>
      <c r="C178" s="10" t="s">
        <v>466</v>
      </c>
      <c r="D178" s="12" t="n">
        <v>113218</v>
      </c>
      <c r="E178" s="17" t="n">
        <v>2011</v>
      </c>
      <c r="F178" s="12" t="s">
        <v>460</v>
      </c>
      <c r="G178" s="12" t="n">
        <v>2.5</v>
      </c>
      <c r="H178" s="12" t="s">
        <v>467</v>
      </c>
      <c r="I178" s="5" t="s">
        <v>197</v>
      </c>
      <c r="J178" s="5" t="s">
        <v>32</v>
      </c>
      <c r="K178" s="5" t="n">
        <v>2012</v>
      </c>
      <c r="L178" s="5" t="n">
        <v>12</v>
      </c>
      <c r="M178" s="6"/>
      <c r="N178" s="8"/>
    </row>
    <row r="179" customFormat="false" ht="22.5" hidden="false" customHeight="false" outlineLevel="0" collapsed="false">
      <c r="A179" s="5" t="n">
        <f aca="false">IF(B179&lt;&gt;"", COUNTA($B$2:B179), "")</f>
        <v>178</v>
      </c>
      <c r="B179" s="12" t="s">
        <v>387</v>
      </c>
      <c r="C179" s="10" t="s">
        <v>466</v>
      </c>
      <c r="D179" s="12" t="n">
        <v>120085</v>
      </c>
      <c r="E179" s="17" t="n">
        <v>2011</v>
      </c>
      <c r="F179" s="12" t="s">
        <v>460</v>
      </c>
      <c r="G179" s="12" t="n">
        <v>2.5</v>
      </c>
      <c r="H179" s="12" t="s">
        <v>468</v>
      </c>
      <c r="I179" s="5" t="s">
        <v>197</v>
      </c>
      <c r="J179" s="5" t="s">
        <v>32</v>
      </c>
      <c r="K179" s="5" t="n">
        <v>2012</v>
      </c>
      <c r="L179" s="5" t="n">
        <v>12</v>
      </c>
      <c r="M179" s="6"/>
      <c r="N179" s="8"/>
    </row>
    <row r="180" customFormat="false" ht="15" hidden="false" customHeight="false" outlineLevel="0" collapsed="false">
      <c r="A180" s="5" t="n">
        <f aca="false">IF(B180&lt;&gt;"", COUNTA($B$2:B180), "")</f>
        <v>179</v>
      </c>
      <c r="B180" s="7" t="s">
        <v>27</v>
      </c>
      <c r="C180" s="8" t="s">
        <v>28</v>
      </c>
      <c r="D180" s="8" t="n">
        <v>15096</v>
      </c>
      <c r="E180" s="8" t="n">
        <v>2010</v>
      </c>
      <c r="F180" s="8" t="s">
        <v>29</v>
      </c>
      <c r="G180" s="8" t="n">
        <v>1.5</v>
      </c>
      <c r="H180" s="5" t="s">
        <v>469</v>
      </c>
      <c r="I180" s="8" t="s">
        <v>197</v>
      </c>
      <c r="J180" s="5" t="s">
        <v>32</v>
      </c>
      <c r="K180" s="5" t="n">
        <v>2012</v>
      </c>
      <c r="L180" s="5" t="n">
        <v>12</v>
      </c>
      <c r="M180" s="6" t="s">
        <v>33</v>
      </c>
      <c r="N180" s="8" t="s">
        <v>1</v>
      </c>
    </row>
    <row r="181" customFormat="false" ht="15" hidden="false" customHeight="false" outlineLevel="0" collapsed="false">
      <c r="A181" s="5" t="n">
        <f aca="false">IF(B181&lt;&gt;"", COUNTA($B$2:B181), "")</f>
        <v>180</v>
      </c>
      <c r="B181" s="7" t="s">
        <v>27</v>
      </c>
      <c r="C181" s="8" t="s">
        <v>28</v>
      </c>
      <c r="D181" s="8" t="n">
        <v>15385</v>
      </c>
      <c r="E181" s="8" t="n">
        <v>2010</v>
      </c>
      <c r="F181" s="8" t="s">
        <v>29</v>
      </c>
      <c r="G181" s="8" t="n">
        <v>1.5</v>
      </c>
      <c r="H181" s="5" t="s">
        <v>470</v>
      </c>
      <c r="I181" s="8" t="s">
        <v>197</v>
      </c>
      <c r="J181" s="5" t="s">
        <v>32</v>
      </c>
      <c r="K181" s="5" t="n">
        <v>2012</v>
      </c>
      <c r="L181" s="5" t="n">
        <v>12</v>
      </c>
      <c r="M181" s="6" t="s">
        <v>33</v>
      </c>
      <c r="N181" s="8" t="s">
        <v>1</v>
      </c>
    </row>
    <row r="182" customFormat="false" ht="15" hidden="false" customHeight="false" outlineLevel="0" collapsed="false">
      <c r="A182" s="5" t="n">
        <f aca="false">IF(B182&lt;&gt;"", COUNTA($B$2:B182), "")</f>
        <v>181</v>
      </c>
      <c r="B182" s="7" t="s">
        <v>27</v>
      </c>
      <c r="C182" s="10" t="s">
        <v>28</v>
      </c>
      <c r="D182" s="10" t="n">
        <v>15100</v>
      </c>
      <c r="E182" s="8" t="n">
        <v>2010</v>
      </c>
      <c r="F182" s="8" t="s">
        <v>29</v>
      </c>
      <c r="G182" s="10" t="n">
        <v>1.5</v>
      </c>
      <c r="H182" s="12" t="s">
        <v>471</v>
      </c>
      <c r="I182" s="8" t="s">
        <v>197</v>
      </c>
      <c r="J182" s="5" t="s">
        <v>32</v>
      </c>
      <c r="K182" s="5" t="n">
        <v>2012</v>
      </c>
      <c r="L182" s="5" t="n">
        <v>12</v>
      </c>
      <c r="M182" s="6" t="s">
        <v>37</v>
      </c>
      <c r="N182" s="8" t="s">
        <v>38</v>
      </c>
      <c r="O182" s="14"/>
    </row>
    <row r="183" customFormat="false" ht="15" hidden="false" customHeight="false" outlineLevel="0" collapsed="false">
      <c r="A183" s="5" t="n">
        <f aca="false">IF(B183&lt;&gt;"", COUNTA($B$2:B183), "")</f>
        <v>182</v>
      </c>
      <c r="B183" s="7" t="s">
        <v>27</v>
      </c>
      <c r="C183" s="10" t="s">
        <v>28</v>
      </c>
      <c r="D183" s="10" t="n">
        <v>15410</v>
      </c>
      <c r="E183" s="8" t="n">
        <v>2010</v>
      </c>
      <c r="F183" s="8" t="s">
        <v>29</v>
      </c>
      <c r="G183" s="10" t="n">
        <v>1</v>
      </c>
      <c r="H183" s="12" t="s">
        <v>472</v>
      </c>
      <c r="I183" s="8" t="s">
        <v>197</v>
      </c>
      <c r="J183" s="5" t="s">
        <v>32</v>
      </c>
      <c r="K183" s="5" t="n">
        <v>2012</v>
      </c>
      <c r="L183" s="5" t="n">
        <v>12</v>
      </c>
      <c r="M183" s="6" t="s">
        <v>37</v>
      </c>
      <c r="N183" s="8" t="s">
        <v>38</v>
      </c>
      <c r="O183" s="14"/>
    </row>
    <row r="184" customFormat="false" ht="15" hidden="false" customHeight="false" outlineLevel="0" collapsed="false">
      <c r="A184" s="5" t="n">
        <f aca="false">IF(B184&lt;&gt;"", COUNTA($B$2:B184), "")</f>
        <v>183</v>
      </c>
      <c r="B184" s="7" t="s">
        <v>27</v>
      </c>
      <c r="C184" s="8" t="s">
        <v>28</v>
      </c>
      <c r="D184" s="15" t="s">
        <v>473</v>
      </c>
      <c r="E184" s="8" t="n">
        <v>2010</v>
      </c>
      <c r="F184" s="8" t="s">
        <v>119</v>
      </c>
      <c r="G184" s="8" t="n">
        <v>1.5</v>
      </c>
      <c r="H184" s="5" t="s">
        <v>474</v>
      </c>
      <c r="I184" s="8" t="s">
        <v>197</v>
      </c>
      <c r="J184" s="5" t="s">
        <v>32</v>
      </c>
      <c r="K184" s="5" t="n">
        <v>2012</v>
      </c>
      <c r="L184" s="5" t="n">
        <v>12</v>
      </c>
      <c r="M184" s="6" t="s">
        <v>33</v>
      </c>
      <c r="N184" s="8" t="s">
        <v>1</v>
      </c>
    </row>
    <row r="185" customFormat="false" ht="15" hidden="false" customHeight="false" outlineLevel="0" collapsed="false">
      <c r="A185" s="5" t="n">
        <f aca="false">IF(B185&lt;&gt;"", COUNTA($B$2:B185), "")</f>
        <v>184</v>
      </c>
      <c r="B185" s="7" t="s">
        <v>27</v>
      </c>
      <c r="C185" s="8" t="s">
        <v>28</v>
      </c>
      <c r="D185" s="15" t="s">
        <v>475</v>
      </c>
      <c r="E185" s="8" t="n">
        <v>2010</v>
      </c>
      <c r="F185" s="8" t="s">
        <v>178</v>
      </c>
      <c r="G185" s="8" t="n">
        <v>1.5</v>
      </c>
      <c r="H185" s="5" t="s">
        <v>476</v>
      </c>
      <c r="I185" s="8" t="s">
        <v>197</v>
      </c>
      <c r="J185" s="5" t="s">
        <v>32</v>
      </c>
      <c r="K185" s="5" t="n">
        <v>2012</v>
      </c>
      <c r="L185" s="5" t="n">
        <v>12</v>
      </c>
      <c r="M185" s="6" t="s">
        <v>33</v>
      </c>
      <c r="N185" s="8" t="s">
        <v>1</v>
      </c>
    </row>
    <row r="186" customFormat="false" ht="15" hidden="false" customHeight="false" outlineLevel="0" collapsed="false">
      <c r="A186" s="5" t="n">
        <f aca="false">IF(B186&lt;&gt;"", COUNTA($B$2:B186), "")</f>
        <v>185</v>
      </c>
      <c r="B186" s="7" t="s">
        <v>27</v>
      </c>
      <c r="C186" s="8" t="s">
        <v>28</v>
      </c>
      <c r="D186" s="15" t="s">
        <v>477</v>
      </c>
      <c r="E186" s="8" t="n">
        <v>2010</v>
      </c>
      <c r="F186" s="8" t="s">
        <v>178</v>
      </c>
      <c r="G186" s="8" t="n">
        <v>1.5</v>
      </c>
      <c r="H186" s="5" t="s">
        <v>478</v>
      </c>
      <c r="I186" s="8" t="s">
        <v>197</v>
      </c>
      <c r="J186" s="5" t="s">
        <v>32</v>
      </c>
      <c r="K186" s="5" t="n">
        <v>2012</v>
      </c>
      <c r="L186" s="5" t="n">
        <v>12</v>
      </c>
      <c r="M186" s="6" t="s">
        <v>33</v>
      </c>
      <c r="N186" s="8" t="s">
        <v>1</v>
      </c>
    </row>
    <row r="187" customFormat="false" ht="22.5" hidden="false" customHeight="false" outlineLevel="0" collapsed="false">
      <c r="A187" s="5" t="n">
        <f aca="false">IF(B187&lt;&gt;"", COUNTA($B$2:B187), "")</f>
        <v>186</v>
      </c>
      <c r="B187" s="7" t="s">
        <v>27</v>
      </c>
      <c r="C187" s="8" t="s">
        <v>28</v>
      </c>
      <c r="D187" s="15" t="s">
        <v>479</v>
      </c>
      <c r="E187" s="8" t="n">
        <v>2010</v>
      </c>
      <c r="F187" s="8" t="s">
        <v>122</v>
      </c>
      <c r="G187" s="8" t="n">
        <v>1.5</v>
      </c>
      <c r="H187" s="5" t="s">
        <v>480</v>
      </c>
      <c r="I187" s="8" t="s">
        <v>197</v>
      </c>
      <c r="J187" s="5" t="s">
        <v>32</v>
      </c>
      <c r="K187" s="5" t="n">
        <v>2012</v>
      </c>
      <c r="L187" s="5" t="n">
        <v>12</v>
      </c>
      <c r="M187" s="6" t="s">
        <v>33</v>
      </c>
      <c r="N187" s="8" t="s">
        <v>1</v>
      </c>
    </row>
    <row r="188" customFormat="false" ht="22.5" hidden="false" customHeight="false" outlineLevel="0" collapsed="false">
      <c r="A188" s="5" t="n">
        <f aca="false">IF(B188&lt;&gt;"", COUNTA($B$2:B188), "")</f>
        <v>187</v>
      </c>
      <c r="B188" s="7" t="s">
        <v>27</v>
      </c>
      <c r="C188" s="8" t="s">
        <v>28</v>
      </c>
      <c r="D188" s="15" t="s">
        <v>481</v>
      </c>
      <c r="E188" s="8" t="n">
        <v>2010</v>
      </c>
      <c r="F188" s="8" t="s">
        <v>122</v>
      </c>
      <c r="G188" s="8" t="n">
        <v>1.5</v>
      </c>
      <c r="H188" s="5" t="s">
        <v>482</v>
      </c>
      <c r="I188" s="8" t="s">
        <v>197</v>
      </c>
      <c r="J188" s="5" t="s">
        <v>32</v>
      </c>
      <c r="K188" s="5" t="n">
        <v>2012</v>
      </c>
      <c r="L188" s="5" t="n">
        <v>12</v>
      </c>
      <c r="M188" s="6" t="s">
        <v>33</v>
      </c>
      <c r="N188" s="8" t="s">
        <v>1</v>
      </c>
    </row>
    <row r="189" customFormat="false" ht="15" hidden="false" customHeight="false" outlineLevel="0" collapsed="false">
      <c r="A189" s="5" t="n">
        <f aca="false">IF(B189&lt;&gt;"", COUNTA($B$2:B189), "")</f>
        <v>188</v>
      </c>
      <c r="B189" s="7" t="s">
        <v>27</v>
      </c>
      <c r="C189" s="8" t="s">
        <v>28</v>
      </c>
      <c r="D189" s="15" t="s">
        <v>483</v>
      </c>
      <c r="E189" s="8" t="n">
        <v>2010</v>
      </c>
      <c r="F189" s="8" t="s">
        <v>122</v>
      </c>
      <c r="G189" s="8" t="n">
        <v>1.5</v>
      </c>
      <c r="H189" s="5" t="s">
        <v>484</v>
      </c>
      <c r="I189" s="8" t="s">
        <v>197</v>
      </c>
      <c r="J189" s="5" t="s">
        <v>32</v>
      </c>
      <c r="K189" s="5" t="n">
        <v>2012</v>
      </c>
      <c r="L189" s="5" t="n">
        <v>12</v>
      </c>
      <c r="M189" s="6" t="s">
        <v>33</v>
      </c>
      <c r="N189" s="8" t="s">
        <v>1</v>
      </c>
    </row>
    <row r="190" customFormat="false" ht="22.5" hidden="false" customHeight="false" outlineLevel="0" collapsed="false">
      <c r="A190" s="5" t="n">
        <f aca="false">IF(B190&lt;&gt;"", COUNTA($B$2:B190), "")</f>
        <v>189</v>
      </c>
      <c r="B190" s="7" t="s">
        <v>27</v>
      </c>
      <c r="C190" s="8" t="s">
        <v>28</v>
      </c>
      <c r="D190" s="15" t="s">
        <v>485</v>
      </c>
      <c r="E190" s="8" t="n">
        <v>2010</v>
      </c>
      <c r="F190" s="8" t="s">
        <v>122</v>
      </c>
      <c r="G190" s="8" t="n">
        <v>1.5</v>
      </c>
      <c r="H190" s="5" t="s">
        <v>486</v>
      </c>
      <c r="I190" s="8" t="s">
        <v>197</v>
      </c>
      <c r="J190" s="5" t="s">
        <v>32</v>
      </c>
      <c r="K190" s="5" t="n">
        <v>2012</v>
      </c>
      <c r="L190" s="5" t="n">
        <v>12</v>
      </c>
      <c r="M190" s="6" t="s">
        <v>33</v>
      </c>
      <c r="N190" s="8" t="s">
        <v>1</v>
      </c>
    </row>
    <row r="191" customFormat="false" ht="22.5" hidden="false" customHeight="false" outlineLevel="0" collapsed="false">
      <c r="A191" s="5" t="n">
        <f aca="false">IF(B191&lt;&gt;"", COUNTA($B$2:B191), "")</f>
        <v>190</v>
      </c>
      <c r="B191" s="7" t="s">
        <v>27</v>
      </c>
      <c r="C191" s="8" t="s">
        <v>28</v>
      </c>
      <c r="D191" s="15" t="s">
        <v>487</v>
      </c>
      <c r="E191" s="8" t="n">
        <v>2010</v>
      </c>
      <c r="F191" s="8" t="s">
        <v>119</v>
      </c>
      <c r="G191" s="8" t="n">
        <v>1.5</v>
      </c>
      <c r="H191" s="5" t="s">
        <v>488</v>
      </c>
      <c r="I191" s="8" t="s">
        <v>197</v>
      </c>
      <c r="J191" s="5" t="s">
        <v>32</v>
      </c>
      <c r="K191" s="5" t="n">
        <v>2012</v>
      </c>
      <c r="L191" s="5" t="n">
        <v>12</v>
      </c>
      <c r="M191" s="6" t="s">
        <v>33</v>
      </c>
      <c r="N191" s="8" t="s">
        <v>1</v>
      </c>
    </row>
    <row r="192" customFormat="false" ht="22.5" hidden="false" customHeight="false" outlineLevel="0" collapsed="false">
      <c r="A192" s="5" t="n">
        <f aca="false">IF(B192&lt;&gt;"", COUNTA($B$2:B192), "")</f>
        <v>191</v>
      </c>
      <c r="B192" s="7" t="s">
        <v>27</v>
      </c>
      <c r="C192" s="8" t="s">
        <v>489</v>
      </c>
      <c r="D192" s="15" t="s">
        <v>490</v>
      </c>
      <c r="E192" s="8" t="n">
        <v>2010</v>
      </c>
      <c r="F192" s="15" t="s">
        <v>491</v>
      </c>
      <c r="G192" s="8" t="n">
        <v>1.5</v>
      </c>
      <c r="H192" s="5" t="s">
        <v>492</v>
      </c>
      <c r="I192" s="8" t="s">
        <v>197</v>
      </c>
      <c r="J192" s="5" t="s">
        <v>32</v>
      </c>
      <c r="K192" s="5" t="n">
        <v>2012</v>
      </c>
      <c r="L192" s="5" t="n">
        <v>12</v>
      </c>
      <c r="M192" s="6" t="s">
        <v>33</v>
      </c>
      <c r="N192" s="8" t="s">
        <v>1</v>
      </c>
    </row>
    <row r="193" customFormat="false" ht="15" hidden="false" customHeight="false" outlineLevel="0" collapsed="false">
      <c r="A193" s="5" t="n">
        <f aca="false">IF(B193&lt;&gt;"", COUNTA($B$2:B193), "")</f>
        <v>192</v>
      </c>
      <c r="B193" s="7" t="s">
        <v>27</v>
      </c>
      <c r="C193" s="8" t="s">
        <v>28</v>
      </c>
      <c r="D193" s="15" t="s">
        <v>493</v>
      </c>
      <c r="E193" s="8" t="n">
        <v>2010</v>
      </c>
      <c r="F193" s="8" t="s">
        <v>178</v>
      </c>
      <c r="G193" s="8" t="n">
        <v>1.5</v>
      </c>
      <c r="H193" s="5" t="s">
        <v>494</v>
      </c>
      <c r="I193" s="8" t="s">
        <v>197</v>
      </c>
      <c r="J193" s="5" t="s">
        <v>32</v>
      </c>
      <c r="K193" s="5" t="n">
        <v>2012</v>
      </c>
      <c r="L193" s="5" t="n">
        <v>12</v>
      </c>
      <c r="M193" s="6" t="s">
        <v>33</v>
      </c>
      <c r="N193" s="8" t="s">
        <v>1</v>
      </c>
    </row>
    <row r="194" customFormat="false" ht="15" hidden="false" customHeight="false" outlineLevel="0" collapsed="false">
      <c r="A194" s="5" t="n">
        <f aca="false">IF(B194&lt;&gt;"", COUNTA($B$2:B194), "")</f>
        <v>193</v>
      </c>
      <c r="B194" s="7" t="s">
        <v>27</v>
      </c>
      <c r="C194" s="8" t="s">
        <v>28</v>
      </c>
      <c r="D194" s="15" t="s">
        <v>495</v>
      </c>
      <c r="E194" s="8" t="n">
        <v>2010</v>
      </c>
      <c r="F194" s="12" t="s">
        <v>496</v>
      </c>
      <c r="G194" s="8" t="n">
        <v>1.5</v>
      </c>
      <c r="H194" s="5" t="s">
        <v>497</v>
      </c>
      <c r="I194" s="8" t="s">
        <v>197</v>
      </c>
      <c r="J194" s="5" t="s">
        <v>32</v>
      </c>
      <c r="K194" s="5" t="n">
        <v>2012</v>
      </c>
      <c r="L194" s="5" t="n">
        <v>12</v>
      </c>
      <c r="M194" s="6" t="s">
        <v>33</v>
      </c>
      <c r="N194" s="8" t="s">
        <v>1</v>
      </c>
    </row>
    <row r="195" customFormat="false" ht="22.5" hidden="false" customHeight="false" outlineLevel="0" collapsed="false">
      <c r="A195" s="5" t="n">
        <f aca="false">IF(B195&lt;&gt;"", COUNTA($B$2:B195), "")</f>
        <v>194</v>
      </c>
      <c r="B195" s="7" t="s">
        <v>27</v>
      </c>
      <c r="C195" s="8" t="s">
        <v>489</v>
      </c>
      <c r="D195" s="15" t="s">
        <v>498</v>
      </c>
      <c r="E195" s="8" t="n">
        <v>2010</v>
      </c>
      <c r="F195" s="15" t="s">
        <v>491</v>
      </c>
      <c r="G195" s="8" t="n">
        <v>1.5</v>
      </c>
      <c r="H195" s="5" t="s">
        <v>499</v>
      </c>
      <c r="I195" s="8" t="s">
        <v>197</v>
      </c>
      <c r="J195" s="5" t="s">
        <v>32</v>
      </c>
      <c r="K195" s="5" t="n">
        <v>2012</v>
      </c>
      <c r="L195" s="5" t="n">
        <v>12</v>
      </c>
      <c r="M195" s="6" t="s">
        <v>33</v>
      </c>
      <c r="N195" s="8" t="s">
        <v>1</v>
      </c>
    </row>
    <row r="196" s="38" customFormat="true" ht="15" hidden="false" customHeight="false" outlineLevel="0" collapsed="false">
      <c r="A196" s="5" t="n">
        <f aca="false">IF(B196&lt;&gt;"", COUNTA($B$2:B196), "")</f>
        <v>195</v>
      </c>
      <c r="B196" s="29" t="s">
        <v>27</v>
      </c>
      <c r="C196" s="5" t="s">
        <v>500</v>
      </c>
      <c r="D196" s="5" t="n">
        <v>211222500</v>
      </c>
      <c r="E196" s="8"/>
      <c r="F196" s="5" t="s">
        <v>501</v>
      </c>
      <c r="G196" s="5" t="n">
        <v>1.5</v>
      </c>
      <c r="H196" s="5" t="s">
        <v>502</v>
      </c>
      <c r="I196" s="8" t="s">
        <v>197</v>
      </c>
      <c r="J196" s="5" t="s">
        <v>32</v>
      </c>
      <c r="K196" s="5" t="n">
        <v>2012</v>
      </c>
      <c r="L196" s="5" t="n">
        <v>12</v>
      </c>
      <c r="M196" s="15" t="s">
        <v>37</v>
      </c>
      <c r="N196" s="8" t="s">
        <v>38</v>
      </c>
      <c r="O196" s="14"/>
    </row>
    <row r="197" customFormat="false" ht="22.5" hidden="false" customHeight="false" outlineLevel="0" collapsed="false">
      <c r="A197" s="5" t="n">
        <f aca="false">IF(B197&lt;&gt;"", COUNTA($B$2:B197), "")</f>
        <v>196</v>
      </c>
      <c r="B197" s="7" t="s">
        <v>503</v>
      </c>
      <c r="C197" s="5" t="s">
        <v>504</v>
      </c>
      <c r="D197" s="5" t="n">
        <v>111502127</v>
      </c>
      <c r="E197" s="8" t="n">
        <v>2010</v>
      </c>
      <c r="F197" s="5" t="s">
        <v>505</v>
      </c>
      <c r="G197" s="5" t="n">
        <v>1</v>
      </c>
      <c r="H197" s="5" t="s">
        <v>506</v>
      </c>
      <c r="I197" s="5" t="s">
        <v>197</v>
      </c>
      <c r="J197" s="5" t="s">
        <v>32</v>
      </c>
      <c r="K197" s="5" t="n">
        <v>2012</v>
      </c>
      <c r="L197" s="5" t="n">
        <v>24</v>
      </c>
      <c r="M197" s="15" t="s">
        <v>507</v>
      </c>
      <c r="N197" s="8" t="s">
        <v>1</v>
      </c>
      <c r="O197" s="39"/>
    </row>
    <row r="198" customFormat="false" ht="22.5" hidden="false" customHeight="false" outlineLevel="0" collapsed="false">
      <c r="A198" s="5" t="n">
        <f aca="false">IF(B198&lt;&gt;"", COUNTA($B$2:B198), "")</f>
        <v>197</v>
      </c>
      <c r="B198" s="7" t="s">
        <v>503</v>
      </c>
      <c r="C198" s="5" t="s">
        <v>504</v>
      </c>
      <c r="D198" s="5" t="n">
        <v>111502124</v>
      </c>
      <c r="E198" s="8" t="n">
        <v>2010</v>
      </c>
      <c r="F198" s="5" t="s">
        <v>508</v>
      </c>
      <c r="G198" s="5" t="n">
        <v>1</v>
      </c>
      <c r="H198" s="5" t="s">
        <v>509</v>
      </c>
      <c r="I198" s="5" t="s">
        <v>197</v>
      </c>
      <c r="J198" s="5" t="s">
        <v>32</v>
      </c>
      <c r="K198" s="5" t="n">
        <v>2012</v>
      </c>
      <c r="L198" s="5" t="n">
        <v>24</v>
      </c>
      <c r="M198" s="15" t="s">
        <v>507</v>
      </c>
      <c r="N198" s="8" t="s">
        <v>1</v>
      </c>
      <c r="O198" s="39"/>
    </row>
    <row r="199" customFormat="false" ht="15" hidden="false" customHeight="false" outlineLevel="0" collapsed="false">
      <c r="A199" s="5" t="n">
        <f aca="false">IF(B199&lt;&gt;"", COUNTA($B$2:B199), "")</f>
        <v>198</v>
      </c>
      <c r="B199" s="6" t="s">
        <v>64</v>
      </c>
      <c r="C199" s="19" t="s">
        <v>400</v>
      </c>
      <c r="D199" s="19" t="s">
        <v>510</v>
      </c>
      <c r="E199" s="17" t="n">
        <v>2011</v>
      </c>
      <c r="F199" s="19" t="s">
        <v>67</v>
      </c>
      <c r="G199" s="19" t="s">
        <v>68</v>
      </c>
      <c r="H199" s="6" t="s">
        <v>511</v>
      </c>
      <c r="I199" s="5" t="s">
        <v>197</v>
      </c>
      <c r="J199" s="5" t="s">
        <v>32</v>
      </c>
      <c r="K199" s="5" t="n">
        <v>2012</v>
      </c>
      <c r="L199" s="12" t="n">
        <v>36</v>
      </c>
      <c r="M199" s="6"/>
      <c r="N199" s="8"/>
    </row>
    <row r="200" customFormat="false" ht="15" hidden="false" customHeight="false" outlineLevel="0" collapsed="false">
      <c r="A200" s="5" t="n">
        <f aca="false">IF(B200&lt;&gt;"", COUNTA($B$2:B200), "")</f>
        <v>199</v>
      </c>
      <c r="B200" s="7" t="s">
        <v>93</v>
      </c>
      <c r="C200" s="8" t="s">
        <v>94</v>
      </c>
      <c r="D200" s="8" t="n">
        <v>1105078</v>
      </c>
      <c r="E200" s="17" t="n">
        <v>2011</v>
      </c>
      <c r="F200" s="20"/>
      <c r="G200" s="20"/>
      <c r="H200" s="5" t="s">
        <v>512</v>
      </c>
      <c r="I200" s="5" t="s">
        <v>197</v>
      </c>
      <c r="J200" s="5" t="s">
        <v>32</v>
      </c>
      <c r="K200" s="5" t="n">
        <v>2012</v>
      </c>
      <c r="L200" s="12"/>
      <c r="M200" s="6"/>
      <c r="N200" s="8"/>
    </row>
    <row r="201" customFormat="false" ht="15" hidden="false" customHeight="false" outlineLevel="0" collapsed="false">
      <c r="A201" s="5" t="n">
        <f aca="false">IF(B201&lt;&gt;"", COUNTA($B$2:B201), "")</f>
        <v>200</v>
      </c>
      <c r="B201" s="7" t="s">
        <v>93</v>
      </c>
      <c r="C201" s="8" t="s">
        <v>94</v>
      </c>
      <c r="D201" s="8" t="n">
        <v>1105095</v>
      </c>
      <c r="E201" s="17" t="n">
        <v>2011</v>
      </c>
      <c r="F201" s="20"/>
      <c r="G201" s="20"/>
      <c r="H201" s="5" t="s">
        <v>513</v>
      </c>
      <c r="I201" s="5" t="s">
        <v>197</v>
      </c>
      <c r="J201" s="5" t="s">
        <v>32</v>
      </c>
      <c r="K201" s="5" t="n">
        <v>2012</v>
      </c>
      <c r="L201" s="12"/>
      <c r="M201" s="6"/>
      <c r="N201" s="20"/>
    </row>
    <row r="202" customFormat="false" ht="15" hidden="false" customHeight="false" outlineLevel="0" collapsed="false">
      <c r="A202" s="5" t="n">
        <f aca="false">IF(B202&lt;&gt;"", COUNTA($B$2:B202), "")</f>
        <v>201</v>
      </c>
      <c r="B202" s="7" t="s">
        <v>93</v>
      </c>
      <c r="C202" s="8" t="s">
        <v>94</v>
      </c>
      <c r="D202" s="8" t="n">
        <v>1105072</v>
      </c>
      <c r="E202" s="17" t="n">
        <v>2011</v>
      </c>
      <c r="F202" s="20"/>
      <c r="G202" s="20"/>
      <c r="H202" s="5" t="s">
        <v>514</v>
      </c>
      <c r="I202" s="5" t="s">
        <v>197</v>
      </c>
      <c r="J202" s="5" t="s">
        <v>32</v>
      </c>
      <c r="K202" s="5" t="n">
        <v>2012</v>
      </c>
      <c r="L202" s="12"/>
      <c r="M202" s="6"/>
      <c r="N202" s="20"/>
    </row>
    <row r="203" customFormat="false" ht="15" hidden="false" customHeight="false" outlineLevel="0" collapsed="false">
      <c r="A203" s="5" t="n">
        <f aca="false">IF(B203&lt;&gt;"", COUNTA($B$2:B203), "")</f>
        <v>202</v>
      </c>
      <c r="B203" s="7" t="s">
        <v>93</v>
      </c>
      <c r="C203" s="8" t="s">
        <v>94</v>
      </c>
      <c r="D203" s="8" t="n">
        <v>1105080</v>
      </c>
      <c r="E203" s="17" t="n">
        <v>2011</v>
      </c>
      <c r="F203" s="20"/>
      <c r="G203" s="20"/>
      <c r="H203" s="5" t="s">
        <v>515</v>
      </c>
      <c r="I203" s="5" t="s">
        <v>197</v>
      </c>
      <c r="J203" s="5" t="s">
        <v>32</v>
      </c>
      <c r="K203" s="40" t="n">
        <v>44475</v>
      </c>
      <c r="L203" s="12"/>
      <c r="M203" s="6"/>
      <c r="N203" s="20"/>
    </row>
    <row r="204" customFormat="false" ht="22.5" hidden="false" customHeight="false" outlineLevel="0" collapsed="false">
      <c r="A204" s="5" t="n">
        <f aca="false">IF(B204&lt;&gt;"", COUNTA($B$2:B204), "")</f>
        <v>203</v>
      </c>
      <c r="B204" s="7" t="s">
        <v>125</v>
      </c>
      <c r="C204" s="8" t="s">
        <v>516</v>
      </c>
      <c r="D204" s="8" t="n">
        <v>1023</v>
      </c>
      <c r="E204" s="17" t="n">
        <v>2011</v>
      </c>
      <c r="F204" s="19" t="s">
        <v>67</v>
      </c>
      <c r="G204" s="20"/>
      <c r="H204" s="5" t="s">
        <v>517</v>
      </c>
      <c r="I204" s="5" t="s">
        <v>197</v>
      </c>
      <c r="J204" s="5" t="s">
        <v>32</v>
      </c>
      <c r="K204" s="5" t="n">
        <v>2012</v>
      </c>
      <c r="L204" s="20"/>
      <c r="M204" s="20"/>
      <c r="N204" s="20"/>
    </row>
    <row r="205" customFormat="false" ht="22.5" hidden="false" customHeight="false" outlineLevel="0" collapsed="false">
      <c r="A205" s="5" t="n">
        <f aca="false">IF(B205&lt;&gt;"", COUNTA($B$2:B205), "")</f>
        <v>204</v>
      </c>
      <c r="B205" s="7" t="s">
        <v>125</v>
      </c>
      <c r="C205" s="8" t="s">
        <v>516</v>
      </c>
      <c r="D205" s="8" t="n">
        <v>1024</v>
      </c>
      <c r="E205" s="17" t="n">
        <v>2011</v>
      </c>
      <c r="F205" s="19" t="s">
        <v>67</v>
      </c>
      <c r="G205" s="20"/>
      <c r="H205" s="5" t="s">
        <v>518</v>
      </c>
      <c r="I205" s="5" t="s">
        <v>197</v>
      </c>
      <c r="J205" s="5" t="s">
        <v>32</v>
      </c>
      <c r="K205" s="5" t="n">
        <v>2012</v>
      </c>
      <c r="L205" s="20"/>
      <c r="M205" s="20"/>
      <c r="N205" s="20"/>
    </row>
    <row r="206" customFormat="false" ht="22.5" hidden="false" customHeight="false" outlineLevel="0" collapsed="false">
      <c r="A206" s="5" t="n">
        <f aca="false">IF(B206&lt;&gt;"", COUNTA($B$2:B206), "")</f>
        <v>205</v>
      </c>
      <c r="B206" s="7" t="s">
        <v>125</v>
      </c>
      <c r="C206" s="8" t="s">
        <v>516</v>
      </c>
      <c r="D206" s="8" t="n">
        <v>1026</v>
      </c>
      <c r="E206" s="17" t="n">
        <v>2011</v>
      </c>
      <c r="F206" s="19" t="s">
        <v>67</v>
      </c>
      <c r="G206" s="20"/>
      <c r="H206" s="5" t="s">
        <v>519</v>
      </c>
      <c r="I206" s="5" t="s">
        <v>197</v>
      </c>
      <c r="J206" s="5" t="s">
        <v>32</v>
      </c>
      <c r="K206" s="5" t="n">
        <v>2012</v>
      </c>
      <c r="L206" s="20"/>
      <c r="M206" s="20"/>
      <c r="N206" s="20"/>
    </row>
    <row r="207" customFormat="false" ht="22.5" hidden="false" customHeight="false" outlineLevel="0" collapsed="false">
      <c r="A207" s="5" t="n">
        <f aca="false">IF(B207&lt;&gt;"", COUNTA($B$2:B207), "")</f>
        <v>206</v>
      </c>
      <c r="B207" s="7" t="s">
        <v>125</v>
      </c>
      <c r="C207" s="8" t="s">
        <v>516</v>
      </c>
      <c r="D207" s="8" t="n">
        <v>1053</v>
      </c>
      <c r="E207" s="17" t="n">
        <v>2011</v>
      </c>
      <c r="F207" s="19" t="s">
        <v>67</v>
      </c>
      <c r="G207" s="20"/>
      <c r="H207" s="5" t="s">
        <v>520</v>
      </c>
      <c r="I207" s="5" t="s">
        <v>197</v>
      </c>
      <c r="J207" s="5" t="s">
        <v>32</v>
      </c>
      <c r="K207" s="5" t="n">
        <v>2012</v>
      </c>
      <c r="L207" s="20"/>
      <c r="M207" s="20"/>
      <c r="N207" s="20"/>
    </row>
    <row r="208" customFormat="false" ht="15" hidden="false" customHeight="false" outlineLevel="0" collapsed="false">
      <c r="A208" s="5" t="n">
        <f aca="false">IF(B208&lt;&gt;"", COUNTA($B$2:B208), "")</f>
        <v>207</v>
      </c>
      <c r="B208" s="7" t="s">
        <v>98</v>
      </c>
      <c r="C208" s="8" t="s">
        <v>99</v>
      </c>
      <c r="D208" s="15" t="s">
        <v>521</v>
      </c>
      <c r="E208" s="17" t="n">
        <v>2011</v>
      </c>
      <c r="F208" s="20"/>
      <c r="G208" s="20"/>
      <c r="H208" s="8" t="s">
        <v>522</v>
      </c>
      <c r="I208" s="5" t="s">
        <v>197</v>
      </c>
      <c r="J208" s="5" t="s">
        <v>32</v>
      </c>
      <c r="K208" s="5" t="n">
        <v>2012</v>
      </c>
      <c r="L208" s="20"/>
      <c r="M208" s="20"/>
      <c r="N208" s="20"/>
    </row>
    <row r="209" customFormat="false" ht="15" hidden="false" customHeight="false" outlineLevel="0" collapsed="false">
      <c r="A209" s="5" t="n">
        <f aca="false">IF(B209&lt;&gt;"", COUNTA($B$2:B209), "")</f>
        <v>208</v>
      </c>
      <c r="B209" s="7" t="s">
        <v>98</v>
      </c>
      <c r="C209" s="8" t="s">
        <v>99</v>
      </c>
      <c r="D209" s="15" t="s">
        <v>523</v>
      </c>
      <c r="E209" s="17" t="n">
        <v>2011</v>
      </c>
      <c r="F209" s="20"/>
      <c r="G209" s="20"/>
      <c r="H209" s="8" t="s">
        <v>524</v>
      </c>
      <c r="I209" s="5" t="s">
        <v>197</v>
      </c>
      <c r="J209" s="5" t="s">
        <v>32</v>
      </c>
      <c r="K209" s="5" t="n">
        <v>2012</v>
      </c>
      <c r="L209" s="20"/>
      <c r="M209" s="20"/>
      <c r="N209" s="20"/>
    </row>
    <row r="210" customFormat="false" ht="15" hidden="false" customHeight="false" outlineLevel="0" collapsed="false">
      <c r="A210" s="5" t="n">
        <f aca="false">IF(B210&lt;&gt;"", COUNTA($B$2:B210), "")</f>
        <v>209</v>
      </c>
      <c r="B210" s="7" t="s">
        <v>98</v>
      </c>
      <c r="C210" s="8" t="s">
        <v>99</v>
      </c>
      <c r="D210" s="15" t="s">
        <v>525</v>
      </c>
      <c r="E210" s="17" t="n">
        <v>2011</v>
      </c>
      <c r="F210" s="20"/>
      <c r="G210" s="20"/>
      <c r="H210" s="8" t="s">
        <v>526</v>
      </c>
      <c r="I210" s="5" t="s">
        <v>197</v>
      </c>
      <c r="J210" s="5" t="s">
        <v>32</v>
      </c>
      <c r="K210" s="5" t="n">
        <v>2012</v>
      </c>
      <c r="L210" s="20"/>
      <c r="M210" s="20"/>
      <c r="N210" s="20"/>
    </row>
    <row r="211" customFormat="false" ht="15" hidden="false" customHeight="false" outlineLevel="0" collapsed="false">
      <c r="A211" s="5" t="n">
        <f aca="false">IF(B211&lt;&gt;"", COUNTA($B$2:B211), "")</f>
        <v>210</v>
      </c>
      <c r="B211" s="7" t="s">
        <v>98</v>
      </c>
      <c r="C211" s="8" t="s">
        <v>99</v>
      </c>
      <c r="D211" s="15" t="s">
        <v>527</v>
      </c>
      <c r="E211" s="17" t="n">
        <v>2011</v>
      </c>
      <c r="F211" s="20"/>
      <c r="G211" s="20"/>
      <c r="H211" s="8" t="s">
        <v>528</v>
      </c>
      <c r="I211" s="5" t="s">
        <v>197</v>
      </c>
      <c r="J211" s="5" t="s">
        <v>32</v>
      </c>
      <c r="K211" s="5" t="n">
        <v>2012</v>
      </c>
      <c r="L211" s="20"/>
      <c r="M211" s="20"/>
      <c r="N211" s="20"/>
    </row>
    <row r="212" customFormat="false" ht="15" hidden="false" customHeight="false" outlineLevel="0" collapsed="false">
      <c r="A212" s="5" t="n">
        <f aca="false">IF(B212&lt;&gt;"", COUNTA($B$2:B212), "")</f>
        <v>211</v>
      </c>
      <c r="B212" s="7" t="s">
        <v>98</v>
      </c>
      <c r="C212" s="8" t="s">
        <v>99</v>
      </c>
      <c r="D212" s="15" t="s">
        <v>529</v>
      </c>
      <c r="E212" s="17" t="n">
        <v>2011</v>
      </c>
      <c r="F212" s="20"/>
      <c r="G212" s="20"/>
      <c r="H212" s="8" t="s">
        <v>530</v>
      </c>
      <c r="I212" s="5" t="s">
        <v>197</v>
      </c>
      <c r="J212" s="5" t="s">
        <v>32</v>
      </c>
      <c r="K212" s="5" t="n">
        <v>2012</v>
      </c>
      <c r="L212" s="20"/>
      <c r="M212" s="20"/>
      <c r="N212" s="20"/>
    </row>
    <row r="213" customFormat="false" ht="15" hidden="false" customHeight="false" outlineLevel="0" collapsed="false">
      <c r="A213" s="5" t="n">
        <f aca="false">IF(B213&lt;&gt;"", COUNTA($B$2:B213), "")</f>
        <v>212</v>
      </c>
      <c r="B213" s="7" t="s">
        <v>98</v>
      </c>
      <c r="C213" s="8" t="s">
        <v>531</v>
      </c>
      <c r="D213" s="15" t="s">
        <v>532</v>
      </c>
      <c r="E213" s="17" t="n">
        <v>2011</v>
      </c>
      <c r="F213" s="20"/>
      <c r="G213" s="20"/>
      <c r="H213" s="8" t="s">
        <v>533</v>
      </c>
      <c r="I213" s="5" t="s">
        <v>197</v>
      </c>
      <c r="J213" s="5" t="s">
        <v>32</v>
      </c>
      <c r="K213" s="5" t="n">
        <v>2012</v>
      </c>
      <c r="L213" s="20"/>
      <c r="M213" s="20"/>
      <c r="N213" s="20"/>
    </row>
    <row r="214" customFormat="false" ht="15" hidden="false" customHeight="false" outlineLevel="0" collapsed="false">
      <c r="A214" s="5" t="n">
        <f aca="false">IF(B214&lt;&gt;"", COUNTA($B$2:B214), "")</f>
        <v>213</v>
      </c>
      <c r="B214" s="7" t="s">
        <v>98</v>
      </c>
      <c r="C214" s="8" t="s">
        <v>531</v>
      </c>
      <c r="D214" s="15" t="s">
        <v>534</v>
      </c>
      <c r="E214" s="17" t="n">
        <v>2011</v>
      </c>
      <c r="F214" s="20"/>
      <c r="G214" s="20"/>
      <c r="H214" s="8" t="s">
        <v>535</v>
      </c>
      <c r="I214" s="5" t="s">
        <v>197</v>
      </c>
      <c r="J214" s="5" t="s">
        <v>32</v>
      </c>
      <c r="K214" s="5" t="n">
        <v>2012</v>
      </c>
      <c r="L214" s="20"/>
      <c r="M214" s="20"/>
      <c r="N214" s="20"/>
    </row>
    <row r="215" customFormat="false" ht="15" hidden="false" customHeight="false" outlineLevel="0" collapsed="false">
      <c r="A215" s="5" t="n">
        <f aca="false">IF(B215&lt;&gt;"", COUNTA($B$2:B215), "")</f>
        <v>214</v>
      </c>
      <c r="B215" s="7" t="s">
        <v>98</v>
      </c>
      <c r="C215" s="8" t="s">
        <v>99</v>
      </c>
      <c r="D215" s="15" t="s">
        <v>536</v>
      </c>
      <c r="E215" s="17" t="n">
        <v>2011</v>
      </c>
      <c r="F215" s="20"/>
      <c r="G215" s="20"/>
      <c r="H215" s="8" t="s">
        <v>537</v>
      </c>
      <c r="I215" s="5" t="s">
        <v>197</v>
      </c>
      <c r="J215" s="5" t="s">
        <v>32</v>
      </c>
      <c r="K215" s="5" t="n">
        <v>2012</v>
      </c>
      <c r="L215" s="20"/>
      <c r="M215" s="20"/>
      <c r="N215" s="20"/>
    </row>
    <row r="216" customFormat="false" ht="15" hidden="false" customHeight="false" outlineLevel="0" collapsed="false">
      <c r="A216" s="5" t="n">
        <f aca="false">IF(B216&lt;&gt;"", COUNTA($B$2:B216), "")</f>
        <v>215</v>
      </c>
      <c r="B216" s="7" t="s">
        <v>98</v>
      </c>
      <c r="C216" s="8" t="s">
        <v>99</v>
      </c>
      <c r="D216" s="15" t="s">
        <v>538</v>
      </c>
      <c r="E216" s="17" t="n">
        <v>2011</v>
      </c>
      <c r="F216" s="20"/>
      <c r="G216" s="20"/>
      <c r="H216" s="5" t="s">
        <v>539</v>
      </c>
      <c r="I216" s="5" t="s">
        <v>197</v>
      </c>
      <c r="J216" s="5" t="s">
        <v>32</v>
      </c>
      <c r="K216" s="5" t="n">
        <v>2012</v>
      </c>
      <c r="L216" s="20"/>
      <c r="M216" s="20"/>
      <c r="N216" s="20"/>
    </row>
    <row r="217" customFormat="false" ht="15" hidden="false" customHeight="false" outlineLevel="0" collapsed="false">
      <c r="A217" s="5" t="n">
        <f aca="false">IF(B217&lt;&gt;"", COUNTA($B$2:B217), "")</f>
        <v>216</v>
      </c>
      <c r="B217" s="7" t="s">
        <v>98</v>
      </c>
      <c r="C217" s="8" t="s">
        <v>99</v>
      </c>
      <c r="D217" s="15" t="s">
        <v>540</v>
      </c>
      <c r="E217" s="17" t="n">
        <v>2011</v>
      </c>
      <c r="F217" s="20"/>
      <c r="G217" s="20"/>
      <c r="H217" s="5" t="s">
        <v>541</v>
      </c>
      <c r="I217" s="5" t="s">
        <v>197</v>
      </c>
      <c r="J217" s="5" t="s">
        <v>32</v>
      </c>
      <c r="K217" s="5" t="n">
        <v>2012</v>
      </c>
      <c r="L217" s="20"/>
      <c r="M217" s="20"/>
      <c r="N217" s="20"/>
    </row>
    <row r="218" customFormat="false" ht="15" hidden="false" customHeight="false" outlineLevel="0" collapsed="false">
      <c r="A218" s="5" t="n">
        <f aca="false">IF(B218&lt;&gt;"", COUNTA($B$2:B218), "")</f>
        <v>217</v>
      </c>
      <c r="B218" s="7" t="s">
        <v>98</v>
      </c>
      <c r="C218" s="8" t="s">
        <v>99</v>
      </c>
      <c r="D218" s="15" t="s">
        <v>542</v>
      </c>
      <c r="E218" s="17" t="n">
        <v>2011</v>
      </c>
      <c r="F218" s="20"/>
      <c r="G218" s="20"/>
      <c r="H218" s="5" t="s">
        <v>543</v>
      </c>
      <c r="I218" s="5" t="s">
        <v>197</v>
      </c>
      <c r="J218" s="5" t="s">
        <v>32</v>
      </c>
      <c r="K218" s="5" t="n">
        <v>2012</v>
      </c>
      <c r="L218" s="20"/>
      <c r="M218" s="20"/>
      <c r="N218" s="20"/>
    </row>
    <row r="219" customFormat="false" ht="15" hidden="false" customHeight="false" outlineLevel="0" collapsed="false">
      <c r="A219" s="5" t="n">
        <f aca="false">IF(B219&lt;&gt;"", COUNTA($B$2:B219), "")</f>
        <v>218</v>
      </c>
      <c r="B219" s="7" t="s">
        <v>98</v>
      </c>
      <c r="C219" s="8" t="s">
        <v>99</v>
      </c>
      <c r="D219" s="15" t="s">
        <v>544</v>
      </c>
      <c r="E219" s="17" t="n">
        <v>2011</v>
      </c>
      <c r="F219" s="20"/>
      <c r="G219" s="20"/>
      <c r="H219" s="5" t="s">
        <v>545</v>
      </c>
      <c r="I219" s="5" t="s">
        <v>197</v>
      </c>
      <c r="J219" s="5" t="s">
        <v>32</v>
      </c>
      <c r="K219" s="5" t="n">
        <v>2012</v>
      </c>
      <c r="L219" s="20"/>
      <c r="M219" s="20"/>
      <c r="N219" s="20"/>
    </row>
    <row r="220" customFormat="false" ht="15" hidden="false" customHeight="false" outlineLevel="0" collapsed="false">
      <c r="A220" s="5" t="n">
        <f aca="false">IF(B220&lt;&gt;"", COUNTA($B$2:B220), "")</f>
        <v>219</v>
      </c>
      <c r="B220" s="7" t="s">
        <v>98</v>
      </c>
      <c r="C220" s="8" t="s">
        <v>99</v>
      </c>
      <c r="D220" s="15" t="s">
        <v>546</v>
      </c>
      <c r="E220" s="17" t="n">
        <v>2011</v>
      </c>
      <c r="F220" s="20"/>
      <c r="G220" s="20"/>
      <c r="H220" s="5" t="s">
        <v>547</v>
      </c>
      <c r="I220" s="5" t="s">
        <v>197</v>
      </c>
      <c r="J220" s="5" t="s">
        <v>32</v>
      </c>
      <c r="K220" s="5" t="n">
        <v>2012</v>
      </c>
      <c r="L220" s="20"/>
      <c r="M220" s="20"/>
      <c r="N220" s="20"/>
    </row>
    <row r="221" customFormat="false" ht="22.5" hidden="false" customHeight="false" outlineLevel="0" collapsed="false">
      <c r="A221" s="5" t="n">
        <f aca="false">IF(B221&lt;&gt;"", COUNTA($B$2:B221), "")</f>
        <v>220</v>
      </c>
      <c r="B221" s="6" t="s">
        <v>64</v>
      </c>
      <c r="C221" s="19" t="s">
        <v>65</v>
      </c>
      <c r="D221" s="19" t="s">
        <v>548</v>
      </c>
      <c r="E221" s="17" t="n">
        <v>2011</v>
      </c>
      <c r="F221" s="19" t="s">
        <v>67</v>
      </c>
      <c r="G221" s="19" t="s">
        <v>68</v>
      </c>
      <c r="H221" s="19" t="s">
        <v>549</v>
      </c>
      <c r="I221" s="5" t="s">
        <v>197</v>
      </c>
      <c r="J221" s="5" t="s">
        <v>32</v>
      </c>
      <c r="K221" s="5" t="n">
        <v>2012</v>
      </c>
      <c r="L221" s="12" t="n">
        <v>36</v>
      </c>
      <c r="M221" s="6"/>
      <c r="N221" s="8"/>
    </row>
    <row r="222" customFormat="false" ht="22.5" hidden="false" customHeight="false" outlineLevel="0" collapsed="false">
      <c r="A222" s="5" t="n">
        <f aca="false">IF(B222&lt;&gt;"", COUNTA($B$2:B222), "")</f>
        <v>221</v>
      </c>
      <c r="B222" s="18" t="s">
        <v>550</v>
      </c>
      <c r="C222" s="10" t="s">
        <v>551</v>
      </c>
      <c r="D222" s="19" t="s">
        <v>552</v>
      </c>
      <c r="E222" s="17" t="n">
        <v>2011</v>
      </c>
      <c r="F222" s="19" t="s">
        <v>553</v>
      </c>
      <c r="G222" s="12" t="s">
        <v>554</v>
      </c>
      <c r="H222" s="12" t="s">
        <v>555</v>
      </c>
      <c r="I222" s="5" t="s">
        <v>197</v>
      </c>
      <c r="J222" s="5" t="s">
        <v>32</v>
      </c>
      <c r="K222" s="5" t="n">
        <v>2012</v>
      </c>
      <c r="L222" s="12" t="n">
        <v>24</v>
      </c>
      <c r="M222" s="6"/>
      <c r="N222" s="8"/>
    </row>
    <row r="223" customFormat="false" ht="15" hidden="false" customHeight="false" outlineLevel="0" collapsed="false">
      <c r="A223" s="5" t="n">
        <f aca="false">IF(B223&lt;&gt;"", COUNTA($B$2:B223), "")</f>
        <v>222</v>
      </c>
      <c r="B223" s="18" t="s">
        <v>556</v>
      </c>
      <c r="C223" s="10" t="s">
        <v>557</v>
      </c>
      <c r="D223" s="19" t="s">
        <v>558</v>
      </c>
      <c r="E223" s="17" t="n">
        <v>2011</v>
      </c>
      <c r="F223" s="19" t="s">
        <v>559</v>
      </c>
      <c r="G223" s="32" t="n">
        <v>0.1</v>
      </c>
      <c r="H223" s="12" t="s">
        <v>560</v>
      </c>
      <c r="I223" s="8" t="s">
        <v>197</v>
      </c>
      <c r="J223" s="5" t="s">
        <v>32</v>
      </c>
      <c r="K223" s="5" t="n">
        <v>2020</v>
      </c>
      <c r="L223" s="12" t="n">
        <v>12</v>
      </c>
      <c r="M223" s="6" t="s">
        <v>561</v>
      </c>
      <c r="N223" s="8" t="s">
        <v>38</v>
      </c>
    </row>
    <row r="224" customFormat="false" ht="15" hidden="false" customHeight="false" outlineLevel="0" collapsed="false">
      <c r="A224" s="5" t="n">
        <f aca="false">IF(B224&lt;&gt;"", COUNTA($B$2:B224), "")</f>
        <v>223</v>
      </c>
      <c r="B224" s="7" t="s">
        <v>27</v>
      </c>
      <c r="C224" s="8" t="s">
        <v>562</v>
      </c>
      <c r="D224" s="15" t="s">
        <v>563</v>
      </c>
      <c r="E224" s="8" t="n">
        <v>2011</v>
      </c>
      <c r="F224" s="8" t="s">
        <v>29</v>
      </c>
      <c r="G224" s="8" t="n">
        <v>1</v>
      </c>
      <c r="H224" s="5" t="s">
        <v>564</v>
      </c>
      <c r="I224" s="8" t="s">
        <v>197</v>
      </c>
      <c r="J224" s="5" t="s">
        <v>32</v>
      </c>
      <c r="K224" s="5" t="n">
        <v>2019</v>
      </c>
      <c r="L224" s="5" t="n">
        <v>12</v>
      </c>
      <c r="M224" s="6" t="s">
        <v>33</v>
      </c>
      <c r="N224" s="8" t="s">
        <v>1</v>
      </c>
    </row>
    <row r="225" customFormat="false" ht="15" hidden="false" customHeight="false" outlineLevel="0" collapsed="false">
      <c r="B225" s="41"/>
      <c r="C225" s="42"/>
      <c r="D225" s="43"/>
      <c r="E225" s="42"/>
      <c r="F225" s="44"/>
      <c r="G225" s="42"/>
      <c r="H225" s="39"/>
      <c r="I225" s="42"/>
      <c r="J225" s="39"/>
      <c r="K225" s="39"/>
      <c r="L225" s="39"/>
      <c r="M225" s="45"/>
      <c r="N225" s="42"/>
    </row>
    <row r="226" customFormat="false" ht="15" hidden="false" customHeight="false" outlineLevel="0" collapsed="false">
      <c r="B226" s="41"/>
      <c r="C226" s="42"/>
      <c r="D226" s="43"/>
      <c r="E226" s="42"/>
      <c r="F226" s="44"/>
      <c r="G226" s="42"/>
      <c r="H226" s="39"/>
      <c r="I226" s="42"/>
      <c r="J226" s="39"/>
      <c r="K226" s="39"/>
      <c r="L226" s="39"/>
      <c r="M226" s="45"/>
      <c r="N226" s="42"/>
    </row>
  </sheetData>
  <conditionalFormatting sqref="M1:M1048576">
    <cfRule type="expression" priority="2" aboveAverage="0" equalAverage="0" bottom="0" percent="0" rank="0" text="" dxfId="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24"/>
  <sheetViews>
    <sheetView showFormulas="false" showGridLines="true" showRowColHeaders="true" showZeros="true" rightToLeft="false" tabSelected="false" showOutlineSymbols="true" defaultGridColor="true" view="normal" topLeftCell="E223" colorId="64" zoomScale="112" zoomScaleNormal="112" zoomScalePageLayoutView="100" workbookViewId="0">
      <selection pane="topLeft" activeCell="J11" activeCellId="0" sqref="J11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57"/>
    <col collapsed="false" customWidth="true" hidden="false" outlineLevel="0" max="2" min="2" style="4" width="21.43"/>
    <col collapsed="false" customWidth="true" hidden="false" outlineLevel="0" max="3" min="3" style="4" width="26.42"/>
    <col collapsed="false" customWidth="true" hidden="false" outlineLevel="0" max="4" min="4" style="4" width="15.29"/>
    <col collapsed="false" customWidth="true" hidden="false" outlineLevel="0" max="5" min="5" style="4" width="7"/>
    <col collapsed="false" customWidth="true" hidden="false" outlineLevel="0" max="7" min="6" style="4" width="15.42"/>
    <col collapsed="false" customWidth="true" hidden="false" outlineLevel="0" max="8" min="8" style="4" width="28.57"/>
    <col collapsed="false" customWidth="true" hidden="false" outlineLevel="0" max="9" min="9" style="4" width="12.57"/>
    <col collapsed="false" customWidth="true" hidden="false" outlineLevel="0" max="10" min="10" style="4" width="17.58"/>
    <col collapsed="false" customWidth="true" hidden="false" outlineLevel="0" max="11" min="11" style="4" width="8.71"/>
    <col collapsed="false" customWidth="true" hidden="false" outlineLevel="0" max="12" min="12" style="4" width="7.57"/>
    <col collapsed="false" customWidth="true" hidden="false" outlineLevel="0" max="13" min="13" style="4" width="8"/>
    <col collapsed="false" customWidth="true" hidden="false" outlineLevel="0" max="14" min="14" style="4" width="6.01"/>
    <col collapsed="false" customWidth="true" hidden="false" outlineLevel="0" max="15" min="15" style="4" width="40.28"/>
    <col collapsed="false" customWidth="false" hidden="false" outlineLevel="0" max="1024" min="16" style="4" width="9.14"/>
  </cols>
  <sheetData>
    <row r="1" customFormat="false" ht="56.2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7" t="s">
        <v>27</v>
      </c>
      <c r="C2" s="8" t="s">
        <v>28</v>
      </c>
      <c r="D2" s="9" t="n">
        <v>6202</v>
      </c>
      <c r="E2" s="8" t="n">
        <v>2010</v>
      </c>
      <c r="F2" s="8" t="s">
        <v>29</v>
      </c>
      <c r="G2" s="8" t="n">
        <v>1.5</v>
      </c>
      <c r="H2" s="5" t="s">
        <v>30</v>
      </c>
      <c r="I2" s="8" t="s">
        <v>565</v>
      </c>
      <c r="J2" s="5" t="s">
        <v>32</v>
      </c>
      <c r="K2" s="5" t="n">
        <v>2012</v>
      </c>
      <c r="L2" s="5" t="n">
        <v>12</v>
      </c>
      <c r="M2" s="6" t="s">
        <v>33</v>
      </c>
      <c r="N2" s="8" t="s">
        <v>1</v>
      </c>
    </row>
    <row r="3" customFormat="false" ht="15" hidden="false" customHeight="false" outlineLevel="0" collapsed="false">
      <c r="A3" s="5" t="n">
        <f aca="false">IF(B3&lt;&gt;"", COUNTA($B$2:B3), "")</f>
        <v>2</v>
      </c>
      <c r="B3" s="7" t="s">
        <v>27</v>
      </c>
      <c r="C3" s="8" t="s">
        <v>28</v>
      </c>
      <c r="D3" s="9" t="n">
        <v>15272</v>
      </c>
      <c r="E3" s="8" t="n">
        <v>2010</v>
      </c>
      <c r="F3" s="8" t="s">
        <v>34</v>
      </c>
      <c r="G3" s="8" t="n">
        <v>1.5</v>
      </c>
      <c r="H3" s="5" t="s">
        <v>35</v>
      </c>
      <c r="I3" s="8" t="s">
        <v>565</v>
      </c>
      <c r="J3" s="5" t="s">
        <v>32</v>
      </c>
      <c r="K3" s="5" t="n">
        <v>2012</v>
      </c>
      <c r="L3" s="5" t="n">
        <v>12</v>
      </c>
      <c r="M3" s="6" t="s">
        <v>33</v>
      </c>
      <c r="N3" s="5" t="s">
        <v>1</v>
      </c>
    </row>
    <row r="4" customFormat="false" ht="15" hidden="false" customHeight="false" outlineLevel="0" collapsed="false">
      <c r="A4" s="5" t="n">
        <f aca="false">IF(B4&lt;&gt;"", COUNTA($B$2:B4), "")</f>
        <v>3</v>
      </c>
      <c r="B4" s="7" t="s">
        <v>27</v>
      </c>
      <c r="C4" s="10" t="s">
        <v>28</v>
      </c>
      <c r="D4" s="11" t="n">
        <v>15391</v>
      </c>
      <c r="E4" s="8" t="n">
        <v>2010</v>
      </c>
      <c r="F4" s="8" t="s">
        <v>29</v>
      </c>
      <c r="G4" s="10" t="n">
        <v>1</v>
      </c>
      <c r="H4" s="12" t="s">
        <v>36</v>
      </c>
      <c r="I4" s="8" t="s">
        <v>565</v>
      </c>
      <c r="J4" s="5" t="s">
        <v>32</v>
      </c>
      <c r="K4" s="5" t="n">
        <v>2012</v>
      </c>
      <c r="L4" s="5" t="n">
        <v>12</v>
      </c>
      <c r="M4" s="6" t="s">
        <v>37</v>
      </c>
      <c r="N4" s="8" t="s">
        <v>38</v>
      </c>
      <c r="O4" s="14"/>
    </row>
    <row r="5" customFormat="false" ht="15" hidden="false" customHeight="false" outlineLevel="0" collapsed="false">
      <c r="A5" s="5" t="n">
        <f aca="false">IF(B5&lt;&gt;"", COUNTA($B$2:B5), "")</f>
        <v>4</v>
      </c>
      <c r="B5" s="7" t="s">
        <v>27</v>
      </c>
      <c r="C5" s="8" t="s">
        <v>28</v>
      </c>
      <c r="D5" s="9" t="n">
        <v>15648</v>
      </c>
      <c r="E5" s="8" t="n">
        <v>2010</v>
      </c>
      <c r="F5" s="8" t="s">
        <v>29</v>
      </c>
      <c r="G5" s="8" t="n">
        <v>1.5</v>
      </c>
      <c r="H5" s="5" t="s">
        <v>40</v>
      </c>
      <c r="I5" s="8" t="s">
        <v>565</v>
      </c>
      <c r="J5" s="5" t="s">
        <v>32</v>
      </c>
      <c r="K5" s="5" t="n">
        <v>2012</v>
      </c>
      <c r="L5" s="5" t="n">
        <v>12</v>
      </c>
      <c r="M5" s="6" t="s">
        <v>33</v>
      </c>
      <c r="N5" s="8" t="s">
        <v>1</v>
      </c>
    </row>
    <row r="6" customFormat="false" ht="15" hidden="false" customHeight="false" outlineLevel="0" collapsed="false">
      <c r="A6" s="5" t="n">
        <f aca="false">IF(B6&lt;&gt;"", COUNTA($B$2:B6), "")</f>
        <v>5</v>
      </c>
      <c r="B6" s="7" t="s">
        <v>27</v>
      </c>
      <c r="C6" s="8" t="s">
        <v>28</v>
      </c>
      <c r="D6" s="9" t="n">
        <v>15104</v>
      </c>
      <c r="E6" s="8" t="n">
        <v>2010</v>
      </c>
      <c r="F6" s="8" t="s">
        <v>34</v>
      </c>
      <c r="G6" s="8" t="n">
        <v>1.5</v>
      </c>
      <c r="H6" s="5" t="s">
        <v>43</v>
      </c>
      <c r="I6" s="8" t="s">
        <v>565</v>
      </c>
      <c r="J6" s="5" t="s">
        <v>32</v>
      </c>
      <c r="K6" s="5" t="n">
        <v>2012</v>
      </c>
      <c r="L6" s="5" t="n">
        <v>12</v>
      </c>
      <c r="M6" s="6" t="s">
        <v>33</v>
      </c>
      <c r="N6" s="8" t="s">
        <v>1</v>
      </c>
    </row>
    <row r="7" customFormat="false" ht="15" hidden="false" customHeight="false" outlineLevel="0" collapsed="false">
      <c r="A7" s="5" t="n">
        <f aca="false">IF(B7&lt;&gt;"", COUNTA($B$2:B7), "")</f>
        <v>6</v>
      </c>
      <c r="B7" s="7" t="s">
        <v>27</v>
      </c>
      <c r="C7" s="8" t="s">
        <v>28</v>
      </c>
      <c r="D7" s="9" t="n">
        <v>15245</v>
      </c>
      <c r="E7" s="8" t="n">
        <v>2010</v>
      </c>
      <c r="F7" s="8" t="s">
        <v>29</v>
      </c>
      <c r="G7" s="8" t="n">
        <v>1.5</v>
      </c>
      <c r="H7" s="5" t="s">
        <v>45</v>
      </c>
      <c r="I7" s="8" t="s">
        <v>565</v>
      </c>
      <c r="J7" s="5" t="s">
        <v>32</v>
      </c>
      <c r="K7" s="5" t="n">
        <v>2012</v>
      </c>
      <c r="L7" s="5" t="n">
        <v>12</v>
      </c>
      <c r="M7" s="6" t="s">
        <v>33</v>
      </c>
      <c r="N7" s="8" t="s">
        <v>1</v>
      </c>
    </row>
    <row r="8" customFormat="false" ht="22.5" hidden="false" customHeight="false" outlineLevel="0" collapsed="false">
      <c r="A8" s="5" t="n">
        <f aca="false">IF(B8&lt;&gt;"", COUNTA($B$2:B8), "")</f>
        <v>7</v>
      </c>
      <c r="B8" s="12" t="s">
        <v>46</v>
      </c>
      <c r="C8" s="8" t="s">
        <v>47</v>
      </c>
      <c r="D8" s="15" t="s">
        <v>566</v>
      </c>
      <c r="E8" s="8" t="n">
        <v>2010</v>
      </c>
      <c r="F8" s="8" t="s">
        <v>48</v>
      </c>
      <c r="G8" s="8" t="n">
        <v>1.5</v>
      </c>
      <c r="H8" s="5" t="s">
        <v>49</v>
      </c>
      <c r="I8" s="8" t="s">
        <v>565</v>
      </c>
      <c r="J8" s="5" t="s">
        <v>32</v>
      </c>
      <c r="K8" s="5" t="n">
        <v>2012</v>
      </c>
      <c r="L8" s="5" t="n">
        <v>24</v>
      </c>
      <c r="M8" s="6" t="s">
        <v>41</v>
      </c>
      <c r="N8" s="8" t="s">
        <v>1</v>
      </c>
    </row>
    <row r="9" customFormat="false" ht="22.5" hidden="false" customHeight="false" outlineLevel="0" collapsed="false">
      <c r="A9" s="5" t="n">
        <f aca="false">IF(B9&lt;&gt;"", COUNTA($B$2:B9), "")</f>
        <v>8</v>
      </c>
      <c r="B9" s="12" t="s">
        <v>46</v>
      </c>
      <c r="C9" s="8" t="s">
        <v>47</v>
      </c>
      <c r="D9" s="15" t="s">
        <v>567</v>
      </c>
      <c r="E9" s="8" t="n">
        <v>2010</v>
      </c>
      <c r="F9" s="8" t="s">
        <v>48</v>
      </c>
      <c r="G9" s="8" t="n">
        <v>1.5</v>
      </c>
      <c r="H9" s="5" t="s">
        <v>50</v>
      </c>
      <c r="I9" s="8" t="s">
        <v>565</v>
      </c>
      <c r="J9" s="5" t="s">
        <v>32</v>
      </c>
      <c r="K9" s="5" t="n">
        <v>2012</v>
      </c>
      <c r="L9" s="5" t="n">
        <v>24</v>
      </c>
      <c r="M9" s="6" t="s">
        <v>41</v>
      </c>
      <c r="N9" s="8" t="s">
        <v>1</v>
      </c>
    </row>
    <row r="10" customFormat="false" ht="15" hidden="false" customHeight="false" outlineLevel="0" collapsed="false">
      <c r="A10" s="5" t="n">
        <f aca="false">IF(B10&lt;&gt;"", COUNTA($B$2:B10), "")</f>
        <v>9</v>
      </c>
      <c r="B10" s="5" t="s">
        <v>568</v>
      </c>
      <c r="C10" s="12" t="s">
        <v>52</v>
      </c>
      <c r="D10" s="12" t="s">
        <v>569</v>
      </c>
      <c r="E10" s="17" t="n">
        <v>2011</v>
      </c>
      <c r="F10" s="12" t="s">
        <v>54</v>
      </c>
      <c r="G10" s="12" t="s">
        <v>55</v>
      </c>
      <c r="H10" s="5" t="s">
        <v>56</v>
      </c>
      <c r="I10" s="8" t="s">
        <v>565</v>
      </c>
      <c r="J10" s="5" t="s">
        <v>32</v>
      </c>
      <c r="K10" s="5" t="n">
        <v>2012</v>
      </c>
      <c r="L10" s="12" t="n">
        <v>48</v>
      </c>
      <c r="M10" s="6"/>
      <c r="N10" s="8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18" t="s">
        <v>57</v>
      </c>
      <c r="C11" s="5" t="s">
        <v>58</v>
      </c>
      <c r="D11" s="5" t="s">
        <v>570</v>
      </c>
      <c r="E11" s="17" t="n">
        <v>2011</v>
      </c>
      <c r="F11" s="12" t="s">
        <v>60</v>
      </c>
      <c r="G11" s="12" t="n">
        <v>0.075</v>
      </c>
      <c r="H11" s="5" t="s">
        <v>61</v>
      </c>
      <c r="I11" s="8" t="s">
        <v>565</v>
      </c>
      <c r="J11" s="5" t="s">
        <v>32</v>
      </c>
      <c r="K11" s="5" t="n">
        <v>2012</v>
      </c>
      <c r="L11" s="12" t="n">
        <v>36</v>
      </c>
      <c r="M11" s="6"/>
      <c r="N11" s="8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18" t="s">
        <v>57</v>
      </c>
      <c r="C12" s="5" t="s">
        <v>58</v>
      </c>
      <c r="D12" s="5" t="s">
        <v>571</v>
      </c>
      <c r="E12" s="17" t="n">
        <v>2011</v>
      </c>
      <c r="F12" s="12" t="s">
        <v>60</v>
      </c>
      <c r="G12" s="12" t="n">
        <v>0.075</v>
      </c>
      <c r="H12" s="5" t="s">
        <v>63</v>
      </c>
      <c r="I12" s="8" t="s">
        <v>565</v>
      </c>
      <c r="J12" s="5" t="s">
        <v>32</v>
      </c>
      <c r="K12" s="5" t="n">
        <v>2012</v>
      </c>
      <c r="L12" s="12" t="n">
        <v>36</v>
      </c>
      <c r="M12" s="6"/>
      <c r="N12" s="8"/>
    </row>
    <row r="13" customFormat="false" ht="22.5" hidden="false" customHeight="false" outlineLevel="0" collapsed="false">
      <c r="A13" s="5" t="n">
        <f aca="false">IF(B13&lt;&gt;"", COUNTA($B$2:B13), "")</f>
        <v>12</v>
      </c>
      <c r="B13" s="6" t="s">
        <v>64</v>
      </c>
      <c r="C13" s="19" t="s">
        <v>65</v>
      </c>
      <c r="D13" s="17" t="n">
        <v>364</v>
      </c>
      <c r="E13" s="17" t="n">
        <v>2011</v>
      </c>
      <c r="F13" s="19" t="s">
        <v>67</v>
      </c>
      <c r="G13" s="19" t="s">
        <v>68</v>
      </c>
      <c r="H13" s="6" t="s">
        <v>69</v>
      </c>
      <c r="I13" s="8" t="s">
        <v>565</v>
      </c>
      <c r="J13" s="5" t="s">
        <v>32</v>
      </c>
      <c r="K13" s="5" t="n">
        <v>2012</v>
      </c>
      <c r="L13" s="12" t="n">
        <v>24</v>
      </c>
      <c r="M13" s="6" t="s">
        <v>572</v>
      </c>
      <c r="N13" s="8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6" t="s">
        <v>64</v>
      </c>
      <c r="C14" s="19" t="s">
        <v>65</v>
      </c>
      <c r="D14" s="6" t="s">
        <v>573</v>
      </c>
      <c r="E14" s="17" t="n">
        <v>2011</v>
      </c>
      <c r="F14" s="19" t="s">
        <v>67</v>
      </c>
      <c r="G14" s="19" t="s">
        <v>68</v>
      </c>
      <c r="H14" s="6" t="s">
        <v>71</v>
      </c>
      <c r="I14" s="8" t="s">
        <v>565</v>
      </c>
      <c r="J14" s="5" t="s">
        <v>32</v>
      </c>
      <c r="K14" s="5" t="n">
        <v>2012</v>
      </c>
      <c r="L14" s="12" t="n">
        <v>24</v>
      </c>
      <c r="M14" s="6" t="s">
        <v>572</v>
      </c>
      <c r="N14" s="8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6" t="s">
        <v>64</v>
      </c>
      <c r="C15" s="19" t="s">
        <v>65</v>
      </c>
      <c r="D15" s="6" t="s">
        <v>574</v>
      </c>
      <c r="E15" s="17" t="n">
        <v>2011</v>
      </c>
      <c r="F15" s="19" t="s">
        <v>67</v>
      </c>
      <c r="G15" s="19" t="s">
        <v>68</v>
      </c>
      <c r="H15" s="6" t="s">
        <v>73</v>
      </c>
      <c r="I15" s="8" t="s">
        <v>565</v>
      </c>
      <c r="J15" s="5" t="s">
        <v>32</v>
      </c>
      <c r="K15" s="5" t="n">
        <v>2012</v>
      </c>
      <c r="L15" s="12" t="n">
        <v>24</v>
      </c>
      <c r="M15" s="6" t="s">
        <v>572</v>
      </c>
      <c r="N15" s="8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6" t="s">
        <v>64</v>
      </c>
      <c r="C16" s="19" t="s">
        <v>65</v>
      </c>
      <c r="D16" s="6" t="s">
        <v>575</v>
      </c>
      <c r="E16" s="17" t="n">
        <v>2011</v>
      </c>
      <c r="F16" s="19" t="s">
        <v>67</v>
      </c>
      <c r="G16" s="19" t="s">
        <v>68</v>
      </c>
      <c r="H16" s="6" t="s">
        <v>75</v>
      </c>
      <c r="I16" s="8" t="s">
        <v>565</v>
      </c>
      <c r="J16" s="5" t="s">
        <v>32</v>
      </c>
      <c r="K16" s="5" t="n">
        <v>2012</v>
      </c>
      <c r="L16" s="12" t="n">
        <v>24</v>
      </c>
      <c r="M16" s="6" t="s">
        <v>572</v>
      </c>
      <c r="N16" s="8"/>
    </row>
    <row r="17" customFormat="false" ht="22.5" hidden="false" customHeight="false" outlineLevel="0" collapsed="false">
      <c r="A17" s="5" t="n">
        <f aca="false">IF(B17&lt;&gt;"", COUNTA($B$2:B17), "")</f>
        <v>16</v>
      </c>
      <c r="B17" s="6" t="s">
        <v>64</v>
      </c>
      <c r="C17" s="19" t="s">
        <v>65</v>
      </c>
      <c r="D17" s="6" t="s">
        <v>576</v>
      </c>
      <c r="E17" s="17" t="n">
        <v>2011</v>
      </c>
      <c r="F17" s="19" t="s">
        <v>67</v>
      </c>
      <c r="G17" s="19" t="s">
        <v>68</v>
      </c>
      <c r="H17" s="6" t="s">
        <v>77</v>
      </c>
      <c r="I17" s="8" t="s">
        <v>565</v>
      </c>
      <c r="J17" s="5" t="s">
        <v>32</v>
      </c>
      <c r="K17" s="5" t="n">
        <v>2012</v>
      </c>
      <c r="L17" s="12" t="n">
        <v>24</v>
      </c>
      <c r="M17" s="6" t="s">
        <v>572</v>
      </c>
      <c r="N17" s="8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6" t="s">
        <v>64</v>
      </c>
      <c r="C18" s="19" t="s">
        <v>65</v>
      </c>
      <c r="D18" s="6" t="s">
        <v>577</v>
      </c>
      <c r="E18" s="17" t="n">
        <v>2011</v>
      </c>
      <c r="F18" s="19" t="s">
        <v>67</v>
      </c>
      <c r="G18" s="19" t="s">
        <v>68</v>
      </c>
      <c r="H18" s="6" t="s">
        <v>79</v>
      </c>
      <c r="I18" s="8" t="s">
        <v>565</v>
      </c>
      <c r="J18" s="5" t="s">
        <v>32</v>
      </c>
      <c r="K18" s="5" t="n">
        <v>2012</v>
      </c>
      <c r="L18" s="12" t="n">
        <v>24</v>
      </c>
      <c r="M18" s="6" t="s">
        <v>572</v>
      </c>
      <c r="N18" s="8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6" t="s">
        <v>64</v>
      </c>
      <c r="C19" s="19" t="s">
        <v>65</v>
      </c>
      <c r="D19" s="6" t="s">
        <v>578</v>
      </c>
      <c r="E19" s="17" t="n">
        <v>2011</v>
      </c>
      <c r="F19" s="19" t="s">
        <v>67</v>
      </c>
      <c r="G19" s="19" t="s">
        <v>68</v>
      </c>
      <c r="H19" s="6" t="s">
        <v>81</v>
      </c>
      <c r="I19" s="8" t="s">
        <v>565</v>
      </c>
      <c r="J19" s="5" t="s">
        <v>32</v>
      </c>
      <c r="K19" s="5" t="n">
        <v>2012</v>
      </c>
      <c r="L19" s="12" t="n">
        <v>24</v>
      </c>
      <c r="M19" s="6" t="s">
        <v>572</v>
      </c>
      <c r="N19" s="8"/>
    </row>
    <row r="20" customFormat="false" ht="15" hidden="false" customHeight="false" outlineLevel="0" collapsed="false">
      <c r="A20" s="5" t="n">
        <f aca="false">IF(B20&lt;&gt;"", COUNTA($B$2:B20), "")</f>
        <v>19</v>
      </c>
      <c r="B20" s="6" t="s">
        <v>64</v>
      </c>
      <c r="C20" s="19" t="s">
        <v>65</v>
      </c>
      <c r="D20" s="6" t="s">
        <v>579</v>
      </c>
      <c r="E20" s="17" t="n">
        <v>2011</v>
      </c>
      <c r="F20" s="19" t="s">
        <v>67</v>
      </c>
      <c r="G20" s="19" t="s">
        <v>68</v>
      </c>
      <c r="H20" s="19" t="s">
        <v>83</v>
      </c>
      <c r="I20" s="8" t="s">
        <v>565</v>
      </c>
      <c r="J20" s="5" t="s">
        <v>32</v>
      </c>
      <c r="K20" s="5" t="n">
        <v>2012</v>
      </c>
      <c r="L20" s="12" t="n">
        <v>24</v>
      </c>
      <c r="M20" s="6"/>
      <c r="N20" s="8"/>
    </row>
    <row r="21" customFormat="false" ht="15" hidden="false" customHeight="false" outlineLevel="0" collapsed="false">
      <c r="A21" s="5" t="n">
        <f aca="false">IF(B21&lt;&gt;"", COUNTA($B$2:B21), "")</f>
        <v>20</v>
      </c>
      <c r="B21" s="6" t="s">
        <v>64</v>
      </c>
      <c r="C21" s="19" t="s">
        <v>65</v>
      </c>
      <c r="D21" s="6" t="s">
        <v>580</v>
      </c>
      <c r="E21" s="17" t="n">
        <v>2011</v>
      </c>
      <c r="F21" s="19" t="s">
        <v>67</v>
      </c>
      <c r="G21" s="19" t="s">
        <v>68</v>
      </c>
      <c r="H21" s="6" t="s">
        <v>85</v>
      </c>
      <c r="I21" s="8" t="s">
        <v>565</v>
      </c>
      <c r="J21" s="5" t="s">
        <v>32</v>
      </c>
      <c r="K21" s="5" t="n">
        <v>2012</v>
      </c>
      <c r="L21" s="12" t="n">
        <v>24</v>
      </c>
      <c r="M21" s="6"/>
      <c r="N21" s="8"/>
    </row>
    <row r="22" customFormat="false" ht="15" hidden="false" customHeight="false" outlineLevel="0" collapsed="false">
      <c r="A22" s="5" t="n">
        <f aca="false">IF(B22&lt;&gt;"", COUNTA($B$2:B22), "")</f>
        <v>21</v>
      </c>
      <c r="B22" s="6" t="s">
        <v>86</v>
      </c>
      <c r="C22" s="19" t="s">
        <v>87</v>
      </c>
      <c r="D22" s="6" t="s">
        <v>581</v>
      </c>
      <c r="E22" s="17" t="n">
        <v>2011</v>
      </c>
      <c r="F22" s="19" t="s">
        <v>89</v>
      </c>
      <c r="G22" s="19"/>
      <c r="H22" s="6" t="s">
        <v>90</v>
      </c>
      <c r="I22" s="8" t="s">
        <v>565</v>
      </c>
      <c r="J22" s="5" t="s">
        <v>32</v>
      </c>
      <c r="K22" s="5"/>
      <c r="L22" s="12"/>
      <c r="M22" s="6"/>
      <c r="N22" s="8"/>
    </row>
    <row r="23" customFormat="false" ht="15" hidden="false" customHeight="false" outlineLevel="0" collapsed="false">
      <c r="A23" s="5" t="n">
        <f aca="false">IF(B23&lt;&gt;"", COUNTA($B$2:B23), "")</f>
        <v>22</v>
      </c>
      <c r="B23" s="6" t="s">
        <v>86</v>
      </c>
      <c r="C23" s="19" t="s">
        <v>87</v>
      </c>
      <c r="D23" s="6" t="s">
        <v>582</v>
      </c>
      <c r="E23" s="17" t="n">
        <v>2011</v>
      </c>
      <c r="F23" s="19" t="s">
        <v>89</v>
      </c>
      <c r="G23" s="19"/>
      <c r="H23" s="6" t="s">
        <v>92</v>
      </c>
      <c r="I23" s="8" t="s">
        <v>565</v>
      </c>
      <c r="J23" s="5" t="s">
        <v>32</v>
      </c>
      <c r="K23" s="5"/>
      <c r="L23" s="12"/>
      <c r="M23" s="6"/>
      <c r="N23" s="8"/>
    </row>
    <row r="24" customFormat="false" ht="15" hidden="false" customHeight="false" outlineLevel="0" collapsed="false">
      <c r="A24" s="46" t="n">
        <f aca="false">IF(B24&lt;&gt;"", COUNTA($B$2:B24), "")</f>
        <v>23</v>
      </c>
      <c r="B24" s="47" t="s">
        <v>93</v>
      </c>
      <c r="C24" s="48" t="s">
        <v>96</v>
      </c>
      <c r="D24" s="48" t="n">
        <v>25239</v>
      </c>
      <c r="E24" s="49" t="n">
        <v>2025</v>
      </c>
      <c r="F24" s="50"/>
      <c r="G24" s="50"/>
      <c r="H24" s="46" t="s">
        <v>95</v>
      </c>
      <c r="I24" s="46" t="s">
        <v>565</v>
      </c>
      <c r="J24" s="46" t="s">
        <v>32</v>
      </c>
      <c r="K24" s="46" t="n">
        <v>2012</v>
      </c>
      <c r="L24" s="51"/>
      <c r="M24" s="52"/>
      <c r="N24" s="50"/>
    </row>
    <row r="25" customFormat="false" ht="15" hidden="false" customHeight="false" outlineLevel="0" collapsed="false">
      <c r="A25" s="53" t="n">
        <f aca="false">IF(B25&lt;&gt;"", COUNTA($B$2:B25), "")</f>
        <v>24</v>
      </c>
      <c r="B25" s="54" t="s">
        <v>93</v>
      </c>
      <c r="C25" s="55" t="s">
        <v>96</v>
      </c>
      <c r="D25" s="55" t="n">
        <v>25237</v>
      </c>
      <c r="E25" s="56" t="n">
        <v>2025</v>
      </c>
      <c r="F25" s="57"/>
      <c r="G25" s="57"/>
      <c r="H25" s="53" t="s">
        <v>97</v>
      </c>
      <c r="I25" s="53" t="s">
        <v>565</v>
      </c>
      <c r="J25" s="53" t="s">
        <v>32</v>
      </c>
      <c r="K25" s="53" t="n">
        <v>2012</v>
      </c>
      <c r="L25" s="58"/>
      <c r="M25" s="59"/>
      <c r="N25" s="57"/>
    </row>
    <row r="26" customFormat="false" ht="15" hidden="false" customHeight="false" outlineLevel="0" collapsed="false">
      <c r="A26" s="5" t="n">
        <f aca="false">IF(B26&lt;&gt;"", COUNTA($B$2:B26), "")</f>
        <v>25</v>
      </c>
      <c r="B26" s="7" t="s">
        <v>98</v>
      </c>
      <c r="C26" s="8" t="s">
        <v>99</v>
      </c>
      <c r="D26" s="15" t="s">
        <v>583</v>
      </c>
      <c r="E26" s="17" t="n">
        <v>2011</v>
      </c>
      <c r="F26" s="20"/>
      <c r="G26" s="20"/>
      <c r="H26" s="5" t="s">
        <v>101</v>
      </c>
      <c r="I26" s="5" t="s">
        <v>565</v>
      </c>
      <c r="J26" s="5" t="s">
        <v>32</v>
      </c>
      <c r="K26" s="5" t="n">
        <v>2012</v>
      </c>
      <c r="L26" s="20"/>
      <c r="M26" s="20"/>
      <c r="N26" s="20"/>
    </row>
    <row r="27" customFormat="false" ht="15" hidden="false" customHeight="false" outlineLevel="0" collapsed="false">
      <c r="A27" s="5" t="n">
        <f aca="false">IF(B27&lt;&gt;"", COUNTA($B$2:B27), "")</f>
        <v>26</v>
      </c>
      <c r="B27" s="7" t="s">
        <v>98</v>
      </c>
      <c r="C27" s="8" t="s">
        <v>99</v>
      </c>
      <c r="D27" s="15" t="s">
        <v>584</v>
      </c>
      <c r="E27" s="17" t="n">
        <v>2011</v>
      </c>
      <c r="F27" s="20"/>
      <c r="G27" s="20"/>
      <c r="H27" s="5" t="s">
        <v>103</v>
      </c>
      <c r="I27" s="5" t="s">
        <v>565</v>
      </c>
      <c r="J27" s="5" t="s">
        <v>32</v>
      </c>
      <c r="K27" s="5" t="n">
        <v>2012</v>
      </c>
      <c r="L27" s="20"/>
      <c r="M27" s="20"/>
      <c r="N27" s="20"/>
    </row>
    <row r="28" customFormat="false" ht="15" hidden="false" customHeight="false" outlineLevel="0" collapsed="false">
      <c r="A28" s="5" t="n">
        <f aca="false">IF(B28&lt;&gt;"", COUNTA($B$2:B28), "")</f>
        <v>27</v>
      </c>
      <c r="B28" s="7" t="s">
        <v>98</v>
      </c>
      <c r="C28" s="8" t="s">
        <v>99</v>
      </c>
      <c r="D28" s="15" t="s">
        <v>585</v>
      </c>
      <c r="E28" s="17" t="n">
        <v>2011</v>
      </c>
      <c r="F28" s="20"/>
      <c r="G28" s="20"/>
      <c r="H28" s="5" t="s">
        <v>105</v>
      </c>
      <c r="I28" s="5" t="s">
        <v>565</v>
      </c>
      <c r="J28" s="5" t="s">
        <v>32</v>
      </c>
      <c r="K28" s="5" t="n">
        <v>2012</v>
      </c>
      <c r="L28" s="20"/>
      <c r="M28" s="20"/>
      <c r="N28" s="20"/>
    </row>
    <row r="29" customFormat="false" ht="15" hidden="false" customHeight="false" outlineLevel="0" collapsed="false">
      <c r="A29" s="5" t="n">
        <f aca="false">IF(B29&lt;&gt;"", COUNTA($B$2:B29), "")</f>
        <v>28</v>
      </c>
      <c r="B29" s="7" t="s">
        <v>98</v>
      </c>
      <c r="C29" s="8" t="s">
        <v>99</v>
      </c>
      <c r="D29" s="15" t="s">
        <v>586</v>
      </c>
      <c r="E29" s="17" t="n">
        <v>2011</v>
      </c>
      <c r="F29" s="20"/>
      <c r="G29" s="20"/>
      <c r="H29" s="5" t="s">
        <v>107</v>
      </c>
      <c r="I29" s="5" t="s">
        <v>565</v>
      </c>
      <c r="J29" s="5" t="s">
        <v>32</v>
      </c>
      <c r="K29" s="5" t="n">
        <v>2012</v>
      </c>
      <c r="L29" s="20"/>
      <c r="M29" s="20"/>
      <c r="N29" s="20"/>
    </row>
    <row r="30" customFormat="false" ht="15" hidden="false" customHeight="false" outlineLevel="0" collapsed="false">
      <c r="A30" s="5" t="n">
        <f aca="false">IF(B30&lt;&gt;"", COUNTA($B$2:B30), "")</f>
        <v>29</v>
      </c>
      <c r="B30" s="6" t="s">
        <v>64</v>
      </c>
      <c r="C30" s="12" t="s">
        <v>108</v>
      </c>
      <c r="D30" s="8" t="s">
        <v>587</v>
      </c>
      <c r="E30" s="17" t="n">
        <v>2011</v>
      </c>
      <c r="F30" s="19" t="s">
        <v>109</v>
      </c>
      <c r="G30" s="12" t="s">
        <v>110</v>
      </c>
      <c r="H30" s="5" t="s">
        <v>111</v>
      </c>
      <c r="I30" s="5" t="s">
        <v>588</v>
      </c>
      <c r="J30" s="5" t="s">
        <v>32</v>
      </c>
      <c r="K30" s="5" t="n">
        <v>2012</v>
      </c>
      <c r="L30" s="12" t="n">
        <v>24</v>
      </c>
      <c r="M30" s="6"/>
      <c r="N30" s="8"/>
    </row>
    <row r="31" customFormat="false" ht="15" hidden="false" customHeight="false" outlineLevel="0" collapsed="false">
      <c r="A31" s="5" t="n">
        <f aca="false">IF(B31&lt;&gt;"", COUNTA($B$2:B31), "")</f>
        <v>30</v>
      </c>
      <c r="B31" s="6" t="s">
        <v>64</v>
      </c>
      <c r="C31" s="12" t="s">
        <v>108</v>
      </c>
      <c r="D31" s="12" t="n">
        <v>38</v>
      </c>
      <c r="E31" s="17" t="n">
        <v>2011</v>
      </c>
      <c r="F31" s="19" t="s">
        <v>109</v>
      </c>
      <c r="G31" s="12" t="s">
        <v>110</v>
      </c>
      <c r="H31" s="5" t="s">
        <v>113</v>
      </c>
      <c r="I31" s="5" t="s">
        <v>588</v>
      </c>
      <c r="J31" s="5" t="s">
        <v>32</v>
      </c>
      <c r="K31" s="5" t="n">
        <v>2012</v>
      </c>
      <c r="L31" s="12" t="n">
        <v>24</v>
      </c>
      <c r="M31" s="6"/>
      <c r="N31" s="8"/>
    </row>
    <row r="32" customFormat="false" ht="15" hidden="false" customHeight="false" outlineLevel="0" collapsed="false">
      <c r="A32" s="5" t="n">
        <f aca="false">IF(B32&lt;&gt;"", COUNTA($B$2:B32), "")</f>
        <v>31</v>
      </c>
      <c r="B32" s="6" t="s">
        <v>64</v>
      </c>
      <c r="C32" s="12" t="s">
        <v>108</v>
      </c>
      <c r="D32" s="12" t="n">
        <v>25</v>
      </c>
      <c r="E32" s="17" t="n">
        <v>2011</v>
      </c>
      <c r="F32" s="19" t="s">
        <v>114</v>
      </c>
      <c r="G32" s="12" t="s">
        <v>110</v>
      </c>
      <c r="H32" s="5" t="s">
        <v>115</v>
      </c>
      <c r="I32" s="5" t="s">
        <v>588</v>
      </c>
      <c r="J32" s="5" t="s">
        <v>32</v>
      </c>
      <c r="K32" s="5" t="n">
        <v>2012</v>
      </c>
      <c r="L32" s="12" t="n">
        <v>24</v>
      </c>
      <c r="M32" s="6"/>
      <c r="N32" s="8"/>
    </row>
    <row r="33" customFormat="false" ht="15" hidden="false" customHeight="false" outlineLevel="0" collapsed="false">
      <c r="A33" s="5" t="n">
        <f aca="false">IF(B33&lt;&gt;"", COUNTA($B$2:B33), "")</f>
        <v>32</v>
      </c>
      <c r="B33" s="6" t="s">
        <v>64</v>
      </c>
      <c r="C33" s="12" t="s">
        <v>108</v>
      </c>
      <c r="D33" s="12" t="n">
        <v>29</v>
      </c>
      <c r="E33" s="17" t="n">
        <v>2011</v>
      </c>
      <c r="F33" s="19" t="s">
        <v>114</v>
      </c>
      <c r="G33" s="12" t="s">
        <v>110</v>
      </c>
      <c r="H33" s="5" t="s">
        <v>116</v>
      </c>
      <c r="I33" s="5" t="s">
        <v>588</v>
      </c>
      <c r="J33" s="5" t="s">
        <v>32</v>
      </c>
      <c r="K33" s="5" t="n">
        <v>2012</v>
      </c>
      <c r="L33" s="12" t="n">
        <v>24</v>
      </c>
      <c r="M33" s="6"/>
      <c r="N33" s="8"/>
    </row>
    <row r="34" customFormat="false" ht="15" hidden="false" customHeight="false" outlineLevel="0" collapsed="false">
      <c r="A34" s="5" t="n">
        <f aca="false">IF(B34&lt;&gt;"", COUNTA($B$2:B34), "")</f>
        <v>33</v>
      </c>
      <c r="B34" s="6" t="s">
        <v>64</v>
      </c>
      <c r="C34" s="12" t="s">
        <v>108</v>
      </c>
      <c r="D34" s="12" t="n">
        <v>13</v>
      </c>
      <c r="E34" s="17" t="n">
        <v>2011</v>
      </c>
      <c r="F34" s="19" t="s">
        <v>109</v>
      </c>
      <c r="G34" s="12" t="s">
        <v>110</v>
      </c>
      <c r="H34" s="5" t="s">
        <v>117</v>
      </c>
      <c r="I34" s="5" t="s">
        <v>588</v>
      </c>
      <c r="J34" s="5" t="s">
        <v>32</v>
      </c>
      <c r="K34" s="5" t="n">
        <v>2012</v>
      </c>
      <c r="L34" s="12" t="n">
        <v>24</v>
      </c>
      <c r="M34" s="6"/>
      <c r="N34" s="8"/>
    </row>
    <row r="35" customFormat="false" ht="15" hidden="false" customHeight="false" outlineLevel="0" collapsed="false">
      <c r="A35" s="5" t="n">
        <f aca="false">IF(B35&lt;&gt;"", COUNTA($B$2:B35), "")</f>
        <v>34</v>
      </c>
      <c r="B35" s="6" t="s">
        <v>64</v>
      </c>
      <c r="C35" s="12" t="s">
        <v>108</v>
      </c>
      <c r="D35" s="12" t="n">
        <v>35</v>
      </c>
      <c r="E35" s="17" t="n">
        <v>2011</v>
      </c>
      <c r="F35" s="19" t="s">
        <v>109</v>
      </c>
      <c r="G35" s="12" t="s">
        <v>110</v>
      </c>
      <c r="H35" s="5" t="s">
        <v>118</v>
      </c>
      <c r="I35" s="5" t="s">
        <v>588</v>
      </c>
      <c r="J35" s="5" t="s">
        <v>32</v>
      </c>
      <c r="K35" s="5" t="n">
        <v>2012</v>
      </c>
      <c r="L35" s="12" t="n">
        <v>24</v>
      </c>
      <c r="M35" s="6"/>
      <c r="N35" s="8"/>
    </row>
    <row r="36" customFormat="false" ht="1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5" t="s">
        <v>28</v>
      </c>
      <c r="D36" s="5" t="n">
        <v>15578</v>
      </c>
      <c r="E36" s="8" t="n">
        <v>2010</v>
      </c>
      <c r="F36" s="5" t="s">
        <v>119</v>
      </c>
      <c r="G36" s="5" t="n">
        <v>1.5</v>
      </c>
      <c r="H36" s="5" t="s">
        <v>120</v>
      </c>
      <c r="I36" s="8" t="s">
        <v>588</v>
      </c>
      <c r="J36" s="5" t="s">
        <v>32</v>
      </c>
      <c r="K36" s="5" t="n">
        <v>2015</v>
      </c>
      <c r="L36" s="5" t="n">
        <v>12</v>
      </c>
      <c r="M36" s="6" t="s">
        <v>33</v>
      </c>
      <c r="N36" s="8" t="s">
        <v>1</v>
      </c>
    </row>
    <row r="37" customFormat="false" ht="1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5" t="s">
        <v>121</v>
      </c>
      <c r="D37" s="5" t="n">
        <v>15158</v>
      </c>
      <c r="E37" s="8" t="n">
        <v>2010</v>
      </c>
      <c r="F37" s="5" t="s">
        <v>122</v>
      </c>
      <c r="G37" s="5" t="n">
        <v>1.5</v>
      </c>
      <c r="H37" s="5" t="s">
        <v>123</v>
      </c>
      <c r="I37" s="8" t="s">
        <v>588</v>
      </c>
      <c r="J37" s="5" t="s">
        <v>32</v>
      </c>
      <c r="K37" s="5" t="n">
        <v>2012</v>
      </c>
      <c r="L37" s="5" t="n">
        <v>12</v>
      </c>
      <c r="M37" s="6" t="s">
        <v>33</v>
      </c>
      <c r="N37" s="8" t="s">
        <v>1</v>
      </c>
    </row>
    <row r="38" customFormat="false" ht="15" hidden="false" customHeight="false" outlineLevel="0" collapsed="false">
      <c r="A38" s="5" t="n">
        <f aca="false">IF(B38&lt;&gt;"", COUNTA($B$2:B38), "")</f>
        <v>37</v>
      </c>
      <c r="B38" s="7" t="s">
        <v>93</v>
      </c>
      <c r="C38" s="8" t="s">
        <v>94</v>
      </c>
      <c r="D38" s="8" t="n">
        <v>1105087</v>
      </c>
      <c r="E38" s="17" t="n">
        <v>2011</v>
      </c>
      <c r="F38" s="20"/>
      <c r="G38" s="20"/>
      <c r="H38" s="5" t="s">
        <v>124</v>
      </c>
      <c r="I38" s="5" t="s">
        <v>588</v>
      </c>
      <c r="J38" s="5" t="s">
        <v>32</v>
      </c>
      <c r="K38" s="5" t="n">
        <v>2012</v>
      </c>
      <c r="L38" s="12"/>
      <c r="M38" s="6"/>
      <c r="N38" s="20"/>
    </row>
    <row r="39" customFormat="false" ht="22.5" hidden="false" customHeight="false" outlineLevel="0" collapsed="false">
      <c r="A39" s="5" t="n">
        <f aca="false">IF(B39&lt;&gt;"", COUNTA($B$2:B39), "")</f>
        <v>38</v>
      </c>
      <c r="B39" s="7" t="s">
        <v>125</v>
      </c>
      <c r="C39" s="8" t="s">
        <v>126</v>
      </c>
      <c r="D39" s="8" t="n">
        <v>1921</v>
      </c>
      <c r="E39" s="17" t="n">
        <v>2011</v>
      </c>
      <c r="F39" s="19" t="s">
        <v>127</v>
      </c>
      <c r="G39" s="20"/>
      <c r="H39" s="5" t="s">
        <v>128</v>
      </c>
      <c r="I39" s="5" t="s">
        <v>588</v>
      </c>
      <c r="J39" s="5" t="s">
        <v>32</v>
      </c>
      <c r="K39" s="5" t="n">
        <v>2012</v>
      </c>
      <c r="L39" s="20"/>
      <c r="M39" s="20"/>
      <c r="N39" s="20"/>
    </row>
    <row r="40" customFormat="false" ht="22.5" hidden="false" customHeight="false" outlineLevel="0" collapsed="false">
      <c r="A40" s="5" t="n">
        <f aca="false">IF(B40&lt;&gt;"", COUNTA($B$2:B40), "")</f>
        <v>39</v>
      </c>
      <c r="B40" s="7" t="s">
        <v>125</v>
      </c>
      <c r="C40" s="8" t="s">
        <v>126</v>
      </c>
      <c r="D40" s="8" t="n">
        <v>1922</v>
      </c>
      <c r="E40" s="17" t="n">
        <v>2011</v>
      </c>
      <c r="F40" s="19" t="s">
        <v>127</v>
      </c>
      <c r="G40" s="20"/>
      <c r="H40" s="5" t="s">
        <v>129</v>
      </c>
      <c r="I40" s="5" t="s">
        <v>588</v>
      </c>
      <c r="J40" s="5" t="s">
        <v>32</v>
      </c>
      <c r="K40" s="5" t="n">
        <v>2012</v>
      </c>
      <c r="L40" s="20"/>
      <c r="M40" s="20"/>
      <c r="N40" s="20"/>
    </row>
    <row r="41" customFormat="false" ht="22.5" hidden="false" customHeight="false" outlineLevel="0" collapsed="false">
      <c r="A41" s="5" t="n">
        <f aca="false">IF(B41&lt;&gt;"", COUNTA($B$2:B41), "")</f>
        <v>40</v>
      </c>
      <c r="B41" s="7" t="s">
        <v>125</v>
      </c>
      <c r="C41" s="8" t="s">
        <v>126</v>
      </c>
      <c r="D41" s="8" t="n">
        <v>1923</v>
      </c>
      <c r="E41" s="17" t="n">
        <v>2011</v>
      </c>
      <c r="F41" s="19" t="s">
        <v>127</v>
      </c>
      <c r="G41" s="20"/>
      <c r="H41" s="5" t="s">
        <v>130</v>
      </c>
      <c r="I41" s="5" t="s">
        <v>588</v>
      </c>
      <c r="J41" s="5" t="s">
        <v>32</v>
      </c>
      <c r="K41" s="5" t="n">
        <v>2012</v>
      </c>
      <c r="L41" s="20"/>
      <c r="M41" s="20"/>
      <c r="N41" s="20"/>
    </row>
    <row r="42" customFormat="false" ht="22.5" hidden="false" customHeight="false" outlineLevel="0" collapsed="false">
      <c r="A42" s="5" t="n">
        <f aca="false">IF(B42&lt;&gt;"", COUNTA($B$2:B42), "")</f>
        <v>41</v>
      </c>
      <c r="B42" s="18" t="s">
        <v>57</v>
      </c>
      <c r="C42" s="8" t="s">
        <v>131</v>
      </c>
      <c r="D42" s="8" t="s">
        <v>132</v>
      </c>
      <c r="E42" s="8" t="n">
        <v>2011</v>
      </c>
      <c r="F42" s="8" t="s">
        <v>133</v>
      </c>
      <c r="G42" s="8"/>
      <c r="H42" s="8" t="s">
        <v>134</v>
      </c>
      <c r="I42" s="5" t="s">
        <v>588</v>
      </c>
      <c r="J42" s="5" t="s">
        <v>32</v>
      </c>
      <c r="K42" s="5" t="n">
        <v>2012</v>
      </c>
      <c r="L42" s="30"/>
      <c r="M42" s="30"/>
      <c r="N42" s="30"/>
    </row>
    <row r="43" customFormat="false" ht="22.5" hidden="false" customHeight="false" outlineLevel="0" collapsed="false">
      <c r="A43" s="5" t="n">
        <f aca="false">IF(B43&lt;&gt;"", COUNTA($B$2:B43), "")</f>
        <v>42</v>
      </c>
      <c r="B43" s="18" t="s">
        <v>57</v>
      </c>
      <c r="C43" s="8" t="s">
        <v>135</v>
      </c>
      <c r="D43" s="8" t="s">
        <v>589</v>
      </c>
      <c r="E43" s="8" t="n">
        <v>2011</v>
      </c>
      <c r="F43" s="8" t="s">
        <v>136</v>
      </c>
      <c r="G43" s="8"/>
      <c r="H43" s="5" t="s">
        <v>137</v>
      </c>
      <c r="I43" s="5" t="s">
        <v>588</v>
      </c>
      <c r="J43" s="5" t="s">
        <v>32</v>
      </c>
      <c r="K43" s="5" t="n">
        <v>2012</v>
      </c>
      <c r="L43" s="30"/>
      <c r="M43" s="30"/>
      <c r="N43" s="30"/>
    </row>
    <row r="44" customFormat="false" ht="22.5" hidden="false" customHeight="false" outlineLevel="0" collapsed="false">
      <c r="A44" s="5" t="n">
        <f aca="false">IF(B44&lt;&gt;"", COUNTA($B$2:B44), "")</f>
        <v>43</v>
      </c>
      <c r="B44" s="18" t="s">
        <v>57</v>
      </c>
      <c r="C44" s="8" t="s">
        <v>138</v>
      </c>
      <c r="D44" s="8" t="n">
        <v>303055</v>
      </c>
      <c r="E44" s="8"/>
      <c r="F44" s="8" t="s">
        <v>139</v>
      </c>
      <c r="G44" s="8"/>
      <c r="H44" s="8" t="s">
        <v>140</v>
      </c>
      <c r="I44" s="5" t="s">
        <v>588</v>
      </c>
      <c r="J44" s="5" t="s">
        <v>32</v>
      </c>
      <c r="K44" s="5" t="n">
        <v>2012</v>
      </c>
      <c r="L44" s="30"/>
      <c r="M44" s="30"/>
      <c r="N44" s="30"/>
    </row>
    <row r="45" customFormat="false" ht="15" hidden="false" customHeight="false" outlineLevel="0" collapsed="false">
      <c r="A45" s="5" t="n">
        <f aca="false">IF(B45&lt;&gt;"", COUNTA($B$2:B45), "")</f>
        <v>44</v>
      </c>
      <c r="B45" s="8" t="s">
        <v>141</v>
      </c>
      <c r="C45" s="8" t="s">
        <v>142</v>
      </c>
      <c r="D45" s="8" t="n">
        <v>11024686</v>
      </c>
      <c r="E45" s="8" t="n">
        <v>2011</v>
      </c>
      <c r="F45" s="6" t="s">
        <v>143</v>
      </c>
      <c r="G45" s="8"/>
      <c r="H45" s="8" t="s">
        <v>141</v>
      </c>
      <c r="I45" s="5" t="s">
        <v>588</v>
      </c>
      <c r="J45" s="5" t="s">
        <v>32</v>
      </c>
      <c r="K45" s="5" t="n">
        <v>2012</v>
      </c>
      <c r="L45" s="30"/>
      <c r="M45" s="30"/>
      <c r="N45" s="30"/>
    </row>
    <row r="46" customFormat="false" ht="1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8" t="s">
        <v>144</v>
      </c>
      <c r="D46" s="15" t="s">
        <v>590</v>
      </c>
      <c r="E46" s="8" t="n">
        <v>2010</v>
      </c>
      <c r="F46" s="8" t="s">
        <v>29</v>
      </c>
      <c r="G46" s="8" t="n">
        <v>1.5</v>
      </c>
      <c r="H46" s="5" t="s">
        <v>145</v>
      </c>
      <c r="I46" s="8" t="s">
        <v>591</v>
      </c>
      <c r="J46" s="5" t="s">
        <v>32</v>
      </c>
      <c r="K46" s="5" t="n">
        <v>2012</v>
      </c>
      <c r="L46" s="5" t="n">
        <v>12</v>
      </c>
      <c r="M46" s="6" t="s">
        <v>33</v>
      </c>
      <c r="N46" s="8" t="s">
        <v>1</v>
      </c>
    </row>
    <row r="47" customFormat="false" ht="1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8" t="s">
        <v>144</v>
      </c>
      <c r="D47" s="15" t="s">
        <v>592</v>
      </c>
      <c r="E47" s="8" t="n">
        <v>2010</v>
      </c>
      <c r="F47" s="8" t="s">
        <v>593</v>
      </c>
      <c r="G47" s="8" t="n">
        <v>1.5</v>
      </c>
      <c r="H47" s="5" t="s">
        <v>147</v>
      </c>
      <c r="I47" s="8" t="s">
        <v>591</v>
      </c>
      <c r="J47" s="5" t="s">
        <v>32</v>
      </c>
      <c r="K47" s="5" t="n">
        <v>2012</v>
      </c>
      <c r="L47" s="5" t="n">
        <v>12</v>
      </c>
      <c r="M47" s="6" t="s">
        <v>33</v>
      </c>
      <c r="N47" s="8" t="s">
        <v>1</v>
      </c>
    </row>
    <row r="48" customFormat="false" ht="1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8" t="s">
        <v>144</v>
      </c>
      <c r="D48" s="15" t="s">
        <v>594</v>
      </c>
      <c r="E48" s="8" t="n">
        <v>2010</v>
      </c>
      <c r="F48" s="8" t="s">
        <v>595</v>
      </c>
      <c r="G48" s="8" t="n">
        <v>1.5</v>
      </c>
      <c r="H48" s="5" t="s">
        <v>148</v>
      </c>
      <c r="I48" s="8" t="s">
        <v>591</v>
      </c>
      <c r="J48" s="5" t="s">
        <v>32</v>
      </c>
      <c r="K48" s="5" t="n">
        <v>2012</v>
      </c>
      <c r="L48" s="5" t="n">
        <v>12</v>
      </c>
      <c r="M48" s="6" t="s">
        <v>33</v>
      </c>
      <c r="N48" s="8" t="s">
        <v>1</v>
      </c>
    </row>
    <row r="49" customFormat="false" ht="1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8" t="s">
        <v>144</v>
      </c>
      <c r="D49" s="15" t="s">
        <v>596</v>
      </c>
      <c r="E49" s="8" t="n">
        <v>2010</v>
      </c>
      <c r="F49" s="8" t="s">
        <v>597</v>
      </c>
      <c r="G49" s="8" t="n">
        <v>1.5</v>
      </c>
      <c r="H49" s="5" t="s">
        <v>149</v>
      </c>
      <c r="I49" s="8" t="s">
        <v>591</v>
      </c>
      <c r="J49" s="5" t="s">
        <v>32</v>
      </c>
      <c r="K49" s="5" t="n">
        <v>2012</v>
      </c>
      <c r="L49" s="5" t="n">
        <v>12</v>
      </c>
      <c r="M49" s="6" t="s">
        <v>33</v>
      </c>
      <c r="N49" s="8" t="s">
        <v>1</v>
      </c>
    </row>
    <row r="50" customFormat="false" ht="1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8" t="s">
        <v>144</v>
      </c>
      <c r="D50" s="15" t="s">
        <v>598</v>
      </c>
      <c r="E50" s="8" t="n">
        <v>2010</v>
      </c>
      <c r="F50" s="8" t="s">
        <v>599</v>
      </c>
      <c r="G50" s="8" t="n">
        <v>1.5</v>
      </c>
      <c r="H50" s="5" t="s">
        <v>150</v>
      </c>
      <c r="I50" s="8" t="s">
        <v>591</v>
      </c>
      <c r="J50" s="5" t="s">
        <v>32</v>
      </c>
      <c r="K50" s="5" t="n">
        <v>2012</v>
      </c>
      <c r="L50" s="5" t="n">
        <v>12</v>
      </c>
      <c r="M50" s="6" t="s">
        <v>33</v>
      </c>
      <c r="N50" s="8" t="s">
        <v>1</v>
      </c>
    </row>
    <row r="51" customFormat="false" ht="1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8" t="s">
        <v>144</v>
      </c>
      <c r="D51" s="15" t="s">
        <v>600</v>
      </c>
      <c r="E51" s="8" t="n">
        <v>2010</v>
      </c>
      <c r="F51" s="8" t="s">
        <v>601</v>
      </c>
      <c r="G51" s="8" t="n">
        <v>1.5</v>
      </c>
      <c r="H51" s="5" t="s">
        <v>151</v>
      </c>
      <c r="I51" s="8" t="s">
        <v>591</v>
      </c>
      <c r="J51" s="5" t="s">
        <v>32</v>
      </c>
      <c r="K51" s="5" t="n">
        <v>2012</v>
      </c>
      <c r="L51" s="5" t="n">
        <v>12</v>
      </c>
      <c r="M51" s="6" t="s">
        <v>33</v>
      </c>
      <c r="N51" s="8" t="s">
        <v>1</v>
      </c>
    </row>
    <row r="52" customFormat="false" ht="1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8" t="s">
        <v>144</v>
      </c>
      <c r="D52" s="15" t="s">
        <v>602</v>
      </c>
      <c r="E52" s="8" t="n">
        <v>2010</v>
      </c>
      <c r="F52" s="8" t="s">
        <v>603</v>
      </c>
      <c r="G52" s="8" t="n">
        <v>1</v>
      </c>
      <c r="H52" s="5" t="s">
        <v>152</v>
      </c>
      <c r="I52" s="8" t="s">
        <v>591</v>
      </c>
      <c r="J52" s="5" t="s">
        <v>32</v>
      </c>
      <c r="K52" s="5" t="n">
        <v>2012</v>
      </c>
      <c r="L52" s="5" t="n">
        <v>12</v>
      </c>
      <c r="M52" s="6" t="s">
        <v>33</v>
      </c>
      <c r="N52" s="8" t="s">
        <v>1</v>
      </c>
    </row>
    <row r="53" customFormat="false" ht="1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8" t="s">
        <v>144</v>
      </c>
      <c r="D53" s="15" t="s">
        <v>604</v>
      </c>
      <c r="E53" s="8" t="n">
        <v>2010</v>
      </c>
      <c r="F53" s="8" t="s">
        <v>605</v>
      </c>
      <c r="G53" s="8" t="n">
        <v>1</v>
      </c>
      <c r="H53" s="5" t="s">
        <v>153</v>
      </c>
      <c r="I53" s="8" t="s">
        <v>591</v>
      </c>
      <c r="J53" s="5" t="s">
        <v>32</v>
      </c>
      <c r="K53" s="5" t="n">
        <v>2012</v>
      </c>
      <c r="L53" s="5" t="n">
        <v>12</v>
      </c>
      <c r="M53" s="6" t="s">
        <v>33</v>
      </c>
      <c r="N53" s="8" t="s">
        <v>1</v>
      </c>
    </row>
    <row r="54" customFormat="false" ht="15" hidden="false" customHeight="false" outlineLevel="0" collapsed="false">
      <c r="A54" s="5" t="n">
        <f aca="false">IF(B54&lt;&gt;"", COUNTA($B$2:B54), "")</f>
        <v>53</v>
      </c>
      <c r="B54" s="12" t="s">
        <v>46</v>
      </c>
      <c r="C54" s="8" t="s">
        <v>154</v>
      </c>
      <c r="D54" s="15" t="s">
        <v>606</v>
      </c>
      <c r="E54" s="8" t="n">
        <v>2018</v>
      </c>
      <c r="F54" s="8" t="s">
        <v>156</v>
      </c>
      <c r="G54" s="8" t="n">
        <v>1.5</v>
      </c>
      <c r="H54" s="5" t="s">
        <v>157</v>
      </c>
      <c r="I54" s="8" t="s">
        <v>591</v>
      </c>
      <c r="J54" s="5" t="s">
        <v>32</v>
      </c>
      <c r="K54" s="5" t="n">
        <v>2019</v>
      </c>
      <c r="L54" s="5" t="n">
        <v>24</v>
      </c>
      <c r="M54" s="6" t="s">
        <v>158</v>
      </c>
      <c r="N54" s="8" t="s">
        <v>1</v>
      </c>
    </row>
    <row r="55" customFormat="false" ht="15" hidden="false" customHeight="false" outlineLevel="0" collapsed="false">
      <c r="A55" s="5" t="n">
        <f aca="false">IF(B55&lt;&gt;"", COUNTA($B$2:B55), "")</f>
        <v>54</v>
      </c>
      <c r="B55" s="12" t="s">
        <v>46</v>
      </c>
      <c r="C55" s="8" t="s">
        <v>154</v>
      </c>
      <c r="D55" s="15" t="s">
        <v>607</v>
      </c>
      <c r="E55" s="8" t="n">
        <v>2018</v>
      </c>
      <c r="F55" s="8" t="s">
        <v>156</v>
      </c>
      <c r="G55" s="8" t="n">
        <v>1.5</v>
      </c>
      <c r="H55" s="5" t="s">
        <v>160</v>
      </c>
      <c r="I55" s="8" t="s">
        <v>591</v>
      </c>
      <c r="J55" s="5" t="s">
        <v>32</v>
      </c>
      <c r="K55" s="5" t="n">
        <v>2019</v>
      </c>
      <c r="L55" s="5" t="n">
        <v>24</v>
      </c>
      <c r="M55" s="6" t="s">
        <v>158</v>
      </c>
      <c r="N55" s="8" t="s">
        <v>1</v>
      </c>
    </row>
    <row r="56" customFormat="false" ht="15" hidden="false" customHeight="false" outlineLevel="0" collapsed="false">
      <c r="A56" s="5" t="n">
        <f aca="false">IF(B56&lt;&gt;"", COUNTA($B$2:B56), "")</f>
        <v>55</v>
      </c>
      <c r="B56" s="12" t="s">
        <v>46</v>
      </c>
      <c r="C56" s="8" t="s">
        <v>608</v>
      </c>
      <c r="D56" s="15" t="s">
        <v>609</v>
      </c>
      <c r="E56" s="8" t="n">
        <v>2018</v>
      </c>
      <c r="F56" s="8" t="s">
        <v>610</v>
      </c>
      <c r="G56" s="8" t="n">
        <v>1.5</v>
      </c>
      <c r="H56" s="5" t="s">
        <v>162</v>
      </c>
      <c r="I56" s="8" t="s">
        <v>591</v>
      </c>
      <c r="J56" s="5" t="s">
        <v>32</v>
      </c>
      <c r="K56" s="5" t="n">
        <v>2019</v>
      </c>
      <c r="L56" s="5" t="n">
        <v>24</v>
      </c>
      <c r="M56" s="6" t="s">
        <v>158</v>
      </c>
      <c r="N56" s="8" t="s">
        <v>1</v>
      </c>
    </row>
    <row r="57" customFormat="false" ht="15" hidden="false" customHeight="false" outlineLevel="0" collapsed="false">
      <c r="A57" s="5" t="n">
        <f aca="false">IF(B57&lt;&gt;"", COUNTA($B$2:B57), "")</f>
        <v>56</v>
      </c>
      <c r="B57" s="12" t="s">
        <v>46</v>
      </c>
      <c r="C57" s="8" t="s">
        <v>154</v>
      </c>
      <c r="D57" s="15" t="s">
        <v>611</v>
      </c>
      <c r="E57" s="8" t="n">
        <v>2018</v>
      </c>
      <c r="F57" s="8" t="s">
        <v>156</v>
      </c>
      <c r="G57" s="8" t="n">
        <v>1.5</v>
      </c>
      <c r="H57" s="5" t="s">
        <v>164</v>
      </c>
      <c r="I57" s="8" t="s">
        <v>591</v>
      </c>
      <c r="J57" s="5" t="s">
        <v>32</v>
      </c>
      <c r="K57" s="5" t="n">
        <v>2019</v>
      </c>
      <c r="L57" s="5" t="n">
        <v>24</v>
      </c>
      <c r="M57" s="6" t="s">
        <v>158</v>
      </c>
      <c r="N57" s="8" t="s">
        <v>1</v>
      </c>
    </row>
    <row r="58" customFormat="false" ht="15" hidden="false" customHeight="false" outlineLevel="0" collapsed="false">
      <c r="A58" s="5" t="n">
        <f aca="false">IF(B58&lt;&gt;"", COUNTA($B$2:B58), "")</f>
        <v>57</v>
      </c>
      <c r="B58" s="12" t="s">
        <v>46</v>
      </c>
      <c r="C58" s="8" t="s">
        <v>154</v>
      </c>
      <c r="D58" s="15" t="s">
        <v>612</v>
      </c>
      <c r="E58" s="8" t="n">
        <v>2018</v>
      </c>
      <c r="F58" s="8" t="s">
        <v>156</v>
      </c>
      <c r="G58" s="8" t="n">
        <v>1.5</v>
      </c>
      <c r="H58" s="5" t="s">
        <v>166</v>
      </c>
      <c r="I58" s="8" t="s">
        <v>591</v>
      </c>
      <c r="J58" s="5" t="s">
        <v>32</v>
      </c>
      <c r="K58" s="5" t="n">
        <v>2019</v>
      </c>
      <c r="L58" s="5" t="n">
        <v>24</v>
      </c>
      <c r="M58" s="6" t="s">
        <v>158</v>
      </c>
      <c r="N58" s="8" t="s">
        <v>1</v>
      </c>
    </row>
    <row r="59" customFormat="false" ht="15" hidden="false" customHeight="false" outlineLevel="0" collapsed="false">
      <c r="A59" s="5" t="n">
        <f aca="false">IF(B59&lt;&gt;"", COUNTA($B$2:B59), "")</f>
        <v>58</v>
      </c>
      <c r="B59" s="12" t="s">
        <v>46</v>
      </c>
      <c r="C59" s="8" t="s">
        <v>47</v>
      </c>
      <c r="D59" s="15" t="s">
        <v>613</v>
      </c>
      <c r="E59" s="8" t="n">
        <v>2018</v>
      </c>
      <c r="F59" s="8" t="s">
        <v>156</v>
      </c>
      <c r="G59" s="8" t="n">
        <v>1.5</v>
      </c>
      <c r="H59" s="5" t="s">
        <v>168</v>
      </c>
      <c r="I59" s="8" t="s">
        <v>591</v>
      </c>
      <c r="J59" s="5" t="s">
        <v>32</v>
      </c>
      <c r="K59" s="5" t="n">
        <v>2019</v>
      </c>
      <c r="L59" s="5" t="n">
        <v>24</v>
      </c>
      <c r="M59" s="6" t="s">
        <v>158</v>
      </c>
      <c r="N59" s="8" t="s">
        <v>1</v>
      </c>
    </row>
    <row r="60" customFormat="false" ht="15" hidden="false" customHeight="false" outlineLevel="0" collapsed="false">
      <c r="A60" s="5" t="n">
        <f aca="false">IF(B60&lt;&gt;"", COUNTA($B$2:B60), "")</f>
        <v>59</v>
      </c>
      <c r="B60" s="12" t="s">
        <v>46</v>
      </c>
      <c r="C60" s="8" t="s">
        <v>154</v>
      </c>
      <c r="D60" s="15" t="s">
        <v>614</v>
      </c>
      <c r="E60" s="8" t="n">
        <v>2018</v>
      </c>
      <c r="F60" s="8" t="s">
        <v>156</v>
      </c>
      <c r="G60" s="8" t="n">
        <v>1.5</v>
      </c>
      <c r="H60" s="5" t="s">
        <v>170</v>
      </c>
      <c r="I60" s="8" t="s">
        <v>591</v>
      </c>
      <c r="J60" s="5" t="s">
        <v>32</v>
      </c>
      <c r="K60" s="5" t="n">
        <v>2019</v>
      </c>
      <c r="L60" s="5" t="n">
        <v>24</v>
      </c>
      <c r="M60" s="6" t="s">
        <v>158</v>
      </c>
      <c r="N60" s="8" t="s">
        <v>1</v>
      </c>
    </row>
    <row r="61" customFormat="false" ht="15" hidden="false" customHeight="false" outlineLevel="0" collapsed="false">
      <c r="A61" s="5" t="n">
        <f aca="false">IF(B61&lt;&gt;"", COUNTA($B$2:B61), "")</f>
        <v>60</v>
      </c>
      <c r="B61" s="12" t="s">
        <v>46</v>
      </c>
      <c r="C61" s="8" t="s">
        <v>154</v>
      </c>
      <c r="D61" s="15" t="s">
        <v>615</v>
      </c>
      <c r="E61" s="8" t="n">
        <v>2018</v>
      </c>
      <c r="F61" s="8" t="s">
        <v>156</v>
      </c>
      <c r="G61" s="8" t="n">
        <v>1.5</v>
      </c>
      <c r="H61" s="5" t="s">
        <v>172</v>
      </c>
      <c r="I61" s="8" t="s">
        <v>591</v>
      </c>
      <c r="J61" s="5" t="s">
        <v>32</v>
      </c>
      <c r="K61" s="5" t="n">
        <v>2019</v>
      </c>
      <c r="L61" s="5" t="n">
        <v>24</v>
      </c>
      <c r="M61" s="6" t="s">
        <v>158</v>
      </c>
      <c r="N61" s="8" t="s">
        <v>1</v>
      </c>
    </row>
    <row r="62" customFormat="false" ht="15" hidden="false" customHeight="false" outlineLevel="0" collapsed="false">
      <c r="A62" s="5" t="n">
        <f aca="false">IF(B62&lt;&gt;"", COUNTA($B$2:B62), "")</f>
        <v>61</v>
      </c>
      <c r="B62" s="7" t="s">
        <v>27</v>
      </c>
      <c r="C62" s="5" t="s">
        <v>28</v>
      </c>
      <c r="D62" s="15" t="s">
        <v>616</v>
      </c>
      <c r="E62" s="8" t="n">
        <v>2010</v>
      </c>
      <c r="F62" s="8" t="s">
        <v>29</v>
      </c>
      <c r="G62" s="8" t="n">
        <v>1</v>
      </c>
      <c r="H62" s="5" t="s">
        <v>175</v>
      </c>
      <c r="I62" s="8" t="s">
        <v>591</v>
      </c>
      <c r="J62" s="5" t="s">
        <v>32</v>
      </c>
      <c r="K62" s="5" t="n">
        <v>2012</v>
      </c>
      <c r="L62" s="5" t="n">
        <v>12</v>
      </c>
      <c r="M62" s="6" t="s">
        <v>33</v>
      </c>
      <c r="N62" s="8" t="s">
        <v>1</v>
      </c>
    </row>
    <row r="63" customFormat="false" ht="15" hidden="false" customHeight="false" outlineLevel="0" collapsed="false">
      <c r="A63" s="5" t="n">
        <f aca="false">IF(B63&lt;&gt;"", COUNTA($B$2:B63), "")</f>
        <v>62</v>
      </c>
      <c r="B63" s="7" t="s">
        <v>27</v>
      </c>
      <c r="C63" s="5" t="s">
        <v>28</v>
      </c>
      <c r="D63" s="15" t="s">
        <v>617</v>
      </c>
      <c r="E63" s="8" t="n">
        <v>2010</v>
      </c>
      <c r="F63" s="8" t="s">
        <v>593</v>
      </c>
      <c r="G63" s="8" t="n">
        <v>1</v>
      </c>
      <c r="H63" s="5" t="s">
        <v>177</v>
      </c>
      <c r="I63" s="8" t="s">
        <v>591</v>
      </c>
      <c r="J63" s="5" t="s">
        <v>32</v>
      </c>
      <c r="K63" s="5" t="n">
        <v>2012</v>
      </c>
      <c r="L63" s="5" t="n">
        <v>12</v>
      </c>
      <c r="M63" s="6" t="s">
        <v>33</v>
      </c>
      <c r="N63" s="8" t="s">
        <v>1</v>
      </c>
    </row>
    <row r="64" customFormat="false" ht="15" hidden="false" customHeight="false" outlineLevel="0" collapsed="false">
      <c r="A64" s="5" t="n">
        <f aca="false">IF(B64&lt;&gt;"", COUNTA($B$2:B64), "")</f>
        <v>63</v>
      </c>
      <c r="B64" s="7" t="s">
        <v>27</v>
      </c>
      <c r="C64" s="5" t="s">
        <v>28</v>
      </c>
      <c r="D64" s="5" t="n">
        <v>15302</v>
      </c>
      <c r="E64" s="8" t="n">
        <v>2010</v>
      </c>
      <c r="F64" s="5" t="s">
        <v>178</v>
      </c>
      <c r="G64" s="5" t="n">
        <v>1.5</v>
      </c>
      <c r="H64" s="5" t="s">
        <v>179</v>
      </c>
      <c r="I64" s="8" t="s">
        <v>591</v>
      </c>
      <c r="J64" s="5" t="s">
        <v>32</v>
      </c>
      <c r="K64" s="5" t="n">
        <v>2012</v>
      </c>
      <c r="L64" s="5" t="n">
        <v>12</v>
      </c>
      <c r="M64" s="6" t="s">
        <v>33</v>
      </c>
      <c r="N64" s="8" t="s">
        <v>1</v>
      </c>
    </row>
    <row r="65" customFormat="false" ht="22.5" hidden="false" customHeight="false" outlineLevel="0" collapsed="false">
      <c r="A65" s="5" t="n">
        <f aca="false">IF(B65&lt;&gt;"", COUNTA($B$2:B65), "")</f>
        <v>64</v>
      </c>
      <c r="B65" s="6" t="s">
        <v>64</v>
      </c>
      <c r="C65" s="19" t="s">
        <v>180</v>
      </c>
      <c r="D65" s="6" t="s">
        <v>618</v>
      </c>
      <c r="E65" s="17" t="n">
        <v>2011</v>
      </c>
      <c r="F65" s="19" t="s">
        <v>67</v>
      </c>
      <c r="G65" s="19" t="s">
        <v>68</v>
      </c>
      <c r="H65" s="6" t="s">
        <v>183</v>
      </c>
      <c r="I65" s="8" t="s">
        <v>591</v>
      </c>
      <c r="J65" s="5" t="s">
        <v>32</v>
      </c>
      <c r="K65" s="5" t="n">
        <v>2012</v>
      </c>
      <c r="L65" s="12" t="n">
        <v>24</v>
      </c>
      <c r="M65" s="6"/>
      <c r="N65" s="8"/>
    </row>
    <row r="66" customFormat="false" ht="22.5" hidden="false" customHeight="false" outlineLevel="0" collapsed="false">
      <c r="A66" s="5" t="n">
        <f aca="false">IF(B66&lt;&gt;"", COUNTA($B$2:B66), "")</f>
        <v>65</v>
      </c>
      <c r="B66" s="6" t="s">
        <v>64</v>
      </c>
      <c r="C66" s="19" t="s">
        <v>180</v>
      </c>
      <c r="D66" s="6" t="s">
        <v>619</v>
      </c>
      <c r="E66" s="17" t="n">
        <v>2011</v>
      </c>
      <c r="F66" s="19" t="s">
        <v>67</v>
      </c>
      <c r="G66" s="19" t="s">
        <v>68</v>
      </c>
      <c r="H66" s="6" t="s">
        <v>185</v>
      </c>
      <c r="I66" s="8" t="s">
        <v>591</v>
      </c>
      <c r="J66" s="5" t="s">
        <v>32</v>
      </c>
      <c r="K66" s="5" t="n">
        <v>2012</v>
      </c>
      <c r="L66" s="12" t="n">
        <v>24</v>
      </c>
      <c r="M66" s="6"/>
      <c r="N66" s="8"/>
    </row>
    <row r="67" customFormat="false" ht="22.5" hidden="false" customHeight="false" outlineLevel="0" collapsed="false">
      <c r="A67" s="5" t="n">
        <f aca="false">IF(B67&lt;&gt;"", COUNTA($B$2:B67), "")</f>
        <v>66</v>
      </c>
      <c r="B67" s="18" t="s">
        <v>57</v>
      </c>
      <c r="C67" s="5" t="s">
        <v>186</v>
      </c>
      <c r="D67" s="5" t="s">
        <v>620</v>
      </c>
      <c r="E67" s="16" t="n">
        <v>2012</v>
      </c>
      <c r="F67" s="12" t="s">
        <v>188</v>
      </c>
      <c r="G67" s="31" t="n">
        <v>0.0004</v>
      </c>
      <c r="H67" s="5" t="s">
        <v>189</v>
      </c>
      <c r="I67" s="8" t="s">
        <v>591</v>
      </c>
      <c r="J67" s="5" t="s">
        <v>32</v>
      </c>
      <c r="K67" s="5" t="n">
        <v>2012</v>
      </c>
      <c r="L67" s="12" t="n">
        <v>60</v>
      </c>
      <c r="M67" s="6"/>
      <c r="N67" s="8"/>
    </row>
    <row r="68" customFormat="false" ht="22.5" hidden="false" customHeight="false" outlineLevel="0" collapsed="false">
      <c r="A68" s="5" t="n">
        <f aca="false">IF(B68&lt;&gt;"", COUNTA($B$2:B68), "")</f>
        <v>67</v>
      </c>
      <c r="B68" s="18" t="s">
        <v>57</v>
      </c>
      <c r="C68" s="5" t="s">
        <v>190</v>
      </c>
      <c r="D68" s="5" t="s">
        <v>621</v>
      </c>
      <c r="E68" s="16" t="n">
        <v>2012</v>
      </c>
      <c r="F68" s="12" t="s">
        <v>192</v>
      </c>
      <c r="G68" s="31" t="n">
        <v>0.001</v>
      </c>
      <c r="H68" s="5" t="s">
        <v>193</v>
      </c>
      <c r="I68" s="8" t="s">
        <v>591</v>
      </c>
      <c r="J68" s="5" t="s">
        <v>32</v>
      </c>
      <c r="K68" s="5" t="n">
        <v>2012</v>
      </c>
      <c r="L68" s="12" t="n">
        <v>60</v>
      </c>
      <c r="M68" s="6"/>
      <c r="N68" s="8"/>
    </row>
    <row r="69" customFormat="false" ht="15" hidden="false" customHeight="false" outlineLevel="0" collapsed="false">
      <c r="A69" s="5" t="n">
        <f aca="false">IF(B69&lt;&gt;"", COUNTA($B$2:B69), "")</f>
        <v>68</v>
      </c>
      <c r="B69" s="6" t="s">
        <v>64</v>
      </c>
      <c r="C69" s="6" t="s">
        <v>198</v>
      </c>
      <c r="D69" s="6" t="s">
        <v>622</v>
      </c>
      <c r="E69" s="19" t="s">
        <v>200</v>
      </c>
      <c r="F69" s="19" t="s">
        <v>195</v>
      </c>
      <c r="G69" s="19" t="s">
        <v>68</v>
      </c>
      <c r="H69" s="6" t="s">
        <v>196</v>
      </c>
      <c r="I69" s="5" t="s">
        <v>623</v>
      </c>
      <c r="J69" s="5" t="s">
        <v>32</v>
      </c>
      <c r="K69" s="5"/>
      <c r="L69" s="5"/>
      <c r="M69" s="6"/>
      <c r="N69" s="8"/>
    </row>
    <row r="70" customFormat="false" ht="15" hidden="false" customHeight="false" outlineLevel="0" collapsed="false">
      <c r="A70" s="5" t="n">
        <f aca="false">IF(B70&lt;&gt;"", COUNTA($B$2:B70), "")</f>
        <v>69</v>
      </c>
      <c r="B70" s="6" t="s">
        <v>64</v>
      </c>
      <c r="C70" s="6" t="s">
        <v>198</v>
      </c>
      <c r="D70" s="6" t="s">
        <v>624</v>
      </c>
      <c r="E70" s="19" t="s">
        <v>200</v>
      </c>
      <c r="F70" s="19" t="s">
        <v>201</v>
      </c>
      <c r="G70" s="19" t="s">
        <v>68</v>
      </c>
      <c r="H70" s="6" t="s">
        <v>202</v>
      </c>
      <c r="I70" s="5" t="s">
        <v>623</v>
      </c>
      <c r="J70" s="5" t="s">
        <v>32</v>
      </c>
      <c r="K70" s="5"/>
      <c r="L70" s="5"/>
      <c r="M70" s="6"/>
      <c r="N70" s="8"/>
    </row>
    <row r="71" customFormat="false" ht="22.5" hidden="false" customHeight="false" outlineLevel="0" collapsed="false">
      <c r="A71" s="5" t="n">
        <f aca="false">IF(B71&lt;&gt;"", COUNTA($B$2:B71), "")</f>
        <v>70</v>
      </c>
      <c r="B71" s="6" t="s">
        <v>64</v>
      </c>
      <c r="C71" s="19" t="s">
        <v>625</v>
      </c>
      <c r="D71" s="6" t="s">
        <v>626</v>
      </c>
      <c r="E71" s="17" t="n">
        <v>2011</v>
      </c>
      <c r="F71" s="19" t="s">
        <v>195</v>
      </c>
      <c r="G71" s="19" t="s">
        <v>68</v>
      </c>
      <c r="H71" s="6" t="s">
        <v>204</v>
      </c>
      <c r="I71" s="5" t="s">
        <v>623</v>
      </c>
      <c r="J71" s="5" t="s">
        <v>32</v>
      </c>
      <c r="K71" s="5" t="n">
        <v>2012</v>
      </c>
      <c r="L71" s="12" t="n">
        <v>24</v>
      </c>
      <c r="M71" s="6" t="s">
        <v>627</v>
      </c>
      <c r="N71" s="8"/>
    </row>
    <row r="72" customFormat="false" ht="22.5" hidden="false" customHeight="false" outlineLevel="0" collapsed="false">
      <c r="A72" s="5" t="n">
        <f aca="false">IF(B72&lt;&gt;"", COUNTA($B$2:B72), "")</f>
        <v>71</v>
      </c>
      <c r="B72" s="6" t="s">
        <v>64</v>
      </c>
      <c r="C72" s="19" t="s">
        <v>203</v>
      </c>
      <c r="D72" s="17" t="n">
        <v>8</v>
      </c>
      <c r="E72" s="17" t="n">
        <v>2013</v>
      </c>
      <c r="F72" s="19" t="s">
        <v>201</v>
      </c>
      <c r="G72" s="19" t="s">
        <v>68</v>
      </c>
      <c r="H72" s="19" t="s">
        <v>206</v>
      </c>
      <c r="I72" s="5" t="s">
        <v>623</v>
      </c>
      <c r="J72" s="5" t="s">
        <v>32</v>
      </c>
      <c r="K72" s="5" t="n">
        <v>2012</v>
      </c>
      <c r="L72" s="12" t="n">
        <v>24</v>
      </c>
      <c r="M72" s="6"/>
      <c r="N72" s="8"/>
    </row>
    <row r="73" customFormat="false" ht="22.5" hidden="false" customHeight="false" outlineLevel="0" collapsed="false">
      <c r="A73" s="5" t="n">
        <f aca="false">IF(B73&lt;&gt;"", COUNTA($B$2:B73), "")</f>
        <v>72</v>
      </c>
      <c r="B73" s="7" t="s">
        <v>207</v>
      </c>
      <c r="C73" s="8" t="s">
        <v>208</v>
      </c>
      <c r="D73" s="10" t="s">
        <v>628</v>
      </c>
      <c r="E73" s="8" t="n">
        <v>2011</v>
      </c>
      <c r="F73" s="16" t="s">
        <v>209</v>
      </c>
      <c r="G73" s="8"/>
      <c r="H73" s="5" t="s">
        <v>210</v>
      </c>
      <c r="I73" s="5" t="s">
        <v>623</v>
      </c>
      <c r="J73" s="5" t="s">
        <v>32</v>
      </c>
      <c r="K73" s="5" t="n">
        <v>2012</v>
      </c>
      <c r="L73" s="5"/>
      <c r="M73" s="6"/>
      <c r="N73" s="8"/>
    </row>
    <row r="74" customFormat="false" ht="22.5" hidden="false" customHeight="false" outlineLevel="0" collapsed="false">
      <c r="A74" s="5" t="n">
        <f aca="false">IF(B74&lt;&gt;"", COUNTA($B$2:B74), "")</f>
        <v>73</v>
      </c>
      <c r="B74" s="7" t="s">
        <v>207</v>
      </c>
      <c r="C74" s="8" t="s">
        <v>208</v>
      </c>
      <c r="D74" s="10" t="n">
        <v>124778</v>
      </c>
      <c r="E74" s="8" t="n">
        <v>2011</v>
      </c>
      <c r="F74" s="16" t="s">
        <v>211</v>
      </c>
      <c r="G74" s="8"/>
      <c r="H74" s="5" t="s">
        <v>212</v>
      </c>
      <c r="I74" s="5" t="s">
        <v>623</v>
      </c>
      <c r="J74" s="5" t="s">
        <v>32</v>
      </c>
      <c r="K74" s="5" t="n">
        <v>2012</v>
      </c>
      <c r="L74" s="5"/>
      <c r="M74" s="6"/>
      <c r="N74" s="8"/>
    </row>
    <row r="75" customFormat="false" ht="22.5" hidden="false" customHeight="false" outlineLevel="0" collapsed="false">
      <c r="A75" s="5" t="n">
        <f aca="false">IF(B75&lt;&gt;"", COUNTA($B$2:B75), "")</f>
        <v>74</v>
      </c>
      <c r="B75" s="7" t="s">
        <v>207</v>
      </c>
      <c r="C75" s="8" t="s">
        <v>629</v>
      </c>
      <c r="D75" s="10" t="n">
        <v>125020</v>
      </c>
      <c r="E75" s="8" t="n">
        <v>2011</v>
      </c>
      <c r="F75" s="16" t="s">
        <v>214</v>
      </c>
      <c r="G75" s="8"/>
      <c r="H75" s="5" t="s">
        <v>215</v>
      </c>
      <c r="I75" s="5" t="s">
        <v>623</v>
      </c>
      <c r="J75" s="5" t="s">
        <v>32</v>
      </c>
      <c r="K75" s="5" t="n">
        <v>2012</v>
      </c>
      <c r="L75" s="5"/>
      <c r="M75" s="6"/>
      <c r="N75" s="8"/>
    </row>
    <row r="76" customFormat="false" ht="22.5" hidden="false" customHeight="false" outlineLevel="0" collapsed="false">
      <c r="A76" s="5" t="n">
        <f aca="false">IF(B76&lt;&gt;"", COUNTA($B$2:B76), "")</f>
        <v>75</v>
      </c>
      <c r="B76" s="7" t="s">
        <v>207</v>
      </c>
      <c r="C76" s="8" t="s">
        <v>208</v>
      </c>
      <c r="D76" s="10" t="n">
        <v>123243</v>
      </c>
      <c r="E76" s="8" t="n">
        <v>2011</v>
      </c>
      <c r="F76" s="16" t="s">
        <v>209</v>
      </c>
      <c r="G76" s="8"/>
      <c r="H76" s="5" t="s">
        <v>216</v>
      </c>
      <c r="I76" s="5" t="s">
        <v>623</v>
      </c>
      <c r="J76" s="5" t="s">
        <v>32</v>
      </c>
      <c r="K76" s="5" t="n">
        <v>2012</v>
      </c>
      <c r="L76" s="5"/>
      <c r="M76" s="6"/>
      <c r="N76" s="8"/>
    </row>
    <row r="77" customFormat="false" ht="15" hidden="false" customHeight="false" outlineLevel="0" collapsed="false">
      <c r="A77" s="5" t="n">
        <f aca="false">IF(B77&lt;&gt;"", COUNTA($B$2:B77), "")</f>
        <v>76</v>
      </c>
      <c r="B77" s="7" t="s">
        <v>207</v>
      </c>
      <c r="C77" s="8" t="s">
        <v>629</v>
      </c>
      <c r="D77" s="10" t="n">
        <v>122940</v>
      </c>
      <c r="E77" s="8" t="n">
        <v>2011</v>
      </c>
      <c r="F77" s="16" t="s">
        <v>217</v>
      </c>
      <c r="G77" s="8"/>
      <c r="H77" s="5" t="s">
        <v>218</v>
      </c>
      <c r="I77" s="5" t="s">
        <v>623</v>
      </c>
      <c r="J77" s="5" t="s">
        <v>32</v>
      </c>
      <c r="K77" s="5" t="n">
        <v>2012</v>
      </c>
      <c r="L77" s="5"/>
      <c r="M77" s="6"/>
      <c r="N77" s="8"/>
    </row>
    <row r="78" customFormat="false" ht="33.75" hidden="false" customHeight="false" outlineLevel="0" collapsed="false">
      <c r="A78" s="5" t="n">
        <f aca="false">IF(B78&lt;&gt;"", COUNTA($B$2:B78), "")</f>
        <v>77</v>
      </c>
      <c r="B78" s="6" t="s">
        <v>64</v>
      </c>
      <c r="C78" s="19" t="s">
        <v>65</v>
      </c>
      <c r="D78" s="6" t="s">
        <v>630</v>
      </c>
      <c r="E78" s="17" t="n">
        <v>2011</v>
      </c>
      <c r="F78" s="19" t="s">
        <v>67</v>
      </c>
      <c r="G78" s="19" t="s">
        <v>68</v>
      </c>
      <c r="H78" s="6" t="s">
        <v>220</v>
      </c>
      <c r="I78" s="5" t="s">
        <v>623</v>
      </c>
      <c r="J78" s="5" t="s">
        <v>32</v>
      </c>
      <c r="K78" s="5" t="n">
        <v>2012</v>
      </c>
      <c r="L78" s="12" t="n">
        <v>24</v>
      </c>
      <c r="M78" s="6"/>
      <c r="N78" s="8"/>
    </row>
    <row r="79" customFormat="false" ht="15" hidden="false" customHeight="false" outlineLevel="0" collapsed="false">
      <c r="A79" s="5" t="n">
        <f aca="false">IF(B79&lt;&gt;"", COUNTA($B$2:B79), "")</f>
        <v>78</v>
      </c>
      <c r="B79" s="6" t="s">
        <v>221</v>
      </c>
      <c r="C79" s="12" t="s">
        <v>222</v>
      </c>
      <c r="D79" s="5" t="s">
        <v>631</v>
      </c>
      <c r="E79" s="17" t="n">
        <v>2011</v>
      </c>
      <c r="F79" s="12" t="s">
        <v>224</v>
      </c>
      <c r="G79" s="32" t="n">
        <v>0.03</v>
      </c>
      <c r="H79" s="5" t="s">
        <v>225</v>
      </c>
      <c r="I79" s="5" t="s">
        <v>623</v>
      </c>
      <c r="J79" s="5" t="s">
        <v>32</v>
      </c>
      <c r="K79" s="5" t="n">
        <v>2012</v>
      </c>
      <c r="L79" s="12" t="n">
        <v>36</v>
      </c>
      <c r="M79" s="6"/>
      <c r="N79" s="8"/>
    </row>
    <row r="80" customFormat="false" ht="22.5" hidden="false" customHeight="false" outlineLevel="0" collapsed="false">
      <c r="A80" s="5" t="n">
        <f aca="false">IF(B80&lt;&gt;"", COUNTA($B$2:B80), "")</f>
        <v>79</v>
      </c>
      <c r="B80" s="18" t="s">
        <v>57</v>
      </c>
      <c r="C80" s="5" t="s">
        <v>226</v>
      </c>
      <c r="D80" s="5" t="n">
        <v>1066253</v>
      </c>
      <c r="E80" s="17" t="n">
        <v>2011</v>
      </c>
      <c r="F80" s="12" t="s">
        <v>227</v>
      </c>
      <c r="G80" s="31" t="n">
        <v>0.002</v>
      </c>
      <c r="H80" s="5" t="s">
        <v>228</v>
      </c>
      <c r="I80" s="5" t="s">
        <v>623</v>
      </c>
      <c r="J80" s="5" t="s">
        <v>32</v>
      </c>
      <c r="K80" s="5" t="n">
        <v>2012</v>
      </c>
      <c r="L80" s="12" t="n">
        <v>48</v>
      </c>
      <c r="M80" s="6"/>
      <c r="N80" s="8"/>
    </row>
    <row r="81" customFormat="false" ht="22.5" hidden="false" customHeight="false" outlineLevel="0" collapsed="false">
      <c r="A81" s="5" t="n">
        <f aca="false">IF(B81&lt;&gt;"", COUNTA($B$2:B81), "")</f>
        <v>80</v>
      </c>
      <c r="B81" s="18" t="s">
        <v>57</v>
      </c>
      <c r="C81" s="12" t="s">
        <v>226</v>
      </c>
      <c r="D81" s="5" t="n">
        <v>1046015</v>
      </c>
      <c r="E81" s="17" t="n">
        <v>2011</v>
      </c>
      <c r="F81" s="12" t="s">
        <v>227</v>
      </c>
      <c r="G81" s="31" t="n">
        <v>0.002</v>
      </c>
      <c r="H81" s="5" t="s">
        <v>229</v>
      </c>
      <c r="I81" s="5" t="s">
        <v>623</v>
      </c>
      <c r="J81" s="5" t="s">
        <v>32</v>
      </c>
      <c r="K81" s="5" t="n">
        <v>2012</v>
      </c>
      <c r="L81" s="12" t="n">
        <v>48</v>
      </c>
      <c r="M81" s="6"/>
      <c r="N81" s="8"/>
    </row>
    <row r="82" customFormat="false" ht="22.5" hidden="false" customHeight="false" outlineLevel="0" collapsed="false">
      <c r="A82" s="5" t="n">
        <f aca="false">IF(B82&lt;&gt;"", COUNTA($B$2:B82), "")</f>
        <v>81</v>
      </c>
      <c r="B82" s="18" t="s">
        <v>57</v>
      </c>
      <c r="C82" s="12" t="s">
        <v>230</v>
      </c>
      <c r="D82" s="12" t="n">
        <v>6128401</v>
      </c>
      <c r="E82" s="16" t="n">
        <v>2019</v>
      </c>
      <c r="F82" s="12" t="s">
        <v>192</v>
      </c>
      <c r="G82" s="19" t="s">
        <v>231</v>
      </c>
      <c r="H82" s="12" t="s">
        <v>232</v>
      </c>
      <c r="I82" s="5" t="s">
        <v>623</v>
      </c>
      <c r="J82" s="5" t="s">
        <v>32</v>
      </c>
      <c r="K82" s="5" t="n">
        <v>2019</v>
      </c>
      <c r="L82" s="12"/>
      <c r="M82" s="6"/>
      <c r="N82" s="8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18" t="s">
        <v>57</v>
      </c>
      <c r="C83" s="12" t="s">
        <v>233</v>
      </c>
      <c r="D83" s="12" t="n">
        <v>6128400</v>
      </c>
      <c r="E83" s="16" t="n">
        <v>2019</v>
      </c>
      <c r="F83" s="12" t="s">
        <v>234</v>
      </c>
      <c r="G83" s="19" t="s">
        <v>231</v>
      </c>
      <c r="H83" s="12" t="s">
        <v>235</v>
      </c>
      <c r="I83" s="5" t="s">
        <v>623</v>
      </c>
      <c r="J83" s="5" t="s">
        <v>32</v>
      </c>
      <c r="K83" s="5" t="n">
        <v>2019</v>
      </c>
      <c r="L83" s="12"/>
      <c r="M83" s="6"/>
      <c r="N83" s="8"/>
    </row>
    <row r="84" customFormat="false" ht="22.5" hidden="false" customHeight="false" outlineLevel="0" collapsed="false">
      <c r="A84" s="5" t="n">
        <f aca="false">IF(B84&lt;&gt;"", COUNTA($B$2:B84), "")</f>
        <v>83</v>
      </c>
      <c r="B84" s="18" t="s">
        <v>57</v>
      </c>
      <c r="C84" s="5" t="s">
        <v>632</v>
      </c>
      <c r="D84" s="5" t="n">
        <v>1372836</v>
      </c>
      <c r="E84" s="17" t="n">
        <v>2011</v>
      </c>
      <c r="F84" s="12" t="s">
        <v>238</v>
      </c>
      <c r="G84" s="60" t="n">
        <v>0.00075</v>
      </c>
      <c r="H84" s="5" t="s">
        <v>239</v>
      </c>
      <c r="I84" s="5" t="s">
        <v>623</v>
      </c>
      <c r="J84" s="5" t="s">
        <v>32</v>
      </c>
      <c r="K84" s="5" t="n">
        <v>2012</v>
      </c>
      <c r="L84" s="12" t="n">
        <v>60</v>
      </c>
      <c r="M84" s="6"/>
      <c r="N84" s="8"/>
    </row>
    <row r="85" customFormat="false" ht="22.5" hidden="false" customHeight="false" outlineLevel="0" collapsed="false">
      <c r="A85" s="5" t="n">
        <f aca="false">IF(B85&lt;&gt;"", COUNTA($B$2:B85), "")</f>
        <v>84</v>
      </c>
      <c r="B85" s="18" t="s">
        <v>57</v>
      </c>
      <c r="C85" s="5" t="s">
        <v>240</v>
      </c>
      <c r="D85" s="5" t="n">
        <v>1051198</v>
      </c>
      <c r="E85" s="17" t="n">
        <v>2011</v>
      </c>
      <c r="F85" s="12" t="s">
        <v>241</v>
      </c>
      <c r="G85" s="31" t="n">
        <v>0.002</v>
      </c>
      <c r="H85" s="5" t="s">
        <v>242</v>
      </c>
      <c r="I85" s="5" t="s">
        <v>623</v>
      </c>
      <c r="J85" s="5" t="s">
        <v>32</v>
      </c>
      <c r="K85" s="5" t="n">
        <v>2012</v>
      </c>
      <c r="L85" s="12" t="n">
        <v>48</v>
      </c>
      <c r="M85" s="6"/>
      <c r="N85" s="8"/>
    </row>
    <row r="86" customFormat="false" ht="22.5" hidden="false" customHeight="false" outlineLevel="0" collapsed="false">
      <c r="A86" s="5" t="n">
        <f aca="false">IF(B86&lt;&gt;"", COUNTA($B$2:B86), "")</f>
        <v>85</v>
      </c>
      <c r="B86" s="18" t="s">
        <v>57</v>
      </c>
      <c r="C86" s="5" t="s">
        <v>243</v>
      </c>
      <c r="D86" s="5" t="n">
        <v>1372831</v>
      </c>
      <c r="E86" s="17" t="n">
        <v>2011</v>
      </c>
      <c r="F86" s="12" t="s">
        <v>244</v>
      </c>
      <c r="G86" s="31" t="n">
        <v>0.001</v>
      </c>
      <c r="H86" s="5" t="s">
        <v>245</v>
      </c>
      <c r="I86" s="5" t="s">
        <v>623</v>
      </c>
      <c r="J86" s="5" t="s">
        <v>32</v>
      </c>
      <c r="K86" s="5" t="n">
        <v>2012</v>
      </c>
      <c r="L86" s="12" t="n">
        <v>60</v>
      </c>
      <c r="M86" s="6"/>
      <c r="N86" s="8"/>
    </row>
    <row r="87" customFormat="false" ht="22.5" hidden="false" customHeight="false" outlineLevel="0" collapsed="false">
      <c r="A87" s="5" t="n">
        <f aca="false">IF(B87&lt;&gt;"", COUNTA($B$2:B87), "")</f>
        <v>86</v>
      </c>
      <c r="B87" s="18" t="s">
        <v>57</v>
      </c>
      <c r="C87" s="5" t="s">
        <v>243</v>
      </c>
      <c r="D87" s="5" t="n">
        <v>1372829</v>
      </c>
      <c r="E87" s="17" t="n">
        <v>2011</v>
      </c>
      <c r="F87" s="12" t="s">
        <v>246</v>
      </c>
      <c r="G87" s="31" t="n">
        <v>0.001</v>
      </c>
      <c r="H87" s="5" t="s">
        <v>247</v>
      </c>
      <c r="I87" s="5" t="s">
        <v>623</v>
      </c>
      <c r="J87" s="5" t="s">
        <v>32</v>
      </c>
      <c r="K87" s="5" t="n">
        <v>2012</v>
      </c>
      <c r="L87" s="12" t="n">
        <v>60</v>
      </c>
      <c r="M87" s="6"/>
      <c r="N87" s="8"/>
    </row>
    <row r="88" customFormat="false" ht="22.5" hidden="false" customHeight="false" outlineLevel="0" collapsed="false">
      <c r="A88" s="5" t="n">
        <f aca="false">IF(B88&lt;&gt;"", COUNTA($B$2:B88), "")</f>
        <v>87</v>
      </c>
      <c r="B88" s="18" t="s">
        <v>57</v>
      </c>
      <c r="C88" s="5" t="s">
        <v>190</v>
      </c>
      <c r="D88" s="5" t="s">
        <v>633</v>
      </c>
      <c r="E88" s="16" t="n">
        <v>2012</v>
      </c>
      <c r="F88" s="12" t="s">
        <v>192</v>
      </c>
      <c r="G88" s="31" t="n">
        <v>0.001</v>
      </c>
      <c r="H88" s="5" t="s">
        <v>249</v>
      </c>
      <c r="I88" s="5" t="s">
        <v>623</v>
      </c>
      <c r="J88" s="5" t="s">
        <v>32</v>
      </c>
      <c r="K88" s="5" t="n">
        <v>2012</v>
      </c>
      <c r="L88" s="12" t="n">
        <v>60</v>
      </c>
      <c r="M88" s="6"/>
      <c r="N88" s="8"/>
    </row>
    <row r="89" customFormat="false" ht="22.5" hidden="false" customHeight="false" outlineLevel="0" collapsed="false">
      <c r="A89" s="5" t="n">
        <f aca="false">IF(B89&lt;&gt;"", COUNTA($B$2:B89), "")</f>
        <v>88</v>
      </c>
      <c r="B89" s="18" t="s">
        <v>57</v>
      </c>
      <c r="C89" s="5" t="s">
        <v>186</v>
      </c>
      <c r="D89" s="5" t="s">
        <v>634</v>
      </c>
      <c r="E89" s="16" t="n">
        <v>2012</v>
      </c>
      <c r="F89" s="12" t="s">
        <v>251</v>
      </c>
      <c r="G89" s="31" t="n">
        <v>0.0004</v>
      </c>
      <c r="H89" s="5" t="s">
        <v>252</v>
      </c>
      <c r="I89" s="5" t="s">
        <v>623</v>
      </c>
      <c r="J89" s="5" t="s">
        <v>32</v>
      </c>
      <c r="K89" s="5" t="n">
        <v>2012</v>
      </c>
      <c r="L89" s="12" t="n">
        <v>60</v>
      </c>
      <c r="M89" s="6"/>
      <c r="N89" s="8"/>
    </row>
    <row r="90" customFormat="false" ht="22.5" hidden="false" customHeight="false" outlineLevel="0" collapsed="false">
      <c r="A90" s="5" t="n">
        <f aca="false">IF(B90&lt;&gt;"", COUNTA($B$2:B90), "")</f>
        <v>89</v>
      </c>
      <c r="B90" s="18" t="s">
        <v>57</v>
      </c>
      <c r="C90" s="5" t="s">
        <v>186</v>
      </c>
      <c r="D90" s="5" t="s">
        <v>635</v>
      </c>
      <c r="E90" s="16" t="n">
        <v>2012</v>
      </c>
      <c r="F90" s="12" t="s">
        <v>254</v>
      </c>
      <c r="G90" s="31" t="n">
        <v>0.0004</v>
      </c>
      <c r="H90" s="5" t="s">
        <v>255</v>
      </c>
      <c r="I90" s="5" t="s">
        <v>623</v>
      </c>
      <c r="J90" s="5" t="s">
        <v>32</v>
      </c>
      <c r="K90" s="5" t="n">
        <v>2012</v>
      </c>
      <c r="L90" s="12" t="n">
        <v>60</v>
      </c>
      <c r="M90" s="6"/>
      <c r="N90" s="8"/>
    </row>
    <row r="91" customFormat="false" ht="22.5" hidden="false" customHeight="false" outlineLevel="0" collapsed="false">
      <c r="A91" s="5" t="n">
        <f aca="false">IF(B91&lt;&gt;"", COUNTA($B$2:B91), "")</f>
        <v>90</v>
      </c>
      <c r="B91" s="18" t="s">
        <v>57</v>
      </c>
      <c r="C91" s="5" t="s">
        <v>58</v>
      </c>
      <c r="D91" s="5" t="s">
        <v>636</v>
      </c>
      <c r="E91" s="16" t="n">
        <v>2010</v>
      </c>
      <c r="F91" s="12" t="s">
        <v>257</v>
      </c>
      <c r="G91" s="12" t="n">
        <v>0.075</v>
      </c>
      <c r="H91" s="5" t="s">
        <v>258</v>
      </c>
      <c r="I91" s="5" t="s">
        <v>623</v>
      </c>
      <c r="J91" s="5" t="s">
        <v>32</v>
      </c>
      <c r="K91" s="5" t="n">
        <v>2012</v>
      </c>
      <c r="L91" s="12" t="n">
        <v>36</v>
      </c>
      <c r="M91" s="6"/>
      <c r="N91" s="8"/>
    </row>
    <row r="92" customFormat="false" ht="22.5" hidden="false" customHeight="false" outlineLevel="0" collapsed="false">
      <c r="A92" s="5" t="n">
        <f aca="false">IF(B92&lt;&gt;"", COUNTA($B$2:B92), "")</f>
        <v>91</v>
      </c>
      <c r="B92" s="18" t="s">
        <v>57</v>
      </c>
      <c r="C92" s="5" t="s">
        <v>58</v>
      </c>
      <c r="D92" s="5" t="s">
        <v>637</v>
      </c>
      <c r="E92" s="17" t="n">
        <v>2011</v>
      </c>
      <c r="F92" s="12" t="s">
        <v>260</v>
      </c>
      <c r="G92" s="12" t="n">
        <v>0.075</v>
      </c>
      <c r="H92" s="5" t="s">
        <v>261</v>
      </c>
      <c r="I92" s="5" t="s">
        <v>623</v>
      </c>
      <c r="J92" s="5" t="s">
        <v>32</v>
      </c>
      <c r="K92" s="5" t="n">
        <v>2012</v>
      </c>
      <c r="L92" s="12" t="n">
        <v>36</v>
      </c>
      <c r="M92" s="6"/>
      <c r="N92" s="8"/>
    </row>
    <row r="93" customFormat="false" ht="22.5" hidden="false" customHeight="false" outlineLevel="0" collapsed="false">
      <c r="A93" s="5" t="n">
        <f aca="false">IF(B93&lt;&gt;"", COUNTA($B$2:B93), "")</f>
        <v>92</v>
      </c>
      <c r="B93" s="18" t="s">
        <v>57</v>
      </c>
      <c r="C93" s="5" t="s">
        <v>58</v>
      </c>
      <c r="D93" s="5" t="s">
        <v>638</v>
      </c>
      <c r="E93" s="17" t="n">
        <v>2011</v>
      </c>
      <c r="F93" s="12" t="s">
        <v>192</v>
      </c>
      <c r="G93" s="12" t="n">
        <v>0.075</v>
      </c>
      <c r="H93" s="5" t="s">
        <v>263</v>
      </c>
      <c r="I93" s="5" t="s">
        <v>623</v>
      </c>
      <c r="J93" s="5" t="s">
        <v>32</v>
      </c>
      <c r="K93" s="5" t="n">
        <v>2012</v>
      </c>
      <c r="L93" s="12" t="n">
        <v>36</v>
      </c>
      <c r="M93" s="6"/>
      <c r="N93" s="8"/>
    </row>
    <row r="94" customFormat="false" ht="22.5" hidden="false" customHeight="false" outlineLevel="0" collapsed="false">
      <c r="A94" s="5" t="n">
        <f aca="false">IF(B94&lt;&gt;"", COUNTA($B$2:B94), "")</f>
        <v>93</v>
      </c>
      <c r="B94" s="18" t="s">
        <v>57</v>
      </c>
      <c r="C94" s="5" t="s">
        <v>58</v>
      </c>
      <c r="D94" s="5" t="s">
        <v>639</v>
      </c>
      <c r="E94" s="16" t="n">
        <v>2010</v>
      </c>
      <c r="F94" s="6" t="s">
        <v>260</v>
      </c>
      <c r="G94" s="12" t="n">
        <v>0.075</v>
      </c>
      <c r="H94" s="5" t="s">
        <v>265</v>
      </c>
      <c r="I94" s="5" t="s">
        <v>623</v>
      </c>
      <c r="J94" s="5" t="s">
        <v>32</v>
      </c>
      <c r="K94" s="5" t="n">
        <v>2012</v>
      </c>
      <c r="L94" s="12" t="n">
        <v>36</v>
      </c>
      <c r="M94" s="6"/>
      <c r="N94" s="8"/>
    </row>
    <row r="95" customFormat="false" ht="22.5" hidden="false" customHeight="false" outlineLevel="0" collapsed="false">
      <c r="A95" s="5" t="n">
        <f aca="false">IF(B95&lt;&gt;"", COUNTA($B$2:B95), "")</f>
        <v>94</v>
      </c>
      <c r="B95" s="18" t="s">
        <v>57</v>
      </c>
      <c r="C95" s="5" t="s">
        <v>58</v>
      </c>
      <c r="D95" s="5" t="s">
        <v>640</v>
      </c>
      <c r="E95" s="17" t="n">
        <v>2011</v>
      </c>
      <c r="F95" s="6" t="s">
        <v>260</v>
      </c>
      <c r="G95" s="12" t="n">
        <v>0.075</v>
      </c>
      <c r="H95" s="5" t="s">
        <v>267</v>
      </c>
      <c r="I95" s="5" t="s">
        <v>623</v>
      </c>
      <c r="J95" s="5" t="s">
        <v>32</v>
      </c>
      <c r="K95" s="5" t="n">
        <v>2012</v>
      </c>
      <c r="L95" s="12" t="n">
        <v>36</v>
      </c>
      <c r="M95" s="6"/>
      <c r="N95" s="8"/>
    </row>
    <row r="96" customFormat="false" ht="33.75" hidden="false" customHeight="false" outlineLevel="0" collapsed="false">
      <c r="A96" s="5" t="n">
        <f aca="false">IF(B96&lt;&gt;"", COUNTA($B$2:B96), "")</f>
        <v>95</v>
      </c>
      <c r="B96" s="18" t="s">
        <v>57</v>
      </c>
      <c r="C96" s="5" t="s">
        <v>58</v>
      </c>
      <c r="D96" s="5" t="s">
        <v>641</v>
      </c>
      <c r="E96" s="17" t="n">
        <v>2011</v>
      </c>
      <c r="F96" s="6" t="s">
        <v>260</v>
      </c>
      <c r="G96" s="12" t="n">
        <v>0.075</v>
      </c>
      <c r="H96" s="5" t="s">
        <v>269</v>
      </c>
      <c r="I96" s="5" t="s">
        <v>623</v>
      </c>
      <c r="J96" s="5" t="s">
        <v>32</v>
      </c>
      <c r="K96" s="5" t="n">
        <v>2012</v>
      </c>
      <c r="L96" s="12" t="n">
        <v>36</v>
      </c>
      <c r="M96" s="6"/>
      <c r="N96" s="8"/>
    </row>
    <row r="97" customFormat="false" ht="22.5" hidden="false" customHeight="false" outlineLevel="0" collapsed="false">
      <c r="A97" s="5" t="n">
        <f aca="false">IF(B97&lt;&gt;"", COUNTA($B$2:B97), "")</f>
        <v>96</v>
      </c>
      <c r="B97" s="18" t="s">
        <v>57</v>
      </c>
      <c r="C97" s="5" t="s">
        <v>58</v>
      </c>
      <c r="D97" s="5" t="s">
        <v>642</v>
      </c>
      <c r="E97" s="16" t="n">
        <v>2010</v>
      </c>
      <c r="F97" s="6" t="s">
        <v>271</v>
      </c>
      <c r="G97" s="12" t="n">
        <v>0.075</v>
      </c>
      <c r="H97" s="5" t="s">
        <v>272</v>
      </c>
      <c r="I97" s="5" t="s">
        <v>623</v>
      </c>
      <c r="J97" s="5" t="s">
        <v>32</v>
      </c>
      <c r="K97" s="5" t="n">
        <v>2012</v>
      </c>
      <c r="L97" s="12" t="n">
        <v>36</v>
      </c>
      <c r="M97" s="6"/>
      <c r="N97" s="8"/>
    </row>
    <row r="98" customFormat="false" ht="22.5" hidden="false" customHeight="false" outlineLevel="0" collapsed="false">
      <c r="A98" s="5" t="n">
        <f aca="false">IF(B98&lt;&gt;"", COUNTA($B$2:B98), "")</f>
        <v>97</v>
      </c>
      <c r="B98" s="18" t="s">
        <v>57</v>
      </c>
      <c r="C98" s="5" t="s">
        <v>273</v>
      </c>
      <c r="D98" s="5" t="s">
        <v>643</v>
      </c>
      <c r="E98" s="17" t="n">
        <v>2011</v>
      </c>
      <c r="F98" s="12" t="s">
        <v>275</v>
      </c>
      <c r="G98" s="12" t="n">
        <v>0.075</v>
      </c>
      <c r="H98" s="5" t="s">
        <v>276</v>
      </c>
      <c r="I98" s="5" t="s">
        <v>623</v>
      </c>
      <c r="J98" s="5" t="s">
        <v>32</v>
      </c>
      <c r="K98" s="5" t="n">
        <v>2012</v>
      </c>
      <c r="L98" s="12" t="n">
        <v>36</v>
      </c>
      <c r="M98" s="6"/>
      <c r="N98" s="8"/>
    </row>
    <row r="99" customFormat="false" ht="22.5" hidden="false" customHeight="false" outlineLevel="0" collapsed="false">
      <c r="A99" s="5" t="n">
        <f aca="false">IF(B99&lt;&gt;"", COUNTA($B$2:B99), "")</f>
        <v>98</v>
      </c>
      <c r="B99" s="18" t="s">
        <v>57</v>
      </c>
      <c r="C99" s="5" t="s">
        <v>273</v>
      </c>
      <c r="D99" s="5" t="s">
        <v>644</v>
      </c>
      <c r="E99" s="17" t="n">
        <v>2011</v>
      </c>
      <c r="F99" s="12" t="s">
        <v>275</v>
      </c>
      <c r="G99" s="12" t="n">
        <v>0.075</v>
      </c>
      <c r="H99" s="5" t="s">
        <v>278</v>
      </c>
      <c r="I99" s="5" t="s">
        <v>623</v>
      </c>
      <c r="J99" s="5" t="s">
        <v>32</v>
      </c>
      <c r="K99" s="5" t="n">
        <v>2012</v>
      </c>
      <c r="L99" s="12" t="n">
        <v>36</v>
      </c>
      <c r="M99" s="6"/>
      <c r="N99" s="8"/>
    </row>
    <row r="100" customFormat="false" ht="22.5" hidden="false" customHeight="false" outlineLevel="0" collapsed="false">
      <c r="A100" s="5" t="n">
        <f aca="false">IF(B100&lt;&gt;"", COUNTA($B$2:B100), "")</f>
        <v>99</v>
      </c>
      <c r="B100" s="18" t="s">
        <v>57</v>
      </c>
      <c r="C100" s="5" t="s">
        <v>273</v>
      </c>
      <c r="D100" s="5" t="s">
        <v>645</v>
      </c>
      <c r="E100" s="17" t="n">
        <v>2011</v>
      </c>
      <c r="F100" s="6" t="s">
        <v>280</v>
      </c>
      <c r="G100" s="12" t="n">
        <v>0.075</v>
      </c>
      <c r="H100" s="5" t="s">
        <v>281</v>
      </c>
      <c r="I100" s="5" t="s">
        <v>623</v>
      </c>
      <c r="J100" s="5" t="s">
        <v>32</v>
      </c>
      <c r="K100" s="5" t="n">
        <v>2012</v>
      </c>
      <c r="L100" s="12" t="n">
        <v>36</v>
      </c>
      <c r="M100" s="6"/>
      <c r="N100" s="8"/>
    </row>
    <row r="101" customFormat="false" ht="33.75" hidden="false" customHeight="false" outlineLevel="0" collapsed="false">
      <c r="A101" s="5" t="n">
        <f aca="false">IF(B101&lt;&gt;"", COUNTA($B$2:B101), "")</f>
        <v>100</v>
      </c>
      <c r="B101" s="18" t="s">
        <v>57</v>
      </c>
      <c r="C101" s="5" t="s">
        <v>273</v>
      </c>
      <c r="D101" s="5" t="s">
        <v>646</v>
      </c>
      <c r="E101" s="17" t="n">
        <v>2011</v>
      </c>
      <c r="F101" s="12" t="s">
        <v>283</v>
      </c>
      <c r="G101" s="12" t="n">
        <v>0.075</v>
      </c>
      <c r="H101" s="5" t="s">
        <v>284</v>
      </c>
      <c r="I101" s="5" t="s">
        <v>623</v>
      </c>
      <c r="J101" s="5" t="s">
        <v>32</v>
      </c>
      <c r="K101" s="5" t="n">
        <v>2012</v>
      </c>
      <c r="L101" s="12" t="n">
        <v>36</v>
      </c>
      <c r="M101" s="6"/>
      <c r="N101" s="8"/>
    </row>
    <row r="102" customFormat="false" ht="22.5" hidden="false" customHeight="false" outlineLevel="0" collapsed="false">
      <c r="A102" s="5" t="n">
        <f aca="false">IF(B102&lt;&gt;"", COUNTA($B$2:B102), "")</f>
        <v>101</v>
      </c>
      <c r="B102" s="18" t="s">
        <v>57</v>
      </c>
      <c r="C102" s="5" t="s">
        <v>285</v>
      </c>
      <c r="D102" s="5" t="s">
        <v>647</v>
      </c>
      <c r="E102" s="17" t="n">
        <v>2011</v>
      </c>
      <c r="F102" s="6" t="s">
        <v>287</v>
      </c>
      <c r="G102" s="12" t="n">
        <v>0.075</v>
      </c>
      <c r="H102" s="5" t="s">
        <v>288</v>
      </c>
      <c r="I102" s="5" t="s">
        <v>623</v>
      </c>
      <c r="J102" s="5" t="s">
        <v>32</v>
      </c>
      <c r="K102" s="5" t="n">
        <v>2012</v>
      </c>
      <c r="L102" s="12" t="n">
        <v>36</v>
      </c>
      <c r="M102" s="6"/>
      <c r="N102" s="8"/>
    </row>
    <row r="103" customFormat="false" ht="22.5" hidden="false" customHeight="false" outlineLevel="0" collapsed="false">
      <c r="A103" s="5" t="n">
        <f aca="false">IF(B103&lt;&gt;"", COUNTA($B$2:B103), "")</f>
        <v>102</v>
      </c>
      <c r="B103" s="18" t="s">
        <v>57</v>
      </c>
      <c r="C103" s="5" t="s">
        <v>236</v>
      </c>
      <c r="D103" s="5" t="s">
        <v>648</v>
      </c>
      <c r="E103" s="17" t="n">
        <v>2011</v>
      </c>
      <c r="F103" s="6" t="s">
        <v>290</v>
      </c>
      <c r="G103" s="12" t="n">
        <v>0.075</v>
      </c>
      <c r="H103" s="5" t="s">
        <v>291</v>
      </c>
      <c r="I103" s="5" t="s">
        <v>623</v>
      </c>
      <c r="J103" s="5" t="s">
        <v>32</v>
      </c>
      <c r="K103" s="5" t="n">
        <v>2012</v>
      </c>
      <c r="L103" s="12" t="n">
        <v>36</v>
      </c>
      <c r="M103" s="6"/>
      <c r="N103" s="8"/>
    </row>
    <row r="104" customFormat="false" ht="33.75" hidden="false" customHeight="false" outlineLevel="0" collapsed="false">
      <c r="A104" s="5" t="n">
        <f aca="false">IF(B104&lt;&gt;"", COUNTA($B$2:B104), "")</f>
        <v>103</v>
      </c>
      <c r="B104" s="18" t="s">
        <v>57</v>
      </c>
      <c r="C104" s="5" t="s">
        <v>236</v>
      </c>
      <c r="D104" s="5" t="s">
        <v>649</v>
      </c>
      <c r="E104" s="17" t="n">
        <v>2011</v>
      </c>
      <c r="F104" s="6" t="s">
        <v>293</v>
      </c>
      <c r="G104" s="12" t="n">
        <v>0.075</v>
      </c>
      <c r="H104" s="5" t="s">
        <v>294</v>
      </c>
      <c r="I104" s="5" t="s">
        <v>623</v>
      </c>
      <c r="J104" s="5" t="s">
        <v>32</v>
      </c>
      <c r="K104" s="5" t="n">
        <v>2012</v>
      </c>
      <c r="L104" s="12" t="n">
        <v>36</v>
      </c>
      <c r="M104" s="6"/>
      <c r="N104" s="8"/>
    </row>
    <row r="105" customFormat="false" ht="33.75" hidden="false" customHeight="false" outlineLevel="0" collapsed="false">
      <c r="A105" s="5" t="n">
        <f aca="false">IF(B105&lt;&gt;"", COUNTA($B$2:B105), "")</f>
        <v>104</v>
      </c>
      <c r="B105" s="18" t="s">
        <v>57</v>
      </c>
      <c r="C105" s="5" t="s">
        <v>236</v>
      </c>
      <c r="D105" s="5" t="s">
        <v>650</v>
      </c>
      <c r="E105" s="17" t="n">
        <v>2011</v>
      </c>
      <c r="F105" s="6" t="s">
        <v>293</v>
      </c>
      <c r="G105" s="12" t="n">
        <v>0.075</v>
      </c>
      <c r="H105" s="5" t="s">
        <v>296</v>
      </c>
      <c r="I105" s="5" t="s">
        <v>623</v>
      </c>
      <c r="J105" s="5" t="s">
        <v>32</v>
      </c>
      <c r="K105" s="5" t="n">
        <v>2012</v>
      </c>
      <c r="L105" s="12" t="n">
        <v>36</v>
      </c>
      <c r="M105" s="6"/>
      <c r="N105" s="8"/>
    </row>
    <row r="106" customFormat="false" ht="22.5" hidden="false" customHeight="false" outlineLevel="0" collapsed="false">
      <c r="A106" s="5" t="n">
        <f aca="false">IF(B106&lt;&gt;"", COUNTA($B$2:B106), "")</f>
        <v>105</v>
      </c>
      <c r="B106" s="18" t="s">
        <v>57</v>
      </c>
      <c r="C106" s="5" t="s">
        <v>236</v>
      </c>
      <c r="D106" s="5" t="s">
        <v>651</v>
      </c>
      <c r="E106" s="17" t="n">
        <v>2011</v>
      </c>
      <c r="F106" s="6" t="s">
        <v>246</v>
      </c>
      <c r="G106" s="12" t="n">
        <v>0.075</v>
      </c>
      <c r="H106" s="5" t="s">
        <v>298</v>
      </c>
      <c r="I106" s="5" t="s">
        <v>623</v>
      </c>
      <c r="J106" s="5" t="s">
        <v>32</v>
      </c>
      <c r="K106" s="5" t="n">
        <v>2012</v>
      </c>
      <c r="L106" s="12" t="n">
        <v>36</v>
      </c>
      <c r="M106" s="6"/>
      <c r="N106" s="8"/>
    </row>
    <row r="107" customFormat="false" ht="22.5" hidden="false" customHeight="false" outlineLevel="0" collapsed="false">
      <c r="A107" s="5" t="n">
        <f aca="false">IF(B107&lt;&gt;"", COUNTA($B$2:B107), "")</f>
        <v>106</v>
      </c>
      <c r="B107" s="18" t="s">
        <v>57</v>
      </c>
      <c r="C107" s="5" t="s">
        <v>236</v>
      </c>
      <c r="D107" s="5" t="s">
        <v>652</v>
      </c>
      <c r="E107" s="17" t="n">
        <v>2011</v>
      </c>
      <c r="F107" s="6" t="s">
        <v>300</v>
      </c>
      <c r="G107" s="12" t="n">
        <v>0.075</v>
      </c>
      <c r="H107" s="5" t="s">
        <v>301</v>
      </c>
      <c r="I107" s="5" t="s">
        <v>623</v>
      </c>
      <c r="J107" s="5" t="s">
        <v>32</v>
      </c>
      <c r="K107" s="5" t="n">
        <v>2012</v>
      </c>
      <c r="L107" s="12" t="n">
        <v>36</v>
      </c>
      <c r="M107" s="6"/>
      <c r="N107" s="8"/>
    </row>
    <row r="108" customFormat="false" ht="22.5" hidden="false" customHeight="false" outlineLevel="0" collapsed="false">
      <c r="A108" s="5" t="n">
        <f aca="false">IF(B108&lt;&gt;"", COUNTA($B$2:B108), "")</f>
        <v>107</v>
      </c>
      <c r="B108" s="18" t="s">
        <v>57</v>
      </c>
      <c r="C108" s="5" t="s">
        <v>236</v>
      </c>
      <c r="D108" s="5" t="s">
        <v>653</v>
      </c>
      <c r="E108" s="17" t="n">
        <v>2011</v>
      </c>
      <c r="F108" s="6" t="s">
        <v>303</v>
      </c>
      <c r="G108" s="12" t="n">
        <v>0.075</v>
      </c>
      <c r="H108" s="5" t="s">
        <v>304</v>
      </c>
      <c r="I108" s="5" t="s">
        <v>623</v>
      </c>
      <c r="J108" s="5" t="s">
        <v>32</v>
      </c>
      <c r="K108" s="5" t="n">
        <v>2012</v>
      </c>
      <c r="L108" s="12" t="n">
        <v>36</v>
      </c>
      <c r="M108" s="6"/>
      <c r="N108" s="8"/>
    </row>
    <row r="109" customFormat="false" ht="22.5" hidden="false" customHeight="false" outlineLevel="0" collapsed="false">
      <c r="A109" s="5" t="n">
        <f aca="false">IF(B109&lt;&gt;"", COUNTA($B$2:B109), "")</f>
        <v>108</v>
      </c>
      <c r="B109" s="18" t="s">
        <v>57</v>
      </c>
      <c r="C109" s="5" t="s">
        <v>236</v>
      </c>
      <c r="D109" s="5" t="s">
        <v>654</v>
      </c>
      <c r="E109" s="17" t="n">
        <v>2011</v>
      </c>
      <c r="F109" s="6" t="s">
        <v>306</v>
      </c>
      <c r="G109" s="12" t="n">
        <v>0.075</v>
      </c>
      <c r="H109" s="5" t="s">
        <v>307</v>
      </c>
      <c r="I109" s="5" t="s">
        <v>623</v>
      </c>
      <c r="J109" s="5" t="s">
        <v>32</v>
      </c>
      <c r="K109" s="5" t="n">
        <v>2012</v>
      </c>
      <c r="L109" s="12" t="n">
        <v>36</v>
      </c>
      <c r="M109" s="6"/>
      <c r="N109" s="8"/>
    </row>
    <row r="110" customFormat="false" ht="22.5" hidden="false" customHeight="false" outlineLevel="0" collapsed="false">
      <c r="A110" s="5" t="n">
        <f aca="false">IF(B110&lt;&gt;"", COUNTA($B$2:B110), "")</f>
        <v>109</v>
      </c>
      <c r="B110" s="18" t="s">
        <v>57</v>
      </c>
      <c r="C110" s="5" t="s">
        <v>236</v>
      </c>
      <c r="D110" s="5" t="s">
        <v>655</v>
      </c>
      <c r="E110" s="17" t="n">
        <v>2011</v>
      </c>
      <c r="F110" s="6" t="s">
        <v>309</v>
      </c>
      <c r="G110" s="12" t="n">
        <v>0.075</v>
      </c>
      <c r="H110" s="5" t="s">
        <v>310</v>
      </c>
      <c r="I110" s="5" t="s">
        <v>623</v>
      </c>
      <c r="J110" s="5" t="s">
        <v>32</v>
      </c>
      <c r="K110" s="5" t="n">
        <v>2012</v>
      </c>
      <c r="L110" s="12" t="n">
        <v>36</v>
      </c>
      <c r="M110" s="6"/>
      <c r="N110" s="8"/>
    </row>
    <row r="111" customFormat="false" ht="22.5" hidden="false" customHeight="false" outlineLevel="0" collapsed="false">
      <c r="A111" s="5" t="n">
        <f aca="false">IF(B111&lt;&gt;"", COUNTA($B$2:B111), "")</f>
        <v>110</v>
      </c>
      <c r="B111" s="18" t="s">
        <v>57</v>
      </c>
      <c r="C111" s="5" t="s">
        <v>236</v>
      </c>
      <c r="D111" s="5" t="s">
        <v>656</v>
      </c>
      <c r="E111" s="17" t="n">
        <v>2011</v>
      </c>
      <c r="F111" s="6" t="s">
        <v>309</v>
      </c>
      <c r="G111" s="12" t="n">
        <v>0.075</v>
      </c>
      <c r="H111" s="5" t="s">
        <v>312</v>
      </c>
      <c r="I111" s="5" t="s">
        <v>623</v>
      </c>
      <c r="J111" s="5" t="s">
        <v>32</v>
      </c>
      <c r="K111" s="5" t="n">
        <v>2012</v>
      </c>
      <c r="L111" s="12" t="n">
        <v>36</v>
      </c>
      <c r="M111" s="6"/>
      <c r="N111" s="8"/>
    </row>
    <row r="112" customFormat="false" ht="22.5" hidden="false" customHeight="false" outlineLevel="0" collapsed="false">
      <c r="A112" s="5" t="n">
        <f aca="false">IF(B112&lt;&gt;"", COUNTA($B$2:B112), "")</f>
        <v>111</v>
      </c>
      <c r="B112" s="18" t="s">
        <v>57</v>
      </c>
      <c r="C112" s="5" t="s">
        <v>313</v>
      </c>
      <c r="D112" s="5" t="s">
        <v>657</v>
      </c>
      <c r="E112" s="16" t="n">
        <v>2010</v>
      </c>
      <c r="F112" s="6" t="s">
        <v>315</v>
      </c>
      <c r="G112" s="12" t="n">
        <v>0.075</v>
      </c>
      <c r="H112" s="5" t="s">
        <v>316</v>
      </c>
      <c r="I112" s="5" t="s">
        <v>623</v>
      </c>
      <c r="J112" s="5" t="s">
        <v>32</v>
      </c>
      <c r="K112" s="5" t="n">
        <v>2012</v>
      </c>
      <c r="L112" s="12" t="n">
        <v>36</v>
      </c>
      <c r="M112" s="6"/>
      <c r="N112" s="8"/>
    </row>
    <row r="113" customFormat="false" ht="22.5" hidden="false" customHeight="false" outlineLevel="0" collapsed="false">
      <c r="A113" s="5" t="n">
        <f aca="false">IF(B113&lt;&gt;"", COUNTA($B$2:B113), "")</f>
        <v>112</v>
      </c>
      <c r="B113" s="18" t="s">
        <v>57</v>
      </c>
      <c r="C113" s="5" t="s">
        <v>313</v>
      </c>
      <c r="D113" s="5" t="s">
        <v>658</v>
      </c>
      <c r="E113" s="16" t="n">
        <v>2010</v>
      </c>
      <c r="F113" s="6" t="s">
        <v>318</v>
      </c>
      <c r="G113" s="12" t="n">
        <v>0.075</v>
      </c>
      <c r="H113" s="5" t="s">
        <v>319</v>
      </c>
      <c r="I113" s="5" t="s">
        <v>623</v>
      </c>
      <c r="J113" s="5" t="s">
        <v>32</v>
      </c>
      <c r="K113" s="5" t="n">
        <v>2012</v>
      </c>
      <c r="L113" s="12" t="n">
        <v>36</v>
      </c>
      <c r="M113" s="6"/>
      <c r="N113" s="8"/>
    </row>
    <row r="114" customFormat="false" ht="22.5" hidden="false" customHeight="false" outlineLevel="0" collapsed="false">
      <c r="A114" s="5" t="n">
        <f aca="false">IF(B114&lt;&gt;"", COUNTA($B$2:B114), "")</f>
        <v>113</v>
      </c>
      <c r="B114" s="18" t="s">
        <v>57</v>
      </c>
      <c r="C114" s="5" t="s">
        <v>313</v>
      </c>
      <c r="D114" s="5" t="s">
        <v>659</v>
      </c>
      <c r="E114" s="16" t="n">
        <v>2010</v>
      </c>
      <c r="F114" s="6" t="s">
        <v>321</v>
      </c>
      <c r="G114" s="12" t="n">
        <v>0.075</v>
      </c>
      <c r="H114" s="5" t="s">
        <v>322</v>
      </c>
      <c r="I114" s="5" t="s">
        <v>623</v>
      </c>
      <c r="J114" s="5" t="s">
        <v>32</v>
      </c>
      <c r="K114" s="5" t="n">
        <v>2012</v>
      </c>
      <c r="L114" s="12" t="n">
        <v>36</v>
      </c>
      <c r="M114" s="6"/>
      <c r="N114" s="8"/>
    </row>
    <row r="115" customFormat="false" ht="22.5" hidden="false" customHeight="false" outlineLevel="0" collapsed="false">
      <c r="A115" s="5" t="n">
        <f aca="false">IF(B115&lt;&gt;"", COUNTA($B$2:B115), "")</f>
        <v>114</v>
      </c>
      <c r="B115" s="18" t="s">
        <v>57</v>
      </c>
      <c r="C115" s="5" t="s">
        <v>313</v>
      </c>
      <c r="D115" s="5" t="s">
        <v>660</v>
      </c>
      <c r="E115" s="17" t="n">
        <v>2011</v>
      </c>
      <c r="F115" s="6" t="s">
        <v>293</v>
      </c>
      <c r="G115" s="12" t="n">
        <v>0.075</v>
      </c>
      <c r="H115" s="5" t="s">
        <v>324</v>
      </c>
      <c r="I115" s="5" t="s">
        <v>623</v>
      </c>
      <c r="J115" s="5" t="s">
        <v>32</v>
      </c>
      <c r="K115" s="5" t="n">
        <v>2012</v>
      </c>
      <c r="L115" s="12" t="n">
        <v>36</v>
      </c>
      <c r="M115" s="6"/>
      <c r="N115" s="8"/>
    </row>
    <row r="116" customFormat="false" ht="22.5" hidden="false" customHeight="false" outlineLevel="0" collapsed="false">
      <c r="A116" s="5" t="n">
        <f aca="false">IF(B116&lt;&gt;"", COUNTA($B$2:B116), "")</f>
        <v>115</v>
      </c>
      <c r="B116" s="18" t="s">
        <v>57</v>
      </c>
      <c r="C116" s="5" t="s">
        <v>313</v>
      </c>
      <c r="D116" s="5" t="s">
        <v>661</v>
      </c>
      <c r="E116" s="16" t="n">
        <v>2010</v>
      </c>
      <c r="F116" s="6" t="s">
        <v>321</v>
      </c>
      <c r="G116" s="12" t="n">
        <v>0.075</v>
      </c>
      <c r="H116" s="5" t="s">
        <v>326</v>
      </c>
      <c r="I116" s="5" t="s">
        <v>623</v>
      </c>
      <c r="J116" s="5" t="s">
        <v>32</v>
      </c>
      <c r="K116" s="5" t="n">
        <v>2012</v>
      </c>
      <c r="L116" s="12" t="n">
        <v>36</v>
      </c>
      <c r="M116" s="6"/>
      <c r="N116" s="8"/>
    </row>
    <row r="117" customFormat="false" ht="33.75" hidden="false" customHeight="false" outlineLevel="0" collapsed="false">
      <c r="A117" s="5" t="n">
        <f aca="false">IF(B117&lt;&gt;"", COUNTA($B$2:B117), "")</f>
        <v>116</v>
      </c>
      <c r="B117" s="18" t="s">
        <v>57</v>
      </c>
      <c r="C117" s="5" t="s">
        <v>313</v>
      </c>
      <c r="D117" s="5" t="s">
        <v>662</v>
      </c>
      <c r="E117" s="16" t="n">
        <v>2010</v>
      </c>
      <c r="F117" s="6" t="s">
        <v>293</v>
      </c>
      <c r="G117" s="12" t="n">
        <v>0.075</v>
      </c>
      <c r="H117" s="5" t="s">
        <v>328</v>
      </c>
      <c r="I117" s="5" t="s">
        <v>623</v>
      </c>
      <c r="J117" s="5" t="s">
        <v>32</v>
      </c>
      <c r="K117" s="5" t="n">
        <v>2012</v>
      </c>
      <c r="L117" s="12" t="n">
        <v>36</v>
      </c>
      <c r="M117" s="6"/>
      <c r="N117" s="8"/>
    </row>
    <row r="118" customFormat="false" ht="22.5" hidden="false" customHeight="false" outlineLevel="0" collapsed="false">
      <c r="A118" s="5" t="n">
        <f aca="false">IF(B118&lt;&gt;"", COUNTA($B$2:B118), "")</f>
        <v>117</v>
      </c>
      <c r="B118" s="18" t="s">
        <v>57</v>
      </c>
      <c r="C118" s="5" t="s">
        <v>313</v>
      </c>
      <c r="D118" s="5" t="s">
        <v>663</v>
      </c>
      <c r="E118" s="16" t="n">
        <v>2010</v>
      </c>
      <c r="F118" s="6" t="s">
        <v>136</v>
      </c>
      <c r="G118" s="12" t="n">
        <v>0.075</v>
      </c>
      <c r="H118" s="5" t="s">
        <v>330</v>
      </c>
      <c r="I118" s="5" t="s">
        <v>623</v>
      </c>
      <c r="J118" s="5" t="s">
        <v>32</v>
      </c>
      <c r="K118" s="5" t="n">
        <v>2012</v>
      </c>
      <c r="L118" s="12" t="n">
        <v>36</v>
      </c>
      <c r="M118" s="6"/>
      <c r="N118" s="8"/>
    </row>
    <row r="119" customFormat="false" ht="22.5" hidden="false" customHeight="false" outlineLevel="0" collapsed="false">
      <c r="A119" s="5" t="n">
        <f aca="false">IF(B119&lt;&gt;"", COUNTA($B$2:B119), "")</f>
        <v>118</v>
      </c>
      <c r="B119" s="6" t="s">
        <v>221</v>
      </c>
      <c r="C119" s="19" t="s">
        <v>331</v>
      </c>
      <c r="D119" s="6" t="s">
        <v>664</v>
      </c>
      <c r="E119" s="17" t="n">
        <v>2011</v>
      </c>
      <c r="F119" s="19" t="s">
        <v>333</v>
      </c>
      <c r="G119" s="19" t="s">
        <v>181</v>
      </c>
      <c r="H119" s="6" t="s">
        <v>334</v>
      </c>
      <c r="I119" s="5" t="s">
        <v>623</v>
      </c>
      <c r="J119" s="5" t="s">
        <v>32</v>
      </c>
      <c r="K119" s="5" t="n">
        <v>2012</v>
      </c>
      <c r="L119" s="12" t="n">
        <v>36</v>
      </c>
      <c r="M119" s="6"/>
      <c r="N119" s="8"/>
      <c r="O119" s="4" t="s">
        <v>335</v>
      </c>
    </row>
    <row r="120" customFormat="false" ht="22.5" hidden="false" customHeight="false" outlineLevel="0" collapsed="false">
      <c r="A120" s="5" t="n">
        <f aca="false">IF(B120&lt;&gt;"", COUNTA($B$2:B120), "")</f>
        <v>119</v>
      </c>
      <c r="B120" s="6" t="s">
        <v>221</v>
      </c>
      <c r="C120" s="19" t="s">
        <v>331</v>
      </c>
      <c r="D120" s="6" t="s">
        <v>665</v>
      </c>
      <c r="E120" s="17" t="n">
        <v>2011</v>
      </c>
      <c r="F120" s="19" t="s">
        <v>333</v>
      </c>
      <c r="G120" s="19" t="s">
        <v>181</v>
      </c>
      <c r="H120" s="6" t="s">
        <v>337</v>
      </c>
      <c r="I120" s="5" t="s">
        <v>623</v>
      </c>
      <c r="J120" s="5" t="s">
        <v>32</v>
      </c>
      <c r="K120" s="5" t="n">
        <v>2012</v>
      </c>
      <c r="L120" s="12" t="n">
        <v>36</v>
      </c>
      <c r="M120" s="6"/>
      <c r="N120" s="8"/>
      <c r="O120" s="4" t="s">
        <v>335</v>
      </c>
    </row>
    <row r="121" customFormat="false" ht="22.5" hidden="false" customHeight="false" outlineLevel="0" collapsed="false">
      <c r="A121" s="5" t="n">
        <f aca="false">IF(B121&lt;&gt;"", COUNTA($B$2:B121), "")</f>
        <v>120</v>
      </c>
      <c r="B121" s="6" t="s">
        <v>221</v>
      </c>
      <c r="C121" s="6" t="s">
        <v>338</v>
      </c>
      <c r="D121" s="6" t="s">
        <v>666</v>
      </c>
      <c r="E121" s="17" t="n">
        <v>2011</v>
      </c>
      <c r="F121" s="19" t="s">
        <v>340</v>
      </c>
      <c r="G121" s="19" t="s">
        <v>341</v>
      </c>
      <c r="H121" s="6" t="s">
        <v>342</v>
      </c>
      <c r="I121" s="5" t="s">
        <v>623</v>
      </c>
      <c r="J121" s="5" t="s">
        <v>32</v>
      </c>
      <c r="K121" s="5" t="n">
        <v>2012</v>
      </c>
      <c r="L121" s="12" t="n">
        <v>36</v>
      </c>
      <c r="M121" s="6"/>
      <c r="N121" s="8"/>
    </row>
    <row r="122" customFormat="false" ht="22.5" hidden="false" customHeight="false" outlineLevel="0" collapsed="false">
      <c r="A122" s="5" t="n">
        <f aca="false">IF(B122&lt;&gt;"", COUNTA($B$2:B122), "")</f>
        <v>121</v>
      </c>
      <c r="B122" s="6" t="s">
        <v>221</v>
      </c>
      <c r="C122" s="6" t="s">
        <v>338</v>
      </c>
      <c r="D122" s="6" t="s">
        <v>667</v>
      </c>
      <c r="E122" s="17" t="n">
        <v>2011</v>
      </c>
      <c r="F122" s="19" t="s">
        <v>340</v>
      </c>
      <c r="G122" s="12" t="n">
        <v>1.6</v>
      </c>
      <c r="H122" s="6" t="s">
        <v>344</v>
      </c>
      <c r="I122" s="5" t="s">
        <v>623</v>
      </c>
      <c r="J122" s="5" t="s">
        <v>32</v>
      </c>
      <c r="K122" s="5" t="n">
        <v>2012</v>
      </c>
      <c r="L122" s="12" t="n">
        <v>36</v>
      </c>
      <c r="M122" s="6"/>
      <c r="N122" s="8"/>
    </row>
    <row r="123" customFormat="false" ht="22.5" hidden="false" customHeight="false" outlineLevel="0" collapsed="false">
      <c r="A123" s="5" t="n">
        <f aca="false">IF(B123&lt;&gt;"", COUNTA($B$2:B124), "")</f>
        <v>123</v>
      </c>
      <c r="B123" s="5" t="s">
        <v>568</v>
      </c>
      <c r="C123" s="12" t="s">
        <v>345</v>
      </c>
      <c r="D123" s="12" t="s">
        <v>668</v>
      </c>
      <c r="E123" s="17" t="n">
        <v>2011</v>
      </c>
      <c r="F123" s="12" t="s">
        <v>54</v>
      </c>
      <c r="G123" s="12" t="s">
        <v>55</v>
      </c>
      <c r="H123" s="12" t="s">
        <v>347</v>
      </c>
      <c r="I123" s="5" t="s">
        <v>623</v>
      </c>
      <c r="J123" s="5" t="s">
        <v>32</v>
      </c>
      <c r="K123" s="5" t="n">
        <v>2012</v>
      </c>
      <c r="L123" s="12" t="n">
        <v>48</v>
      </c>
      <c r="M123" s="6"/>
      <c r="N123" s="8"/>
    </row>
    <row r="124" customFormat="false" ht="15" hidden="false" customHeight="false" outlineLevel="0" collapsed="false">
      <c r="A124" s="5" t="n">
        <f aca="false">IF(B124&lt;&gt;"", COUNTA($B$2:B124), "")</f>
        <v>123</v>
      </c>
      <c r="B124" s="5" t="s">
        <v>568</v>
      </c>
      <c r="C124" s="12" t="s">
        <v>348</v>
      </c>
      <c r="D124" s="5" t="s">
        <v>669</v>
      </c>
      <c r="E124" s="17" t="n">
        <v>2011</v>
      </c>
      <c r="F124" s="12"/>
      <c r="G124" s="12"/>
      <c r="H124" s="12" t="s">
        <v>350</v>
      </c>
      <c r="I124" s="5" t="s">
        <v>623</v>
      </c>
      <c r="J124" s="5" t="s">
        <v>32</v>
      </c>
      <c r="K124" s="5" t="n">
        <v>2012</v>
      </c>
      <c r="L124" s="12"/>
      <c r="M124" s="6"/>
      <c r="N124" s="8"/>
    </row>
    <row r="125" customFormat="false" ht="15" hidden="false" customHeight="false" outlineLevel="0" collapsed="false">
      <c r="A125" s="5" t="n">
        <f aca="false">IF(B125&lt;&gt;"", COUNTA($B$2:B125), "")</f>
        <v>124</v>
      </c>
      <c r="B125" s="5" t="s">
        <v>568</v>
      </c>
      <c r="C125" s="12" t="s">
        <v>348</v>
      </c>
      <c r="D125" s="12" t="s">
        <v>670</v>
      </c>
      <c r="E125" s="17" t="n">
        <v>2011</v>
      </c>
      <c r="F125" s="12"/>
      <c r="G125" s="12"/>
      <c r="H125" s="12" t="s">
        <v>352</v>
      </c>
      <c r="I125" s="5" t="s">
        <v>623</v>
      </c>
      <c r="J125" s="5" t="s">
        <v>32</v>
      </c>
      <c r="K125" s="5" t="n">
        <v>2012</v>
      </c>
      <c r="L125" s="12"/>
      <c r="M125" s="6"/>
      <c r="N125" s="8"/>
    </row>
    <row r="126" customFormat="false" ht="15" hidden="false" customHeight="false" outlineLevel="0" collapsed="false">
      <c r="A126" s="5" t="n">
        <f aca="false">IF(B126&lt;&gt;"", COUNTA($B$2:B126), "")</f>
        <v>125</v>
      </c>
      <c r="B126" s="5" t="s">
        <v>568</v>
      </c>
      <c r="C126" s="12" t="s">
        <v>353</v>
      </c>
      <c r="D126" s="12" t="s">
        <v>669</v>
      </c>
      <c r="E126" s="17" t="n">
        <v>2011</v>
      </c>
      <c r="F126" s="12"/>
      <c r="G126" s="12"/>
      <c r="H126" s="12" t="s">
        <v>355</v>
      </c>
      <c r="I126" s="5" t="s">
        <v>623</v>
      </c>
      <c r="J126" s="5" t="s">
        <v>32</v>
      </c>
      <c r="K126" s="5" t="n">
        <v>2012</v>
      </c>
      <c r="L126" s="12"/>
      <c r="M126" s="6"/>
      <c r="N126" s="8"/>
    </row>
    <row r="127" customFormat="false" ht="22.5" hidden="false" customHeight="false" outlineLevel="0" collapsed="false">
      <c r="A127" s="5" t="n">
        <f aca="false">IF(B127&lt;&gt;"", COUNTA($B$2:B127), "")</f>
        <v>126</v>
      </c>
      <c r="B127" s="5" t="s">
        <v>568</v>
      </c>
      <c r="C127" s="12" t="s">
        <v>345</v>
      </c>
      <c r="D127" s="12" t="s">
        <v>671</v>
      </c>
      <c r="E127" s="17" t="n">
        <v>2011</v>
      </c>
      <c r="F127" s="12" t="s">
        <v>54</v>
      </c>
      <c r="G127" s="12" t="s">
        <v>55</v>
      </c>
      <c r="H127" s="12" t="s">
        <v>357</v>
      </c>
      <c r="I127" s="5" t="s">
        <v>623</v>
      </c>
      <c r="J127" s="5" t="s">
        <v>32</v>
      </c>
      <c r="K127" s="5" t="n">
        <v>2012</v>
      </c>
      <c r="L127" s="12" t="n">
        <v>48</v>
      </c>
      <c r="M127" s="6"/>
      <c r="N127" s="8"/>
    </row>
    <row r="128" customFormat="false" ht="15" hidden="false" customHeight="false" outlineLevel="0" collapsed="false">
      <c r="A128" s="5" t="n">
        <f aca="false">IF(B128&lt;&gt;"", COUNTA($B$2:B128), "")</f>
        <v>127</v>
      </c>
      <c r="B128" s="5" t="s">
        <v>568</v>
      </c>
      <c r="C128" s="12" t="s">
        <v>348</v>
      </c>
      <c r="D128" s="12" t="s">
        <v>672</v>
      </c>
      <c r="E128" s="17" t="n">
        <v>2011</v>
      </c>
      <c r="F128" s="12"/>
      <c r="G128" s="12"/>
      <c r="H128" s="12" t="s">
        <v>359</v>
      </c>
      <c r="I128" s="5" t="s">
        <v>623</v>
      </c>
      <c r="J128" s="5" t="s">
        <v>32</v>
      </c>
      <c r="K128" s="5" t="n">
        <v>2012</v>
      </c>
      <c r="L128" s="12"/>
      <c r="M128" s="6"/>
      <c r="N128" s="8"/>
    </row>
    <row r="129" customFormat="false" ht="15" hidden="false" customHeight="false" outlineLevel="0" collapsed="false">
      <c r="A129" s="5" t="n">
        <f aca="false">IF(B129&lt;&gt;"", COUNTA($B$2:B129), "")</f>
        <v>128</v>
      </c>
      <c r="B129" s="5" t="s">
        <v>568</v>
      </c>
      <c r="C129" s="12" t="s">
        <v>348</v>
      </c>
      <c r="D129" s="12" t="s">
        <v>354</v>
      </c>
      <c r="E129" s="17" t="n">
        <v>2011</v>
      </c>
      <c r="F129" s="12"/>
      <c r="G129" s="12"/>
      <c r="H129" s="12" t="s">
        <v>361</v>
      </c>
      <c r="I129" s="5" t="s">
        <v>623</v>
      </c>
      <c r="J129" s="5" t="s">
        <v>32</v>
      </c>
      <c r="K129" s="5" t="n">
        <v>2012</v>
      </c>
      <c r="L129" s="12"/>
      <c r="M129" s="6"/>
      <c r="N129" s="8"/>
    </row>
    <row r="130" customFormat="false" ht="15" hidden="false" customHeight="false" outlineLevel="0" collapsed="false">
      <c r="A130" s="5" t="n">
        <f aca="false">IF(B130&lt;&gt;"", COUNTA($B$2:B130), "")</f>
        <v>129</v>
      </c>
      <c r="B130" s="5" t="s">
        <v>568</v>
      </c>
      <c r="C130" s="12" t="s">
        <v>353</v>
      </c>
      <c r="D130" s="12" t="s">
        <v>673</v>
      </c>
      <c r="E130" s="17" t="n">
        <v>2011</v>
      </c>
      <c r="F130" s="12"/>
      <c r="G130" s="12"/>
      <c r="H130" s="12" t="s">
        <v>363</v>
      </c>
      <c r="I130" s="5" t="s">
        <v>623</v>
      </c>
      <c r="J130" s="5" t="s">
        <v>32</v>
      </c>
      <c r="K130" s="5" t="n">
        <v>2012</v>
      </c>
      <c r="L130" s="12"/>
      <c r="M130" s="6"/>
      <c r="N130" s="8"/>
    </row>
    <row r="131" customFormat="false" ht="22.5" hidden="false" customHeight="false" outlineLevel="0" collapsed="false">
      <c r="A131" s="5" t="n">
        <f aca="false">IF(B131&lt;&gt;"", COUNTA($B$2:B131), "")</f>
        <v>130</v>
      </c>
      <c r="B131" s="5" t="s">
        <v>568</v>
      </c>
      <c r="C131" s="12" t="s">
        <v>345</v>
      </c>
      <c r="D131" s="12" t="s">
        <v>674</v>
      </c>
      <c r="E131" s="17" t="n">
        <v>2011</v>
      </c>
      <c r="F131" s="12" t="s">
        <v>54</v>
      </c>
      <c r="G131" s="12" t="s">
        <v>55</v>
      </c>
      <c r="H131" s="12" t="s">
        <v>365</v>
      </c>
      <c r="I131" s="5" t="s">
        <v>623</v>
      </c>
      <c r="J131" s="5" t="s">
        <v>32</v>
      </c>
      <c r="K131" s="5" t="n">
        <v>2012</v>
      </c>
      <c r="L131" s="12" t="n">
        <v>48</v>
      </c>
      <c r="M131" s="6"/>
      <c r="N131" s="8"/>
    </row>
    <row r="132" customFormat="false" ht="15" hidden="false" customHeight="false" outlineLevel="0" collapsed="false">
      <c r="A132" s="5" t="n">
        <f aca="false">IF(B132&lt;&gt;"", COUNTA($B$2:B132), "")</f>
        <v>131</v>
      </c>
      <c r="B132" s="5" t="s">
        <v>568</v>
      </c>
      <c r="C132" s="12" t="s">
        <v>348</v>
      </c>
      <c r="D132" s="12" t="s">
        <v>378</v>
      </c>
      <c r="E132" s="17" t="n">
        <v>2011</v>
      </c>
      <c r="F132" s="12"/>
      <c r="G132" s="12"/>
      <c r="H132" s="12" t="s">
        <v>367</v>
      </c>
      <c r="I132" s="5" t="s">
        <v>623</v>
      </c>
      <c r="J132" s="5" t="s">
        <v>32</v>
      </c>
      <c r="K132" s="5" t="n">
        <v>2012</v>
      </c>
      <c r="L132" s="12"/>
      <c r="M132" s="6"/>
      <c r="N132" s="8"/>
    </row>
    <row r="133" customFormat="false" ht="15" hidden="false" customHeight="false" outlineLevel="0" collapsed="false">
      <c r="A133" s="5" t="n">
        <f aca="false">IF(B133&lt;&gt;"", COUNTA($B$2:B133), "")</f>
        <v>132</v>
      </c>
      <c r="B133" s="5" t="s">
        <v>568</v>
      </c>
      <c r="C133" s="12" t="s">
        <v>348</v>
      </c>
      <c r="D133" s="12" t="s">
        <v>675</v>
      </c>
      <c r="E133" s="17" t="n">
        <v>2011</v>
      </c>
      <c r="F133" s="12"/>
      <c r="G133" s="12"/>
      <c r="H133" s="12" t="s">
        <v>369</v>
      </c>
      <c r="I133" s="5" t="s">
        <v>623</v>
      </c>
      <c r="J133" s="5" t="s">
        <v>32</v>
      </c>
      <c r="K133" s="5" t="n">
        <v>2012</v>
      </c>
      <c r="L133" s="12"/>
      <c r="M133" s="6"/>
      <c r="N133" s="8"/>
    </row>
    <row r="134" customFormat="false" ht="15" hidden="false" customHeight="false" outlineLevel="0" collapsed="false">
      <c r="A134" s="5" t="n">
        <f aca="false">IF(B134&lt;&gt;"", COUNTA($B$2:B134), "")</f>
        <v>133</v>
      </c>
      <c r="B134" s="5" t="s">
        <v>568</v>
      </c>
      <c r="C134" s="12" t="s">
        <v>353</v>
      </c>
      <c r="D134" s="12" t="s">
        <v>672</v>
      </c>
      <c r="E134" s="17" t="n">
        <v>2011</v>
      </c>
      <c r="F134" s="12"/>
      <c r="G134" s="12"/>
      <c r="H134" s="12" t="s">
        <v>371</v>
      </c>
      <c r="I134" s="5" t="s">
        <v>623</v>
      </c>
      <c r="J134" s="5" t="s">
        <v>32</v>
      </c>
      <c r="K134" s="5" t="n">
        <v>2012</v>
      </c>
      <c r="L134" s="12"/>
      <c r="M134" s="6"/>
      <c r="N134" s="8"/>
    </row>
    <row r="135" customFormat="false" ht="22.5" hidden="false" customHeight="false" outlineLevel="0" collapsed="false">
      <c r="A135" s="5" t="n">
        <f aca="false">IF(B135&lt;&gt;"", COUNTA($B$2:B135), "")</f>
        <v>134</v>
      </c>
      <c r="B135" s="5" t="s">
        <v>568</v>
      </c>
      <c r="C135" s="12" t="s">
        <v>345</v>
      </c>
      <c r="D135" s="12" t="s">
        <v>676</v>
      </c>
      <c r="E135" s="17" t="n">
        <v>2011</v>
      </c>
      <c r="F135" s="12" t="s">
        <v>54</v>
      </c>
      <c r="G135" s="12" t="s">
        <v>55</v>
      </c>
      <c r="H135" s="12" t="s">
        <v>373</v>
      </c>
      <c r="I135" s="5" t="s">
        <v>623</v>
      </c>
      <c r="J135" s="5" t="s">
        <v>32</v>
      </c>
      <c r="K135" s="5" t="n">
        <v>2012</v>
      </c>
      <c r="L135" s="12" t="n">
        <v>48</v>
      </c>
      <c r="M135" s="6"/>
      <c r="N135" s="8"/>
    </row>
    <row r="136" customFormat="false" ht="15" hidden="false" customHeight="false" outlineLevel="0" collapsed="false">
      <c r="A136" s="5" t="n">
        <f aca="false">IF(B136&lt;&gt;"", COUNTA($B$2:B136), "")</f>
        <v>135</v>
      </c>
      <c r="B136" s="5" t="s">
        <v>568</v>
      </c>
      <c r="C136" s="12" t="s">
        <v>348</v>
      </c>
      <c r="D136" s="12" t="s">
        <v>677</v>
      </c>
      <c r="E136" s="17" t="n">
        <v>2011</v>
      </c>
      <c r="F136" s="12"/>
      <c r="G136" s="12"/>
      <c r="H136" s="12" t="s">
        <v>375</v>
      </c>
      <c r="I136" s="5" t="s">
        <v>623</v>
      </c>
      <c r="J136" s="5" t="s">
        <v>32</v>
      </c>
      <c r="K136" s="5" t="n">
        <v>2012</v>
      </c>
      <c r="L136" s="12"/>
      <c r="M136" s="6"/>
      <c r="N136" s="8"/>
    </row>
    <row r="137" customFormat="false" ht="15" hidden="false" customHeight="false" outlineLevel="0" collapsed="false">
      <c r="A137" s="5" t="n">
        <f aca="false">IF(B137&lt;&gt;"", COUNTA($B$2:B137), "")</f>
        <v>136</v>
      </c>
      <c r="B137" s="5" t="s">
        <v>568</v>
      </c>
      <c r="C137" s="12" t="s">
        <v>348</v>
      </c>
      <c r="D137" s="12" t="s">
        <v>678</v>
      </c>
      <c r="E137" s="17" t="n">
        <v>2011</v>
      </c>
      <c r="F137" s="12"/>
      <c r="G137" s="12"/>
      <c r="H137" s="12" t="s">
        <v>377</v>
      </c>
      <c r="I137" s="5" t="s">
        <v>623</v>
      </c>
      <c r="J137" s="5" t="s">
        <v>32</v>
      </c>
      <c r="K137" s="5" t="n">
        <v>2012</v>
      </c>
      <c r="L137" s="12"/>
      <c r="M137" s="6"/>
      <c r="N137" s="8"/>
    </row>
    <row r="138" customFormat="false" ht="15" hidden="false" customHeight="false" outlineLevel="0" collapsed="false">
      <c r="A138" s="5" t="n">
        <f aca="false">IF(B138&lt;&gt;"", COUNTA($B$2:B138), "")</f>
        <v>137</v>
      </c>
      <c r="B138" s="5" t="s">
        <v>568</v>
      </c>
      <c r="C138" s="12" t="s">
        <v>353</v>
      </c>
      <c r="D138" s="12" t="s">
        <v>679</v>
      </c>
      <c r="E138" s="17" t="n">
        <v>2011</v>
      </c>
      <c r="F138" s="12"/>
      <c r="G138" s="12"/>
      <c r="H138" s="12" t="s">
        <v>379</v>
      </c>
      <c r="I138" s="5" t="s">
        <v>623</v>
      </c>
      <c r="J138" s="5" t="s">
        <v>32</v>
      </c>
      <c r="K138" s="5" t="n">
        <v>2012</v>
      </c>
      <c r="L138" s="12"/>
      <c r="M138" s="6"/>
      <c r="N138" s="8"/>
    </row>
    <row r="139" customFormat="false" ht="22.5" hidden="false" customHeight="false" outlineLevel="0" collapsed="false">
      <c r="A139" s="5" t="n">
        <f aca="false">IF(B139&lt;&gt;"", COUNTA($B$2:B139), "")</f>
        <v>138</v>
      </c>
      <c r="B139" s="5" t="s">
        <v>568</v>
      </c>
      <c r="C139" s="12" t="s">
        <v>380</v>
      </c>
      <c r="D139" s="12" t="n">
        <v>20408764</v>
      </c>
      <c r="E139" s="17" t="n">
        <v>2011</v>
      </c>
      <c r="F139" s="12" t="s">
        <v>89</v>
      </c>
      <c r="G139" s="12"/>
      <c r="H139" s="12" t="s">
        <v>381</v>
      </c>
      <c r="I139" s="5" t="s">
        <v>623</v>
      </c>
      <c r="J139" s="5" t="s">
        <v>32</v>
      </c>
      <c r="K139" s="5" t="n">
        <v>2012</v>
      </c>
      <c r="L139" s="12"/>
      <c r="M139" s="6"/>
      <c r="N139" s="8"/>
    </row>
    <row r="140" customFormat="false" ht="33.75" hidden="false" customHeight="false" outlineLevel="0" collapsed="false">
      <c r="A140" s="5" t="n">
        <f aca="false">IF(B140&lt;&gt;"", COUNTA($B$2:B140), "")</f>
        <v>139</v>
      </c>
      <c r="B140" s="6" t="s">
        <v>221</v>
      </c>
      <c r="C140" s="12" t="s">
        <v>382</v>
      </c>
      <c r="D140" s="12" t="s">
        <v>680</v>
      </c>
      <c r="E140" s="17" t="n">
        <v>2011</v>
      </c>
      <c r="F140" s="12" t="s">
        <v>384</v>
      </c>
      <c r="G140" s="12" t="s">
        <v>385</v>
      </c>
      <c r="H140" s="5" t="s">
        <v>386</v>
      </c>
      <c r="I140" s="5" t="s">
        <v>623</v>
      </c>
      <c r="J140" s="5" t="s">
        <v>32</v>
      </c>
      <c r="K140" s="5" t="n">
        <v>2012</v>
      </c>
      <c r="L140" s="12" t="n">
        <v>48</v>
      </c>
      <c r="M140" s="6"/>
      <c r="N140" s="8"/>
    </row>
    <row r="141" customFormat="false" ht="33.75" hidden="false" customHeight="false" outlineLevel="0" collapsed="false">
      <c r="A141" s="5" t="n">
        <f aca="false">IF(B141&lt;&gt;"", COUNTA($B$2:B141), "")</f>
        <v>140</v>
      </c>
      <c r="B141" s="12" t="s">
        <v>387</v>
      </c>
      <c r="C141" s="8" t="s">
        <v>388</v>
      </c>
      <c r="D141" s="12" t="s">
        <v>389</v>
      </c>
      <c r="E141" s="16" t="n">
        <v>2010</v>
      </c>
      <c r="F141" s="12" t="s">
        <v>390</v>
      </c>
      <c r="G141" s="12" t="s">
        <v>391</v>
      </c>
      <c r="H141" s="5" t="s">
        <v>392</v>
      </c>
      <c r="I141" s="5" t="s">
        <v>623</v>
      </c>
      <c r="J141" s="5" t="s">
        <v>32</v>
      </c>
      <c r="K141" s="5" t="n">
        <v>2012</v>
      </c>
      <c r="L141" s="12" t="n">
        <v>24</v>
      </c>
      <c r="M141" s="6"/>
      <c r="N141" s="8"/>
    </row>
    <row r="142" customFormat="false" ht="22.5" hidden="false" customHeight="false" outlineLevel="0" collapsed="false">
      <c r="A142" s="5" t="n">
        <f aca="false">IF(B142&lt;&gt;"", COUNTA($B$2:B142), "")</f>
        <v>141</v>
      </c>
      <c r="B142" s="12" t="s">
        <v>387</v>
      </c>
      <c r="C142" s="8" t="s">
        <v>388</v>
      </c>
      <c r="D142" s="12" t="s">
        <v>389</v>
      </c>
      <c r="E142" s="16" t="n">
        <v>2010</v>
      </c>
      <c r="F142" s="12" t="s">
        <v>390</v>
      </c>
      <c r="G142" s="12" t="s">
        <v>391</v>
      </c>
      <c r="H142" s="5" t="s">
        <v>393</v>
      </c>
      <c r="I142" s="5" t="s">
        <v>623</v>
      </c>
      <c r="J142" s="5" t="s">
        <v>32</v>
      </c>
      <c r="K142" s="5" t="n">
        <v>2012</v>
      </c>
      <c r="L142" s="12" t="n">
        <v>24</v>
      </c>
      <c r="M142" s="6"/>
      <c r="N142" s="8"/>
    </row>
    <row r="143" customFormat="false" ht="33.75" hidden="false" customHeight="false" outlineLevel="0" collapsed="false">
      <c r="A143" s="5" t="n">
        <f aca="false">IF(B143&lt;&gt;"", COUNTA($B$2:B143), "")</f>
        <v>142</v>
      </c>
      <c r="B143" s="12" t="s">
        <v>387</v>
      </c>
      <c r="C143" s="8" t="s">
        <v>388</v>
      </c>
      <c r="D143" s="12" t="s">
        <v>389</v>
      </c>
      <c r="E143" s="16" t="n">
        <v>2010</v>
      </c>
      <c r="F143" s="12" t="s">
        <v>390</v>
      </c>
      <c r="G143" s="12" t="s">
        <v>391</v>
      </c>
      <c r="H143" s="5" t="s">
        <v>394</v>
      </c>
      <c r="I143" s="5" t="s">
        <v>623</v>
      </c>
      <c r="J143" s="5" t="s">
        <v>32</v>
      </c>
      <c r="K143" s="5" t="n">
        <v>2012</v>
      </c>
      <c r="L143" s="12" t="n">
        <v>24</v>
      </c>
      <c r="M143" s="6"/>
      <c r="N143" s="8"/>
    </row>
    <row r="144" customFormat="false" ht="33.75" hidden="false" customHeight="false" outlineLevel="0" collapsed="false">
      <c r="A144" s="5" t="n">
        <f aca="false">IF(B144&lt;&gt;"", COUNTA($B$2:B144), "")</f>
        <v>143</v>
      </c>
      <c r="B144" s="12" t="s">
        <v>387</v>
      </c>
      <c r="C144" s="8" t="s">
        <v>388</v>
      </c>
      <c r="D144" s="12" t="s">
        <v>389</v>
      </c>
      <c r="E144" s="16" t="n">
        <v>2010</v>
      </c>
      <c r="F144" s="12" t="s">
        <v>390</v>
      </c>
      <c r="G144" s="12" t="s">
        <v>391</v>
      </c>
      <c r="H144" s="5" t="s">
        <v>395</v>
      </c>
      <c r="I144" s="5" t="s">
        <v>623</v>
      </c>
      <c r="J144" s="5" t="s">
        <v>32</v>
      </c>
      <c r="K144" s="5" t="n">
        <v>2012</v>
      </c>
      <c r="L144" s="12" t="n">
        <v>24</v>
      </c>
      <c r="M144" s="6"/>
      <c r="N144" s="8"/>
    </row>
    <row r="145" customFormat="false" ht="22.5" hidden="false" customHeight="false" outlineLevel="0" collapsed="false">
      <c r="A145" s="5" t="n">
        <f aca="false">IF(B145&lt;&gt;"", COUNTA($B$2:B145), "")</f>
        <v>144</v>
      </c>
      <c r="B145" s="12" t="s">
        <v>387</v>
      </c>
      <c r="C145" s="8" t="s">
        <v>388</v>
      </c>
      <c r="D145" s="12" t="s">
        <v>389</v>
      </c>
      <c r="E145" s="16" t="n">
        <v>2010</v>
      </c>
      <c r="F145" s="12" t="s">
        <v>390</v>
      </c>
      <c r="G145" s="12" t="s">
        <v>391</v>
      </c>
      <c r="H145" s="5" t="s">
        <v>396</v>
      </c>
      <c r="I145" s="5" t="s">
        <v>623</v>
      </c>
      <c r="J145" s="5" t="s">
        <v>32</v>
      </c>
      <c r="K145" s="5" t="n">
        <v>2012</v>
      </c>
      <c r="L145" s="12" t="n">
        <v>24</v>
      </c>
      <c r="M145" s="6"/>
      <c r="N145" s="8"/>
    </row>
    <row r="146" customFormat="false" ht="22.5" hidden="false" customHeight="false" outlineLevel="0" collapsed="false">
      <c r="A146" s="5" t="n">
        <f aca="false">IF(B146&lt;&gt;"", COUNTA($B$2:B146), "")</f>
        <v>145</v>
      </c>
      <c r="B146" s="12" t="s">
        <v>387</v>
      </c>
      <c r="C146" s="8" t="s">
        <v>397</v>
      </c>
      <c r="D146" s="12" t="s">
        <v>389</v>
      </c>
      <c r="E146" s="16" t="n">
        <v>2010</v>
      </c>
      <c r="F146" s="12" t="s">
        <v>398</v>
      </c>
      <c r="G146" s="12" t="s">
        <v>391</v>
      </c>
      <c r="H146" s="5" t="s">
        <v>399</v>
      </c>
      <c r="I146" s="5" t="s">
        <v>623</v>
      </c>
      <c r="J146" s="5" t="s">
        <v>32</v>
      </c>
      <c r="K146" s="5" t="n">
        <v>2012</v>
      </c>
      <c r="L146" s="12" t="n">
        <v>24</v>
      </c>
      <c r="M146" s="6"/>
      <c r="N146" s="8"/>
    </row>
    <row r="147" customFormat="false" ht="22.5" hidden="false" customHeight="false" outlineLevel="0" collapsed="false">
      <c r="A147" s="5" t="n">
        <f aca="false">IF(B147&lt;&gt;"", COUNTA($B$2:B147), "")</f>
        <v>146</v>
      </c>
      <c r="B147" s="6" t="s">
        <v>64</v>
      </c>
      <c r="C147" s="19" t="s">
        <v>400</v>
      </c>
      <c r="D147" s="6" t="s">
        <v>681</v>
      </c>
      <c r="E147" s="17" t="n">
        <v>2011</v>
      </c>
      <c r="F147" s="19" t="s">
        <v>67</v>
      </c>
      <c r="G147" s="19" t="s">
        <v>68</v>
      </c>
      <c r="H147" s="6" t="s">
        <v>402</v>
      </c>
      <c r="I147" s="5" t="s">
        <v>623</v>
      </c>
      <c r="J147" s="5" t="s">
        <v>32</v>
      </c>
      <c r="K147" s="5" t="n">
        <v>2012</v>
      </c>
      <c r="L147" s="12" t="n">
        <v>24</v>
      </c>
      <c r="M147" s="19" t="s">
        <v>572</v>
      </c>
      <c r="N147" s="8" t="s">
        <v>1</v>
      </c>
    </row>
    <row r="148" customFormat="false" ht="22.5" hidden="false" customHeight="false" outlineLevel="0" collapsed="false">
      <c r="A148" s="5" t="n">
        <f aca="false">IF(B148&lt;&gt;"", COUNTA($B$2:B148), "")</f>
        <v>147</v>
      </c>
      <c r="B148" s="6" t="s">
        <v>64</v>
      </c>
      <c r="C148" s="19" t="s">
        <v>400</v>
      </c>
      <c r="D148" s="6" t="s">
        <v>682</v>
      </c>
      <c r="E148" s="17" t="n">
        <v>2011</v>
      </c>
      <c r="F148" s="19" t="s">
        <v>67</v>
      </c>
      <c r="G148" s="19" t="s">
        <v>68</v>
      </c>
      <c r="H148" s="6" t="s">
        <v>404</v>
      </c>
      <c r="I148" s="5" t="s">
        <v>623</v>
      </c>
      <c r="J148" s="5" t="s">
        <v>32</v>
      </c>
      <c r="K148" s="5" t="n">
        <v>2012</v>
      </c>
      <c r="L148" s="12" t="n">
        <v>24</v>
      </c>
      <c r="M148" s="6" t="s">
        <v>683</v>
      </c>
      <c r="N148" s="8" t="s">
        <v>1</v>
      </c>
    </row>
    <row r="149" customFormat="false" ht="22.5" hidden="false" customHeight="false" outlineLevel="0" collapsed="false">
      <c r="A149" s="5" t="n">
        <f aca="false">IF(B149&lt;&gt;"", COUNTA($B$2:B149), "")</f>
        <v>148</v>
      </c>
      <c r="B149" s="6" t="s">
        <v>64</v>
      </c>
      <c r="C149" s="19" t="s">
        <v>400</v>
      </c>
      <c r="D149" s="17" t="n">
        <v>343</v>
      </c>
      <c r="E149" s="17" t="n">
        <v>2011</v>
      </c>
      <c r="F149" s="19" t="s">
        <v>67</v>
      </c>
      <c r="G149" s="19" t="s">
        <v>68</v>
      </c>
      <c r="H149" s="6" t="s">
        <v>406</v>
      </c>
      <c r="I149" s="5" t="s">
        <v>623</v>
      </c>
      <c r="J149" s="5" t="s">
        <v>32</v>
      </c>
      <c r="K149" s="5" t="n">
        <v>2012</v>
      </c>
      <c r="L149" s="12" t="n">
        <v>24</v>
      </c>
      <c r="M149" s="6" t="s">
        <v>683</v>
      </c>
      <c r="N149" s="8" t="s">
        <v>1</v>
      </c>
    </row>
    <row r="150" customFormat="false" ht="22.5" hidden="false" customHeight="false" outlineLevel="0" collapsed="false">
      <c r="A150" s="5" t="n">
        <f aca="false">IF(B150&lt;&gt;"", COUNTA($B$2:B150), "")</f>
        <v>149</v>
      </c>
      <c r="B150" s="6" t="s">
        <v>64</v>
      </c>
      <c r="C150" s="19" t="s">
        <v>400</v>
      </c>
      <c r="D150" s="6" t="s">
        <v>684</v>
      </c>
      <c r="E150" s="17" t="n">
        <v>2011</v>
      </c>
      <c r="F150" s="19" t="s">
        <v>67</v>
      </c>
      <c r="G150" s="19" t="s">
        <v>68</v>
      </c>
      <c r="H150" s="6" t="s">
        <v>408</v>
      </c>
      <c r="I150" s="5" t="s">
        <v>623</v>
      </c>
      <c r="J150" s="5" t="s">
        <v>32</v>
      </c>
      <c r="K150" s="5" t="n">
        <v>2012</v>
      </c>
      <c r="L150" s="12" t="n">
        <v>24</v>
      </c>
      <c r="M150" s="6" t="s">
        <v>683</v>
      </c>
      <c r="N150" s="8" t="s">
        <v>1</v>
      </c>
    </row>
    <row r="151" customFormat="false" ht="22.5" hidden="false" customHeight="false" outlineLevel="0" collapsed="false">
      <c r="A151" s="5" t="n">
        <f aca="false">IF(B151&lt;&gt;"", COUNTA($B$2:B151), "")</f>
        <v>150</v>
      </c>
      <c r="B151" s="6" t="s">
        <v>64</v>
      </c>
      <c r="C151" s="19" t="s">
        <v>409</v>
      </c>
      <c r="D151" s="17" t="s">
        <v>432</v>
      </c>
      <c r="E151" s="17" t="n">
        <v>2011</v>
      </c>
      <c r="F151" s="19" t="s">
        <v>67</v>
      </c>
      <c r="G151" s="19" t="s">
        <v>68</v>
      </c>
      <c r="H151" s="6" t="s">
        <v>411</v>
      </c>
      <c r="I151" s="5" t="s">
        <v>623</v>
      </c>
      <c r="J151" s="5" t="s">
        <v>32</v>
      </c>
      <c r="K151" s="5" t="n">
        <v>2012</v>
      </c>
      <c r="L151" s="12" t="n">
        <v>24</v>
      </c>
      <c r="M151" s="6" t="s">
        <v>683</v>
      </c>
      <c r="N151" s="8" t="s">
        <v>1</v>
      </c>
    </row>
    <row r="152" customFormat="false" ht="22.5" hidden="false" customHeight="false" outlineLevel="0" collapsed="false">
      <c r="A152" s="5" t="n">
        <f aca="false">IF(B152&lt;&gt;"", COUNTA($B$2:B152), "")</f>
        <v>151</v>
      </c>
      <c r="B152" s="6" t="s">
        <v>64</v>
      </c>
      <c r="C152" s="19" t="s">
        <v>409</v>
      </c>
      <c r="D152" s="6" t="s">
        <v>685</v>
      </c>
      <c r="E152" s="17" t="n">
        <v>2011</v>
      </c>
      <c r="F152" s="19" t="s">
        <v>67</v>
      </c>
      <c r="G152" s="19" t="s">
        <v>68</v>
      </c>
      <c r="H152" s="6" t="s">
        <v>413</v>
      </c>
      <c r="I152" s="5" t="s">
        <v>623</v>
      </c>
      <c r="J152" s="5" t="s">
        <v>32</v>
      </c>
      <c r="K152" s="5" t="n">
        <v>2012</v>
      </c>
      <c r="L152" s="12" t="n">
        <v>24</v>
      </c>
      <c r="M152" s="6" t="s">
        <v>683</v>
      </c>
      <c r="N152" s="8" t="s">
        <v>1</v>
      </c>
    </row>
    <row r="153" customFormat="false" ht="22.5" hidden="false" customHeight="false" outlineLevel="0" collapsed="false">
      <c r="A153" s="5" t="n">
        <f aca="false">IF(B153&lt;&gt;"", COUNTA($B$2:B153), "")</f>
        <v>152</v>
      </c>
      <c r="B153" s="6" t="s">
        <v>64</v>
      </c>
      <c r="C153" s="19" t="s">
        <v>409</v>
      </c>
      <c r="D153" s="17" t="n">
        <v>345</v>
      </c>
      <c r="E153" s="17" t="n">
        <v>2011</v>
      </c>
      <c r="F153" s="19" t="s">
        <v>67</v>
      </c>
      <c r="G153" s="19" t="s">
        <v>68</v>
      </c>
      <c r="H153" s="6" t="s">
        <v>415</v>
      </c>
      <c r="I153" s="5" t="s">
        <v>623</v>
      </c>
      <c r="J153" s="5" t="s">
        <v>32</v>
      </c>
      <c r="K153" s="5" t="n">
        <v>2012</v>
      </c>
      <c r="L153" s="12" t="n">
        <v>24</v>
      </c>
      <c r="M153" s="6" t="s">
        <v>683</v>
      </c>
      <c r="N153" s="8" t="s">
        <v>1</v>
      </c>
    </row>
    <row r="154" customFormat="false" ht="22.5" hidden="false" customHeight="false" outlineLevel="0" collapsed="false">
      <c r="A154" s="5" t="n">
        <f aca="false">IF(B154&lt;&gt;"", COUNTA($B$2:B154), "")</f>
        <v>153</v>
      </c>
      <c r="B154" s="6" t="s">
        <v>64</v>
      </c>
      <c r="C154" s="19" t="s">
        <v>409</v>
      </c>
      <c r="D154" s="6" t="s">
        <v>686</v>
      </c>
      <c r="E154" s="17" t="n">
        <v>2011</v>
      </c>
      <c r="F154" s="19" t="s">
        <v>67</v>
      </c>
      <c r="G154" s="19" t="s">
        <v>68</v>
      </c>
      <c r="H154" s="6" t="s">
        <v>417</v>
      </c>
      <c r="I154" s="5" t="s">
        <v>623</v>
      </c>
      <c r="J154" s="5" t="s">
        <v>32</v>
      </c>
      <c r="K154" s="5" t="n">
        <v>2012</v>
      </c>
      <c r="L154" s="12" t="n">
        <v>24</v>
      </c>
      <c r="M154" s="6" t="s">
        <v>683</v>
      </c>
      <c r="N154" s="8" t="s">
        <v>1</v>
      </c>
    </row>
    <row r="155" customFormat="false" ht="33.75" hidden="false" customHeight="false" outlineLevel="0" collapsed="false">
      <c r="A155" s="5" t="n">
        <f aca="false">IF(B155&lt;&gt;"", COUNTA($B$2:B155), "")</f>
        <v>154</v>
      </c>
      <c r="B155" s="6" t="s">
        <v>64</v>
      </c>
      <c r="C155" s="19" t="s">
        <v>400</v>
      </c>
      <c r="D155" s="6" t="s">
        <v>687</v>
      </c>
      <c r="E155" s="17" t="n">
        <v>2011</v>
      </c>
      <c r="F155" s="19" t="s">
        <v>67</v>
      </c>
      <c r="G155" s="19" t="s">
        <v>68</v>
      </c>
      <c r="H155" s="6" t="s">
        <v>419</v>
      </c>
      <c r="I155" s="5" t="s">
        <v>623</v>
      </c>
      <c r="J155" s="5" t="s">
        <v>32</v>
      </c>
      <c r="K155" s="5" t="n">
        <v>2012</v>
      </c>
      <c r="L155" s="12" t="n">
        <v>24</v>
      </c>
      <c r="M155" s="6"/>
      <c r="N155" s="8"/>
    </row>
    <row r="156" s="34" customFormat="true" ht="33.75" hidden="false" customHeight="false" outlineLevel="0" collapsed="false">
      <c r="A156" s="5" t="n">
        <f aca="false">IF(B156&lt;&gt;"", COUNTA($B$2:B156), "")</f>
        <v>155</v>
      </c>
      <c r="B156" s="6" t="s">
        <v>64</v>
      </c>
      <c r="C156" s="19" t="s">
        <v>400</v>
      </c>
      <c r="D156" s="6" t="s">
        <v>688</v>
      </c>
      <c r="E156" s="33" t="n">
        <v>2011</v>
      </c>
      <c r="F156" s="19" t="s">
        <v>67</v>
      </c>
      <c r="G156" s="19" t="s">
        <v>689</v>
      </c>
      <c r="H156" s="6" t="s">
        <v>421</v>
      </c>
      <c r="I156" s="5" t="s">
        <v>623</v>
      </c>
      <c r="J156" s="5" t="s">
        <v>32</v>
      </c>
      <c r="K156" s="5" t="n">
        <v>2012</v>
      </c>
      <c r="L156" s="12" t="n">
        <v>36</v>
      </c>
      <c r="M156" s="6"/>
      <c r="N156" s="8"/>
    </row>
    <row r="157" s="34" customFormat="true" ht="22.5" hidden="false" customHeight="false" outlineLevel="0" collapsed="false">
      <c r="A157" s="5" t="n">
        <f aca="false">IF(B157&lt;&gt;"", COUNTA($B$2:B157), "")</f>
        <v>156</v>
      </c>
      <c r="B157" s="6" t="s">
        <v>64</v>
      </c>
      <c r="C157" s="19" t="s">
        <v>400</v>
      </c>
      <c r="D157" s="6" t="s">
        <v>690</v>
      </c>
      <c r="E157" s="33" t="n">
        <v>2011</v>
      </c>
      <c r="F157" s="19" t="s">
        <v>67</v>
      </c>
      <c r="G157" s="19" t="s">
        <v>68</v>
      </c>
      <c r="H157" s="6" t="s">
        <v>422</v>
      </c>
      <c r="I157" s="5" t="s">
        <v>623</v>
      </c>
      <c r="J157" s="5" t="s">
        <v>32</v>
      </c>
      <c r="K157" s="5" t="n">
        <v>2012</v>
      </c>
      <c r="L157" s="12" t="n">
        <v>24</v>
      </c>
      <c r="M157" s="6"/>
      <c r="N157" s="8"/>
    </row>
    <row r="158" s="34" customFormat="true" ht="15" hidden="false" customHeight="false" outlineLevel="0" collapsed="false">
      <c r="A158" s="5" t="n">
        <f aca="false">IF(B158&lt;&gt;"", COUNTA($B$2:B158), "")</f>
        <v>157</v>
      </c>
      <c r="B158" s="6" t="s">
        <v>64</v>
      </c>
      <c r="C158" s="19" t="s">
        <v>423</v>
      </c>
      <c r="D158" s="16" t="n">
        <v>17</v>
      </c>
      <c r="E158" s="35" t="s">
        <v>425</v>
      </c>
      <c r="F158" s="8" t="s">
        <v>156</v>
      </c>
      <c r="G158" s="19" t="s">
        <v>426</v>
      </c>
      <c r="H158" s="6" t="s">
        <v>427</v>
      </c>
      <c r="I158" s="5" t="s">
        <v>623</v>
      </c>
      <c r="J158" s="5" t="s">
        <v>32</v>
      </c>
      <c r="K158" s="5" t="n">
        <v>2012</v>
      </c>
      <c r="L158" s="12" t="n">
        <v>24</v>
      </c>
      <c r="M158" s="6"/>
      <c r="N158" s="8"/>
    </row>
    <row r="159" s="34" customFormat="true" ht="22.5" hidden="false" customHeight="false" outlineLevel="0" collapsed="false">
      <c r="A159" s="5" t="n">
        <f aca="false">IF(B159&lt;&gt;"", COUNTA($B$2:B159), "")</f>
        <v>158</v>
      </c>
      <c r="B159" s="6" t="s">
        <v>64</v>
      </c>
      <c r="C159" s="19" t="s">
        <v>400</v>
      </c>
      <c r="D159" s="6" t="s">
        <v>691</v>
      </c>
      <c r="E159" s="33" t="n">
        <v>2011</v>
      </c>
      <c r="F159" s="19" t="s">
        <v>67</v>
      </c>
      <c r="G159" s="19" t="s">
        <v>68</v>
      </c>
      <c r="H159" s="6" t="s">
        <v>429</v>
      </c>
      <c r="I159" s="5" t="s">
        <v>623</v>
      </c>
      <c r="J159" s="5" t="s">
        <v>32</v>
      </c>
      <c r="K159" s="5" t="n">
        <v>2012</v>
      </c>
      <c r="L159" s="12" t="n">
        <v>24</v>
      </c>
      <c r="M159" s="6"/>
      <c r="N159" s="8"/>
    </row>
    <row r="160" s="34" customFormat="true" ht="22.5" hidden="false" customHeight="false" outlineLevel="0" collapsed="false">
      <c r="A160" s="5" t="n">
        <f aca="false">IF(B160&lt;&gt;"", COUNTA($B$2:B160), "")</f>
        <v>159</v>
      </c>
      <c r="B160" s="6" t="s">
        <v>64</v>
      </c>
      <c r="C160" s="19" t="s">
        <v>400</v>
      </c>
      <c r="D160" s="6" t="s">
        <v>692</v>
      </c>
      <c r="E160" s="33" t="n">
        <v>2011</v>
      </c>
      <c r="F160" s="19" t="s">
        <v>67</v>
      </c>
      <c r="G160" s="19" t="s">
        <v>68</v>
      </c>
      <c r="H160" s="6" t="s">
        <v>431</v>
      </c>
      <c r="I160" s="5" t="s">
        <v>623</v>
      </c>
      <c r="J160" s="5" t="s">
        <v>32</v>
      </c>
      <c r="K160" s="5" t="n">
        <v>2012</v>
      </c>
      <c r="L160" s="12" t="n">
        <v>24</v>
      </c>
      <c r="M160" s="6"/>
      <c r="N160" s="8"/>
    </row>
    <row r="161" s="34" customFormat="true" ht="22.5" hidden="false" customHeight="false" outlineLevel="0" collapsed="false">
      <c r="A161" s="5" t="n">
        <f aca="false">IF(B161&lt;&gt;"", COUNTA($B$2:B161), "")</f>
        <v>160</v>
      </c>
      <c r="B161" s="6" t="s">
        <v>64</v>
      </c>
      <c r="C161" s="19" t="s">
        <v>400</v>
      </c>
      <c r="D161" s="6" t="s">
        <v>693</v>
      </c>
      <c r="E161" s="33" t="n">
        <v>2011</v>
      </c>
      <c r="F161" s="19" t="s">
        <v>67</v>
      </c>
      <c r="G161" s="19" t="s">
        <v>68</v>
      </c>
      <c r="H161" s="6" t="s">
        <v>433</v>
      </c>
      <c r="I161" s="5" t="s">
        <v>623</v>
      </c>
      <c r="J161" s="5" t="s">
        <v>32</v>
      </c>
      <c r="K161" s="5" t="n">
        <v>2012</v>
      </c>
      <c r="L161" s="12" t="n">
        <v>24</v>
      </c>
      <c r="M161" s="6"/>
      <c r="N161" s="8"/>
    </row>
    <row r="162" customFormat="false" ht="33.75" hidden="false" customHeight="false" outlineLevel="0" collapsed="false">
      <c r="A162" s="5" t="n">
        <f aca="false">IF(B162&lt;&gt;"", COUNTA($B$2:B162), "")</f>
        <v>161</v>
      </c>
      <c r="B162" s="6" t="s">
        <v>64</v>
      </c>
      <c r="C162" s="19" t="s">
        <v>434</v>
      </c>
      <c r="D162" s="6" t="s">
        <v>694</v>
      </c>
      <c r="E162" s="35" t="s">
        <v>439</v>
      </c>
      <c r="F162" s="36" t="s">
        <v>436</v>
      </c>
      <c r="G162" s="19" t="s">
        <v>68</v>
      </c>
      <c r="H162" s="19" t="s">
        <v>437</v>
      </c>
      <c r="I162" s="5" t="s">
        <v>623</v>
      </c>
      <c r="J162" s="5" t="s">
        <v>32</v>
      </c>
      <c r="K162" s="5" t="n">
        <v>2012</v>
      </c>
      <c r="L162" s="12" t="n">
        <v>24</v>
      </c>
      <c r="M162" s="6" t="s">
        <v>627</v>
      </c>
      <c r="N162" s="8" t="s">
        <v>1</v>
      </c>
    </row>
    <row r="163" customFormat="false" ht="33.75" hidden="false" customHeight="false" outlineLevel="0" collapsed="false">
      <c r="A163" s="5" t="n">
        <f aca="false">IF(B163&lt;&gt;"", COUNTA($B$2:B163), "")</f>
        <v>162</v>
      </c>
      <c r="B163" s="6" t="s">
        <v>64</v>
      </c>
      <c r="C163" s="19" t="s">
        <v>434</v>
      </c>
      <c r="D163" s="6" t="s">
        <v>695</v>
      </c>
      <c r="E163" s="35" t="s">
        <v>439</v>
      </c>
      <c r="F163" s="36" t="s">
        <v>436</v>
      </c>
      <c r="G163" s="19" t="s">
        <v>68</v>
      </c>
      <c r="H163" s="19" t="s">
        <v>440</v>
      </c>
      <c r="I163" s="5" t="s">
        <v>623</v>
      </c>
      <c r="J163" s="5" t="s">
        <v>32</v>
      </c>
      <c r="K163" s="5" t="n">
        <v>2012</v>
      </c>
      <c r="L163" s="12" t="n">
        <v>24</v>
      </c>
      <c r="M163" s="6" t="s">
        <v>627</v>
      </c>
      <c r="N163" s="8" t="s">
        <v>1</v>
      </c>
    </row>
    <row r="164" customFormat="false" ht="22.5" hidden="false" customHeight="false" outlineLevel="0" collapsed="false">
      <c r="A164" s="5" t="n">
        <f aca="false">IF(B164&lt;&gt;"", COUNTA($B$2:B164), "")</f>
        <v>163</v>
      </c>
      <c r="B164" s="37" t="s">
        <v>64</v>
      </c>
      <c r="C164" s="36" t="s">
        <v>434</v>
      </c>
      <c r="D164" s="37" t="s">
        <v>696</v>
      </c>
      <c r="E164" s="35" t="s">
        <v>439</v>
      </c>
      <c r="F164" s="36" t="s">
        <v>436</v>
      </c>
      <c r="G164" s="36" t="s">
        <v>68</v>
      </c>
      <c r="H164" s="36" t="s">
        <v>442</v>
      </c>
      <c r="I164" s="5" t="s">
        <v>623</v>
      </c>
      <c r="J164" s="5" t="s">
        <v>32</v>
      </c>
      <c r="K164" s="5" t="n">
        <v>2012</v>
      </c>
      <c r="L164" s="12" t="n">
        <v>24</v>
      </c>
      <c r="M164" s="6" t="s">
        <v>627</v>
      </c>
      <c r="N164" s="8" t="s">
        <v>1</v>
      </c>
    </row>
    <row r="165" customFormat="false" ht="22.5" hidden="false" customHeight="false" outlineLevel="0" collapsed="false">
      <c r="A165" s="5" t="n">
        <f aca="false">IF(B165&lt;&gt;"", COUNTA($B$2:B165), "")</f>
        <v>164</v>
      </c>
      <c r="B165" s="6" t="s">
        <v>64</v>
      </c>
      <c r="C165" s="19" t="s">
        <v>434</v>
      </c>
      <c r="D165" s="6" t="s">
        <v>697</v>
      </c>
      <c r="E165" s="16" t="s">
        <v>439</v>
      </c>
      <c r="F165" s="36" t="s">
        <v>436</v>
      </c>
      <c r="G165" s="19" t="s">
        <v>68</v>
      </c>
      <c r="H165" s="19" t="s">
        <v>444</v>
      </c>
      <c r="I165" s="5" t="s">
        <v>623</v>
      </c>
      <c r="J165" s="5" t="s">
        <v>32</v>
      </c>
      <c r="K165" s="5" t="n">
        <v>2012</v>
      </c>
      <c r="L165" s="12" t="n">
        <v>24</v>
      </c>
      <c r="M165" s="6" t="s">
        <v>627</v>
      </c>
      <c r="N165" s="8" t="s">
        <v>1</v>
      </c>
    </row>
    <row r="166" customFormat="false" ht="15" hidden="false" customHeight="false" outlineLevel="0" collapsed="false">
      <c r="A166" s="5" t="n">
        <f aca="false">IF(B166&lt;&gt;"", COUNTA($B$2:B166), "")</f>
        <v>165</v>
      </c>
      <c r="B166" s="6" t="s">
        <v>64</v>
      </c>
      <c r="C166" s="19" t="s">
        <v>445</v>
      </c>
      <c r="D166" s="17" t="s">
        <v>446</v>
      </c>
      <c r="E166" s="17" t="n">
        <v>2011</v>
      </c>
      <c r="F166" s="19" t="s">
        <v>447</v>
      </c>
      <c r="G166" s="19" t="s">
        <v>68</v>
      </c>
      <c r="H166" s="19" t="s">
        <v>448</v>
      </c>
      <c r="I166" s="5" t="s">
        <v>623</v>
      </c>
      <c r="J166" s="5" t="s">
        <v>32</v>
      </c>
      <c r="K166" s="5" t="n">
        <v>2012</v>
      </c>
      <c r="L166" s="12" t="n">
        <v>24</v>
      </c>
      <c r="M166" s="6"/>
      <c r="N166" s="8"/>
    </row>
    <row r="167" customFormat="false" ht="22.5" hidden="false" customHeight="false" outlineLevel="0" collapsed="false">
      <c r="A167" s="5" t="n">
        <f aca="false">IF(B167&lt;&gt;"", COUNTA($B$2:B167), "")</f>
        <v>166</v>
      </c>
      <c r="B167" s="6" t="s">
        <v>64</v>
      </c>
      <c r="C167" s="19" t="s">
        <v>400</v>
      </c>
      <c r="D167" s="17" t="s">
        <v>698</v>
      </c>
      <c r="E167" s="17" t="n">
        <v>2011</v>
      </c>
      <c r="F167" s="19" t="s">
        <v>67</v>
      </c>
      <c r="G167" s="19" t="s">
        <v>68</v>
      </c>
      <c r="H167" s="19" t="s">
        <v>450</v>
      </c>
      <c r="I167" s="5" t="s">
        <v>623</v>
      </c>
      <c r="J167" s="5" t="s">
        <v>32</v>
      </c>
      <c r="K167" s="5" t="n">
        <v>2012</v>
      </c>
      <c r="L167" s="12" t="n">
        <v>24</v>
      </c>
      <c r="M167" s="6" t="s">
        <v>627</v>
      </c>
      <c r="N167" s="8" t="s">
        <v>1</v>
      </c>
    </row>
    <row r="168" customFormat="false" ht="22.5" hidden="false" customHeight="false" outlineLevel="0" collapsed="false">
      <c r="A168" s="5" t="n">
        <f aca="false">IF(B168&lt;&gt;"", COUNTA($B$2:B168), "")</f>
        <v>167</v>
      </c>
      <c r="B168" s="6" t="s">
        <v>64</v>
      </c>
      <c r="C168" s="19" t="s">
        <v>400</v>
      </c>
      <c r="D168" s="17" t="n">
        <v>193</v>
      </c>
      <c r="E168" s="17" t="n">
        <v>2011</v>
      </c>
      <c r="F168" s="19" t="s">
        <v>67</v>
      </c>
      <c r="G168" s="19" t="s">
        <v>68</v>
      </c>
      <c r="H168" s="19" t="s">
        <v>450</v>
      </c>
      <c r="I168" s="5" t="s">
        <v>623</v>
      </c>
      <c r="J168" s="5" t="s">
        <v>32</v>
      </c>
      <c r="K168" s="5" t="n">
        <v>2012</v>
      </c>
      <c r="L168" s="12" t="n">
        <v>24</v>
      </c>
      <c r="M168" s="6" t="s">
        <v>627</v>
      </c>
      <c r="N168" s="8" t="s">
        <v>1</v>
      </c>
    </row>
    <row r="169" customFormat="false" ht="22.5" hidden="false" customHeight="false" outlineLevel="0" collapsed="false">
      <c r="A169" s="5" t="n">
        <f aca="false">IF(B169&lt;&gt;"", COUNTA($B$2:B169), "")</f>
        <v>168</v>
      </c>
      <c r="B169" s="6" t="s">
        <v>64</v>
      </c>
      <c r="C169" s="19" t="s">
        <v>400</v>
      </c>
      <c r="D169" s="6" t="s">
        <v>699</v>
      </c>
      <c r="E169" s="17" t="n">
        <v>2011</v>
      </c>
      <c r="F169" s="19" t="s">
        <v>67</v>
      </c>
      <c r="G169" s="19" t="s">
        <v>68</v>
      </c>
      <c r="H169" s="19" t="s">
        <v>452</v>
      </c>
      <c r="I169" s="5" t="s">
        <v>623</v>
      </c>
      <c r="J169" s="5" t="s">
        <v>32</v>
      </c>
      <c r="K169" s="5" t="n">
        <v>2012</v>
      </c>
      <c r="L169" s="12" t="n">
        <v>36</v>
      </c>
      <c r="M169" s="6"/>
      <c r="N169" s="8"/>
    </row>
    <row r="170" customFormat="false" ht="22.5" hidden="false" customHeight="false" outlineLevel="0" collapsed="false">
      <c r="A170" s="5" t="n">
        <f aca="false">IF(B170&lt;&gt;"", COUNTA($B$2:B170), "")</f>
        <v>169</v>
      </c>
      <c r="B170" s="6" t="s">
        <v>64</v>
      </c>
      <c r="C170" s="19" t="s">
        <v>453</v>
      </c>
      <c r="D170" s="17" t="s">
        <v>441</v>
      </c>
      <c r="E170" s="17" t="n">
        <v>2011</v>
      </c>
      <c r="F170" s="19" t="s">
        <v>436</v>
      </c>
      <c r="G170" s="19" t="s">
        <v>68</v>
      </c>
      <c r="H170" s="19" t="s">
        <v>454</v>
      </c>
      <c r="I170" s="5" t="s">
        <v>623</v>
      </c>
      <c r="J170" s="5" t="s">
        <v>32</v>
      </c>
      <c r="K170" s="5" t="n">
        <v>2012</v>
      </c>
      <c r="L170" s="12" t="n">
        <v>24</v>
      </c>
      <c r="M170" s="6"/>
      <c r="N170" s="8"/>
    </row>
    <row r="171" customFormat="false" ht="22.5" hidden="false" customHeight="false" outlineLevel="0" collapsed="false">
      <c r="A171" s="5" t="n">
        <f aca="false">IF(B171&lt;&gt;"", COUNTA($B$2:B171), "")</f>
        <v>170</v>
      </c>
      <c r="B171" s="6" t="s">
        <v>64</v>
      </c>
      <c r="C171" s="19" t="s">
        <v>409</v>
      </c>
      <c r="D171" s="6" t="s">
        <v>700</v>
      </c>
      <c r="E171" s="17" t="n">
        <v>2011</v>
      </c>
      <c r="F171" s="19" t="s">
        <v>67</v>
      </c>
      <c r="G171" s="19" t="s">
        <v>68</v>
      </c>
      <c r="H171" s="19" t="s">
        <v>455</v>
      </c>
      <c r="I171" s="5" t="s">
        <v>623</v>
      </c>
      <c r="J171" s="5" t="s">
        <v>32</v>
      </c>
      <c r="K171" s="5" t="n">
        <v>2012</v>
      </c>
      <c r="L171" s="12" t="n">
        <v>24</v>
      </c>
      <c r="M171" s="6" t="s">
        <v>627</v>
      </c>
      <c r="N171" s="8" t="s">
        <v>1</v>
      </c>
    </row>
    <row r="172" customFormat="false" ht="15" hidden="false" customHeight="false" outlineLevel="0" collapsed="false">
      <c r="A172" s="5" t="n">
        <f aca="false">IF(B172&lt;&gt;"", COUNTA($B$2:B172), "")</f>
        <v>171</v>
      </c>
      <c r="B172" s="6" t="s">
        <v>64</v>
      </c>
      <c r="C172" s="19" t="s">
        <v>456</v>
      </c>
      <c r="D172" s="19" t="s">
        <v>701</v>
      </c>
      <c r="E172" s="17" t="n">
        <v>2011</v>
      </c>
      <c r="F172" s="19" t="s">
        <v>436</v>
      </c>
      <c r="G172" s="19" t="s">
        <v>68</v>
      </c>
      <c r="H172" s="19" t="s">
        <v>458</v>
      </c>
      <c r="I172" s="5" t="s">
        <v>623</v>
      </c>
      <c r="J172" s="5" t="s">
        <v>32</v>
      </c>
      <c r="K172" s="5" t="n">
        <v>2012</v>
      </c>
      <c r="L172" s="12" t="n">
        <v>24</v>
      </c>
      <c r="M172" s="6"/>
      <c r="N172" s="8"/>
    </row>
    <row r="173" customFormat="false" ht="15" hidden="false" customHeight="false" outlineLevel="0" collapsed="false">
      <c r="A173" s="5" t="n">
        <f aca="false">IF(B173&lt;&gt;"", COUNTA($B$2:B173), "")</f>
        <v>172</v>
      </c>
      <c r="B173" s="12" t="s">
        <v>387</v>
      </c>
      <c r="C173" s="8" t="s">
        <v>459</v>
      </c>
      <c r="D173" s="12" t="n">
        <v>111540</v>
      </c>
      <c r="E173" s="17" t="n">
        <v>2011</v>
      </c>
      <c r="F173" s="12" t="s">
        <v>460</v>
      </c>
      <c r="G173" s="12" t="n">
        <v>2.5</v>
      </c>
      <c r="H173" s="5" t="s">
        <v>461</v>
      </c>
      <c r="I173" s="5" t="s">
        <v>623</v>
      </c>
      <c r="J173" s="5" t="s">
        <v>32</v>
      </c>
      <c r="K173" s="5" t="n">
        <v>2012</v>
      </c>
      <c r="L173" s="5" t="n">
        <v>12</v>
      </c>
      <c r="M173" s="6"/>
      <c r="N173" s="8"/>
    </row>
    <row r="174" customFormat="false" ht="22.5" hidden="false" customHeight="false" outlineLevel="0" collapsed="false">
      <c r="A174" s="5" t="n">
        <f aca="false">IF(B174&lt;&gt;"", COUNTA($B$2:B174), "")</f>
        <v>173</v>
      </c>
      <c r="B174" s="12" t="s">
        <v>387</v>
      </c>
      <c r="C174" s="8" t="s">
        <v>459</v>
      </c>
      <c r="D174" s="12" t="n">
        <v>111601</v>
      </c>
      <c r="E174" s="17" t="n">
        <v>2011</v>
      </c>
      <c r="F174" s="12" t="s">
        <v>460</v>
      </c>
      <c r="G174" s="12" t="n">
        <v>2.5</v>
      </c>
      <c r="H174" s="5" t="s">
        <v>462</v>
      </c>
      <c r="I174" s="5" t="s">
        <v>623</v>
      </c>
      <c r="J174" s="5" t="s">
        <v>32</v>
      </c>
      <c r="K174" s="5" t="n">
        <v>2012</v>
      </c>
      <c r="L174" s="5" t="n">
        <v>12</v>
      </c>
      <c r="M174" s="6"/>
      <c r="N174" s="8"/>
    </row>
    <row r="175" customFormat="false" ht="22.5" hidden="false" customHeight="false" outlineLevel="0" collapsed="false">
      <c r="A175" s="5" t="n">
        <f aca="false">IF(B175&lt;&gt;"", COUNTA($B$2:B175), "")</f>
        <v>174</v>
      </c>
      <c r="B175" s="12" t="s">
        <v>387</v>
      </c>
      <c r="C175" s="8" t="s">
        <v>459</v>
      </c>
      <c r="D175" s="12" t="n">
        <v>111506</v>
      </c>
      <c r="E175" s="17" t="n">
        <v>2011</v>
      </c>
      <c r="F175" s="12" t="s">
        <v>460</v>
      </c>
      <c r="G175" s="12" t="n">
        <v>2.5</v>
      </c>
      <c r="H175" s="5" t="s">
        <v>463</v>
      </c>
      <c r="I175" s="5" t="s">
        <v>623</v>
      </c>
      <c r="J175" s="5" t="s">
        <v>32</v>
      </c>
      <c r="K175" s="5" t="n">
        <v>2012</v>
      </c>
      <c r="L175" s="5" t="n">
        <v>12</v>
      </c>
      <c r="M175" s="6"/>
      <c r="N175" s="8"/>
    </row>
    <row r="176" customFormat="false" ht="22.5" hidden="false" customHeight="false" outlineLevel="0" collapsed="false">
      <c r="A176" s="5" t="n">
        <f aca="false">IF(B176&lt;&gt;"", COUNTA($B$2:B176), "")</f>
        <v>175</v>
      </c>
      <c r="B176" s="12" t="s">
        <v>387</v>
      </c>
      <c r="C176" s="8" t="s">
        <v>459</v>
      </c>
      <c r="D176" s="12" t="n">
        <v>112685</v>
      </c>
      <c r="E176" s="17" t="n">
        <v>2011</v>
      </c>
      <c r="F176" s="12" t="s">
        <v>460</v>
      </c>
      <c r="G176" s="12" t="n">
        <v>2.5</v>
      </c>
      <c r="H176" s="5" t="s">
        <v>464</v>
      </c>
      <c r="I176" s="5" t="s">
        <v>623</v>
      </c>
      <c r="J176" s="5" t="s">
        <v>32</v>
      </c>
      <c r="K176" s="5" t="n">
        <v>2012</v>
      </c>
      <c r="L176" s="5" t="n">
        <v>12</v>
      </c>
      <c r="M176" s="6"/>
      <c r="N176" s="8"/>
    </row>
    <row r="177" customFormat="false" ht="22.5" hidden="false" customHeight="false" outlineLevel="0" collapsed="false">
      <c r="A177" s="5" t="n">
        <f aca="false">IF(B177&lt;&gt;"", COUNTA($B$2:B177), "")</f>
        <v>176</v>
      </c>
      <c r="B177" s="12" t="s">
        <v>387</v>
      </c>
      <c r="C177" s="8" t="s">
        <v>459</v>
      </c>
      <c r="D177" s="12" t="n">
        <v>11531</v>
      </c>
      <c r="E177" s="17" t="n">
        <v>2011</v>
      </c>
      <c r="F177" s="12" t="s">
        <v>460</v>
      </c>
      <c r="G177" s="12" t="n">
        <v>2.5</v>
      </c>
      <c r="H177" s="5" t="s">
        <v>465</v>
      </c>
      <c r="I177" s="5" t="s">
        <v>623</v>
      </c>
      <c r="J177" s="5" t="s">
        <v>32</v>
      </c>
      <c r="K177" s="5" t="n">
        <v>2012</v>
      </c>
      <c r="L177" s="5" t="n">
        <v>12</v>
      </c>
      <c r="M177" s="6"/>
      <c r="N177" s="8"/>
    </row>
    <row r="178" customFormat="false" ht="15" hidden="false" customHeight="false" outlineLevel="0" collapsed="false">
      <c r="A178" s="5" t="n">
        <f aca="false">IF(B178&lt;&gt;"", COUNTA($B$2:B178), "")</f>
        <v>177</v>
      </c>
      <c r="B178" s="12" t="s">
        <v>387</v>
      </c>
      <c r="C178" s="8" t="s">
        <v>466</v>
      </c>
      <c r="D178" s="12" t="n">
        <v>120096</v>
      </c>
      <c r="E178" s="17" t="n">
        <v>2011</v>
      </c>
      <c r="F178" s="12" t="s">
        <v>460</v>
      </c>
      <c r="G178" s="12" t="n">
        <v>2.5</v>
      </c>
      <c r="H178" s="5" t="s">
        <v>467</v>
      </c>
      <c r="I178" s="5" t="s">
        <v>623</v>
      </c>
      <c r="J178" s="5" t="s">
        <v>32</v>
      </c>
      <c r="K178" s="5" t="n">
        <v>2012</v>
      </c>
      <c r="L178" s="5" t="n">
        <v>12</v>
      </c>
      <c r="M178" s="6"/>
      <c r="N178" s="8"/>
    </row>
    <row r="179" customFormat="false" ht="22.5" hidden="false" customHeight="false" outlineLevel="0" collapsed="false">
      <c r="A179" s="5" t="n">
        <f aca="false">IF(B179&lt;&gt;"", COUNTA($B$2:B179), "")</f>
        <v>178</v>
      </c>
      <c r="B179" s="12" t="s">
        <v>387</v>
      </c>
      <c r="C179" s="8" t="s">
        <v>466</v>
      </c>
      <c r="D179" s="12" t="n">
        <v>120073</v>
      </c>
      <c r="E179" s="17" t="n">
        <v>2011</v>
      </c>
      <c r="F179" s="12" t="s">
        <v>460</v>
      </c>
      <c r="G179" s="12" t="n">
        <v>2.5</v>
      </c>
      <c r="H179" s="5" t="s">
        <v>468</v>
      </c>
      <c r="I179" s="5" t="s">
        <v>623</v>
      </c>
      <c r="J179" s="5" t="s">
        <v>32</v>
      </c>
      <c r="K179" s="5" t="n">
        <v>2012</v>
      </c>
      <c r="L179" s="5" t="n">
        <v>12</v>
      </c>
      <c r="M179" s="6"/>
      <c r="N179" s="8"/>
    </row>
    <row r="180" customFormat="false" ht="15" hidden="false" customHeight="false" outlineLevel="0" collapsed="false">
      <c r="A180" s="5" t="n">
        <f aca="false">IF(B180&lt;&gt;"", COUNTA($B$2:B180), "")</f>
        <v>179</v>
      </c>
      <c r="B180" s="7" t="s">
        <v>27</v>
      </c>
      <c r="C180" s="8" t="s">
        <v>28</v>
      </c>
      <c r="D180" s="8" t="n">
        <v>15271</v>
      </c>
      <c r="E180" s="8" t="n">
        <v>2010</v>
      </c>
      <c r="F180" s="8" t="s">
        <v>29</v>
      </c>
      <c r="G180" s="10" t="n">
        <v>1.5</v>
      </c>
      <c r="H180" s="5" t="s">
        <v>469</v>
      </c>
      <c r="I180" s="8" t="s">
        <v>623</v>
      </c>
      <c r="J180" s="5" t="s">
        <v>32</v>
      </c>
      <c r="K180" s="5" t="n">
        <v>2012</v>
      </c>
      <c r="L180" s="5" t="n">
        <v>12</v>
      </c>
      <c r="M180" s="6" t="s">
        <v>33</v>
      </c>
      <c r="N180" s="8" t="s">
        <v>1</v>
      </c>
    </row>
    <row r="181" customFormat="false" ht="15" hidden="false" customHeight="false" outlineLevel="0" collapsed="false">
      <c r="A181" s="5" t="n">
        <f aca="false">IF(B181&lt;&gt;"", COUNTA($B$2:B181), "")</f>
        <v>180</v>
      </c>
      <c r="B181" s="7" t="s">
        <v>27</v>
      </c>
      <c r="C181" s="8" t="s">
        <v>28</v>
      </c>
      <c r="D181" s="8" t="n">
        <v>6103</v>
      </c>
      <c r="E181" s="8" t="n">
        <v>2010</v>
      </c>
      <c r="F181" s="8" t="s">
        <v>593</v>
      </c>
      <c r="G181" s="10" t="n">
        <v>1.5</v>
      </c>
      <c r="H181" s="5" t="s">
        <v>470</v>
      </c>
      <c r="I181" s="8" t="s">
        <v>623</v>
      </c>
      <c r="J181" s="5" t="s">
        <v>32</v>
      </c>
      <c r="K181" s="5" t="n">
        <v>2012</v>
      </c>
      <c r="L181" s="5" t="n">
        <v>12</v>
      </c>
      <c r="M181" s="6" t="s">
        <v>33</v>
      </c>
      <c r="N181" s="8" t="s">
        <v>1</v>
      </c>
    </row>
    <row r="182" customFormat="false" ht="15" hidden="false" customHeight="false" outlineLevel="0" collapsed="false">
      <c r="A182" s="5" t="n">
        <f aca="false">IF(B182&lt;&gt;"", COUNTA($B$2:B182), "")</f>
        <v>181</v>
      </c>
      <c r="B182" s="7" t="s">
        <v>27</v>
      </c>
      <c r="C182" s="10" t="s">
        <v>28</v>
      </c>
      <c r="D182" s="10" t="n">
        <v>15375</v>
      </c>
      <c r="E182" s="8" t="n">
        <v>2010</v>
      </c>
      <c r="F182" s="8" t="s">
        <v>595</v>
      </c>
      <c r="G182" s="10" t="n">
        <v>1</v>
      </c>
      <c r="H182" s="12" t="s">
        <v>471</v>
      </c>
      <c r="I182" s="8" t="s">
        <v>623</v>
      </c>
      <c r="J182" s="5" t="s">
        <v>32</v>
      </c>
      <c r="K182" s="5" t="n">
        <v>2012</v>
      </c>
      <c r="L182" s="5" t="n">
        <v>12</v>
      </c>
      <c r="M182" s="6" t="s">
        <v>37</v>
      </c>
      <c r="N182" s="8" t="s">
        <v>38</v>
      </c>
      <c r="O182" s="14"/>
    </row>
    <row r="183" customFormat="false" ht="15" hidden="false" customHeight="false" outlineLevel="0" collapsed="false">
      <c r="A183" s="5" t="n">
        <f aca="false">IF(B183&lt;&gt;"", COUNTA($B$2:B183), "")</f>
        <v>182</v>
      </c>
      <c r="B183" s="7" t="s">
        <v>27</v>
      </c>
      <c r="C183" s="10" t="s">
        <v>28</v>
      </c>
      <c r="D183" s="10" t="n">
        <v>15409</v>
      </c>
      <c r="E183" s="8" t="n">
        <v>2010</v>
      </c>
      <c r="F183" s="8" t="s">
        <v>597</v>
      </c>
      <c r="G183" s="10" t="n">
        <v>1</v>
      </c>
      <c r="H183" s="12" t="s">
        <v>472</v>
      </c>
      <c r="I183" s="8" t="s">
        <v>623</v>
      </c>
      <c r="J183" s="5" t="s">
        <v>32</v>
      </c>
      <c r="K183" s="5" t="n">
        <v>2012</v>
      </c>
      <c r="L183" s="5" t="n">
        <v>12</v>
      </c>
      <c r="M183" s="6" t="s">
        <v>37</v>
      </c>
      <c r="N183" s="8" t="s">
        <v>38</v>
      </c>
      <c r="O183" s="14"/>
    </row>
    <row r="184" customFormat="false" ht="15" hidden="false" customHeight="false" outlineLevel="0" collapsed="false">
      <c r="A184" s="5" t="n">
        <f aca="false">IF(B184&lt;&gt;"", COUNTA($B$2:B184), "")</f>
        <v>183</v>
      </c>
      <c r="B184" s="7" t="s">
        <v>27</v>
      </c>
      <c r="C184" s="8" t="s">
        <v>28</v>
      </c>
      <c r="D184" s="15" t="s">
        <v>702</v>
      </c>
      <c r="E184" s="8" t="n">
        <v>2010</v>
      </c>
      <c r="F184" s="8" t="s">
        <v>119</v>
      </c>
      <c r="G184" s="8" t="n">
        <v>1.5</v>
      </c>
      <c r="H184" s="5" t="s">
        <v>474</v>
      </c>
      <c r="I184" s="8" t="s">
        <v>623</v>
      </c>
      <c r="J184" s="5" t="s">
        <v>32</v>
      </c>
      <c r="K184" s="5" t="n">
        <v>2012</v>
      </c>
      <c r="L184" s="5" t="n">
        <v>12</v>
      </c>
      <c r="M184" s="6" t="s">
        <v>33</v>
      </c>
      <c r="N184" s="8" t="s">
        <v>1</v>
      </c>
    </row>
    <row r="185" customFormat="false" ht="15" hidden="false" customHeight="false" outlineLevel="0" collapsed="false">
      <c r="A185" s="5" t="n">
        <f aca="false">IF(B185&lt;&gt;"", COUNTA($B$2:B185), "")</f>
        <v>184</v>
      </c>
      <c r="B185" s="7" t="s">
        <v>27</v>
      </c>
      <c r="C185" s="8" t="s">
        <v>28</v>
      </c>
      <c r="D185" s="15" t="s">
        <v>703</v>
      </c>
      <c r="E185" s="8" t="n">
        <v>2010</v>
      </c>
      <c r="F185" s="8" t="s">
        <v>178</v>
      </c>
      <c r="G185" s="8" t="n">
        <v>1.5</v>
      </c>
      <c r="H185" s="5" t="s">
        <v>476</v>
      </c>
      <c r="I185" s="8" t="s">
        <v>623</v>
      </c>
      <c r="J185" s="5" t="s">
        <v>32</v>
      </c>
      <c r="K185" s="5" t="n">
        <v>2012</v>
      </c>
      <c r="L185" s="5" t="n">
        <v>12</v>
      </c>
      <c r="M185" s="6" t="s">
        <v>33</v>
      </c>
      <c r="N185" s="8" t="s">
        <v>1</v>
      </c>
    </row>
    <row r="186" customFormat="false" ht="15" hidden="false" customHeight="false" outlineLevel="0" collapsed="false">
      <c r="A186" s="5" t="n">
        <f aca="false">IF(B186&lt;&gt;"", COUNTA($B$2:B186), "")</f>
        <v>185</v>
      </c>
      <c r="B186" s="7" t="s">
        <v>27</v>
      </c>
      <c r="C186" s="8" t="s">
        <v>28</v>
      </c>
      <c r="D186" s="15" t="s">
        <v>704</v>
      </c>
      <c r="E186" s="8" t="n">
        <v>2010</v>
      </c>
      <c r="F186" s="8" t="s">
        <v>178</v>
      </c>
      <c r="G186" s="8" t="n">
        <v>1.5</v>
      </c>
      <c r="H186" s="5" t="s">
        <v>478</v>
      </c>
      <c r="I186" s="8" t="s">
        <v>623</v>
      </c>
      <c r="J186" s="5" t="s">
        <v>32</v>
      </c>
      <c r="K186" s="5" t="n">
        <v>2012</v>
      </c>
      <c r="L186" s="5" t="n">
        <v>12</v>
      </c>
      <c r="M186" s="6" t="s">
        <v>33</v>
      </c>
      <c r="N186" s="8" t="s">
        <v>1</v>
      </c>
    </row>
    <row r="187" customFormat="false" ht="22.5" hidden="false" customHeight="false" outlineLevel="0" collapsed="false">
      <c r="A187" s="5" t="n">
        <f aca="false">IF(B187&lt;&gt;"", COUNTA($B$2:B187), "")</f>
        <v>186</v>
      </c>
      <c r="B187" s="7" t="s">
        <v>27</v>
      </c>
      <c r="C187" s="8" t="s">
        <v>705</v>
      </c>
      <c r="D187" s="15" t="s">
        <v>706</v>
      </c>
      <c r="E187" s="8" t="n">
        <v>2010</v>
      </c>
      <c r="F187" s="8" t="s">
        <v>122</v>
      </c>
      <c r="G187" s="8" t="n">
        <v>1</v>
      </c>
      <c r="H187" s="5" t="s">
        <v>480</v>
      </c>
      <c r="I187" s="8" t="s">
        <v>623</v>
      </c>
      <c r="J187" s="5" t="s">
        <v>32</v>
      </c>
      <c r="K187" s="5" t="n">
        <v>2012</v>
      </c>
      <c r="L187" s="5" t="n">
        <v>12</v>
      </c>
      <c r="M187" s="6" t="s">
        <v>33</v>
      </c>
      <c r="N187" s="8" t="s">
        <v>1</v>
      </c>
    </row>
    <row r="188" customFormat="false" ht="22.5" hidden="false" customHeight="false" outlineLevel="0" collapsed="false">
      <c r="A188" s="5" t="n">
        <f aca="false">IF(B188&lt;&gt;"", COUNTA($B$2:B188), "")</f>
        <v>187</v>
      </c>
      <c r="B188" s="7" t="s">
        <v>27</v>
      </c>
      <c r="C188" s="8" t="s">
        <v>28</v>
      </c>
      <c r="D188" s="15" t="s">
        <v>707</v>
      </c>
      <c r="E188" s="8" t="n">
        <v>2010</v>
      </c>
      <c r="F188" s="8" t="s">
        <v>122</v>
      </c>
      <c r="G188" s="8" t="n">
        <v>1</v>
      </c>
      <c r="H188" s="5" t="s">
        <v>482</v>
      </c>
      <c r="I188" s="8" t="s">
        <v>623</v>
      </c>
      <c r="J188" s="5" t="s">
        <v>32</v>
      </c>
      <c r="K188" s="5" t="n">
        <v>2012</v>
      </c>
      <c r="L188" s="5" t="n">
        <v>12</v>
      </c>
      <c r="M188" s="6" t="s">
        <v>33</v>
      </c>
      <c r="N188" s="8" t="s">
        <v>1</v>
      </c>
    </row>
    <row r="189" customFormat="false" ht="15" hidden="false" customHeight="false" outlineLevel="0" collapsed="false">
      <c r="A189" s="5" t="n">
        <f aca="false">IF(B189&lt;&gt;"", COUNTA($B$2:B189), "")</f>
        <v>188</v>
      </c>
      <c r="B189" s="7" t="s">
        <v>27</v>
      </c>
      <c r="C189" s="8" t="s">
        <v>28</v>
      </c>
      <c r="D189" s="15" t="s">
        <v>708</v>
      </c>
      <c r="E189" s="8" t="n">
        <v>2010</v>
      </c>
      <c r="F189" s="8" t="s">
        <v>709</v>
      </c>
      <c r="G189" s="8" t="n">
        <v>1</v>
      </c>
      <c r="H189" s="5" t="s">
        <v>484</v>
      </c>
      <c r="I189" s="8" t="s">
        <v>623</v>
      </c>
      <c r="J189" s="5" t="s">
        <v>32</v>
      </c>
      <c r="K189" s="5" t="n">
        <v>2012</v>
      </c>
      <c r="L189" s="5" t="n">
        <v>12</v>
      </c>
      <c r="M189" s="6" t="s">
        <v>33</v>
      </c>
      <c r="N189" s="8" t="s">
        <v>1</v>
      </c>
    </row>
    <row r="190" customFormat="false" ht="22.5" hidden="false" customHeight="false" outlineLevel="0" collapsed="false">
      <c r="A190" s="5" t="n">
        <f aca="false">IF(B190&lt;&gt;"", COUNTA($B$2:B190), "")</f>
        <v>189</v>
      </c>
      <c r="B190" s="7" t="s">
        <v>27</v>
      </c>
      <c r="C190" s="8" t="s">
        <v>705</v>
      </c>
      <c r="D190" s="15" t="s">
        <v>710</v>
      </c>
      <c r="E190" s="8" t="n">
        <v>2010</v>
      </c>
      <c r="F190" s="8" t="s">
        <v>711</v>
      </c>
      <c r="G190" s="8" t="n">
        <v>1</v>
      </c>
      <c r="H190" s="5" t="s">
        <v>486</v>
      </c>
      <c r="I190" s="8" t="s">
        <v>623</v>
      </c>
      <c r="J190" s="5" t="s">
        <v>32</v>
      </c>
      <c r="K190" s="5" t="n">
        <v>2012</v>
      </c>
      <c r="L190" s="5" t="n">
        <v>12</v>
      </c>
      <c r="M190" s="6" t="s">
        <v>33</v>
      </c>
      <c r="N190" s="8" t="s">
        <v>1</v>
      </c>
    </row>
    <row r="191" customFormat="false" ht="22.5" hidden="false" customHeight="false" outlineLevel="0" collapsed="false">
      <c r="A191" s="5" t="n">
        <f aca="false">IF(B191&lt;&gt;"", COUNTA($B$2:B191), "")</f>
        <v>190</v>
      </c>
      <c r="B191" s="7" t="s">
        <v>27</v>
      </c>
      <c r="C191" s="8" t="s">
        <v>28</v>
      </c>
      <c r="D191" s="15" t="s">
        <v>712</v>
      </c>
      <c r="E191" s="8" t="n">
        <v>2010</v>
      </c>
      <c r="F191" s="8" t="s">
        <v>119</v>
      </c>
      <c r="G191" s="8" t="n">
        <v>1.5</v>
      </c>
      <c r="H191" s="5" t="s">
        <v>488</v>
      </c>
      <c r="I191" s="8" t="s">
        <v>623</v>
      </c>
      <c r="J191" s="5" t="s">
        <v>32</v>
      </c>
      <c r="K191" s="5" t="n">
        <v>2012</v>
      </c>
      <c r="L191" s="5" t="n">
        <v>12</v>
      </c>
      <c r="M191" s="6" t="s">
        <v>33</v>
      </c>
      <c r="N191" s="8" t="s">
        <v>1</v>
      </c>
    </row>
    <row r="192" customFormat="false" ht="22.5" hidden="false" customHeight="false" outlineLevel="0" collapsed="false">
      <c r="A192" s="5" t="n">
        <f aca="false">IF(B192&lt;&gt;"", COUNTA($B$2:B192), "")</f>
        <v>191</v>
      </c>
      <c r="B192" s="7" t="s">
        <v>27</v>
      </c>
      <c r="C192" s="8" t="s">
        <v>489</v>
      </c>
      <c r="D192" s="15" t="s">
        <v>713</v>
      </c>
      <c r="E192" s="8" t="n">
        <v>2010</v>
      </c>
      <c r="F192" s="15" t="s">
        <v>491</v>
      </c>
      <c r="G192" s="8" t="n">
        <v>1.5</v>
      </c>
      <c r="H192" s="5" t="s">
        <v>492</v>
      </c>
      <c r="I192" s="8" t="s">
        <v>623</v>
      </c>
      <c r="J192" s="5" t="s">
        <v>32</v>
      </c>
      <c r="K192" s="5" t="n">
        <v>2012</v>
      </c>
      <c r="L192" s="5" t="n">
        <v>12</v>
      </c>
      <c r="M192" s="6" t="s">
        <v>33</v>
      </c>
      <c r="N192" s="8" t="s">
        <v>1</v>
      </c>
    </row>
    <row r="193" customFormat="false" ht="15" hidden="false" customHeight="false" outlineLevel="0" collapsed="false">
      <c r="A193" s="5" t="n">
        <f aca="false">IF(B193&lt;&gt;"", COUNTA($B$2:B193), "")</f>
        <v>192</v>
      </c>
      <c r="B193" s="7" t="s">
        <v>27</v>
      </c>
      <c r="C193" s="8" t="s">
        <v>28</v>
      </c>
      <c r="D193" s="15" t="s">
        <v>714</v>
      </c>
      <c r="E193" s="8" t="n">
        <v>2010</v>
      </c>
      <c r="F193" s="8" t="s">
        <v>178</v>
      </c>
      <c r="G193" s="8" t="n">
        <v>1.5</v>
      </c>
      <c r="H193" s="5" t="s">
        <v>494</v>
      </c>
      <c r="I193" s="8" t="s">
        <v>623</v>
      </c>
      <c r="J193" s="5" t="s">
        <v>32</v>
      </c>
      <c r="K193" s="5" t="n">
        <v>2012</v>
      </c>
      <c r="L193" s="5" t="n">
        <v>12</v>
      </c>
      <c r="M193" s="6" t="s">
        <v>33</v>
      </c>
      <c r="N193" s="8" t="s">
        <v>1</v>
      </c>
    </row>
    <row r="194" customFormat="false" ht="15" hidden="false" customHeight="false" outlineLevel="0" collapsed="false">
      <c r="A194" s="5" t="n">
        <f aca="false">IF(B194&lt;&gt;"", COUNTA($B$2:B194), "")</f>
        <v>193</v>
      </c>
      <c r="B194" s="7" t="s">
        <v>27</v>
      </c>
      <c r="C194" s="8" t="s">
        <v>28</v>
      </c>
      <c r="D194" s="15" t="s">
        <v>715</v>
      </c>
      <c r="E194" s="8" t="n">
        <v>2010</v>
      </c>
      <c r="F194" s="12" t="s">
        <v>496</v>
      </c>
      <c r="G194" s="8" t="n">
        <v>1.5</v>
      </c>
      <c r="H194" s="5" t="s">
        <v>497</v>
      </c>
      <c r="I194" s="8" t="s">
        <v>623</v>
      </c>
      <c r="J194" s="5" t="s">
        <v>32</v>
      </c>
      <c r="K194" s="5" t="n">
        <v>2012</v>
      </c>
      <c r="L194" s="5" t="n">
        <v>12</v>
      </c>
      <c r="M194" s="6" t="s">
        <v>33</v>
      </c>
      <c r="N194" s="8" t="s">
        <v>1</v>
      </c>
    </row>
    <row r="195" customFormat="false" ht="22.5" hidden="false" customHeight="false" outlineLevel="0" collapsed="false">
      <c r="A195" s="5" t="n">
        <f aca="false">IF(B195&lt;&gt;"", COUNTA($B$2:B195), "")</f>
        <v>194</v>
      </c>
      <c r="B195" s="7" t="s">
        <v>27</v>
      </c>
      <c r="C195" s="8" t="s">
        <v>489</v>
      </c>
      <c r="D195" s="15" t="s">
        <v>716</v>
      </c>
      <c r="E195" s="8" t="n">
        <v>2010</v>
      </c>
      <c r="F195" s="15" t="s">
        <v>491</v>
      </c>
      <c r="G195" s="8" t="n">
        <v>1.5</v>
      </c>
      <c r="H195" s="5" t="s">
        <v>499</v>
      </c>
      <c r="I195" s="8" t="s">
        <v>623</v>
      </c>
      <c r="J195" s="5" t="s">
        <v>32</v>
      </c>
      <c r="K195" s="5" t="n">
        <v>2012</v>
      </c>
      <c r="L195" s="5" t="n">
        <v>12</v>
      </c>
      <c r="M195" s="6" t="s">
        <v>33</v>
      </c>
      <c r="N195" s="8" t="s">
        <v>1</v>
      </c>
    </row>
    <row r="196" customFormat="false" ht="15" hidden="false" customHeight="false" outlineLevel="0" collapsed="false">
      <c r="A196" s="5" t="n">
        <f aca="false">IF(B196&lt;&gt;"", COUNTA($B$2:B196), "")</f>
        <v>195</v>
      </c>
      <c r="B196" s="7" t="s">
        <v>27</v>
      </c>
      <c r="C196" s="5" t="s">
        <v>500</v>
      </c>
      <c r="D196" s="5" t="n">
        <v>211211872</v>
      </c>
      <c r="E196" s="8"/>
      <c r="F196" s="5" t="s">
        <v>501</v>
      </c>
      <c r="G196" s="5" t="n">
        <v>1.5</v>
      </c>
      <c r="H196" s="5" t="s">
        <v>502</v>
      </c>
      <c r="I196" s="8" t="s">
        <v>623</v>
      </c>
      <c r="J196" s="5" t="s">
        <v>32</v>
      </c>
      <c r="K196" s="5" t="n">
        <v>2012</v>
      </c>
      <c r="L196" s="5" t="n">
        <v>12</v>
      </c>
      <c r="M196" s="6" t="s">
        <v>37</v>
      </c>
      <c r="N196" s="8" t="s">
        <v>38</v>
      </c>
      <c r="O196" s="14"/>
    </row>
    <row r="197" customFormat="false" ht="22.5" hidden="false" customHeight="false" outlineLevel="0" collapsed="false">
      <c r="A197" s="5" t="n">
        <f aca="false">IF(B197&lt;&gt;"", COUNTA($B$2:B197), "")</f>
        <v>196</v>
      </c>
      <c r="B197" s="7" t="s">
        <v>503</v>
      </c>
      <c r="C197" s="5" t="s">
        <v>504</v>
      </c>
      <c r="D197" s="5" t="n">
        <v>111502128</v>
      </c>
      <c r="E197" s="8" t="n">
        <v>2010</v>
      </c>
      <c r="F197" s="5" t="s">
        <v>505</v>
      </c>
      <c r="G197" s="5" t="n">
        <v>1</v>
      </c>
      <c r="H197" s="5" t="s">
        <v>506</v>
      </c>
      <c r="I197" s="8" t="s">
        <v>623</v>
      </c>
      <c r="J197" s="5" t="s">
        <v>32</v>
      </c>
      <c r="K197" s="5" t="n">
        <v>2012</v>
      </c>
      <c r="L197" s="5" t="n">
        <v>24</v>
      </c>
      <c r="M197" s="6" t="s">
        <v>507</v>
      </c>
      <c r="N197" s="8" t="s">
        <v>1</v>
      </c>
      <c r="O197" s="39"/>
    </row>
    <row r="198" customFormat="false" ht="22.5" hidden="false" customHeight="false" outlineLevel="0" collapsed="false">
      <c r="A198" s="5" t="n">
        <f aca="false">IF(B198&lt;&gt;"", COUNTA($B$2:B198), "")</f>
        <v>197</v>
      </c>
      <c r="B198" s="7" t="s">
        <v>503</v>
      </c>
      <c r="C198" s="5" t="s">
        <v>504</v>
      </c>
      <c r="D198" s="5" t="n">
        <v>111502121</v>
      </c>
      <c r="E198" s="8" t="n">
        <v>2010</v>
      </c>
      <c r="F198" s="5" t="s">
        <v>508</v>
      </c>
      <c r="G198" s="5" t="n">
        <v>1</v>
      </c>
      <c r="H198" s="5" t="s">
        <v>509</v>
      </c>
      <c r="I198" s="8" t="s">
        <v>623</v>
      </c>
      <c r="J198" s="5" t="s">
        <v>32</v>
      </c>
      <c r="K198" s="5" t="n">
        <v>2012</v>
      </c>
      <c r="L198" s="5" t="n">
        <v>24</v>
      </c>
      <c r="M198" s="6" t="s">
        <v>507</v>
      </c>
      <c r="N198" s="8" t="s">
        <v>1</v>
      </c>
      <c r="O198" s="39"/>
    </row>
    <row r="199" customFormat="false" ht="15" hidden="false" customHeight="false" outlineLevel="0" collapsed="false">
      <c r="A199" s="5" t="n">
        <f aca="false">IF(B199&lt;&gt;"", COUNTA($B$2:B199), "")</f>
        <v>198</v>
      </c>
      <c r="B199" s="6" t="s">
        <v>64</v>
      </c>
      <c r="C199" s="19" t="s">
        <v>400</v>
      </c>
      <c r="D199" s="6" t="s">
        <v>717</v>
      </c>
      <c r="E199" s="17" t="n">
        <v>2011</v>
      </c>
      <c r="F199" s="19" t="s">
        <v>67</v>
      </c>
      <c r="G199" s="19" t="s">
        <v>68</v>
      </c>
      <c r="H199" s="6" t="s">
        <v>511</v>
      </c>
      <c r="I199" s="5" t="s">
        <v>623</v>
      </c>
      <c r="J199" s="5" t="s">
        <v>32</v>
      </c>
      <c r="K199" s="5" t="n">
        <v>2012</v>
      </c>
      <c r="L199" s="12" t="n">
        <v>24</v>
      </c>
      <c r="M199" s="6"/>
      <c r="N199" s="8"/>
    </row>
    <row r="200" customFormat="false" ht="15" hidden="false" customHeight="false" outlineLevel="0" collapsed="false">
      <c r="A200" s="5" t="n">
        <f aca="false">IF(B200&lt;&gt;"", COUNTA($B$2:B200), "")</f>
        <v>199</v>
      </c>
      <c r="B200" s="7" t="s">
        <v>93</v>
      </c>
      <c r="C200" s="8" t="s">
        <v>94</v>
      </c>
      <c r="D200" s="8" t="n">
        <v>1105093</v>
      </c>
      <c r="E200" s="17" t="n">
        <v>2011</v>
      </c>
      <c r="F200" s="20"/>
      <c r="G200" s="20"/>
      <c r="H200" s="5" t="s">
        <v>512</v>
      </c>
      <c r="I200" s="5" t="s">
        <v>623</v>
      </c>
      <c r="J200" s="5" t="s">
        <v>32</v>
      </c>
      <c r="K200" s="5" t="n">
        <v>2012</v>
      </c>
      <c r="L200" s="12"/>
      <c r="M200" s="6"/>
      <c r="N200" s="8"/>
    </row>
    <row r="201" customFormat="false" ht="15" hidden="false" customHeight="false" outlineLevel="0" collapsed="false">
      <c r="A201" s="5" t="n">
        <f aca="false">IF(B201&lt;&gt;"", COUNTA($B$2:B201), "")</f>
        <v>200</v>
      </c>
      <c r="B201" s="7" t="s">
        <v>93</v>
      </c>
      <c r="C201" s="8" t="s">
        <v>94</v>
      </c>
      <c r="D201" s="8" t="n">
        <v>1105073</v>
      </c>
      <c r="E201" s="17" t="n">
        <v>2011</v>
      </c>
      <c r="F201" s="20"/>
      <c r="G201" s="20"/>
      <c r="H201" s="5" t="s">
        <v>513</v>
      </c>
      <c r="I201" s="5" t="s">
        <v>623</v>
      </c>
      <c r="J201" s="5" t="s">
        <v>32</v>
      </c>
      <c r="K201" s="5" t="n">
        <v>2012</v>
      </c>
      <c r="L201" s="12"/>
      <c r="M201" s="6"/>
      <c r="N201" s="20"/>
    </row>
    <row r="202" customFormat="false" ht="15" hidden="false" customHeight="false" outlineLevel="0" collapsed="false">
      <c r="A202" s="53" t="n">
        <f aca="false">IF(B202&lt;&gt;"", COUNTA($B$2:B202), "")</f>
        <v>201</v>
      </c>
      <c r="B202" s="54" t="s">
        <v>93</v>
      </c>
      <c r="C202" s="55" t="s">
        <v>96</v>
      </c>
      <c r="D202" s="55" t="n">
        <v>25238</v>
      </c>
      <c r="E202" s="56"/>
      <c r="F202" s="57"/>
      <c r="G202" s="57"/>
      <c r="H202" s="53" t="s">
        <v>514</v>
      </c>
      <c r="I202" s="53" t="s">
        <v>623</v>
      </c>
      <c r="J202" s="53" t="s">
        <v>32</v>
      </c>
      <c r="K202" s="53" t="n">
        <v>2012</v>
      </c>
      <c r="L202" s="58"/>
      <c r="M202" s="59"/>
      <c r="N202" s="57"/>
    </row>
    <row r="203" customFormat="false" ht="15" hidden="false" customHeight="false" outlineLevel="0" collapsed="false">
      <c r="A203" s="5" t="n">
        <f aca="false">IF(B203&lt;&gt;"", COUNTA($B$2:B203), "")</f>
        <v>202</v>
      </c>
      <c r="B203" s="7" t="s">
        <v>93</v>
      </c>
      <c r="C203" s="8" t="s">
        <v>94</v>
      </c>
      <c r="D203" s="8" t="n">
        <v>1507068</v>
      </c>
      <c r="E203" s="17" t="n">
        <v>2011</v>
      </c>
      <c r="F203" s="20"/>
      <c r="G203" s="20"/>
      <c r="H203" s="5" t="s">
        <v>515</v>
      </c>
      <c r="I203" s="5" t="s">
        <v>623</v>
      </c>
      <c r="J203" s="5" t="s">
        <v>32</v>
      </c>
      <c r="K203" s="5" t="n">
        <v>2012</v>
      </c>
      <c r="L203" s="12"/>
      <c r="M203" s="6"/>
      <c r="N203" s="20"/>
    </row>
    <row r="204" customFormat="false" ht="22.5" hidden="false" customHeight="false" outlineLevel="0" collapsed="false">
      <c r="A204" s="5" t="n">
        <f aca="false">IF(B204&lt;&gt;"", COUNTA($B$2:B204), "")</f>
        <v>203</v>
      </c>
      <c r="B204" s="7" t="s">
        <v>125</v>
      </c>
      <c r="C204" s="8" t="s">
        <v>516</v>
      </c>
      <c r="D204" s="8" t="n">
        <v>1036</v>
      </c>
      <c r="E204" s="17" t="n">
        <v>2011</v>
      </c>
      <c r="F204" s="19" t="s">
        <v>67</v>
      </c>
      <c r="G204" s="20"/>
      <c r="H204" s="5" t="s">
        <v>517</v>
      </c>
      <c r="I204" s="5" t="s">
        <v>623</v>
      </c>
      <c r="J204" s="5" t="s">
        <v>32</v>
      </c>
      <c r="K204" s="5" t="n">
        <v>2012</v>
      </c>
      <c r="L204" s="20"/>
      <c r="M204" s="20"/>
      <c r="N204" s="20"/>
    </row>
    <row r="205" customFormat="false" ht="22.5" hidden="false" customHeight="false" outlineLevel="0" collapsed="false">
      <c r="A205" s="5" t="n">
        <f aca="false">IF(B205&lt;&gt;"", COUNTA($B$2:B205), "")</f>
        <v>204</v>
      </c>
      <c r="B205" s="7" t="s">
        <v>125</v>
      </c>
      <c r="C205" s="8" t="s">
        <v>516</v>
      </c>
      <c r="D205" s="8" t="n">
        <v>1043</v>
      </c>
      <c r="E205" s="17" t="n">
        <v>2011</v>
      </c>
      <c r="F205" s="19" t="s">
        <v>67</v>
      </c>
      <c r="G205" s="20"/>
      <c r="H205" s="5" t="s">
        <v>518</v>
      </c>
      <c r="I205" s="5" t="s">
        <v>623</v>
      </c>
      <c r="J205" s="5" t="s">
        <v>32</v>
      </c>
      <c r="K205" s="5" t="n">
        <v>2012</v>
      </c>
      <c r="L205" s="20"/>
      <c r="M205" s="20"/>
      <c r="N205" s="20"/>
    </row>
    <row r="206" customFormat="false" ht="22.5" hidden="false" customHeight="false" outlineLevel="0" collapsed="false">
      <c r="A206" s="5" t="n">
        <f aca="false">IF(B206&lt;&gt;"", COUNTA($B$2:B206), "")</f>
        <v>205</v>
      </c>
      <c r="B206" s="7" t="s">
        <v>125</v>
      </c>
      <c r="C206" s="8" t="s">
        <v>516</v>
      </c>
      <c r="D206" s="8" t="n">
        <v>1046</v>
      </c>
      <c r="E206" s="17" t="n">
        <v>2011</v>
      </c>
      <c r="F206" s="19" t="s">
        <v>67</v>
      </c>
      <c r="G206" s="20"/>
      <c r="H206" s="5" t="s">
        <v>519</v>
      </c>
      <c r="I206" s="5" t="s">
        <v>623</v>
      </c>
      <c r="J206" s="5" t="s">
        <v>32</v>
      </c>
      <c r="K206" s="5" t="n">
        <v>2012</v>
      </c>
      <c r="L206" s="20"/>
      <c r="M206" s="20"/>
      <c r="N206" s="20"/>
    </row>
    <row r="207" customFormat="false" ht="22.5" hidden="false" customHeight="false" outlineLevel="0" collapsed="false">
      <c r="A207" s="5" t="n">
        <f aca="false">IF(B207&lt;&gt;"", COUNTA($B$2:B207), "")</f>
        <v>206</v>
      </c>
      <c r="B207" s="7" t="s">
        <v>125</v>
      </c>
      <c r="C207" s="8" t="s">
        <v>516</v>
      </c>
      <c r="D207" s="8" t="n">
        <v>1055</v>
      </c>
      <c r="E207" s="17" t="n">
        <v>2011</v>
      </c>
      <c r="F207" s="19" t="s">
        <v>67</v>
      </c>
      <c r="G207" s="20"/>
      <c r="H207" s="5" t="s">
        <v>520</v>
      </c>
      <c r="I207" s="5" t="s">
        <v>623</v>
      </c>
      <c r="J207" s="5" t="s">
        <v>32</v>
      </c>
      <c r="K207" s="5" t="n">
        <v>2012</v>
      </c>
      <c r="L207" s="20"/>
      <c r="M207" s="20"/>
      <c r="N207" s="20"/>
    </row>
    <row r="208" customFormat="false" ht="15" hidden="false" customHeight="false" outlineLevel="0" collapsed="false">
      <c r="A208" s="5" t="n">
        <f aca="false">IF(B208&lt;&gt;"", COUNTA($B$2:B208), "")</f>
        <v>207</v>
      </c>
      <c r="B208" s="7" t="s">
        <v>98</v>
      </c>
      <c r="C208" s="8" t="s">
        <v>99</v>
      </c>
      <c r="D208" s="15" t="s">
        <v>718</v>
      </c>
      <c r="E208" s="17" t="n">
        <v>2011</v>
      </c>
      <c r="F208" s="20"/>
      <c r="G208" s="20"/>
      <c r="H208" s="8" t="s">
        <v>522</v>
      </c>
      <c r="I208" s="5" t="s">
        <v>623</v>
      </c>
      <c r="J208" s="5" t="s">
        <v>32</v>
      </c>
      <c r="K208" s="5" t="n">
        <v>2012</v>
      </c>
      <c r="L208" s="20"/>
      <c r="M208" s="20"/>
      <c r="N208" s="20"/>
    </row>
    <row r="209" customFormat="false" ht="15" hidden="false" customHeight="false" outlineLevel="0" collapsed="false">
      <c r="A209" s="5" t="n">
        <f aca="false">IF(B209&lt;&gt;"", COUNTA($B$2:B209), "")</f>
        <v>208</v>
      </c>
      <c r="B209" s="7" t="s">
        <v>98</v>
      </c>
      <c r="C209" s="8" t="s">
        <v>99</v>
      </c>
      <c r="D209" s="15" t="s">
        <v>719</v>
      </c>
      <c r="E209" s="17" t="n">
        <v>2011</v>
      </c>
      <c r="F209" s="20"/>
      <c r="G209" s="20"/>
      <c r="H209" s="8" t="s">
        <v>524</v>
      </c>
      <c r="I209" s="5" t="s">
        <v>623</v>
      </c>
      <c r="J209" s="5" t="s">
        <v>32</v>
      </c>
      <c r="K209" s="5" t="n">
        <v>2012</v>
      </c>
      <c r="L209" s="20"/>
      <c r="M209" s="20"/>
      <c r="N209" s="20"/>
    </row>
    <row r="210" customFormat="false" ht="15" hidden="false" customHeight="false" outlineLevel="0" collapsed="false">
      <c r="A210" s="5" t="n">
        <f aca="false">IF(B210&lt;&gt;"", COUNTA($B$2:B210), "")</f>
        <v>209</v>
      </c>
      <c r="B210" s="7" t="s">
        <v>98</v>
      </c>
      <c r="C210" s="8" t="s">
        <v>99</v>
      </c>
      <c r="D210" s="15" t="s">
        <v>720</v>
      </c>
      <c r="E210" s="17" t="n">
        <v>2011</v>
      </c>
      <c r="F210" s="20"/>
      <c r="G210" s="20"/>
      <c r="H210" s="8" t="s">
        <v>526</v>
      </c>
      <c r="I210" s="5" t="s">
        <v>623</v>
      </c>
      <c r="J210" s="5" t="s">
        <v>32</v>
      </c>
      <c r="K210" s="5" t="n">
        <v>2012</v>
      </c>
      <c r="L210" s="20"/>
      <c r="M210" s="20"/>
      <c r="N210" s="20"/>
    </row>
    <row r="211" customFormat="false" ht="15" hidden="false" customHeight="false" outlineLevel="0" collapsed="false">
      <c r="A211" s="5" t="n">
        <f aca="false">IF(B211&lt;&gt;"", COUNTA($B$2:B211), "")</f>
        <v>210</v>
      </c>
      <c r="B211" s="7" t="s">
        <v>98</v>
      </c>
      <c r="C211" s="8" t="s">
        <v>99</v>
      </c>
      <c r="D211" s="15" t="s">
        <v>721</v>
      </c>
      <c r="E211" s="17" t="n">
        <v>2011</v>
      </c>
      <c r="F211" s="20"/>
      <c r="G211" s="20"/>
      <c r="H211" s="8" t="s">
        <v>528</v>
      </c>
      <c r="I211" s="5" t="s">
        <v>623</v>
      </c>
      <c r="J211" s="5" t="s">
        <v>32</v>
      </c>
      <c r="K211" s="5" t="n">
        <v>2012</v>
      </c>
      <c r="L211" s="20"/>
      <c r="M211" s="20"/>
      <c r="N211" s="20"/>
    </row>
    <row r="212" customFormat="false" ht="15" hidden="false" customHeight="false" outlineLevel="0" collapsed="false">
      <c r="A212" s="5" t="n">
        <f aca="false">IF(B212&lt;&gt;"", COUNTA($B$2:B212), "")</f>
        <v>211</v>
      </c>
      <c r="B212" s="7" t="s">
        <v>98</v>
      </c>
      <c r="C212" s="8" t="s">
        <v>99</v>
      </c>
      <c r="D212" s="15" t="s">
        <v>722</v>
      </c>
      <c r="E212" s="17" t="n">
        <v>2011</v>
      </c>
      <c r="F212" s="20"/>
      <c r="G212" s="20"/>
      <c r="H212" s="8" t="s">
        <v>530</v>
      </c>
      <c r="I212" s="5" t="s">
        <v>623</v>
      </c>
      <c r="J212" s="5" t="s">
        <v>32</v>
      </c>
      <c r="K212" s="5" t="n">
        <v>2012</v>
      </c>
      <c r="L212" s="20"/>
      <c r="M212" s="20"/>
      <c r="N212" s="20"/>
    </row>
    <row r="213" customFormat="false" ht="15" hidden="false" customHeight="false" outlineLevel="0" collapsed="false">
      <c r="A213" s="5" t="n">
        <f aca="false">IF(B213&lt;&gt;"", COUNTA($B$2:B213), "")</f>
        <v>212</v>
      </c>
      <c r="B213" s="7" t="s">
        <v>98</v>
      </c>
      <c r="C213" s="8" t="s">
        <v>531</v>
      </c>
      <c r="D213" s="15" t="s">
        <v>723</v>
      </c>
      <c r="E213" s="17" t="n">
        <v>2011</v>
      </c>
      <c r="F213" s="20"/>
      <c r="G213" s="20"/>
      <c r="H213" s="8" t="s">
        <v>533</v>
      </c>
      <c r="I213" s="5" t="s">
        <v>623</v>
      </c>
      <c r="J213" s="5" t="s">
        <v>32</v>
      </c>
      <c r="K213" s="5" t="n">
        <v>2012</v>
      </c>
      <c r="L213" s="20"/>
      <c r="M213" s="20"/>
      <c r="N213" s="20"/>
    </row>
    <row r="214" customFormat="false" ht="15" hidden="false" customHeight="false" outlineLevel="0" collapsed="false">
      <c r="A214" s="5" t="n">
        <f aca="false">IF(B214&lt;&gt;"", COUNTA($B$2:B214), "")</f>
        <v>213</v>
      </c>
      <c r="B214" s="7" t="s">
        <v>98</v>
      </c>
      <c r="C214" s="8" t="s">
        <v>531</v>
      </c>
      <c r="D214" s="15" t="s">
        <v>724</v>
      </c>
      <c r="E214" s="17" t="n">
        <v>2011</v>
      </c>
      <c r="F214" s="20"/>
      <c r="G214" s="20"/>
      <c r="H214" s="8" t="s">
        <v>535</v>
      </c>
      <c r="I214" s="5" t="s">
        <v>623</v>
      </c>
      <c r="J214" s="5" t="s">
        <v>32</v>
      </c>
      <c r="K214" s="5" t="n">
        <v>2012</v>
      </c>
      <c r="L214" s="20"/>
      <c r="M214" s="20"/>
      <c r="N214" s="20"/>
    </row>
    <row r="215" customFormat="false" ht="15" hidden="false" customHeight="false" outlineLevel="0" collapsed="false">
      <c r="A215" s="5" t="n">
        <f aca="false">IF(B215&lt;&gt;"", COUNTA($B$2:B215), "")</f>
        <v>214</v>
      </c>
      <c r="B215" s="7" t="s">
        <v>98</v>
      </c>
      <c r="C215" s="8" t="s">
        <v>99</v>
      </c>
      <c r="D215" s="15" t="s">
        <v>725</v>
      </c>
      <c r="E215" s="17" t="n">
        <v>2011</v>
      </c>
      <c r="F215" s="20"/>
      <c r="G215" s="20"/>
      <c r="H215" s="8" t="s">
        <v>537</v>
      </c>
      <c r="I215" s="5" t="s">
        <v>623</v>
      </c>
      <c r="J215" s="5" t="s">
        <v>32</v>
      </c>
      <c r="K215" s="5" t="n">
        <v>2012</v>
      </c>
      <c r="L215" s="20"/>
      <c r="M215" s="20"/>
      <c r="N215" s="20"/>
    </row>
    <row r="216" customFormat="false" ht="15" hidden="false" customHeight="false" outlineLevel="0" collapsed="false">
      <c r="A216" s="5" t="n">
        <f aca="false">IF(B216&lt;&gt;"", COUNTA($B$2:B216), "")</f>
        <v>215</v>
      </c>
      <c r="B216" s="7" t="s">
        <v>98</v>
      </c>
      <c r="C216" s="8" t="s">
        <v>99</v>
      </c>
      <c r="D216" s="15" t="s">
        <v>726</v>
      </c>
      <c r="E216" s="17" t="n">
        <v>2011</v>
      </c>
      <c r="F216" s="20"/>
      <c r="G216" s="20"/>
      <c r="H216" s="5" t="s">
        <v>727</v>
      </c>
      <c r="I216" s="5" t="s">
        <v>623</v>
      </c>
      <c r="J216" s="5" t="s">
        <v>32</v>
      </c>
      <c r="K216" s="5" t="n">
        <v>2012</v>
      </c>
      <c r="L216" s="20"/>
      <c r="M216" s="20"/>
      <c r="N216" s="20"/>
    </row>
    <row r="217" customFormat="false" ht="15" hidden="false" customHeight="false" outlineLevel="0" collapsed="false">
      <c r="A217" s="5" t="n">
        <f aca="false">IF(B217&lt;&gt;"", COUNTA($B$2:B217), "")</f>
        <v>216</v>
      </c>
      <c r="B217" s="7" t="s">
        <v>98</v>
      </c>
      <c r="C217" s="8" t="s">
        <v>99</v>
      </c>
      <c r="D217" s="15" t="s">
        <v>728</v>
      </c>
      <c r="E217" s="17" t="n">
        <v>2011</v>
      </c>
      <c r="F217" s="20"/>
      <c r="G217" s="20"/>
      <c r="H217" s="5" t="s">
        <v>729</v>
      </c>
      <c r="I217" s="5" t="s">
        <v>623</v>
      </c>
      <c r="J217" s="5" t="s">
        <v>32</v>
      </c>
      <c r="K217" s="5" t="n">
        <v>2012</v>
      </c>
      <c r="L217" s="20"/>
      <c r="M217" s="20"/>
      <c r="N217" s="20"/>
    </row>
    <row r="218" customFormat="false" ht="15" hidden="false" customHeight="false" outlineLevel="0" collapsed="false">
      <c r="A218" s="5" t="n">
        <f aca="false">IF(B218&lt;&gt;"", COUNTA($B$2:B218), "")</f>
        <v>217</v>
      </c>
      <c r="B218" s="7" t="s">
        <v>98</v>
      </c>
      <c r="C218" s="8" t="s">
        <v>99</v>
      </c>
      <c r="D218" s="61"/>
      <c r="E218" s="17" t="n">
        <v>2011</v>
      </c>
      <c r="F218" s="20"/>
      <c r="G218" s="20"/>
      <c r="H218" s="5" t="s">
        <v>543</v>
      </c>
      <c r="I218" s="5" t="s">
        <v>623</v>
      </c>
      <c r="J218" s="5" t="s">
        <v>32</v>
      </c>
      <c r="K218" s="5" t="n">
        <v>2012</v>
      </c>
      <c r="L218" s="20"/>
      <c r="M218" s="20"/>
      <c r="N218" s="20"/>
    </row>
    <row r="219" customFormat="false" ht="15" hidden="false" customHeight="false" outlineLevel="0" collapsed="false">
      <c r="A219" s="5" t="n">
        <f aca="false">IF(B219&lt;&gt;"", COUNTA($B$2:B219), "")</f>
        <v>218</v>
      </c>
      <c r="B219" s="7" t="s">
        <v>98</v>
      </c>
      <c r="C219" s="8" t="s">
        <v>99</v>
      </c>
      <c r="D219" s="61"/>
      <c r="E219" s="17" t="n">
        <v>2011</v>
      </c>
      <c r="F219" s="20"/>
      <c r="G219" s="20"/>
      <c r="H219" s="5" t="s">
        <v>545</v>
      </c>
      <c r="I219" s="5" t="s">
        <v>623</v>
      </c>
      <c r="J219" s="5" t="s">
        <v>32</v>
      </c>
      <c r="K219" s="5" t="n">
        <v>2012</v>
      </c>
      <c r="L219" s="20"/>
      <c r="M219" s="20"/>
      <c r="N219" s="20"/>
    </row>
    <row r="220" customFormat="false" ht="15" hidden="false" customHeight="false" outlineLevel="0" collapsed="false">
      <c r="A220" s="5" t="n">
        <f aca="false">IF(B220&lt;&gt;"", COUNTA($B$2:B220), "")</f>
        <v>219</v>
      </c>
      <c r="B220" s="7" t="s">
        <v>98</v>
      </c>
      <c r="C220" s="8" t="s">
        <v>99</v>
      </c>
      <c r="D220" s="61"/>
      <c r="E220" s="17" t="n">
        <v>2011</v>
      </c>
      <c r="F220" s="20"/>
      <c r="G220" s="20"/>
      <c r="H220" s="5" t="s">
        <v>547</v>
      </c>
      <c r="I220" s="5" t="s">
        <v>623</v>
      </c>
      <c r="J220" s="5" t="s">
        <v>32</v>
      </c>
      <c r="K220" s="5" t="n">
        <v>2012</v>
      </c>
      <c r="L220" s="20"/>
      <c r="M220" s="20"/>
      <c r="N220" s="20"/>
    </row>
    <row r="221" customFormat="false" ht="22.5" hidden="false" customHeight="false" outlineLevel="0" collapsed="false">
      <c r="A221" s="5" t="n">
        <f aca="false">IF(B221&lt;&gt;"", COUNTA($B$2:B221), "")</f>
        <v>220</v>
      </c>
      <c r="B221" s="6" t="s">
        <v>64</v>
      </c>
      <c r="C221" s="19" t="s">
        <v>65</v>
      </c>
      <c r="D221" s="17" t="s">
        <v>730</v>
      </c>
      <c r="E221" s="17" t="n">
        <v>2011</v>
      </c>
      <c r="F221" s="19" t="s">
        <v>67</v>
      </c>
      <c r="G221" s="19" t="s">
        <v>68</v>
      </c>
      <c r="H221" s="19" t="s">
        <v>549</v>
      </c>
      <c r="I221" s="5" t="s">
        <v>623</v>
      </c>
      <c r="J221" s="5" t="s">
        <v>32</v>
      </c>
      <c r="K221" s="5" t="n">
        <v>2012</v>
      </c>
      <c r="L221" s="12" t="n">
        <v>24</v>
      </c>
      <c r="M221" s="6" t="s">
        <v>627</v>
      </c>
      <c r="N221" s="8" t="s">
        <v>1</v>
      </c>
    </row>
    <row r="222" customFormat="false" ht="22.5" hidden="false" customHeight="false" outlineLevel="0" collapsed="false">
      <c r="A222" s="5" t="n">
        <f aca="false">IF(B222&lt;&gt;"", COUNTA($B$2:B222), "")</f>
        <v>221</v>
      </c>
      <c r="B222" s="18" t="s">
        <v>550</v>
      </c>
      <c r="C222" s="8" t="s">
        <v>551</v>
      </c>
      <c r="D222" s="19" t="s">
        <v>731</v>
      </c>
      <c r="E222" s="17" t="n">
        <v>2011</v>
      </c>
      <c r="F222" s="19" t="s">
        <v>553</v>
      </c>
      <c r="G222" s="12" t="s">
        <v>554</v>
      </c>
      <c r="H222" s="5" t="s">
        <v>555</v>
      </c>
      <c r="I222" s="5" t="s">
        <v>623</v>
      </c>
      <c r="J222" s="5" t="s">
        <v>32</v>
      </c>
      <c r="K222" s="5" t="n">
        <v>2012</v>
      </c>
      <c r="L222" s="12" t="n">
        <v>24</v>
      </c>
      <c r="M222" s="6"/>
      <c r="N222" s="8"/>
    </row>
    <row r="223" customFormat="false" ht="15" hidden="false" customHeight="false" outlineLevel="0" collapsed="false">
      <c r="A223" s="5" t="n">
        <f aca="false">IF(B223&lt;&gt;"", COUNTA($B$2:B223), "")</f>
        <v>222</v>
      </c>
      <c r="B223" s="18" t="s">
        <v>556</v>
      </c>
      <c r="C223" s="10" t="s">
        <v>557</v>
      </c>
      <c r="D223" s="19" t="s">
        <v>732</v>
      </c>
      <c r="E223" s="17" t="n">
        <v>2011</v>
      </c>
      <c r="F223" s="19" t="s">
        <v>559</v>
      </c>
      <c r="G223" s="32" t="n">
        <v>0.1</v>
      </c>
      <c r="H223" s="12" t="s">
        <v>560</v>
      </c>
      <c r="I223" s="8" t="s">
        <v>623</v>
      </c>
      <c r="J223" s="5" t="s">
        <v>32</v>
      </c>
      <c r="K223" s="5" t="n">
        <v>2020</v>
      </c>
      <c r="L223" s="12" t="n">
        <v>12</v>
      </c>
      <c r="M223" s="6" t="s">
        <v>561</v>
      </c>
      <c r="N223" s="8" t="s">
        <v>38</v>
      </c>
    </row>
    <row r="224" customFormat="false" ht="15" hidden="false" customHeight="false" outlineLevel="0" collapsed="false">
      <c r="A224" s="5" t="n">
        <f aca="false">IF(B224&lt;&gt;"", COUNTA($B$2:B224), "")</f>
        <v>223</v>
      </c>
      <c r="B224" s="7" t="s">
        <v>27</v>
      </c>
      <c r="C224" s="8" t="s">
        <v>733</v>
      </c>
      <c r="D224" s="15" t="s">
        <v>734</v>
      </c>
      <c r="E224" s="8" t="n">
        <v>2011</v>
      </c>
      <c r="F224" s="8" t="s">
        <v>29</v>
      </c>
      <c r="G224" s="8" t="n">
        <v>1</v>
      </c>
      <c r="H224" s="5" t="s">
        <v>564</v>
      </c>
      <c r="I224" s="8" t="s">
        <v>623</v>
      </c>
      <c r="J224" s="5" t="s">
        <v>32</v>
      </c>
      <c r="K224" s="5" t="n">
        <v>2019</v>
      </c>
      <c r="L224" s="5" t="n">
        <v>12</v>
      </c>
      <c r="M224" s="6" t="s">
        <v>33</v>
      </c>
      <c r="N224" s="8" t="s">
        <v>1</v>
      </c>
    </row>
  </sheetData>
  <conditionalFormatting sqref="M1:M1048576">
    <cfRule type="expression" priority="2" aboveAverage="0" equalAverage="0" bottom="0" percent="0" rank="0" text="" dxfId="2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22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24" activePane="bottomLeft" state="frozen"/>
      <selection pane="topLeft" activeCell="C1" activeCellId="0" sqref="C1"/>
      <selection pane="bottomLeft" activeCell="Q12" activeCellId="0" sqref="Q12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57"/>
    <col collapsed="false" customWidth="true" hidden="false" outlineLevel="0" max="2" min="2" style="4" width="21.43"/>
    <col collapsed="false" customWidth="true" hidden="false" outlineLevel="0" max="3" min="3" style="4" width="26.42"/>
    <col collapsed="false" customWidth="true" hidden="false" outlineLevel="0" max="4" min="4" style="4" width="15.29"/>
    <col collapsed="false" customWidth="true" hidden="false" outlineLevel="0" max="5" min="5" style="4" width="7"/>
    <col collapsed="false" customWidth="true" hidden="false" outlineLevel="0" max="7" min="6" style="4" width="15.42"/>
    <col collapsed="false" customWidth="true" hidden="false" outlineLevel="0" max="8" min="8" style="4" width="28.57"/>
    <col collapsed="false" customWidth="true" hidden="false" outlineLevel="0" max="9" min="9" style="4" width="12.57"/>
    <col collapsed="false" customWidth="true" hidden="false" outlineLevel="0" max="10" min="10" style="4" width="17.58"/>
    <col collapsed="false" customWidth="true" hidden="false" outlineLevel="0" max="11" min="11" style="4" width="8.71"/>
    <col collapsed="false" customWidth="true" hidden="false" outlineLevel="0" max="12" min="12" style="4" width="7.57"/>
    <col collapsed="false" customWidth="true" hidden="false" outlineLevel="0" max="13" min="13" style="4" width="8"/>
    <col collapsed="false" customWidth="true" hidden="false" outlineLevel="0" max="14" min="14" style="4" width="4.57"/>
    <col collapsed="false" customWidth="false" hidden="false" outlineLevel="0" max="1024" min="15" style="4" width="9.14"/>
  </cols>
  <sheetData>
    <row r="1" customFormat="false" ht="56.2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7" t="s">
        <v>27</v>
      </c>
      <c r="C2" s="8" t="s">
        <v>28</v>
      </c>
      <c r="D2" s="8" t="n">
        <v>15001</v>
      </c>
      <c r="E2" s="8" t="n">
        <v>2010</v>
      </c>
      <c r="F2" s="8" t="s">
        <v>29</v>
      </c>
      <c r="G2" s="8" t="n">
        <v>1.5</v>
      </c>
      <c r="H2" s="5" t="s">
        <v>30</v>
      </c>
      <c r="I2" s="8" t="s">
        <v>735</v>
      </c>
      <c r="J2" s="5" t="s">
        <v>32</v>
      </c>
      <c r="K2" s="5" t="n">
        <v>2012</v>
      </c>
      <c r="L2" s="5" t="n">
        <v>12</v>
      </c>
      <c r="M2" s="6" t="s">
        <v>33</v>
      </c>
      <c r="N2" s="8" t="s">
        <v>1</v>
      </c>
      <c r="O2" s="4" t="n">
        <v>15515</v>
      </c>
    </row>
    <row r="3" customFormat="false" ht="15" hidden="false" customHeight="false" outlineLevel="0" collapsed="false">
      <c r="A3" s="5" t="n">
        <f aca="false">IF(B3&lt;&gt;"", COUNTA($B$2:B3), "")</f>
        <v>2</v>
      </c>
      <c r="B3" s="7" t="s">
        <v>27</v>
      </c>
      <c r="C3" s="8" t="s">
        <v>28</v>
      </c>
      <c r="D3" s="8" t="n">
        <v>15274</v>
      </c>
      <c r="E3" s="8" t="n">
        <v>2010</v>
      </c>
      <c r="F3" s="8" t="s">
        <v>736</v>
      </c>
      <c r="G3" s="8" t="n">
        <v>1.5</v>
      </c>
      <c r="H3" s="5" t="s">
        <v>35</v>
      </c>
      <c r="I3" s="8" t="s">
        <v>735</v>
      </c>
      <c r="J3" s="5" t="s">
        <v>32</v>
      </c>
      <c r="K3" s="5" t="n">
        <v>2012</v>
      </c>
      <c r="L3" s="5" t="n">
        <v>12</v>
      </c>
      <c r="M3" s="6" t="s">
        <v>33</v>
      </c>
      <c r="N3" s="8" t="s">
        <v>1</v>
      </c>
    </row>
    <row r="4" customFormat="false" ht="15" hidden="false" customHeight="false" outlineLevel="0" collapsed="false">
      <c r="A4" s="5" t="n">
        <f aca="false">IF(B4&lt;&gt;"", COUNTA($B$2:B4), "")</f>
        <v>3</v>
      </c>
      <c r="B4" s="7" t="s">
        <v>27</v>
      </c>
      <c r="C4" s="8" t="s">
        <v>28</v>
      </c>
      <c r="D4" s="62" t="n">
        <v>15513</v>
      </c>
      <c r="E4" s="8" t="n">
        <v>2010</v>
      </c>
      <c r="F4" s="8" t="s">
        <v>595</v>
      </c>
      <c r="G4" s="8" t="n">
        <v>1.5</v>
      </c>
      <c r="H4" s="12" t="s">
        <v>36</v>
      </c>
      <c r="I4" s="8" t="s">
        <v>735</v>
      </c>
      <c r="J4" s="5" t="s">
        <v>32</v>
      </c>
      <c r="K4" s="5" t="n">
        <v>2012</v>
      </c>
      <c r="L4" s="5" t="n">
        <v>12</v>
      </c>
      <c r="M4" s="6" t="s">
        <v>37</v>
      </c>
      <c r="N4" s="8" t="s">
        <v>38</v>
      </c>
      <c r="O4" s="63" t="s">
        <v>737</v>
      </c>
    </row>
    <row r="5" customFormat="false" ht="15" hidden="false" customHeight="false" outlineLevel="0" collapsed="false">
      <c r="A5" s="5" t="n">
        <f aca="false">IF(B5&lt;&gt;"", COUNTA($B$2:B5), "")</f>
        <v>4</v>
      </c>
      <c r="B5" s="7" t="s">
        <v>27</v>
      </c>
      <c r="C5" s="8" t="s">
        <v>28</v>
      </c>
      <c r="D5" s="8" t="n">
        <v>15247</v>
      </c>
      <c r="E5" s="8" t="n">
        <v>2010</v>
      </c>
      <c r="F5" s="8" t="s">
        <v>597</v>
      </c>
      <c r="G5" s="10" t="n">
        <v>1.5</v>
      </c>
      <c r="H5" s="5" t="s">
        <v>40</v>
      </c>
      <c r="I5" s="8" t="s">
        <v>735</v>
      </c>
      <c r="J5" s="5" t="s">
        <v>32</v>
      </c>
      <c r="K5" s="5" t="n">
        <v>2012</v>
      </c>
      <c r="L5" s="5" t="n">
        <v>12</v>
      </c>
      <c r="M5" s="6" t="s">
        <v>33</v>
      </c>
      <c r="N5" s="8" t="s">
        <v>1</v>
      </c>
    </row>
    <row r="6" customFormat="false" ht="15" hidden="false" customHeight="false" outlineLevel="0" collapsed="false">
      <c r="A6" s="5" t="n">
        <f aca="false">IF(B6&lt;&gt;"", COUNTA($B$2:B6), "")</f>
        <v>5</v>
      </c>
      <c r="B6" s="7" t="s">
        <v>27</v>
      </c>
      <c r="C6" s="8" t="s">
        <v>28</v>
      </c>
      <c r="D6" s="8" t="n">
        <v>15275</v>
      </c>
      <c r="E6" s="8" t="n">
        <v>2010</v>
      </c>
      <c r="F6" s="8" t="s">
        <v>738</v>
      </c>
      <c r="G6" s="10" t="n">
        <v>1.5</v>
      </c>
      <c r="H6" s="5" t="s">
        <v>43</v>
      </c>
      <c r="I6" s="8" t="s">
        <v>735</v>
      </c>
      <c r="J6" s="5" t="s">
        <v>32</v>
      </c>
      <c r="K6" s="5" t="n">
        <v>2012</v>
      </c>
      <c r="L6" s="5" t="n">
        <v>12</v>
      </c>
      <c r="M6" s="6" t="s">
        <v>33</v>
      </c>
      <c r="N6" s="8" t="s">
        <v>1</v>
      </c>
    </row>
    <row r="7" customFormat="false" ht="15" hidden="false" customHeight="false" outlineLevel="0" collapsed="false">
      <c r="A7" s="5" t="n">
        <f aca="false">IF(B7&lt;&gt;"", COUNTA($B$2:B7), "")</f>
        <v>6</v>
      </c>
      <c r="B7" s="7" t="s">
        <v>27</v>
      </c>
      <c r="C7" s="8" t="s">
        <v>28</v>
      </c>
      <c r="D7" s="8" t="n">
        <v>15138</v>
      </c>
      <c r="E7" s="8" t="n">
        <v>2010</v>
      </c>
      <c r="F7" s="8" t="s">
        <v>601</v>
      </c>
      <c r="G7" s="10" t="n">
        <v>1.5</v>
      </c>
      <c r="H7" s="5" t="s">
        <v>45</v>
      </c>
      <c r="I7" s="8" t="s">
        <v>735</v>
      </c>
      <c r="J7" s="5" t="s">
        <v>32</v>
      </c>
      <c r="K7" s="5" t="n">
        <v>2012</v>
      </c>
      <c r="L7" s="5" t="n">
        <v>12</v>
      </c>
      <c r="M7" s="6" t="s">
        <v>33</v>
      </c>
      <c r="N7" s="8" t="s">
        <v>1</v>
      </c>
    </row>
    <row r="8" customFormat="false" ht="22.5" hidden="false" customHeight="false" outlineLevel="0" collapsed="false">
      <c r="A8" s="5" t="n">
        <f aca="false">IF(B8&lt;&gt;"", COUNTA($B$2:B8), "")</f>
        <v>7</v>
      </c>
      <c r="B8" s="12" t="s">
        <v>46</v>
      </c>
      <c r="C8" s="8" t="s">
        <v>47</v>
      </c>
      <c r="D8" s="8" t="n">
        <v>5044</v>
      </c>
      <c r="E8" s="8" t="n">
        <v>2010</v>
      </c>
      <c r="F8" s="8" t="s">
        <v>48</v>
      </c>
      <c r="G8" s="8" t="n">
        <v>1.5</v>
      </c>
      <c r="H8" s="5" t="s">
        <v>49</v>
      </c>
      <c r="I8" s="8" t="s">
        <v>735</v>
      </c>
      <c r="J8" s="5" t="s">
        <v>32</v>
      </c>
      <c r="K8" s="5" t="n">
        <v>2012</v>
      </c>
      <c r="L8" s="5" t="n">
        <v>24</v>
      </c>
      <c r="M8" s="6" t="s">
        <v>41</v>
      </c>
      <c r="N8" s="8" t="s">
        <v>1</v>
      </c>
    </row>
    <row r="9" customFormat="false" ht="22.5" hidden="false" customHeight="false" outlineLevel="0" collapsed="false">
      <c r="A9" s="5" t="n">
        <f aca="false">IF(B9&lt;&gt;"", COUNTA($B$2:B9), "")</f>
        <v>8</v>
      </c>
      <c r="B9" s="12" t="s">
        <v>46</v>
      </c>
      <c r="C9" s="8" t="s">
        <v>47</v>
      </c>
      <c r="D9" s="8" t="n">
        <v>5032</v>
      </c>
      <c r="E9" s="8" t="n">
        <v>2010</v>
      </c>
      <c r="F9" s="8" t="s">
        <v>48</v>
      </c>
      <c r="G9" s="8" t="n">
        <v>1.5</v>
      </c>
      <c r="H9" s="5" t="s">
        <v>50</v>
      </c>
      <c r="I9" s="8" t="s">
        <v>735</v>
      </c>
      <c r="J9" s="5" t="s">
        <v>32</v>
      </c>
      <c r="K9" s="5" t="n">
        <v>2012</v>
      </c>
      <c r="L9" s="5" t="n">
        <v>24</v>
      </c>
      <c r="M9" s="6" t="s">
        <v>41</v>
      </c>
      <c r="N9" s="8" t="s">
        <v>1</v>
      </c>
    </row>
    <row r="10" customFormat="false" ht="15" hidden="false" customHeight="false" outlineLevel="0" collapsed="false">
      <c r="A10" s="5" t="n">
        <f aca="false">IF(B10&lt;&gt;"", COUNTA($B$2:B10), "")</f>
        <v>9</v>
      </c>
      <c r="B10" s="5" t="s">
        <v>568</v>
      </c>
      <c r="C10" s="12" t="s">
        <v>52</v>
      </c>
      <c r="D10" s="12" t="s">
        <v>739</v>
      </c>
      <c r="E10" s="17" t="n">
        <v>2011</v>
      </c>
      <c r="F10" s="12" t="s">
        <v>54</v>
      </c>
      <c r="G10" s="12" t="s">
        <v>55</v>
      </c>
      <c r="H10" s="5" t="s">
        <v>56</v>
      </c>
      <c r="I10" s="8" t="s">
        <v>735</v>
      </c>
      <c r="J10" s="5" t="s">
        <v>32</v>
      </c>
      <c r="K10" s="5" t="n">
        <v>2012</v>
      </c>
      <c r="L10" s="12" t="n">
        <v>48</v>
      </c>
      <c r="M10" s="6"/>
      <c r="N10" s="8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18" t="s">
        <v>57</v>
      </c>
      <c r="C11" s="5" t="s">
        <v>58</v>
      </c>
      <c r="D11" s="5" t="s">
        <v>740</v>
      </c>
      <c r="E11" s="17" t="n">
        <v>2011</v>
      </c>
      <c r="F11" s="12" t="s">
        <v>60</v>
      </c>
      <c r="G11" s="12" t="n">
        <v>0.075</v>
      </c>
      <c r="H11" s="5" t="s">
        <v>61</v>
      </c>
      <c r="I11" s="8" t="s">
        <v>735</v>
      </c>
      <c r="J11" s="5" t="s">
        <v>32</v>
      </c>
      <c r="K11" s="5" t="n">
        <v>2012</v>
      </c>
      <c r="L11" s="12" t="n">
        <v>36</v>
      </c>
      <c r="M11" s="6"/>
      <c r="N11" s="8"/>
    </row>
    <row r="12" customFormat="false" ht="22.5" hidden="false" customHeight="false" outlineLevel="0" collapsed="false">
      <c r="A12" s="5" t="n">
        <f aca="false">IF(B12&lt;&gt;"", COUNTA($B$2:B19), "")</f>
        <v>18</v>
      </c>
      <c r="B12" s="18" t="s">
        <v>57</v>
      </c>
      <c r="C12" s="5" t="s">
        <v>58</v>
      </c>
      <c r="D12" s="5" t="s">
        <v>741</v>
      </c>
      <c r="E12" s="17" t="n">
        <v>2011</v>
      </c>
      <c r="F12" s="12" t="s">
        <v>60</v>
      </c>
      <c r="G12" s="12" t="n">
        <v>0.075</v>
      </c>
      <c r="H12" s="5" t="s">
        <v>63</v>
      </c>
      <c r="I12" s="8" t="s">
        <v>735</v>
      </c>
      <c r="J12" s="5" t="s">
        <v>32</v>
      </c>
      <c r="K12" s="5" t="n">
        <v>2012</v>
      </c>
      <c r="L12" s="12" t="n">
        <v>36</v>
      </c>
      <c r="M12" s="6"/>
      <c r="N12" s="8"/>
    </row>
    <row r="13" customFormat="false" ht="15" hidden="false" customHeight="false" outlineLevel="0" collapsed="false">
      <c r="A13" s="5" t="n">
        <f aca="false">IF(B13&lt;&gt;"", COUNTA($B$2:B16), "")</f>
        <v>15</v>
      </c>
      <c r="B13" s="6" t="s">
        <v>64</v>
      </c>
      <c r="C13" s="19" t="s">
        <v>65</v>
      </c>
      <c r="D13" s="6" t="s">
        <v>742</v>
      </c>
      <c r="E13" s="17" t="n">
        <v>2011</v>
      </c>
      <c r="F13" s="19" t="s">
        <v>67</v>
      </c>
      <c r="G13" s="19" t="s">
        <v>68</v>
      </c>
      <c r="H13" s="6" t="s">
        <v>69</v>
      </c>
      <c r="I13" s="8" t="s">
        <v>735</v>
      </c>
      <c r="J13" s="5" t="s">
        <v>32</v>
      </c>
      <c r="K13" s="5" t="n">
        <v>2012</v>
      </c>
      <c r="L13" s="12" t="n">
        <v>36</v>
      </c>
      <c r="M13" s="6"/>
      <c r="N13" s="8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6" t="s">
        <v>64</v>
      </c>
      <c r="C14" s="19" t="s">
        <v>198</v>
      </c>
      <c r="D14" s="6" t="s">
        <v>743</v>
      </c>
      <c r="E14" s="19"/>
      <c r="F14" s="19" t="s">
        <v>67</v>
      </c>
      <c r="G14" s="19" t="s">
        <v>68</v>
      </c>
      <c r="H14" s="6" t="s">
        <v>71</v>
      </c>
      <c r="I14" s="8" t="s">
        <v>735</v>
      </c>
      <c r="J14" s="5" t="s">
        <v>32</v>
      </c>
      <c r="K14" s="5"/>
      <c r="L14" s="5"/>
      <c r="M14" s="6"/>
      <c r="N14" s="8"/>
    </row>
    <row r="15" customFormat="false" ht="15" hidden="false" customHeight="false" outlineLevel="0" collapsed="false">
      <c r="A15" s="5" t="n">
        <f aca="false">IF(B15&lt;&gt;"", COUNTA($B$2:B16), "")</f>
        <v>15</v>
      </c>
      <c r="B15" s="6" t="s">
        <v>64</v>
      </c>
      <c r="C15" s="19" t="s">
        <v>65</v>
      </c>
      <c r="D15" s="6" t="s">
        <v>744</v>
      </c>
      <c r="E15" s="17" t="n">
        <v>2011</v>
      </c>
      <c r="F15" s="19" t="s">
        <v>67</v>
      </c>
      <c r="G15" s="19" t="s">
        <v>68</v>
      </c>
      <c r="H15" s="6" t="s">
        <v>73</v>
      </c>
      <c r="I15" s="8" t="s">
        <v>735</v>
      </c>
      <c r="J15" s="5" t="s">
        <v>32</v>
      </c>
      <c r="K15" s="5" t="n">
        <v>2012</v>
      </c>
      <c r="L15" s="12" t="n">
        <v>36</v>
      </c>
      <c r="M15" s="6"/>
      <c r="N15" s="8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6" t="s">
        <v>64</v>
      </c>
      <c r="C16" s="19" t="s">
        <v>198</v>
      </c>
      <c r="D16" s="6" t="s">
        <v>745</v>
      </c>
      <c r="E16" s="19"/>
      <c r="F16" s="19" t="s">
        <v>67</v>
      </c>
      <c r="G16" s="19" t="s">
        <v>68</v>
      </c>
      <c r="H16" s="6" t="s">
        <v>75</v>
      </c>
      <c r="I16" s="8" t="s">
        <v>735</v>
      </c>
      <c r="J16" s="5" t="s">
        <v>32</v>
      </c>
      <c r="K16" s="5"/>
      <c r="L16" s="5"/>
      <c r="M16" s="6"/>
      <c r="N16" s="8"/>
    </row>
    <row r="17" customFormat="false" ht="15" hidden="false" customHeight="false" outlineLevel="0" collapsed="false">
      <c r="A17" s="5" t="n">
        <f aca="false">IF(B17&lt;&gt;"", COUNTA($B$2:B17), "")</f>
        <v>16</v>
      </c>
      <c r="B17" s="6" t="s">
        <v>64</v>
      </c>
      <c r="C17" s="19" t="s">
        <v>65</v>
      </c>
      <c r="D17" s="6" t="s">
        <v>746</v>
      </c>
      <c r="E17" s="17" t="n">
        <v>2011</v>
      </c>
      <c r="F17" s="19" t="s">
        <v>67</v>
      </c>
      <c r="G17" s="19" t="s">
        <v>68</v>
      </c>
      <c r="H17" s="6" t="s">
        <v>77</v>
      </c>
      <c r="I17" s="8" t="s">
        <v>735</v>
      </c>
      <c r="J17" s="5" t="s">
        <v>32</v>
      </c>
      <c r="K17" s="5" t="n">
        <v>2012</v>
      </c>
      <c r="L17" s="12" t="n">
        <v>36</v>
      </c>
      <c r="M17" s="6"/>
      <c r="N17" s="8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6" t="s">
        <v>64</v>
      </c>
      <c r="C18" s="19" t="s">
        <v>65</v>
      </c>
      <c r="D18" s="6" t="s">
        <v>747</v>
      </c>
      <c r="E18" s="17" t="n">
        <v>2011</v>
      </c>
      <c r="F18" s="19" t="s">
        <v>67</v>
      </c>
      <c r="G18" s="19" t="s">
        <v>68</v>
      </c>
      <c r="H18" s="6" t="s">
        <v>79</v>
      </c>
      <c r="I18" s="8" t="s">
        <v>735</v>
      </c>
      <c r="J18" s="5" t="s">
        <v>32</v>
      </c>
      <c r="K18" s="5" t="n">
        <v>2012</v>
      </c>
      <c r="L18" s="12" t="n">
        <v>36</v>
      </c>
      <c r="M18" s="6"/>
      <c r="N18" s="8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6" t="s">
        <v>64</v>
      </c>
      <c r="C19" s="19" t="s">
        <v>65</v>
      </c>
      <c r="D19" s="6" t="s">
        <v>748</v>
      </c>
      <c r="E19" s="17" t="n">
        <v>2011</v>
      </c>
      <c r="F19" s="19" t="s">
        <v>67</v>
      </c>
      <c r="G19" s="19" t="s">
        <v>68</v>
      </c>
      <c r="H19" s="6" t="s">
        <v>81</v>
      </c>
      <c r="I19" s="8" t="s">
        <v>735</v>
      </c>
      <c r="J19" s="5" t="s">
        <v>32</v>
      </c>
      <c r="K19" s="5" t="n">
        <v>2012</v>
      </c>
      <c r="L19" s="12" t="n">
        <v>36</v>
      </c>
      <c r="M19" s="6"/>
      <c r="N19" s="8"/>
    </row>
    <row r="20" customFormat="false" ht="15" hidden="false" customHeight="false" outlineLevel="0" collapsed="false">
      <c r="A20" s="5" t="n">
        <f aca="false">IF(B20&lt;&gt;"", COUNTA($B$2:B20), "")</f>
        <v>19</v>
      </c>
      <c r="B20" s="6" t="s">
        <v>64</v>
      </c>
      <c r="C20" s="19" t="s">
        <v>65</v>
      </c>
      <c r="D20" s="6" t="s">
        <v>749</v>
      </c>
      <c r="E20" s="17" t="n">
        <v>2011</v>
      </c>
      <c r="F20" s="19" t="s">
        <v>67</v>
      </c>
      <c r="G20" s="19" t="s">
        <v>68</v>
      </c>
      <c r="H20" s="6" t="s">
        <v>83</v>
      </c>
      <c r="I20" s="8" t="s">
        <v>735</v>
      </c>
      <c r="J20" s="5" t="s">
        <v>32</v>
      </c>
      <c r="K20" s="5" t="n">
        <v>2012</v>
      </c>
      <c r="L20" s="12" t="n">
        <v>36</v>
      </c>
      <c r="M20" s="6"/>
      <c r="N20" s="8"/>
    </row>
    <row r="21" customFormat="false" ht="15" hidden="false" customHeight="false" outlineLevel="0" collapsed="false">
      <c r="A21" s="5" t="n">
        <f aca="false">IF(B21&lt;&gt;"", COUNTA($B$2:B21), "")</f>
        <v>20</v>
      </c>
      <c r="B21" s="6" t="s">
        <v>64</v>
      </c>
      <c r="C21" s="19" t="s">
        <v>65</v>
      </c>
      <c r="D21" s="6" t="s">
        <v>750</v>
      </c>
      <c r="E21" s="17" t="n">
        <v>2011</v>
      </c>
      <c r="F21" s="19" t="s">
        <v>67</v>
      </c>
      <c r="G21" s="19" t="s">
        <v>68</v>
      </c>
      <c r="H21" s="6" t="s">
        <v>85</v>
      </c>
      <c r="I21" s="8" t="s">
        <v>735</v>
      </c>
      <c r="J21" s="5" t="s">
        <v>32</v>
      </c>
      <c r="K21" s="5" t="n">
        <v>2012</v>
      </c>
      <c r="L21" s="12" t="n">
        <v>36</v>
      </c>
      <c r="M21" s="6"/>
      <c r="N21" s="8"/>
    </row>
    <row r="22" customFormat="false" ht="15" hidden="false" customHeight="false" outlineLevel="0" collapsed="false">
      <c r="A22" s="5" t="n">
        <f aca="false">IF(B22&lt;&gt;"", COUNTA($B$2:B22), "")</f>
        <v>21</v>
      </c>
      <c r="B22" s="6" t="s">
        <v>86</v>
      </c>
      <c r="C22" s="19" t="s">
        <v>87</v>
      </c>
      <c r="D22" s="6" t="s">
        <v>751</v>
      </c>
      <c r="E22" s="17" t="n">
        <v>2011</v>
      </c>
      <c r="F22" s="19" t="s">
        <v>89</v>
      </c>
      <c r="G22" s="19"/>
      <c r="H22" s="6" t="s">
        <v>90</v>
      </c>
      <c r="I22" s="8" t="s">
        <v>735</v>
      </c>
      <c r="J22" s="5" t="s">
        <v>32</v>
      </c>
      <c r="K22" s="5"/>
      <c r="L22" s="12"/>
      <c r="M22" s="6"/>
      <c r="N22" s="8"/>
    </row>
    <row r="23" customFormat="false" ht="15" hidden="false" customHeight="false" outlineLevel="0" collapsed="false">
      <c r="A23" s="5" t="n">
        <f aca="false">IF(B23&lt;&gt;"", COUNTA($B$2:B23), "")</f>
        <v>22</v>
      </c>
      <c r="B23" s="6" t="s">
        <v>86</v>
      </c>
      <c r="C23" s="19" t="s">
        <v>87</v>
      </c>
      <c r="D23" s="6" t="s">
        <v>752</v>
      </c>
      <c r="E23" s="17" t="n">
        <v>2011</v>
      </c>
      <c r="F23" s="19" t="s">
        <v>89</v>
      </c>
      <c r="G23" s="19"/>
      <c r="H23" s="6" t="s">
        <v>92</v>
      </c>
      <c r="I23" s="8" t="s">
        <v>735</v>
      </c>
      <c r="J23" s="5" t="s">
        <v>32</v>
      </c>
      <c r="K23" s="5"/>
      <c r="L23" s="12"/>
      <c r="M23" s="6"/>
      <c r="N23" s="8"/>
    </row>
    <row r="24" customFormat="false" ht="15" hidden="false" customHeight="false" outlineLevel="0" collapsed="false">
      <c r="A24" s="5" t="n">
        <f aca="false">IF(B24&lt;&gt;"", COUNTA($B$2:B24), "")</f>
        <v>23</v>
      </c>
      <c r="B24" s="7" t="s">
        <v>93</v>
      </c>
      <c r="C24" s="8" t="s">
        <v>94</v>
      </c>
      <c r="D24" s="8" t="n">
        <v>1105275</v>
      </c>
      <c r="E24" s="17" t="n">
        <v>2011</v>
      </c>
      <c r="F24" s="20"/>
      <c r="G24" s="20"/>
      <c r="H24" s="5" t="s">
        <v>95</v>
      </c>
      <c r="I24" s="5" t="s">
        <v>735</v>
      </c>
      <c r="J24" s="5" t="s">
        <v>32</v>
      </c>
      <c r="K24" s="5" t="n">
        <v>2012</v>
      </c>
      <c r="L24" s="12"/>
      <c r="M24" s="6"/>
      <c r="N24" s="20"/>
    </row>
    <row r="25" customFormat="false" ht="15" hidden="false" customHeight="false" outlineLevel="0" collapsed="false">
      <c r="A25" s="5" t="n">
        <f aca="false">IF(B25&lt;&gt;"", COUNTA($B$2:B25), "")</f>
        <v>24</v>
      </c>
      <c r="B25" s="7" t="s">
        <v>93</v>
      </c>
      <c r="C25" s="8" t="s">
        <v>94</v>
      </c>
      <c r="D25" s="8" t="n">
        <v>1105086</v>
      </c>
      <c r="E25" s="17" t="n">
        <v>2011</v>
      </c>
      <c r="F25" s="20"/>
      <c r="G25" s="20"/>
      <c r="H25" s="5" t="s">
        <v>97</v>
      </c>
      <c r="I25" s="5" t="s">
        <v>735</v>
      </c>
      <c r="J25" s="5" t="s">
        <v>32</v>
      </c>
      <c r="K25" s="5" t="n">
        <v>2012</v>
      </c>
      <c r="L25" s="12"/>
      <c r="M25" s="6"/>
      <c r="N25" s="20"/>
    </row>
    <row r="26" customFormat="false" ht="15" hidden="false" customHeight="false" outlineLevel="0" collapsed="false">
      <c r="A26" s="5" t="n">
        <f aca="false">IF(B26&lt;&gt;"", COUNTA($B$2:B26), "")</f>
        <v>25</v>
      </c>
      <c r="B26" s="7" t="s">
        <v>98</v>
      </c>
      <c r="C26" s="8" t="s">
        <v>99</v>
      </c>
      <c r="D26" s="15" t="s">
        <v>753</v>
      </c>
      <c r="E26" s="17" t="n">
        <v>2011</v>
      </c>
      <c r="F26" s="20"/>
      <c r="G26" s="20"/>
      <c r="H26" s="5" t="s">
        <v>101</v>
      </c>
      <c r="I26" s="5" t="s">
        <v>735</v>
      </c>
      <c r="J26" s="5" t="s">
        <v>32</v>
      </c>
      <c r="K26" s="5" t="n">
        <v>2012</v>
      </c>
      <c r="L26" s="20"/>
      <c r="M26" s="20"/>
      <c r="N26" s="20"/>
    </row>
    <row r="27" customFormat="false" ht="15" hidden="false" customHeight="false" outlineLevel="0" collapsed="false">
      <c r="A27" s="5" t="n">
        <f aca="false">IF(B27&lt;&gt;"", COUNTA($B$2:B27), "")</f>
        <v>26</v>
      </c>
      <c r="B27" s="7" t="s">
        <v>98</v>
      </c>
      <c r="C27" s="8" t="s">
        <v>99</v>
      </c>
      <c r="D27" s="15" t="s">
        <v>754</v>
      </c>
      <c r="E27" s="17" t="n">
        <v>2011</v>
      </c>
      <c r="F27" s="20"/>
      <c r="G27" s="20"/>
      <c r="H27" s="5" t="s">
        <v>103</v>
      </c>
      <c r="I27" s="5" t="s">
        <v>735</v>
      </c>
      <c r="J27" s="5" t="s">
        <v>32</v>
      </c>
      <c r="K27" s="5" t="n">
        <v>2012</v>
      </c>
      <c r="L27" s="20"/>
      <c r="M27" s="20"/>
      <c r="N27" s="20"/>
    </row>
    <row r="28" customFormat="false" ht="14.25" hidden="false" customHeight="true" outlineLevel="0" collapsed="false">
      <c r="A28" s="5" t="n">
        <f aca="false">IF(B28&lt;&gt;"", COUNTA($B$2:B28), "")</f>
        <v>27</v>
      </c>
      <c r="B28" s="7" t="s">
        <v>98</v>
      </c>
      <c r="C28" s="8" t="s">
        <v>99</v>
      </c>
      <c r="D28" s="15" t="s">
        <v>755</v>
      </c>
      <c r="E28" s="17" t="n">
        <v>2011</v>
      </c>
      <c r="F28" s="20"/>
      <c r="G28" s="20"/>
      <c r="H28" s="5" t="s">
        <v>105</v>
      </c>
      <c r="I28" s="5" t="s">
        <v>735</v>
      </c>
      <c r="J28" s="5" t="s">
        <v>32</v>
      </c>
      <c r="K28" s="5" t="n">
        <v>2012</v>
      </c>
      <c r="L28" s="20"/>
      <c r="M28" s="20"/>
      <c r="N28" s="20"/>
    </row>
    <row r="29" customFormat="false" ht="15" hidden="false" customHeight="false" outlineLevel="0" collapsed="false">
      <c r="A29" s="5" t="n">
        <f aca="false">IF(B29&lt;&gt;"", COUNTA($B$2:B29), "")</f>
        <v>28</v>
      </c>
      <c r="B29" s="7" t="s">
        <v>98</v>
      </c>
      <c r="C29" s="8" t="s">
        <v>99</v>
      </c>
      <c r="D29" s="15" t="s">
        <v>756</v>
      </c>
      <c r="E29" s="17" t="n">
        <v>2011</v>
      </c>
      <c r="F29" s="20"/>
      <c r="G29" s="20"/>
      <c r="H29" s="5" t="s">
        <v>107</v>
      </c>
      <c r="I29" s="5" t="s">
        <v>735</v>
      </c>
      <c r="J29" s="5" t="s">
        <v>32</v>
      </c>
      <c r="K29" s="5" t="n">
        <v>2012</v>
      </c>
      <c r="L29" s="20"/>
      <c r="M29" s="20"/>
      <c r="N29" s="20"/>
    </row>
    <row r="30" customFormat="false" ht="15" hidden="false" customHeight="false" outlineLevel="0" collapsed="false">
      <c r="A30" s="5" t="n">
        <f aca="false">IF(B30&lt;&gt;"", COUNTA($B$2:B30), "")</f>
        <v>29</v>
      </c>
      <c r="B30" s="6" t="s">
        <v>64</v>
      </c>
      <c r="C30" s="12" t="s">
        <v>108</v>
      </c>
      <c r="D30" s="12" t="n">
        <v>10</v>
      </c>
      <c r="E30" s="17" t="n">
        <v>2011</v>
      </c>
      <c r="F30" s="19" t="s">
        <v>109</v>
      </c>
      <c r="G30" s="12" t="s">
        <v>110</v>
      </c>
      <c r="H30" s="5" t="s">
        <v>111</v>
      </c>
      <c r="I30" s="5" t="s">
        <v>757</v>
      </c>
      <c r="J30" s="5" t="s">
        <v>32</v>
      </c>
      <c r="K30" s="5" t="n">
        <v>2012</v>
      </c>
      <c r="L30" s="12" t="n">
        <v>24</v>
      </c>
      <c r="M30" s="6"/>
      <c r="N30" s="8"/>
    </row>
    <row r="31" customFormat="false" ht="15" hidden="false" customHeight="false" outlineLevel="0" collapsed="false">
      <c r="A31" s="5" t="n">
        <f aca="false">IF(B31&lt;&gt;"", COUNTA($B$2:B31), "")</f>
        <v>30</v>
      </c>
      <c r="B31" s="6" t="s">
        <v>64</v>
      </c>
      <c r="C31" s="12" t="s">
        <v>108</v>
      </c>
      <c r="D31" s="12" t="n">
        <v>11</v>
      </c>
      <c r="E31" s="17" t="n">
        <v>2011</v>
      </c>
      <c r="F31" s="19" t="s">
        <v>109</v>
      </c>
      <c r="G31" s="12" t="s">
        <v>110</v>
      </c>
      <c r="H31" s="5" t="s">
        <v>113</v>
      </c>
      <c r="I31" s="5" t="s">
        <v>757</v>
      </c>
      <c r="J31" s="5" t="s">
        <v>32</v>
      </c>
      <c r="K31" s="5" t="n">
        <v>2012</v>
      </c>
      <c r="L31" s="12" t="n">
        <v>24</v>
      </c>
      <c r="M31" s="6"/>
      <c r="N31" s="8"/>
    </row>
    <row r="32" customFormat="false" ht="15" hidden="false" customHeight="false" outlineLevel="0" collapsed="false">
      <c r="A32" s="5" t="n">
        <f aca="false">IF(B32&lt;&gt;"", COUNTA($B$2:B32), "")</f>
        <v>31</v>
      </c>
      <c r="B32" s="6" t="s">
        <v>64</v>
      </c>
      <c r="C32" s="12" t="s">
        <v>108</v>
      </c>
      <c r="D32" s="12" t="n">
        <v>35</v>
      </c>
      <c r="E32" s="17" t="n">
        <v>2011</v>
      </c>
      <c r="F32" s="19" t="s">
        <v>109</v>
      </c>
      <c r="G32" s="12" t="s">
        <v>110</v>
      </c>
      <c r="H32" s="5" t="s">
        <v>115</v>
      </c>
      <c r="I32" s="5" t="s">
        <v>757</v>
      </c>
      <c r="J32" s="5" t="s">
        <v>32</v>
      </c>
      <c r="K32" s="5" t="n">
        <v>2021</v>
      </c>
      <c r="L32" s="12" t="n">
        <v>24</v>
      </c>
      <c r="M32" s="6"/>
      <c r="N32" s="8"/>
    </row>
    <row r="33" customFormat="false" ht="15" hidden="false" customHeight="false" outlineLevel="0" collapsed="false">
      <c r="A33" s="5" t="n">
        <f aca="false">IF(B33&lt;&gt;"", COUNTA($B$2:B33), "")</f>
        <v>32</v>
      </c>
      <c r="B33" s="6" t="s">
        <v>64</v>
      </c>
      <c r="C33" s="12" t="s">
        <v>108</v>
      </c>
      <c r="D33" s="12" t="n">
        <v>24</v>
      </c>
      <c r="E33" s="17" t="n">
        <v>2011</v>
      </c>
      <c r="F33" s="19" t="s">
        <v>109</v>
      </c>
      <c r="G33" s="12" t="s">
        <v>110</v>
      </c>
      <c r="H33" s="5" t="s">
        <v>116</v>
      </c>
      <c r="I33" s="5" t="s">
        <v>757</v>
      </c>
      <c r="J33" s="5" t="s">
        <v>32</v>
      </c>
      <c r="K33" s="5" t="n">
        <v>2012</v>
      </c>
      <c r="L33" s="12" t="n">
        <v>24</v>
      </c>
      <c r="M33" s="6"/>
      <c r="N33" s="8"/>
    </row>
    <row r="34" customFormat="false" ht="15" hidden="false" customHeight="false" outlineLevel="0" collapsed="false">
      <c r="A34" s="5" t="n">
        <f aca="false">IF(B34&lt;&gt;"", COUNTA($B$2:B34), "")</f>
        <v>33</v>
      </c>
      <c r="B34" s="6" t="s">
        <v>64</v>
      </c>
      <c r="C34" s="12" t="s">
        <v>108</v>
      </c>
      <c r="D34" s="12" t="n">
        <v>21</v>
      </c>
      <c r="E34" s="17" t="n">
        <v>2011</v>
      </c>
      <c r="F34" s="19" t="s">
        <v>109</v>
      </c>
      <c r="G34" s="12" t="s">
        <v>110</v>
      </c>
      <c r="H34" s="5" t="s">
        <v>117</v>
      </c>
      <c r="I34" s="5" t="s">
        <v>757</v>
      </c>
      <c r="J34" s="5" t="s">
        <v>32</v>
      </c>
      <c r="K34" s="5" t="n">
        <v>2012</v>
      </c>
      <c r="L34" s="12" t="n">
        <v>24</v>
      </c>
      <c r="M34" s="6"/>
      <c r="N34" s="8"/>
    </row>
    <row r="35" customFormat="false" ht="15" hidden="false" customHeight="false" outlineLevel="0" collapsed="false">
      <c r="A35" s="5" t="n">
        <f aca="false">IF(B35&lt;&gt;"", COUNTA($B$2:B35), "")</f>
        <v>34</v>
      </c>
      <c r="B35" s="6" t="s">
        <v>64</v>
      </c>
      <c r="C35" s="12" t="s">
        <v>108</v>
      </c>
      <c r="D35" s="12" t="n">
        <v>20</v>
      </c>
      <c r="E35" s="17" t="n">
        <v>2011</v>
      </c>
      <c r="F35" s="19" t="s">
        <v>109</v>
      </c>
      <c r="G35" s="12" t="s">
        <v>110</v>
      </c>
      <c r="H35" s="5" t="s">
        <v>118</v>
      </c>
      <c r="I35" s="5" t="s">
        <v>757</v>
      </c>
      <c r="J35" s="5" t="s">
        <v>32</v>
      </c>
      <c r="K35" s="5" t="n">
        <v>2012</v>
      </c>
      <c r="L35" s="12" t="n">
        <v>24</v>
      </c>
      <c r="M35" s="6"/>
      <c r="N35" s="8"/>
    </row>
    <row r="36" customFormat="false" ht="1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5" t="s">
        <v>28</v>
      </c>
      <c r="D36" s="5" t="n">
        <v>15252</v>
      </c>
      <c r="E36" s="8" t="n">
        <v>2010</v>
      </c>
      <c r="F36" s="5" t="s">
        <v>119</v>
      </c>
      <c r="G36" s="5" t="n">
        <v>1.5</v>
      </c>
      <c r="H36" s="5" t="s">
        <v>120</v>
      </c>
      <c r="I36" s="8" t="s">
        <v>757</v>
      </c>
      <c r="J36" s="5" t="s">
        <v>32</v>
      </c>
      <c r="K36" s="5" t="n">
        <v>2012</v>
      </c>
      <c r="L36" s="5" t="n">
        <v>12</v>
      </c>
      <c r="M36" s="6" t="s">
        <v>33</v>
      </c>
      <c r="N36" s="8" t="s">
        <v>1</v>
      </c>
    </row>
    <row r="37" customFormat="false" ht="1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6" t="s">
        <v>121</v>
      </c>
      <c r="D37" s="5" t="n">
        <v>15152</v>
      </c>
      <c r="E37" s="8" t="n">
        <v>2010</v>
      </c>
      <c r="F37" s="5" t="s">
        <v>122</v>
      </c>
      <c r="G37" s="5" t="n">
        <v>1.5</v>
      </c>
      <c r="H37" s="5" t="s">
        <v>123</v>
      </c>
      <c r="I37" s="8" t="s">
        <v>757</v>
      </c>
      <c r="J37" s="5" t="s">
        <v>32</v>
      </c>
      <c r="K37" s="5" t="n">
        <v>2012</v>
      </c>
      <c r="L37" s="5" t="n">
        <v>12</v>
      </c>
      <c r="M37" s="6" t="s">
        <v>33</v>
      </c>
      <c r="N37" s="8" t="s">
        <v>1</v>
      </c>
    </row>
    <row r="38" customFormat="false" ht="15" hidden="false" customHeight="false" outlineLevel="0" collapsed="false">
      <c r="A38" s="5" t="n">
        <f aca="false">IF(B38&lt;&gt;"", COUNTA($B$2:B38), "")</f>
        <v>37</v>
      </c>
      <c r="B38" s="7" t="s">
        <v>93</v>
      </c>
      <c r="C38" s="8" t="s">
        <v>94</v>
      </c>
      <c r="D38" s="8" t="n">
        <v>1201046</v>
      </c>
      <c r="E38" s="17" t="n">
        <v>2011</v>
      </c>
      <c r="F38" s="20"/>
      <c r="G38" s="20"/>
      <c r="H38" s="5" t="s">
        <v>124</v>
      </c>
      <c r="I38" s="5" t="s">
        <v>757</v>
      </c>
      <c r="J38" s="5" t="s">
        <v>32</v>
      </c>
      <c r="K38" s="5" t="n">
        <v>2012</v>
      </c>
      <c r="L38" s="12"/>
      <c r="M38" s="6"/>
      <c r="N38" s="20"/>
    </row>
    <row r="39" customFormat="false" ht="22.5" hidden="false" customHeight="false" outlineLevel="0" collapsed="false">
      <c r="A39" s="5" t="n">
        <f aca="false">IF(B39&lt;&gt;"", COUNTA($B$2:B39), "")</f>
        <v>38</v>
      </c>
      <c r="B39" s="7" t="s">
        <v>125</v>
      </c>
      <c r="C39" s="8" t="s">
        <v>126</v>
      </c>
      <c r="D39" s="8" t="n">
        <v>1924</v>
      </c>
      <c r="E39" s="17" t="n">
        <v>2011</v>
      </c>
      <c r="F39" s="19" t="s">
        <v>127</v>
      </c>
      <c r="G39" s="20"/>
      <c r="H39" s="5" t="s">
        <v>128</v>
      </c>
      <c r="I39" s="5" t="s">
        <v>757</v>
      </c>
      <c r="J39" s="5" t="s">
        <v>32</v>
      </c>
      <c r="K39" s="5" t="n">
        <v>2012</v>
      </c>
      <c r="L39" s="20"/>
      <c r="M39" s="20"/>
      <c r="N39" s="20"/>
    </row>
    <row r="40" customFormat="false" ht="22.5" hidden="false" customHeight="false" outlineLevel="0" collapsed="false">
      <c r="A40" s="5" t="n">
        <f aca="false">IF(B40&lt;&gt;"", COUNTA($B$2:B40), "")</f>
        <v>39</v>
      </c>
      <c r="B40" s="7" t="s">
        <v>125</v>
      </c>
      <c r="C40" s="8" t="s">
        <v>126</v>
      </c>
      <c r="D40" s="8" t="n">
        <v>1925</v>
      </c>
      <c r="E40" s="17" t="n">
        <v>2011</v>
      </c>
      <c r="F40" s="19" t="s">
        <v>127</v>
      </c>
      <c r="G40" s="20"/>
      <c r="H40" s="5" t="s">
        <v>129</v>
      </c>
      <c r="I40" s="5" t="s">
        <v>757</v>
      </c>
      <c r="J40" s="5" t="s">
        <v>32</v>
      </c>
      <c r="K40" s="5" t="n">
        <v>2012</v>
      </c>
      <c r="L40" s="20"/>
      <c r="M40" s="20"/>
      <c r="N40" s="20"/>
    </row>
    <row r="41" customFormat="false" ht="22.5" hidden="false" customHeight="false" outlineLevel="0" collapsed="false">
      <c r="A41" s="5" t="n">
        <f aca="false">IF(B41&lt;&gt;"", COUNTA($B$2:B41), "")</f>
        <v>40</v>
      </c>
      <c r="B41" s="7" t="s">
        <v>125</v>
      </c>
      <c r="C41" s="8" t="s">
        <v>126</v>
      </c>
      <c r="D41" s="8" t="n">
        <v>1926</v>
      </c>
      <c r="E41" s="17" t="n">
        <v>2011</v>
      </c>
      <c r="F41" s="19" t="s">
        <v>127</v>
      </c>
      <c r="G41" s="20"/>
      <c r="H41" s="5" t="s">
        <v>130</v>
      </c>
      <c r="I41" s="5" t="s">
        <v>757</v>
      </c>
      <c r="J41" s="5" t="s">
        <v>32</v>
      </c>
      <c r="K41" s="5" t="n">
        <v>2012</v>
      </c>
      <c r="L41" s="20"/>
      <c r="M41" s="20"/>
      <c r="N41" s="20"/>
    </row>
    <row r="42" customFormat="false" ht="22.5" hidden="false" customHeight="false" outlineLevel="0" collapsed="false">
      <c r="A42" s="5" t="n">
        <f aca="false">IF(B42&lt;&gt;"", COUNTA($B$2:B42), "")</f>
        <v>41</v>
      </c>
      <c r="B42" s="18" t="s">
        <v>57</v>
      </c>
      <c r="C42" s="8" t="s">
        <v>131</v>
      </c>
      <c r="D42" s="8" t="s">
        <v>132</v>
      </c>
      <c r="E42" s="8"/>
      <c r="F42" s="8" t="s">
        <v>133</v>
      </c>
      <c r="G42" s="8"/>
      <c r="H42" s="8" t="s">
        <v>134</v>
      </c>
      <c r="I42" s="5" t="s">
        <v>757</v>
      </c>
      <c r="J42" s="5" t="s">
        <v>32</v>
      </c>
      <c r="K42" s="5" t="n">
        <v>2012</v>
      </c>
      <c r="L42" s="30"/>
      <c r="M42" s="30"/>
      <c r="N42" s="30"/>
    </row>
    <row r="43" customFormat="false" ht="22.5" hidden="false" customHeight="false" outlineLevel="0" collapsed="false">
      <c r="A43" s="5" t="n">
        <f aca="false">IF(B43&lt;&gt;"", COUNTA($B$2:B43), "")</f>
        <v>42</v>
      </c>
      <c r="B43" s="18" t="s">
        <v>57</v>
      </c>
      <c r="C43" s="8" t="s">
        <v>135</v>
      </c>
      <c r="D43" s="8" t="n">
        <v>108167</v>
      </c>
      <c r="E43" s="8" t="n">
        <v>2011</v>
      </c>
      <c r="F43" s="8" t="s">
        <v>136</v>
      </c>
      <c r="G43" s="8"/>
      <c r="H43" s="8" t="s">
        <v>137</v>
      </c>
      <c r="I43" s="5" t="s">
        <v>757</v>
      </c>
      <c r="J43" s="5" t="s">
        <v>32</v>
      </c>
      <c r="K43" s="5" t="n">
        <v>2012</v>
      </c>
      <c r="L43" s="30"/>
      <c r="M43" s="30"/>
      <c r="N43" s="30"/>
    </row>
    <row r="44" customFormat="false" ht="22.5" hidden="false" customHeight="false" outlineLevel="0" collapsed="false">
      <c r="A44" s="5" t="n">
        <f aca="false">IF(B44&lt;&gt;"", COUNTA($B$2:B44), "")</f>
        <v>43</v>
      </c>
      <c r="B44" s="18" t="s">
        <v>57</v>
      </c>
      <c r="C44" s="8" t="s">
        <v>138</v>
      </c>
      <c r="D44" s="8" t="n">
        <v>303044</v>
      </c>
      <c r="E44" s="8"/>
      <c r="F44" s="8" t="s">
        <v>139</v>
      </c>
      <c r="G44" s="8"/>
      <c r="H44" s="8" t="s">
        <v>140</v>
      </c>
      <c r="I44" s="5" t="s">
        <v>757</v>
      </c>
      <c r="J44" s="5" t="s">
        <v>32</v>
      </c>
      <c r="K44" s="5" t="n">
        <v>2012</v>
      </c>
      <c r="L44" s="30"/>
      <c r="M44" s="30"/>
      <c r="N44" s="30"/>
    </row>
    <row r="45" customFormat="false" ht="15" hidden="false" customHeight="false" outlineLevel="0" collapsed="false">
      <c r="A45" s="5" t="n">
        <f aca="false">IF(B45&lt;&gt;"", COUNTA($B$2:B45), "")</f>
        <v>44</v>
      </c>
      <c r="B45" s="8" t="s">
        <v>141</v>
      </c>
      <c r="C45" s="8" t="s">
        <v>142</v>
      </c>
      <c r="D45" s="8" t="n">
        <v>11024685</v>
      </c>
      <c r="E45" s="8" t="n">
        <v>2011</v>
      </c>
      <c r="F45" s="6" t="s">
        <v>143</v>
      </c>
      <c r="G45" s="8"/>
      <c r="H45" s="8" t="s">
        <v>141</v>
      </c>
      <c r="I45" s="5" t="s">
        <v>757</v>
      </c>
      <c r="J45" s="5" t="s">
        <v>32</v>
      </c>
      <c r="K45" s="5" t="n">
        <v>2012</v>
      </c>
      <c r="L45" s="30"/>
      <c r="M45" s="30"/>
      <c r="N45" s="30"/>
    </row>
    <row r="46" customFormat="false" ht="1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8" t="s">
        <v>144</v>
      </c>
      <c r="D46" s="8" t="n">
        <v>152071</v>
      </c>
      <c r="E46" s="8" t="n">
        <v>2010</v>
      </c>
      <c r="F46" s="8" t="s">
        <v>29</v>
      </c>
      <c r="G46" s="8" t="n">
        <v>1.5</v>
      </c>
      <c r="H46" s="5" t="s">
        <v>145</v>
      </c>
      <c r="I46" s="8" t="s">
        <v>758</v>
      </c>
      <c r="J46" s="5" t="s">
        <v>32</v>
      </c>
      <c r="K46" s="5" t="n">
        <v>2012</v>
      </c>
      <c r="L46" s="5" t="n">
        <v>12</v>
      </c>
      <c r="M46" s="6" t="s">
        <v>33</v>
      </c>
      <c r="N46" s="8" t="s">
        <v>1</v>
      </c>
    </row>
    <row r="47" customFormat="false" ht="1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8" t="s">
        <v>144</v>
      </c>
      <c r="D47" s="8" t="n">
        <v>15221</v>
      </c>
      <c r="E47" s="8" t="n">
        <v>2010</v>
      </c>
      <c r="F47" s="8" t="s">
        <v>593</v>
      </c>
      <c r="G47" s="8" t="n">
        <v>1.5</v>
      </c>
      <c r="H47" s="5" t="s">
        <v>147</v>
      </c>
      <c r="I47" s="8" t="s">
        <v>758</v>
      </c>
      <c r="J47" s="5" t="s">
        <v>32</v>
      </c>
      <c r="K47" s="5" t="n">
        <v>2012</v>
      </c>
      <c r="L47" s="5" t="n">
        <v>12</v>
      </c>
      <c r="M47" s="6" t="s">
        <v>33</v>
      </c>
      <c r="N47" s="8" t="s">
        <v>1</v>
      </c>
    </row>
    <row r="48" customFormat="false" ht="1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8" t="s">
        <v>144</v>
      </c>
      <c r="D48" s="8" t="n">
        <v>15211</v>
      </c>
      <c r="E48" s="8" t="n">
        <v>2010</v>
      </c>
      <c r="F48" s="8" t="s">
        <v>595</v>
      </c>
      <c r="G48" s="8" t="n">
        <v>1.5</v>
      </c>
      <c r="H48" s="5" t="s">
        <v>148</v>
      </c>
      <c r="I48" s="8" t="s">
        <v>758</v>
      </c>
      <c r="J48" s="5" t="s">
        <v>32</v>
      </c>
      <c r="K48" s="5" t="n">
        <v>2012</v>
      </c>
      <c r="L48" s="5" t="n">
        <v>12</v>
      </c>
      <c r="M48" s="6" t="s">
        <v>33</v>
      </c>
      <c r="N48" s="8" t="s">
        <v>1</v>
      </c>
    </row>
    <row r="49" customFormat="false" ht="1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8" t="s">
        <v>144</v>
      </c>
      <c r="D49" s="8" t="n">
        <v>15255</v>
      </c>
      <c r="E49" s="8" t="n">
        <v>2010</v>
      </c>
      <c r="F49" s="8" t="s">
        <v>597</v>
      </c>
      <c r="G49" s="8" t="n">
        <v>1.5</v>
      </c>
      <c r="H49" s="5" t="s">
        <v>149</v>
      </c>
      <c r="I49" s="8" t="s">
        <v>758</v>
      </c>
      <c r="J49" s="5" t="s">
        <v>32</v>
      </c>
      <c r="K49" s="5" t="n">
        <v>2012</v>
      </c>
      <c r="L49" s="5" t="n">
        <v>12</v>
      </c>
      <c r="M49" s="6" t="s">
        <v>33</v>
      </c>
      <c r="N49" s="8" t="s">
        <v>1</v>
      </c>
    </row>
    <row r="50" customFormat="false" ht="1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8" t="s">
        <v>144</v>
      </c>
      <c r="D50" s="8" t="n">
        <v>15220</v>
      </c>
      <c r="E50" s="8" t="n">
        <v>2010</v>
      </c>
      <c r="F50" s="8" t="s">
        <v>599</v>
      </c>
      <c r="G50" s="8" t="n">
        <v>1.5</v>
      </c>
      <c r="H50" s="5" t="s">
        <v>150</v>
      </c>
      <c r="I50" s="8" t="s">
        <v>758</v>
      </c>
      <c r="J50" s="5" t="s">
        <v>32</v>
      </c>
      <c r="K50" s="5" t="n">
        <v>2012</v>
      </c>
      <c r="L50" s="5" t="n">
        <v>12</v>
      </c>
      <c r="M50" s="6" t="s">
        <v>33</v>
      </c>
      <c r="N50" s="8" t="s">
        <v>1</v>
      </c>
    </row>
    <row r="51" customFormat="false" ht="1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8" t="s">
        <v>144</v>
      </c>
      <c r="D51" s="8" t="n">
        <v>15860</v>
      </c>
      <c r="E51" s="8" t="n">
        <v>2010</v>
      </c>
      <c r="F51" s="8" t="s">
        <v>601</v>
      </c>
      <c r="G51" s="8" t="n">
        <v>1.5</v>
      </c>
      <c r="H51" s="5" t="s">
        <v>151</v>
      </c>
      <c r="I51" s="8" t="s">
        <v>758</v>
      </c>
      <c r="J51" s="5" t="s">
        <v>32</v>
      </c>
      <c r="K51" s="5" t="n">
        <v>2012</v>
      </c>
      <c r="L51" s="5" t="n">
        <v>12</v>
      </c>
      <c r="M51" s="6" t="s">
        <v>33</v>
      </c>
      <c r="N51" s="8" t="s">
        <v>1</v>
      </c>
    </row>
    <row r="52" customFormat="false" ht="1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8" t="s">
        <v>144</v>
      </c>
      <c r="D52" s="8" t="n">
        <v>15259</v>
      </c>
      <c r="E52" s="8" t="n">
        <v>2010</v>
      </c>
      <c r="F52" s="8" t="s">
        <v>603</v>
      </c>
      <c r="G52" s="8" t="n">
        <v>1.5</v>
      </c>
      <c r="H52" s="5" t="s">
        <v>152</v>
      </c>
      <c r="I52" s="8" t="s">
        <v>758</v>
      </c>
      <c r="J52" s="5" t="s">
        <v>32</v>
      </c>
      <c r="K52" s="5" t="n">
        <v>2012</v>
      </c>
      <c r="L52" s="5" t="n">
        <v>12</v>
      </c>
      <c r="M52" s="6" t="s">
        <v>33</v>
      </c>
      <c r="N52" s="8" t="s">
        <v>1</v>
      </c>
    </row>
    <row r="53" customFormat="false" ht="1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8" t="s">
        <v>144</v>
      </c>
      <c r="D53" s="8" t="n">
        <v>15268</v>
      </c>
      <c r="E53" s="8" t="n">
        <v>2010</v>
      </c>
      <c r="F53" s="8" t="s">
        <v>605</v>
      </c>
      <c r="G53" s="8" t="n">
        <v>1.5</v>
      </c>
      <c r="H53" s="5" t="s">
        <v>153</v>
      </c>
      <c r="I53" s="8" t="s">
        <v>758</v>
      </c>
      <c r="J53" s="5" t="s">
        <v>32</v>
      </c>
      <c r="K53" s="5" t="n">
        <v>2012</v>
      </c>
      <c r="L53" s="5" t="n">
        <v>12</v>
      </c>
      <c r="M53" s="6" t="s">
        <v>33</v>
      </c>
      <c r="N53" s="8" t="s">
        <v>1</v>
      </c>
    </row>
    <row r="54" customFormat="false" ht="22.5" hidden="false" customHeight="false" outlineLevel="0" collapsed="false">
      <c r="A54" s="5" t="n">
        <f aca="false">IF(B54&lt;&gt;"", COUNTA($B$2:B54), "")</f>
        <v>53</v>
      </c>
      <c r="B54" s="12" t="s">
        <v>46</v>
      </c>
      <c r="C54" s="8" t="s">
        <v>47</v>
      </c>
      <c r="D54" s="8" t="n">
        <v>5563</v>
      </c>
      <c r="E54" s="8" t="n">
        <v>2010</v>
      </c>
      <c r="F54" s="8" t="s">
        <v>156</v>
      </c>
      <c r="G54" s="8" t="n">
        <v>1</v>
      </c>
      <c r="H54" s="5" t="s">
        <v>157</v>
      </c>
      <c r="I54" s="8" t="s">
        <v>758</v>
      </c>
      <c r="J54" s="5" t="s">
        <v>32</v>
      </c>
      <c r="K54" s="5" t="n">
        <v>2012</v>
      </c>
      <c r="L54" s="5" t="n">
        <v>24</v>
      </c>
      <c r="M54" s="6" t="s">
        <v>158</v>
      </c>
      <c r="N54" s="8" t="s">
        <v>1</v>
      </c>
    </row>
    <row r="55" customFormat="false" ht="22.5" hidden="false" customHeight="false" outlineLevel="0" collapsed="false">
      <c r="A55" s="5" t="n">
        <f aca="false">IF(B55&lt;&gt;"", COUNTA($B$2:B55), "")</f>
        <v>54</v>
      </c>
      <c r="B55" s="12" t="s">
        <v>46</v>
      </c>
      <c r="C55" s="8" t="s">
        <v>47</v>
      </c>
      <c r="D55" s="8" t="n">
        <v>5565</v>
      </c>
      <c r="E55" s="8" t="n">
        <v>2010</v>
      </c>
      <c r="F55" s="8" t="s">
        <v>156</v>
      </c>
      <c r="G55" s="8" t="n">
        <v>1</v>
      </c>
      <c r="H55" s="5" t="s">
        <v>160</v>
      </c>
      <c r="I55" s="8" t="s">
        <v>758</v>
      </c>
      <c r="J55" s="5" t="s">
        <v>32</v>
      </c>
      <c r="K55" s="5" t="n">
        <v>2012</v>
      </c>
      <c r="L55" s="5" t="n">
        <v>24</v>
      </c>
      <c r="M55" s="6" t="s">
        <v>158</v>
      </c>
      <c r="N55" s="8" t="s">
        <v>1</v>
      </c>
    </row>
    <row r="56" customFormat="false" ht="22.5" hidden="false" customHeight="false" outlineLevel="0" collapsed="false">
      <c r="A56" s="5" t="n">
        <f aca="false">IF(B56&lt;&gt;"", COUNTA($B$2:B56), "")</f>
        <v>55</v>
      </c>
      <c r="B56" s="12" t="s">
        <v>46</v>
      </c>
      <c r="C56" s="8" t="s">
        <v>47</v>
      </c>
      <c r="D56" s="8" t="n">
        <v>5568</v>
      </c>
      <c r="E56" s="8" t="n">
        <v>2010</v>
      </c>
      <c r="F56" s="8" t="s">
        <v>156</v>
      </c>
      <c r="G56" s="8" t="n">
        <v>1</v>
      </c>
      <c r="H56" s="5" t="s">
        <v>162</v>
      </c>
      <c r="I56" s="8" t="s">
        <v>758</v>
      </c>
      <c r="J56" s="5" t="s">
        <v>32</v>
      </c>
      <c r="K56" s="5" t="n">
        <v>2012</v>
      </c>
      <c r="L56" s="5" t="n">
        <v>24</v>
      </c>
      <c r="M56" s="6" t="s">
        <v>158</v>
      </c>
      <c r="N56" s="8" t="s">
        <v>1</v>
      </c>
    </row>
    <row r="57" customFormat="false" ht="22.5" hidden="false" customHeight="false" outlineLevel="0" collapsed="false">
      <c r="A57" s="5" t="n">
        <f aca="false">IF(B57&lt;&gt;"", COUNTA($B$2:B57), "")</f>
        <v>56</v>
      </c>
      <c r="B57" s="12" t="s">
        <v>46</v>
      </c>
      <c r="C57" s="8" t="s">
        <v>47</v>
      </c>
      <c r="D57" s="8" t="n">
        <v>5569</v>
      </c>
      <c r="E57" s="8" t="n">
        <v>2010</v>
      </c>
      <c r="F57" s="8" t="s">
        <v>156</v>
      </c>
      <c r="G57" s="8" t="n">
        <v>1</v>
      </c>
      <c r="H57" s="5" t="s">
        <v>164</v>
      </c>
      <c r="I57" s="8" t="s">
        <v>758</v>
      </c>
      <c r="J57" s="5" t="s">
        <v>32</v>
      </c>
      <c r="K57" s="5" t="n">
        <v>2012</v>
      </c>
      <c r="L57" s="5" t="n">
        <v>24</v>
      </c>
      <c r="M57" s="6" t="s">
        <v>158</v>
      </c>
      <c r="N57" s="8" t="s">
        <v>1</v>
      </c>
    </row>
    <row r="58" customFormat="false" ht="22.5" hidden="false" customHeight="false" outlineLevel="0" collapsed="false">
      <c r="A58" s="5" t="n">
        <f aca="false">IF(B58&lt;&gt;"", COUNTA($B$2:B58), "")</f>
        <v>57</v>
      </c>
      <c r="B58" s="12" t="s">
        <v>46</v>
      </c>
      <c r="C58" s="8" t="s">
        <v>47</v>
      </c>
      <c r="D58" s="8" t="n">
        <v>5572</v>
      </c>
      <c r="E58" s="8" t="n">
        <v>2010</v>
      </c>
      <c r="F58" s="8" t="s">
        <v>156</v>
      </c>
      <c r="G58" s="8" t="n">
        <v>1</v>
      </c>
      <c r="H58" s="5" t="s">
        <v>166</v>
      </c>
      <c r="I58" s="8" t="s">
        <v>758</v>
      </c>
      <c r="J58" s="5" t="s">
        <v>32</v>
      </c>
      <c r="K58" s="5" t="n">
        <v>2012</v>
      </c>
      <c r="L58" s="5" t="n">
        <v>24</v>
      </c>
      <c r="M58" s="6" t="s">
        <v>158</v>
      </c>
      <c r="N58" s="8" t="s">
        <v>1</v>
      </c>
    </row>
    <row r="59" customFormat="false" ht="22.5" hidden="false" customHeight="false" outlineLevel="0" collapsed="false">
      <c r="A59" s="5" t="n">
        <f aca="false">IF(B59&lt;&gt;"", COUNTA($B$2:B59), "")</f>
        <v>58</v>
      </c>
      <c r="B59" s="12" t="s">
        <v>46</v>
      </c>
      <c r="C59" s="8" t="s">
        <v>47</v>
      </c>
      <c r="D59" s="8" t="n">
        <v>5579</v>
      </c>
      <c r="E59" s="8" t="n">
        <v>2010</v>
      </c>
      <c r="F59" s="8" t="s">
        <v>156</v>
      </c>
      <c r="G59" s="8" t="n">
        <v>1</v>
      </c>
      <c r="H59" s="5" t="s">
        <v>168</v>
      </c>
      <c r="I59" s="8" t="s">
        <v>758</v>
      </c>
      <c r="J59" s="5" t="s">
        <v>32</v>
      </c>
      <c r="K59" s="5" t="n">
        <v>2012</v>
      </c>
      <c r="L59" s="5" t="n">
        <v>24</v>
      </c>
      <c r="M59" s="6" t="s">
        <v>158</v>
      </c>
      <c r="N59" s="8" t="s">
        <v>1</v>
      </c>
    </row>
    <row r="60" customFormat="false" ht="22.5" hidden="false" customHeight="false" outlineLevel="0" collapsed="false">
      <c r="A60" s="5" t="n">
        <f aca="false">IF(B60&lt;&gt;"", COUNTA($B$2:B60), "")</f>
        <v>59</v>
      </c>
      <c r="B60" s="12" t="s">
        <v>46</v>
      </c>
      <c r="C60" s="8" t="s">
        <v>47</v>
      </c>
      <c r="D60" s="8" t="n">
        <v>5580</v>
      </c>
      <c r="E60" s="8" t="n">
        <v>2010</v>
      </c>
      <c r="F60" s="8" t="s">
        <v>156</v>
      </c>
      <c r="G60" s="8" t="n">
        <v>1</v>
      </c>
      <c r="H60" s="5" t="s">
        <v>170</v>
      </c>
      <c r="I60" s="8" t="s">
        <v>758</v>
      </c>
      <c r="J60" s="5" t="s">
        <v>32</v>
      </c>
      <c r="K60" s="5" t="n">
        <v>2012</v>
      </c>
      <c r="L60" s="5" t="n">
        <v>24</v>
      </c>
      <c r="M60" s="6" t="s">
        <v>158</v>
      </c>
      <c r="N60" s="8" t="s">
        <v>1</v>
      </c>
    </row>
    <row r="61" customFormat="false" ht="22.5" hidden="false" customHeight="false" outlineLevel="0" collapsed="false">
      <c r="A61" s="5" t="n">
        <f aca="false">IF(B61&lt;&gt;"", COUNTA($B$2:B61), "")</f>
        <v>60</v>
      </c>
      <c r="B61" s="12" t="s">
        <v>46</v>
      </c>
      <c r="C61" s="8" t="s">
        <v>47</v>
      </c>
      <c r="D61" s="8" t="n">
        <v>8041</v>
      </c>
      <c r="E61" s="8" t="n">
        <v>2010</v>
      </c>
      <c r="F61" s="8" t="s">
        <v>156</v>
      </c>
      <c r="G61" s="8" t="n">
        <v>1</v>
      </c>
      <c r="H61" s="5" t="s">
        <v>172</v>
      </c>
      <c r="I61" s="8" t="s">
        <v>758</v>
      </c>
      <c r="J61" s="5" t="s">
        <v>32</v>
      </c>
      <c r="K61" s="5" t="n">
        <v>2012</v>
      </c>
      <c r="L61" s="5" t="n">
        <v>24</v>
      </c>
      <c r="M61" s="6" t="s">
        <v>158</v>
      </c>
      <c r="N61" s="8" t="s">
        <v>1</v>
      </c>
    </row>
    <row r="62" customFormat="false" ht="15" hidden="false" customHeight="false" outlineLevel="0" collapsed="false">
      <c r="A62" s="5" t="n">
        <f aca="false">IF(B62&lt;&gt;"", COUNTA($B$2:B62), "")</f>
        <v>61</v>
      </c>
      <c r="B62" s="7" t="s">
        <v>27</v>
      </c>
      <c r="C62" s="8" t="s">
        <v>28</v>
      </c>
      <c r="D62" s="8" t="n">
        <v>15517</v>
      </c>
      <c r="E62" s="8" t="n">
        <v>2010</v>
      </c>
      <c r="F62" s="8" t="s">
        <v>29</v>
      </c>
      <c r="G62" s="8" t="n">
        <v>1.5</v>
      </c>
      <c r="H62" s="5" t="s">
        <v>175</v>
      </c>
      <c r="I62" s="8" t="s">
        <v>758</v>
      </c>
      <c r="J62" s="5" t="s">
        <v>32</v>
      </c>
      <c r="K62" s="5" t="n">
        <v>2012</v>
      </c>
      <c r="L62" s="5" t="n">
        <v>12</v>
      </c>
      <c r="M62" s="6" t="s">
        <v>33</v>
      </c>
      <c r="N62" s="8" t="s">
        <v>1</v>
      </c>
      <c r="O62" s="4" t="n">
        <v>15557</v>
      </c>
    </row>
    <row r="63" customFormat="false" ht="15" hidden="false" customHeight="false" outlineLevel="0" collapsed="false">
      <c r="A63" s="5" t="n">
        <f aca="false">IF(B63&lt;&gt;"", COUNTA($B$2:B63), "")</f>
        <v>62</v>
      </c>
      <c r="B63" s="7" t="s">
        <v>27</v>
      </c>
      <c r="C63" s="8" t="s">
        <v>28</v>
      </c>
      <c r="D63" s="8" t="n">
        <v>15175</v>
      </c>
      <c r="E63" s="8" t="n">
        <v>2010</v>
      </c>
      <c r="F63" s="8" t="s">
        <v>593</v>
      </c>
      <c r="G63" s="8" t="n">
        <v>1.5</v>
      </c>
      <c r="H63" s="5" t="s">
        <v>177</v>
      </c>
      <c r="I63" s="8" t="s">
        <v>758</v>
      </c>
      <c r="J63" s="5" t="s">
        <v>32</v>
      </c>
      <c r="K63" s="5" t="n">
        <v>2012</v>
      </c>
      <c r="L63" s="5" t="n">
        <v>12</v>
      </c>
      <c r="M63" s="6" t="s">
        <v>33</v>
      </c>
      <c r="N63" s="8" t="s">
        <v>1</v>
      </c>
    </row>
    <row r="64" customFormat="false" ht="15" hidden="false" customHeight="false" outlineLevel="0" collapsed="false">
      <c r="A64" s="5" t="n">
        <f aca="false">IF(B64&lt;&gt;"", COUNTA($B$2:B64), "")</f>
        <v>63</v>
      </c>
      <c r="B64" s="7" t="s">
        <v>27</v>
      </c>
      <c r="C64" s="8" t="s">
        <v>28</v>
      </c>
      <c r="D64" s="8" t="n">
        <v>6303</v>
      </c>
      <c r="E64" s="8" t="n">
        <v>2010</v>
      </c>
      <c r="F64" s="5" t="s">
        <v>178</v>
      </c>
      <c r="G64" s="8" t="n">
        <v>1.5</v>
      </c>
      <c r="H64" s="5" t="s">
        <v>179</v>
      </c>
      <c r="I64" s="8" t="s">
        <v>758</v>
      </c>
      <c r="J64" s="5" t="s">
        <v>32</v>
      </c>
      <c r="K64" s="5" t="n">
        <v>2012</v>
      </c>
      <c r="L64" s="5" t="n">
        <v>12</v>
      </c>
      <c r="M64" s="6" t="s">
        <v>33</v>
      </c>
      <c r="N64" s="8" t="s">
        <v>1</v>
      </c>
    </row>
    <row r="65" customFormat="false" ht="22.5" hidden="false" customHeight="false" outlineLevel="0" collapsed="false">
      <c r="A65" s="5" t="n">
        <f aca="false">IF(B65&lt;&gt;"", COUNTA($B$2:B65), "")</f>
        <v>64</v>
      </c>
      <c r="B65" s="6" t="s">
        <v>64</v>
      </c>
      <c r="C65" s="19" t="s">
        <v>180</v>
      </c>
      <c r="D65" s="6" t="s">
        <v>759</v>
      </c>
      <c r="E65" s="17" t="n">
        <v>2011</v>
      </c>
      <c r="F65" s="19" t="s">
        <v>67</v>
      </c>
      <c r="G65" s="19" t="s">
        <v>68</v>
      </c>
      <c r="H65" s="6" t="s">
        <v>183</v>
      </c>
      <c r="I65" s="8" t="s">
        <v>758</v>
      </c>
      <c r="J65" s="5" t="s">
        <v>32</v>
      </c>
      <c r="K65" s="5" t="n">
        <v>2012</v>
      </c>
      <c r="L65" s="12" t="n">
        <v>36</v>
      </c>
      <c r="M65" s="6"/>
      <c r="N65" s="8"/>
    </row>
    <row r="66" customFormat="false" ht="22.5" hidden="false" customHeight="false" outlineLevel="0" collapsed="false">
      <c r="A66" s="5" t="n">
        <f aca="false">IF(B66&lt;&gt;"", COUNTA($B$2:B66), "")</f>
        <v>65</v>
      </c>
      <c r="B66" s="6" t="s">
        <v>64</v>
      </c>
      <c r="C66" s="19" t="s">
        <v>180</v>
      </c>
      <c r="D66" s="8" t="s">
        <v>587</v>
      </c>
      <c r="E66" s="17" t="n">
        <v>2011</v>
      </c>
      <c r="F66" s="19" t="s">
        <v>67</v>
      </c>
      <c r="G66" s="19" t="s">
        <v>689</v>
      </c>
      <c r="H66" s="6" t="s">
        <v>185</v>
      </c>
      <c r="I66" s="8" t="s">
        <v>758</v>
      </c>
      <c r="J66" s="5" t="s">
        <v>32</v>
      </c>
      <c r="K66" s="5" t="n">
        <v>2012</v>
      </c>
      <c r="L66" s="12" t="n">
        <v>36</v>
      </c>
      <c r="M66" s="6"/>
      <c r="N66" s="8"/>
    </row>
    <row r="67" customFormat="false" ht="22.5" hidden="false" customHeight="false" outlineLevel="0" collapsed="false">
      <c r="A67" s="5" t="n">
        <f aca="false">IF(B67&lt;&gt;"", COUNTA($B$2:B67), "")</f>
        <v>66</v>
      </c>
      <c r="B67" s="18" t="s">
        <v>57</v>
      </c>
      <c r="C67" s="12" t="s">
        <v>186</v>
      </c>
      <c r="D67" s="5" t="s">
        <v>760</v>
      </c>
      <c r="E67" s="16" t="n">
        <v>2012</v>
      </c>
      <c r="F67" s="12" t="s">
        <v>188</v>
      </c>
      <c r="G67" s="31" t="n">
        <v>0.0004</v>
      </c>
      <c r="H67" s="5" t="s">
        <v>189</v>
      </c>
      <c r="I67" s="8" t="s">
        <v>758</v>
      </c>
      <c r="J67" s="5" t="s">
        <v>32</v>
      </c>
      <c r="K67" s="5" t="n">
        <v>2012</v>
      </c>
      <c r="L67" s="12" t="n">
        <v>60</v>
      </c>
      <c r="M67" s="6"/>
      <c r="N67" s="8"/>
    </row>
    <row r="68" customFormat="false" ht="22.5" hidden="false" customHeight="false" outlineLevel="0" collapsed="false">
      <c r="A68" s="5" t="n">
        <f aca="false">IF(B68&lt;&gt;"", COUNTA($B$2:B68), "")</f>
        <v>67</v>
      </c>
      <c r="B68" s="18" t="s">
        <v>57</v>
      </c>
      <c r="C68" s="12" t="s">
        <v>190</v>
      </c>
      <c r="D68" s="5" t="s">
        <v>761</v>
      </c>
      <c r="E68" s="16" t="n">
        <v>2012</v>
      </c>
      <c r="F68" s="12" t="s">
        <v>192</v>
      </c>
      <c r="G68" s="31" t="n">
        <v>0.001</v>
      </c>
      <c r="H68" s="5" t="s">
        <v>193</v>
      </c>
      <c r="I68" s="8" t="s">
        <v>758</v>
      </c>
      <c r="J68" s="5" t="s">
        <v>32</v>
      </c>
      <c r="K68" s="5" t="n">
        <v>2012</v>
      </c>
      <c r="L68" s="12" t="n">
        <v>60</v>
      </c>
      <c r="M68" s="6"/>
      <c r="N68" s="8"/>
    </row>
    <row r="69" customFormat="false" ht="15" hidden="false" customHeight="false" outlineLevel="0" collapsed="false">
      <c r="A69" s="5" t="n">
        <f aca="false">IF(B69&lt;&gt;"", COUNTA($B$2:B69), "")</f>
        <v>68</v>
      </c>
      <c r="B69" s="6" t="s">
        <v>64</v>
      </c>
      <c r="C69" s="19" t="s">
        <v>198</v>
      </c>
      <c r="D69" s="6" t="s">
        <v>762</v>
      </c>
      <c r="E69" s="19" t="s">
        <v>425</v>
      </c>
      <c r="F69" s="19" t="s">
        <v>195</v>
      </c>
      <c r="G69" s="19" t="s">
        <v>68</v>
      </c>
      <c r="H69" s="6" t="s">
        <v>196</v>
      </c>
      <c r="I69" s="5" t="s">
        <v>763</v>
      </c>
      <c r="J69" s="5" t="s">
        <v>32</v>
      </c>
      <c r="K69" s="5"/>
      <c r="L69" s="5"/>
      <c r="M69" s="6"/>
      <c r="N69" s="8"/>
    </row>
    <row r="70" customFormat="false" ht="15" hidden="false" customHeight="false" outlineLevel="0" collapsed="false">
      <c r="A70" s="5" t="n">
        <f aca="false">IF(B70&lt;&gt;"", COUNTA($B$2:B70), "")</f>
        <v>69</v>
      </c>
      <c r="B70" s="6" t="s">
        <v>64</v>
      </c>
      <c r="C70" s="19" t="s">
        <v>198</v>
      </c>
      <c r="D70" s="6" t="s">
        <v>764</v>
      </c>
      <c r="E70" s="16" t="s">
        <v>425</v>
      </c>
      <c r="F70" s="19" t="s">
        <v>201</v>
      </c>
      <c r="G70" s="19" t="s">
        <v>68</v>
      </c>
      <c r="H70" s="6" t="s">
        <v>202</v>
      </c>
      <c r="I70" s="5" t="s">
        <v>763</v>
      </c>
      <c r="J70" s="5" t="s">
        <v>32</v>
      </c>
      <c r="K70" s="5" t="n">
        <v>2012</v>
      </c>
      <c r="L70" s="12" t="n">
        <v>24</v>
      </c>
      <c r="M70" s="6"/>
      <c r="N70" s="8"/>
    </row>
    <row r="71" customFormat="false" ht="15" hidden="false" customHeight="false" outlineLevel="0" collapsed="false">
      <c r="A71" s="5" t="n">
        <f aca="false">IF(B71&lt;&gt;"", COUNTA($B$2:B71), "")</f>
        <v>70</v>
      </c>
      <c r="B71" s="6" t="s">
        <v>64</v>
      </c>
      <c r="C71" s="19" t="s">
        <v>625</v>
      </c>
      <c r="D71" s="17" t="n">
        <v>18</v>
      </c>
      <c r="E71" s="17" t="n">
        <v>2011</v>
      </c>
      <c r="F71" s="19" t="s">
        <v>195</v>
      </c>
      <c r="G71" s="19" t="s">
        <v>68</v>
      </c>
      <c r="H71" s="6" t="s">
        <v>204</v>
      </c>
      <c r="I71" s="5" t="s">
        <v>763</v>
      </c>
      <c r="J71" s="5" t="s">
        <v>32</v>
      </c>
      <c r="K71" s="5" t="n">
        <v>2012</v>
      </c>
      <c r="L71" s="12" t="n">
        <v>36</v>
      </c>
      <c r="M71" s="6"/>
      <c r="N71" s="8"/>
    </row>
    <row r="72" customFormat="false" ht="22.5" hidden="false" customHeight="false" outlineLevel="0" collapsed="false">
      <c r="A72" s="5" t="n">
        <f aca="false">IF(B72&lt;&gt;"", COUNTA($B$2:B72), "")</f>
        <v>71</v>
      </c>
      <c r="B72" s="6" t="s">
        <v>64</v>
      </c>
      <c r="C72" s="19" t="s">
        <v>203</v>
      </c>
      <c r="D72" s="17" t="n">
        <v>9</v>
      </c>
      <c r="E72" s="17" t="n">
        <v>2013</v>
      </c>
      <c r="F72" s="19" t="s">
        <v>201</v>
      </c>
      <c r="G72" s="19" t="s">
        <v>68</v>
      </c>
      <c r="H72" s="19" t="s">
        <v>206</v>
      </c>
      <c r="I72" s="5" t="s">
        <v>763</v>
      </c>
      <c r="J72" s="5" t="s">
        <v>32</v>
      </c>
      <c r="K72" s="5" t="n">
        <v>2012</v>
      </c>
      <c r="L72" s="12" t="n">
        <v>24</v>
      </c>
      <c r="M72" s="6"/>
      <c r="N72" s="8"/>
    </row>
    <row r="73" customFormat="false" ht="22.5" hidden="false" customHeight="false" outlineLevel="0" collapsed="false">
      <c r="A73" s="5" t="n">
        <f aca="false">IF(B73&lt;&gt;"", COUNTA($B$2:B73), "")</f>
        <v>72</v>
      </c>
      <c r="B73" s="7" t="s">
        <v>207</v>
      </c>
      <c r="C73" s="8" t="s">
        <v>208</v>
      </c>
      <c r="D73" s="10"/>
      <c r="E73" s="8" t="n">
        <v>2011</v>
      </c>
      <c r="F73" s="16" t="s">
        <v>209</v>
      </c>
      <c r="G73" s="8"/>
      <c r="H73" s="5" t="s">
        <v>210</v>
      </c>
      <c r="I73" s="5" t="s">
        <v>763</v>
      </c>
      <c r="J73" s="5" t="s">
        <v>32</v>
      </c>
      <c r="K73" s="5" t="n">
        <v>2012</v>
      </c>
      <c r="L73" s="5"/>
      <c r="M73" s="6"/>
      <c r="N73" s="8"/>
    </row>
    <row r="74" customFormat="false" ht="22.5" hidden="false" customHeight="false" outlineLevel="0" collapsed="false">
      <c r="A74" s="5" t="n">
        <f aca="false">IF(B74&lt;&gt;"", COUNTA($B$2:B74), "")</f>
        <v>73</v>
      </c>
      <c r="B74" s="7" t="s">
        <v>207</v>
      </c>
      <c r="C74" s="8" t="s">
        <v>208</v>
      </c>
      <c r="D74" s="10" t="n">
        <v>124781</v>
      </c>
      <c r="E74" s="8" t="n">
        <v>2011</v>
      </c>
      <c r="F74" s="16" t="s">
        <v>211</v>
      </c>
      <c r="G74" s="8"/>
      <c r="H74" s="5" t="s">
        <v>212</v>
      </c>
      <c r="I74" s="5" t="s">
        <v>763</v>
      </c>
      <c r="J74" s="5" t="s">
        <v>32</v>
      </c>
      <c r="K74" s="5" t="n">
        <v>2012</v>
      </c>
      <c r="L74" s="5"/>
      <c r="M74" s="6"/>
      <c r="N74" s="8"/>
    </row>
    <row r="75" customFormat="false" ht="22.5" hidden="false" customHeight="false" outlineLevel="0" collapsed="false">
      <c r="A75" s="5" t="n">
        <f aca="false">IF(B75&lt;&gt;"", COUNTA($B$2:B75), "")</f>
        <v>74</v>
      </c>
      <c r="B75" s="7" t="s">
        <v>207</v>
      </c>
      <c r="C75" s="8" t="s">
        <v>629</v>
      </c>
      <c r="D75" s="10" t="n">
        <v>125027</v>
      </c>
      <c r="E75" s="8" t="n">
        <v>2011</v>
      </c>
      <c r="F75" s="16" t="s">
        <v>214</v>
      </c>
      <c r="G75" s="8"/>
      <c r="H75" s="5" t="s">
        <v>215</v>
      </c>
      <c r="I75" s="5" t="s">
        <v>763</v>
      </c>
      <c r="J75" s="5" t="s">
        <v>32</v>
      </c>
      <c r="K75" s="5" t="n">
        <v>2012</v>
      </c>
      <c r="L75" s="5"/>
      <c r="M75" s="6"/>
      <c r="N75" s="8"/>
    </row>
    <row r="76" customFormat="false" ht="22.5" hidden="false" customHeight="false" outlineLevel="0" collapsed="false">
      <c r="A76" s="5" t="n">
        <f aca="false">IF(B76&lt;&gt;"", COUNTA($B$2:B76), "")</f>
        <v>75</v>
      </c>
      <c r="B76" s="7" t="s">
        <v>207</v>
      </c>
      <c r="C76" s="8" t="s">
        <v>208</v>
      </c>
      <c r="D76" s="12" t="s">
        <v>765</v>
      </c>
      <c r="E76" s="8" t="n">
        <v>2011</v>
      </c>
      <c r="F76" s="16" t="s">
        <v>209</v>
      </c>
      <c r="G76" s="8"/>
      <c r="H76" s="5" t="s">
        <v>216</v>
      </c>
      <c r="I76" s="5" t="s">
        <v>763</v>
      </c>
      <c r="J76" s="5" t="s">
        <v>32</v>
      </c>
      <c r="K76" s="5" t="n">
        <v>2012</v>
      </c>
      <c r="L76" s="5"/>
      <c r="M76" s="6"/>
      <c r="N76" s="8"/>
    </row>
    <row r="77" customFormat="false" ht="15" hidden="false" customHeight="false" outlineLevel="0" collapsed="false">
      <c r="A77" s="5" t="n">
        <f aca="false">IF(B77&lt;&gt;"", COUNTA($B$2:B77), "")</f>
        <v>76</v>
      </c>
      <c r="B77" s="7" t="s">
        <v>207</v>
      </c>
      <c r="C77" s="8" t="s">
        <v>629</v>
      </c>
      <c r="D77" s="10" t="n">
        <v>122939</v>
      </c>
      <c r="E77" s="8" t="n">
        <v>2011</v>
      </c>
      <c r="F77" s="16" t="s">
        <v>217</v>
      </c>
      <c r="G77" s="8"/>
      <c r="H77" s="5" t="s">
        <v>218</v>
      </c>
      <c r="I77" s="5" t="s">
        <v>763</v>
      </c>
      <c r="J77" s="5" t="s">
        <v>32</v>
      </c>
      <c r="K77" s="5" t="n">
        <v>2012</v>
      </c>
      <c r="L77" s="5"/>
      <c r="M77" s="6"/>
      <c r="N77" s="8"/>
    </row>
    <row r="78" customFormat="false" ht="33.75" hidden="false" customHeight="false" outlineLevel="0" collapsed="false">
      <c r="A78" s="5" t="n">
        <f aca="false">IF(B78&lt;&gt;"", COUNTA($B$2:B78), "")</f>
        <v>77</v>
      </c>
      <c r="B78" s="6" t="s">
        <v>64</v>
      </c>
      <c r="C78" s="19" t="s">
        <v>65</v>
      </c>
      <c r="D78" s="6" t="s">
        <v>766</v>
      </c>
      <c r="E78" s="17" t="n">
        <v>2011</v>
      </c>
      <c r="F78" s="19" t="s">
        <v>67</v>
      </c>
      <c r="G78" s="19" t="s">
        <v>68</v>
      </c>
      <c r="H78" s="6" t="s">
        <v>220</v>
      </c>
      <c r="I78" s="5" t="s">
        <v>763</v>
      </c>
      <c r="J78" s="5" t="s">
        <v>32</v>
      </c>
      <c r="K78" s="5" t="n">
        <v>2012</v>
      </c>
      <c r="L78" s="12" t="n">
        <v>36</v>
      </c>
      <c r="M78" s="6"/>
      <c r="N78" s="8"/>
    </row>
    <row r="79" customFormat="false" ht="15" hidden="false" customHeight="false" outlineLevel="0" collapsed="false">
      <c r="A79" s="5" t="n">
        <f aca="false">IF(B79&lt;&gt;"", COUNTA($B$2:B79), "")</f>
        <v>78</v>
      </c>
      <c r="B79" s="6" t="s">
        <v>221</v>
      </c>
      <c r="C79" s="5" t="s">
        <v>222</v>
      </c>
      <c r="D79" s="5" t="s">
        <v>767</v>
      </c>
      <c r="E79" s="17" t="n">
        <v>2011</v>
      </c>
      <c r="F79" s="12" t="s">
        <v>224</v>
      </c>
      <c r="G79" s="32" t="n">
        <v>0.03</v>
      </c>
      <c r="H79" s="5" t="s">
        <v>225</v>
      </c>
      <c r="I79" s="5" t="s">
        <v>763</v>
      </c>
      <c r="J79" s="5" t="s">
        <v>32</v>
      </c>
      <c r="K79" s="5" t="n">
        <v>2012</v>
      </c>
      <c r="L79" s="12" t="n">
        <v>36</v>
      </c>
      <c r="M79" s="6"/>
      <c r="N79" s="8"/>
    </row>
    <row r="80" customFormat="false" ht="22.5" hidden="false" customHeight="false" outlineLevel="0" collapsed="false">
      <c r="A80" s="5" t="n">
        <f aca="false">IF(B80&lt;&gt;"", COUNTA($B$2:B80), "")</f>
        <v>79</v>
      </c>
      <c r="B80" s="18" t="s">
        <v>57</v>
      </c>
      <c r="C80" s="5" t="s">
        <v>226</v>
      </c>
      <c r="D80" s="5" t="n">
        <v>1158870</v>
      </c>
      <c r="E80" s="17" t="n">
        <v>2011</v>
      </c>
      <c r="F80" s="12" t="s">
        <v>227</v>
      </c>
      <c r="G80" s="31" t="n">
        <v>0.002</v>
      </c>
      <c r="H80" s="5" t="s">
        <v>228</v>
      </c>
      <c r="I80" s="5" t="s">
        <v>763</v>
      </c>
      <c r="J80" s="5" t="s">
        <v>32</v>
      </c>
      <c r="K80" s="5" t="n">
        <v>2012</v>
      </c>
      <c r="L80" s="12" t="n">
        <v>48</v>
      </c>
      <c r="M80" s="6"/>
      <c r="N80" s="8"/>
    </row>
    <row r="81" customFormat="false" ht="22.5" hidden="false" customHeight="false" outlineLevel="0" collapsed="false">
      <c r="A81" s="5" t="n">
        <f aca="false">IF(B81&lt;&gt;"", COUNTA($B$2:B81), "")</f>
        <v>80</v>
      </c>
      <c r="B81" s="18" t="s">
        <v>57</v>
      </c>
      <c r="C81" s="5" t="s">
        <v>226</v>
      </c>
      <c r="D81" s="5" t="n">
        <v>1046019</v>
      </c>
      <c r="E81" s="17" t="n">
        <v>2011</v>
      </c>
      <c r="F81" s="12" t="s">
        <v>227</v>
      </c>
      <c r="G81" s="31" t="n">
        <v>0.002</v>
      </c>
      <c r="H81" s="5" t="s">
        <v>229</v>
      </c>
      <c r="I81" s="5" t="s">
        <v>763</v>
      </c>
      <c r="J81" s="5" t="s">
        <v>32</v>
      </c>
      <c r="K81" s="5" t="n">
        <v>2012</v>
      </c>
      <c r="L81" s="12" t="n">
        <v>48</v>
      </c>
      <c r="M81" s="6"/>
      <c r="N81" s="8"/>
    </row>
    <row r="82" customFormat="false" ht="22.5" hidden="false" customHeight="false" outlineLevel="0" collapsed="false">
      <c r="A82" s="5" t="n">
        <f aca="false">IF(B82&lt;&gt;"", COUNTA($B$2:B82), "")</f>
        <v>81</v>
      </c>
      <c r="B82" s="18" t="s">
        <v>57</v>
      </c>
      <c r="C82" s="12" t="s">
        <v>230</v>
      </c>
      <c r="D82" s="12" t="n">
        <v>6112275</v>
      </c>
      <c r="E82" s="16" t="n">
        <v>2019</v>
      </c>
      <c r="F82" s="12" t="s">
        <v>192</v>
      </c>
      <c r="G82" s="19" t="s">
        <v>231</v>
      </c>
      <c r="H82" s="12" t="s">
        <v>232</v>
      </c>
      <c r="I82" s="5" t="s">
        <v>763</v>
      </c>
      <c r="J82" s="5" t="s">
        <v>32</v>
      </c>
      <c r="K82" s="5" t="n">
        <v>2019</v>
      </c>
      <c r="L82" s="12"/>
      <c r="M82" s="6"/>
      <c r="N82" s="8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18" t="s">
        <v>57</v>
      </c>
      <c r="C83" s="12" t="s">
        <v>233</v>
      </c>
      <c r="D83" s="12" t="n">
        <v>6112271</v>
      </c>
      <c r="E83" s="16" t="n">
        <v>2019</v>
      </c>
      <c r="F83" s="12" t="s">
        <v>234</v>
      </c>
      <c r="G83" s="19" t="s">
        <v>231</v>
      </c>
      <c r="H83" s="12" t="s">
        <v>235</v>
      </c>
      <c r="I83" s="5" t="s">
        <v>763</v>
      </c>
      <c r="J83" s="5" t="s">
        <v>32</v>
      </c>
      <c r="K83" s="5" t="n">
        <v>2019</v>
      </c>
      <c r="L83" s="12"/>
      <c r="M83" s="6"/>
      <c r="N83" s="8"/>
    </row>
    <row r="84" customFormat="false" ht="22.5" hidden="false" customHeight="false" outlineLevel="0" collapsed="false">
      <c r="A84" s="5" t="n">
        <f aca="false">IF(B84&lt;&gt;"", COUNTA($B$2:B84), "")</f>
        <v>83</v>
      </c>
      <c r="B84" s="18" t="s">
        <v>57</v>
      </c>
      <c r="C84" s="5" t="s">
        <v>768</v>
      </c>
      <c r="D84" s="5" t="n">
        <v>1372837</v>
      </c>
      <c r="E84" s="17" t="n">
        <v>2011</v>
      </c>
      <c r="F84" s="12" t="s">
        <v>238</v>
      </c>
      <c r="G84" s="60" t="n">
        <v>0.00075</v>
      </c>
      <c r="H84" s="5" t="s">
        <v>239</v>
      </c>
      <c r="I84" s="5" t="s">
        <v>763</v>
      </c>
      <c r="J84" s="5" t="s">
        <v>32</v>
      </c>
      <c r="K84" s="5" t="n">
        <v>2012</v>
      </c>
      <c r="L84" s="12" t="n">
        <v>60</v>
      </c>
      <c r="M84" s="6"/>
      <c r="N84" s="8"/>
    </row>
    <row r="85" customFormat="false" ht="22.5" hidden="false" customHeight="false" outlineLevel="0" collapsed="false">
      <c r="A85" s="5" t="n">
        <f aca="false">IF(B85&lt;&gt;"", COUNTA($B$2:B85), "")</f>
        <v>84</v>
      </c>
      <c r="B85" s="18" t="s">
        <v>57</v>
      </c>
      <c r="C85" s="5" t="s">
        <v>240</v>
      </c>
      <c r="D85" s="5" t="n">
        <v>1011863</v>
      </c>
      <c r="E85" s="17" t="n">
        <v>2011</v>
      </c>
      <c r="F85" s="12" t="s">
        <v>241</v>
      </c>
      <c r="G85" s="31" t="n">
        <v>0.002</v>
      </c>
      <c r="H85" s="5" t="s">
        <v>242</v>
      </c>
      <c r="I85" s="5" t="s">
        <v>763</v>
      </c>
      <c r="J85" s="5" t="s">
        <v>32</v>
      </c>
      <c r="K85" s="5" t="n">
        <v>2012</v>
      </c>
      <c r="L85" s="12" t="n">
        <v>48</v>
      </c>
      <c r="M85" s="6"/>
      <c r="N85" s="8"/>
    </row>
    <row r="86" customFormat="false" ht="22.5" hidden="false" customHeight="false" outlineLevel="0" collapsed="false">
      <c r="A86" s="5" t="n">
        <f aca="false">IF(B86&lt;&gt;"", COUNTA($B$2:B86), "")</f>
        <v>85</v>
      </c>
      <c r="B86" s="18" t="s">
        <v>57</v>
      </c>
      <c r="C86" s="5" t="s">
        <v>236</v>
      </c>
      <c r="D86" s="5" t="s">
        <v>769</v>
      </c>
      <c r="E86" s="17" t="n">
        <v>2011</v>
      </c>
      <c r="F86" s="12" t="s">
        <v>244</v>
      </c>
      <c r="G86" s="60" t="n">
        <v>0.00075</v>
      </c>
      <c r="H86" s="5" t="s">
        <v>245</v>
      </c>
      <c r="I86" s="5" t="s">
        <v>763</v>
      </c>
      <c r="J86" s="5" t="s">
        <v>32</v>
      </c>
      <c r="K86" s="5" t="n">
        <v>2012</v>
      </c>
      <c r="L86" s="12" t="n">
        <v>36</v>
      </c>
      <c r="M86" s="6"/>
      <c r="N86" s="8"/>
    </row>
    <row r="87" customFormat="false" ht="22.5" hidden="false" customHeight="false" outlineLevel="0" collapsed="false">
      <c r="A87" s="5" t="n">
        <f aca="false">IF(B87&lt;&gt;"", COUNTA($B$2:B87), "")</f>
        <v>86</v>
      </c>
      <c r="B87" s="18" t="s">
        <v>57</v>
      </c>
      <c r="C87" s="5" t="s">
        <v>243</v>
      </c>
      <c r="D87" s="5" t="n">
        <v>1372834</v>
      </c>
      <c r="E87" s="17" t="n">
        <v>2011</v>
      </c>
      <c r="F87" s="12" t="s">
        <v>246</v>
      </c>
      <c r="G87" s="31" t="n">
        <v>0.001</v>
      </c>
      <c r="H87" s="5" t="s">
        <v>247</v>
      </c>
      <c r="I87" s="5" t="s">
        <v>763</v>
      </c>
      <c r="J87" s="5" t="s">
        <v>32</v>
      </c>
      <c r="K87" s="5" t="n">
        <v>2012</v>
      </c>
      <c r="L87" s="12" t="n">
        <v>60</v>
      </c>
      <c r="M87" s="6"/>
      <c r="N87" s="8"/>
    </row>
    <row r="88" customFormat="false" ht="22.5" hidden="false" customHeight="false" outlineLevel="0" collapsed="false">
      <c r="A88" s="5" t="n">
        <f aca="false">IF(B88&lt;&gt;"", COUNTA($B$2:B88), "")</f>
        <v>87</v>
      </c>
      <c r="B88" s="18" t="s">
        <v>57</v>
      </c>
      <c r="C88" s="12" t="s">
        <v>190</v>
      </c>
      <c r="D88" s="5" t="s">
        <v>770</v>
      </c>
      <c r="E88" s="16" t="n">
        <v>2012</v>
      </c>
      <c r="F88" s="12" t="s">
        <v>192</v>
      </c>
      <c r="G88" s="31" t="n">
        <v>0.001</v>
      </c>
      <c r="H88" s="5" t="s">
        <v>249</v>
      </c>
      <c r="I88" s="5" t="s">
        <v>763</v>
      </c>
      <c r="J88" s="5" t="s">
        <v>32</v>
      </c>
      <c r="K88" s="5" t="n">
        <v>2012</v>
      </c>
      <c r="L88" s="12" t="n">
        <v>60</v>
      </c>
      <c r="M88" s="6"/>
      <c r="N88" s="8"/>
    </row>
    <row r="89" customFormat="false" ht="22.5" hidden="false" customHeight="false" outlineLevel="0" collapsed="false">
      <c r="A89" s="5" t="n">
        <f aca="false">IF(B89&lt;&gt;"", COUNTA($B$2:B89), "")</f>
        <v>88</v>
      </c>
      <c r="B89" s="18" t="s">
        <v>57</v>
      </c>
      <c r="C89" s="12" t="s">
        <v>186</v>
      </c>
      <c r="D89" s="5" t="s">
        <v>771</v>
      </c>
      <c r="E89" s="16" t="n">
        <v>2012</v>
      </c>
      <c r="F89" s="12" t="s">
        <v>251</v>
      </c>
      <c r="G89" s="31" t="n">
        <v>0.0004</v>
      </c>
      <c r="H89" s="5" t="s">
        <v>252</v>
      </c>
      <c r="I89" s="5" t="s">
        <v>763</v>
      </c>
      <c r="J89" s="5" t="s">
        <v>32</v>
      </c>
      <c r="K89" s="5" t="n">
        <v>2012</v>
      </c>
      <c r="L89" s="12" t="n">
        <v>60</v>
      </c>
      <c r="M89" s="6"/>
      <c r="N89" s="8"/>
    </row>
    <row r="90" customFormat="false" ht="22.5" hidden="false" customHeight="false" outlineLevel="0" collapsed="false">
      <c r="A90" s="5" t="n">
        <f aca="false">IF(B90&lt;&gt;"", COUNTA($B$2:B90), "")</f>
        <v>89</v>
      </c>
      <c r="B90" s="18" t="s">
        <v>57</v>
      </c>
      <c r="C90" s="12" t="s">
        <v>186</v>
      </c>
      <c r="D90" s="5" t="s">
        <v>772</v>
      </c>
      <c r="E90" s="16" t="n">
        <v>2012</v>
      </c>
      <c r="F90" s="12" t="s">
        <v>254</v>
      </c>
      <c r="G90" s="31" t="n">
        <v>0.0004</v>
      </c>
      <c r="H90" s="5" t="s">
        <v>255</v>
      </c>
      <c r="I90" s="5" t="s">
        <v>763</v>
      </c>
      <c r="J90" s="5" t="s">
        <v>32</v>
      </c>
      <c r="K90" s="5" t="n">
        <v>2012</v>
      </c>
      <c r="L90" s="12" t="n">
        <v>60</v>
      </c>
      <c r="M90" s="6"/>
      <c r="N90" s="8"/>
    </row>
    <row r="91" customFormat="false" ht="22.5" hidden="false" customHeight="false" outlineLevel="0" collapsed="false">
      <c r="A91" s="5" t="n">
        <f aca="false">IF(B91&lt;&gt;"", COUNTA($B$2:B91), "")</f>
        <v>90</v>
      </c>
      <c r="B91" s="18" t="s">
        <v>57</v>
      </c>
      <c r="C91" s="5" t="s">
        <v>58</v>
      </c>
      <c r="D91" s="5" t="s">
        <v>773</v>
      </c>
      <c r="E91" s="16" t="n">
        <v>2010</v>
      </c>
      <c r="F91" s="12" t="s">
        <v>257</v>
      </c>
      <c r="G91" s="12" t="n">
        <v>0.075</v>
      </c>
      <c r="H91" s="5" t="s">
        <v>258</v>
      </c>
      <c r="I91" s="5" t="s">
        <v>763</v>
      </c>
      <c r="J91" s="5" t="s">
        <v>32</v>
      </c>
      <c r="K91" s="5" t="n">
        <v>2012</v>
      </c>
      <c r="L91" s="12" t="n">
        <v>36</v>
      </c>
      <c r="M91" s="6"/>
      <c r="N91" s="8"/>
    </row>
    <row r="92" customFormat="false" ht="22.5" hidden="false" customHeight="false" outlineLevel="0" collapsed="false">
      <c r="A92" s="5" t="n">
        <f aca="false">IF(B92&lt;&gt;"", COUNTA($B$2:B92), "")</f>
        <v>91</v>
      </c>
      <c r="B92" s="18" t="s">
        <v>57</v>
      </c>
      <c r="C92" s="5" t="s">
        <v>58</v>
      </c>
      <c r="D92" s="5" t="s">
        <v>774</v>
      </c>
      <c r="E92" s="17" t="n">
        <v>2011</v>
      </c>
      <c r="F92" s="12" t="s">
        <v>260</v>
      </c>
      <c r="G92" s="12" t="n">
        <v>0.075</v>
      </c>
      <c r="H92" s="5" t="s">
        <v>261</v>
      </c>
      <c r="I92" s="5" t="s">
        <v>763</v>
      </c>
      <c r="J92" s="5" t="s">
        <v>32</v>
      </c>
      <c r="K92" s="5" t="n">
        <v>2012</v>
      </c>
      <c r="L92" s="12" t="n">
        <v>36</v>
      </c>
      <c r="M92" s="6"/>
      <c r="N92" s="8"/>
    </row>
    <row r="93" customFormat="false" ht="22.5" hidden="false" customHeight="false" outlineLevel="0" collapsed="false">
      <c r="A93" s="5" t="n">
        <f aca="false">IF(B93&lt;&gt;"", COUNTA($B$2:B93), "")</f>
        <v>92</v>
      </c>
      <c r="B93" s="18" t="s">
        <v>57</v>
      </c>
      <c r="C93" s="5" t="s">
        <v>58</v>
      </c>
      <c r="D93" s="5" t="s">
        <v>775</v>
      </c>
      <c r="E93" s="17" t="n">
        <v>2011</v>
      </c>
      <c r="F93" s="12" t="s">
        <v>192</v>
      </c>
      <c r="G93" s="12" t="n">
        <v>0.075</v>
      </c>
      <c r="H93" s="5" t="s">
        <v>263</v>
      </c>
      <c r="I93" s="5" t="s">
        <v>763</v>
      </c>
      <c r="J93" s="5" t="s">
        <v>32</v>
      </c>
      <c r="K93" s="5" t="n">
        <v>2012</v>
      </c>
      <c r="L93" s="12" t="n">
        <v>36</v>
      </c>
      <c r="M93" s="6"/>
      <c r="N93" s="8"/>
    </row>
    <row r="94" customFormat="false" ht="22.5" hidden="false" customHeight="false" outlineLevel="0" collapsed="false">
      <c r="A94" s="5" t="n">
        <f aca="false">IF(B94&lt;&gt;"", COUNTA($B$2:B94), "")</f>
        <v>93</v>
      </c>
      <c r="B94" s="18" t="s">
        <v>57</v>
      </c>
      <c r="C94" s="5" t="s">
        <v>58</v>
      </c>
      <c r="D94" s="5" t="s">
        <v>776</v>
      </c>
      <c r="E94" s="16" t="n">
        <v>2010</v>
      </c>
      <c r="F94" s="6" t="s">
        <v>260</v>
      </c>
      <c r="G94" s="12" t="n">
        <v>0.075</v>
      </c>
      <c r="H94" s="5" t="s">
        <v>265</v>
      </c>
      <c r="I94" s="5" t="s">
        <v>763</v>
      </c>
      <c r="J94" s="5" t="s">
        <v>32</v>
      </c>
      <c r="K94" s="5" t="n">
        <v>2012</v>
      </c>
      <c r="L94" s="12" t="n">
        <v>36</v>
      </c>
      <c r="M94" s="6"/>
      <c r="N94" s="8"/>
    </row>
    <row r="95" customFormat="false" ht="22.5" hidden="false" customHeight="false" outlineLevel="0" collapsed="false">
      <c r="A95" s="5" t="n">
        <f aca="false">IF(B95&lt;&gt;"", COUNTA($B$2:B95), "")</f>
        <v>94</v>
      </c>
      <c r="B95" s="18" t="s">
        <v>57</v>
      </c>
      <c r="C95" s="5" t="s">
        <v>58</v>
      </c>
      <c r="D95" s="5" t="s">
        <v>777</v>
      </c>
      <c r="E95" s="17" t="n">
        <v>2011</v>
      </c>
      <c r="F95" s="6" t="s">
        <v>260</v>
      </c>
      <c r="G95" s="12" t="n">
        <v>0.075</v>
      </c>
      <c r="H95" s="5" t="s">
        <v>267</v>
      </c>
      <c r="I95" s="5" t="s">
        <v>763</v>
      </c>
      <c r="J95" s="5" t="s">
        <v>32</v>
      </c>
      <c r="K95" s="5" t="n">
        <v>2012</v>
      </c>
      <c r="L95" s="12" t="n">
        <v>36</v>
      </c>
      <c r="M95" s="6"/>
      <c r="N95" s="8"/>
    </row>
    <row r="96" customFormat="false" ht="33.75" hidden="false" customHeight="false" outlineLevel="0" collapsed="false">
      <c r="A96" s="5" t="n">
        <f aca="false">IF(B96&lt;&gt;"", COUNTA($B$2:B96), "")</f>
        <v>95</v>
      </c>
      <c r="B96" s="18" t="s">
        <v>57</v>
      </c>
      <c r="C96" s="5" t="s">
        <v>58</v>
      </c>
      <c r="D96" s="5" t="s">
        <v>778</v>
      </c>
      <c r="E96" s="17" t="n">
        <v>2011</v>
      </c>
      <c r="F96" s="6" t="s">
        <v>260</v>
      </c>
      <c r="G96" s="12" t="n">
        <v>0.075</v>
      </c>
      <c r="H96" s="5" t="s">
        <v>269</v>
      </c>
      <c r="I96" s="5" t="s">
        <v>763</v>
      </c>
      <c r="J96" s="5" t="s">
        <v>32</v>
      </c>
      <c r="K96" s="5" t="n">
        <v>2012</v>
      </c>
      <c r="L96" s="12" t="n">
        <v>36</v>
      </c>
      <c r="M96" s="6"/>
      <c r="N96" s="8"/>
    </row>
    <row r="97" customFormat="false" ht="22.5" hidden="false" customHeight="false" outlineLevel="0" collapsed="false">
      <c r="A97" s="5" t="n">
        <f aca="false">IF(B97&lt;&gt;"", COUNTA($B$2:B97), "")</f>
        <v>96</v>
      </c>
      <c r="B97" s="18" t="s">
        <v>57</v>
      </c>
      <c r="C97" s="5" t="s">
        <v>58</v>
      </c>
      <c r="D97" s="5" t="s">
        <v>779</v>
      </c>
      <c r="E97" s="16" t="n">
        <v>2010</v>
      </c>
      <c r="F97" s="6" t="s">
        <v>271</v>
      </c>
      <c r="G97" s="12" t="n">
        <v>0.075</v>
      </c>
      <c r="H97" s="5" t="s">
        <v>272</v>
      </c>
      <c r="I97" s="5" t="s">
        <v>763</v>
      </c>
      <c r="J97" s="5" t="s">
        <v>32</v>
      </c>
      <c r="K97" s="5" t="n">
        <v>2012</v>
      </c>
      <c r="L97" s="12" t="n">
        <v>36</v>
      </c>
      <c r="M97" s="6"/>
      <c r="N97" s="8"/>
    </row>
    <row r="98" customFormat="false" ht="22.5" hidden="false" customHeight="false" outlineLevel="0" collapsed="false">
      <c r="A98" s="5" t="n">
        <f aca="false">IF(B98&lt;&gt;"", COUNTA($B$2:B98), "")</f>
        <v>97</v>
      </c>
      <c r="B98" s="18" t="s">
        <v>57</v>
      </c>
      <c r="C98" s="5" t="s">
        <v>273</v>
      </c>
      <c r="D98" s="5" t="s">
        <v>780</v>
      </c>
      <c r="E98" s="17" t="n">
        <v>2011</v>
      </c>
      <c r="F98" s="12" t="s">
        <v>275</v>
      </c>
      <c r="G98" s="12" t="n">
        <v>0.075</v>
      </c>
      <c r="H98" s="5" t="s">
        <v>276</v>
      </c>
      <c r="I98" s="5" t="s">
        <v>763</v>
      </c>
      <c r="J98" s="5" t="s">
        <v>32</v>
      </c>
      <c r="K98" s="5" t="n">
        <v>2012</v>
      </c>
      <c r="L98" s="12" t="n">
        <v>36</v>
      </c>
      <c r="M98" s="6"/>
      <c r="N98" s="8"/>
    </row>
    <row r="99" customFormat="false" ht="22.5" hidden="false" customHeight="false" outlineLevel="0" collapsed="false">
      <c r="A99" s="5" t="n">
        <f aca="false">IF(B99&lt;&gt;"", COUNTA($B$2:B99), "")</f>
        <v>98</v>
      </c>
      <c r="B99" s="18" t="s">
        <v>57</v>
      </c>
      <c r="C99" s="5" t="s">
        <v>273</v>
      </c>
      <c r="D99" s="5" t="s">
        <v>781</v>
      </c>
      <c r="E99" s="17" t="n">
        <v>2011</v>
      </c>
      <c r="F99" s="12" t="s">
        <v>275</v>
      </c>
      <c r="G99" s="12" t="n">
        <v>0.075</v>
      </c>
      <c r="H99" s="5" t="s">
        <v>278</v>
      </c>
      <c r="I99" s="5" t="s">
        <v>763</v>
      </c>
      <c r="J99" s="5" t="s">
        <v>32</v>
      </c>
      <c r="K99" s="5" t="n">
        <v>2012</v>
      </c>
      <c r="L99" s="12" t="n">
        <v>36</v>
      </c>
      <c r="M99" s="6"/>
      <c r="N99" s="8"/>
    </row>
    <row r="100" customFormat="false" ht="22.5" hidden="false" customHeight="false" outlineLevel="0" collapsed="false">
      <c r="A100" s="5" t="n">
        <f aca="false">IF(B100&lt;&gt;"", COUNTA($B$2:B100), "")</f>
        <v>99</v>
      </c>
      <c r="B100" s="18" t="s">
        <v>57</v>
      </c>
      <c r="C100" s="5" t="s">
        <v>273</v>
      </c>
      <c r="D100" s="5" t="s">
        <v>782</v>
      </c>
      <c r="E100" s="17" t="n">
        <v>2011</v>
      </c>
      <c r="F100" s="6" t="s">
        <v>280</v>
      </c>
      <c r="G100" s="12" t="n">
        <v>0.075</v>
      </c>
      <c r="H100" s="5" t="s">
        <v>281</v>
      </c>
      <c r="I100" s="5" t="s">
        <v>763</v>
      </c>
      <c r="J100" s="5" t="s">
        <v>32</v>
      </c>
      <c r="K100" s="5" t="n">
        <v>2012</v>
      </c>
      <c r="L100" s="12" t="n">
        <v>36</v>
      </c>
      <c r="M100" s="6"/>
      <c r="N100" s="8"/>
    </row>
    <row r="101" customFormat="false" ht="33.75" hidden="false" customHeight="false" outlineLevel="0" collapsed="false">
      <c r="A101" s="5" t="n">
        <f aca="false">IF(B101&lt;&gt;"", COUNTA($B$2:B101), "")</f>
        <v>100</v>
      </c>
      <c r="B101" s="18" t="s">
        <v>57</v>
      </c>
      <c r="C101" s="5" t="s">
        <v>273</v>
      </c>
      <c r="D101" s="5" t="s">
        <v>783</v>
      </c>
      <c r="E101" s="17" t="n">
        <v>2011</v>
      </c>
      <c r="F101" s="12" t="s">
        <v>283</v>
      </c>
      <c r="G101" s="12" t="n">
        <v>0.075</v>
      </c>
      <c r="H101" s="5" t="s">
        <v>284</v>
      </c>
      <c r="I101" s="5" t="s">
        <v>763</v>
      </c>
      <c r="J101" s="5" t="s">
        <v>32</v>
      </c>
      <c r="K101" s="5" t="n">
        <v>2012</v>
      </c>
      <c r="L101" s="12" t="n">
        <v>36</v>
      </c>
      <c r="M101" s="6"/>
      <c r="N101" s="8"/>
    </row>
    <row r="102" customFormat="false" ht="22.5" hidden="false" customHeight="false" outlineLevel="0" collapsed="false">
      <c r="A102" s="5" t="n">
        <f aca="false">IF(B102&lt;&gt;"", COUNTA($B$2:B102), "")</f>
        <v>101</v>
      </c>
      <c r="B102" s="18" t="s">
        <v>57</v>
      </c>
      <c r="C102" s="5" t="s">
        <v>285</v>
      </c>
      <c r="D102" s="5" t="s">
        <v>784</v>
      </c>
      <c r="E102" s="17" t="n">
        <v>2011</v>
      </c>
      <c r="F102" s="6" t="s">
        <v>287</v>
      </c>
      <c r="G102" s="12" t="n">
        <v>0.075</v>
      </c>
      <c r="H102" s="5" t="s">
        <v>288</v>
      </c>
      <c r="I102" s="5" t="s">
        <v>763</v>
      </c>
      <c r="J102" s="5" t="s">
        <v>32</v>
      </c>
      <c r="K102" s="5" t="n">
        <v>2012</v>
      </c>
      <c r="L102" s="12" t="n">
        <v>36</v>
      </c>
      <c r="M102" s="6"/>
      <c r="N102" s="8"/>
    </row>
    <row r="103" customFormat="false" ht="22.5" hidden="false" customHeight="false" outlineLevel="0" collapsed="false">
      <c r="A103" s="5" t="n">
        <f aca="false">IF(B103&lt;&gt;"", COUNTA($B$2:B103), "")</f>
        <v>102</v>
      </c>
      <c r="B103" s="18" t="s">
        <v>57</v>
      </c>
      <c r="C103" s="5" t="s">
        <v>236</v>
      </c>
      <c r="D103" s="5" t="s">
        <v>785</v>
      </c>
      <c r="E103" s="17" t="n">
        <v>2011</v>
      </c>
      <c r="F103" s="6" t="s">
        <v>290</v>
      </c>
      <c r="G103" s="12" t="n">
        <v>0.075</v>
      </c>
      <c r="H103" s="5" t="s">
        <v>291</v>
      </c>
      <c r="I103" s="5" t="s">
        <v>763</v>
      </c>
      <c r="J103" s="5" t="s">
        <v>32</v>
      </c>
      <c r="K103" s="5" t="n">
        <v>2012</v>
      </c>
      <c r="L103" s="12" t="n">
        <v>36</v>
      </c>
      <c r="M103" s="6"/>
      <c r="N103" s="8"/>
    </row>
    <row r="104" customFormat="false" ht="33.75" hidden="false" customHeight="false" outlineLevel="0" collapsed="false">
      <c r="A104" s="5" t="n">
        <f aca="false">IF(B104&lt;&gt;"", COUNTA($B$2:B104), "")</f>
        <v>103</v>
      </c>
      <c r="B104" s="18" t="s">
        <v>57</v>
      </c>
      <c r="C104" s="5" t="s">
        <v>236</v>
      </c>
      <c r="D104" s="5" t="s">
        <v>786</v>
      </c>
      <c r="E104" s="17" t="n">
        <v>2011</v>
      </c>
      <c r="F104" s="6" t="s">
        <v>293</v>
      </c>
      <c r="G104" s="12" t="n">
        <v>0.075</v>
      </c>
      <c r="H104" s="5" t="s">
        <v>294</v>
      </c>
      <c r="I104" s="5" t="s">
        <v>763</v>
      </c>
      <c r="J104" s="5" t="s">
        <v>32</v>
      </c>
      <c r="K104" s="5" t="n">
        <v>2012</v>
      </c>
      <c r="L104" s="12" t="n">
        <v>36</v>
      </c>
      <c r="M104" s="6"/>
      <c r="N104" s="8"/>
    </row>
    <row r="105" customFormat="false" ht="33.75" hidden="false" customHeight="false" outlineLevel="0" collapsed="false">
      <c r="A105" s="5" t="n">
        <f aca="false">IF(B105&lt;&gt;"", COUNTA($B$2:B105), "")</f>
        <v>104</v>
      </c>
      <c r="B105" s="18" t="s">
        <v>57</v>
      </c>
      <c r="C105" s="5" t="s">
        <v>236</v>
      </c>
      <c r="D105" s="5" t="s">
        <v>787</v>
      </c>
      <c r="E105" s="17" t="n">
        <v>2011</v>
      </c>
      <c r="F105" s="6" t="s">
        <v>293</v>
      </c>
      <c r="G105" s="12" t="n">
        <v>0.075</v>
      </c>
      <c r="H105" s="5" t="s">
        <v>296</v>
      </c>
      <c r="I105" s="5" t="s">
        <v>763</v>
      </c>
      <c r="J105" s="5" t="s">
        <v>32</v>
      </c>
      <c r="K105" s="5" t="n">
        <v>2012</v>
      </c>
      <c r="L105" s="12" t="n">
        <v>36</v>
      </c>
      <c r="M105" s="6"/>
      <c r="N105" s="8"/>
    </row>
    <row r="106" customFormat="false" ht="22.5" hidden="false" customHeight="false" outlineLevel="0" collapsed="false">
      <c r="A106" s="5" t="n">
        <f aca="false">IF(B106&lt;&gt;"", COUNTA($B$2:B106), "")</f>
        <v>105</v>
      </c>
      <c r="B106" s="18" t="s">
        <v>57</v>
      </c>
      <c r="C106" s="5" t="s">
        <v>236</v>
      </c>
      <c r="D106" s="5" t="s">
        <v>788</v>
      </c>
      <c r="E106" s="17" t="n">
        <v>2011</v>
      </c>
      <c r="F106" s="6" t="s">
        <v>246</v>
      </c>
      <c r="G106" s="12" t="n">
        <v>0.075</v>
      </c>
      <c r="H106" s="5" t="s">
        <v>298</v>
      </c>
      <c r="I106" s="5" t="s">
        <v>763</v>
      </c>
      <c r="J106" s="5" t="s">
        <v>32</v>
      </c>
      <c r="K106" s="5" t="n">
        <v>2012</v>
      </c>
      <c r="L106" s="12" t="n">
        <v>36</v>
      </c>
      <c r="M106" s="6"/>
      <c r="N106" s="8"/>
    </row>
    <row r="107" customFormat="false" ht="22.5" hidden="false" customHeight="false" outlineLevel="0" collapsed="false">
      <c r="A107" s="5" t="n">
        <f aca="false">IF(B107&lt;&gt;"", COUNTA($B$2:B107), "")</f>
        <v>106</v>
      </c>
      <c r="B107" s="18" t="s">
        <v>57</v>
      </c>
      <c r="C107" s="5" t="s">
        <v>236</v>
      </c>
      <c r="D107" s="5" t="s">
        <v>789</v>
      </c>
      <c r="E107" s="17" t="n">
        <v>2011</v>
      </c>
      <c r="F107" s="6" t="s">
        <v>300</v>
      </c>
      <c r="G107" s="12" t="n">
        <v>0.075</v>
      </c>
      <c r="H107" s="5" t="s">
        <v>301</v>
      </c>
      <c r="I107" s="5" t="s">
        <v>763</v>
      </c>
      <c r="J107" s="5" t="s">
        <v>32</v>
      </c>
      <c r="K107" s="5" t="n">
        <v>2012</v>
      </c>
      <c r="L107" s="12" t="n">
        <v>36</v>
      </c>
      <c r="M107" s="6"/>
      <c r="N107" s="8"/>
    </row>
    <row r="108" customFormat="false" ht="22.5" hidden="false" customHeight="false" outlineLevel="0" collapsed="false">
      <c r="A108" s="5" t="n">
        <f aca="false">IF(B108&lt;&gt;"", COUNTA($B$2:B108), "")</f>
        <v>107</v>
      </c>
      <c r="B108" s="18" t="s">
        <v>57</v>
      </c>
      <c r="C108" s="5" t="s">
        <v>236</v>
      </c>
      <c r="D108" s="5" t="s">
        <v>790</v>
      </c>
      <c r="E108" s="17" t="n">
        <v>2011</v>
      </c>
      <c r="F108" s="6" t="s">
        <v>303</v>
      </c>
      <c r="G108" s="12" t="n">
        <v>0.075</v>
      </c>
      <c r="H108" s="5" t="s">
        <v>304</v>
      </c>
      <c r="I108" s="5" t="s">
        <v>763</v>
      </c>
      <c r="J108" s="5" t="s">
        <v>32</v>
      </c>
      <c r="K108" s="5" t="n">
        <v>2012</v>
      </c>
      <c r="L108" s="12" t="n">
        <v>36</v>
      </c>
      <c r="M108" s="6" t="s">
        <v>791</v>
      </c>
      <c r="N108" s="8" t="s">
        <v>1</v>
      </c>
    </row>
    <row r="109" customFormat="false" ht="22.5" hidden="false" customHeight="false" outlineLevel="0" collapsed="false">
      <c r="A109" s="5" t="n">
        <f aca="false">IF(B109&lt;&gt;"", COUNTA($B$2:B109), "")</f>
        <v>108</v>
      </c>
      <c r="B109" s="18" t="s">
        <v>57</v>
      </c>
      <c r="C109" s="5" t="s">
        <v>236</v>
      </c>
      <c r="D109" s="5" t="s">
        <v>792</v>
      </c>
      <c r="E109" s="17" t="n">
        <v>2011</v>
      </c>
      <c r="F109" s="6" t="s">
        <v>306</v>
      </c>
      <c r="G109" s="12" t="n">
        <v>0.075</v>
      </c>
      <c r="H109" s="5" t="s">
        <v>307</v>
      </c>
      <c r="I109" s="5" t="s">
        <v>763</v>
      </c>
      <c r="J109" s="5" t="s">
        <v>32</v>
      </c>
      <c r="K109" s="5" t="n">
        <v>2012</v>
      </c>
      <c r="L109" s="12" t="n">
        <v>36</v>
      </c>
      <c r="M109" s="6"/>
      <c r="N109" s="8"/>
    </row>
    <row r="110" customFormat="false" ht="22.5" hidden="false" customHeight="false" outlineLevel="0" collapsed="false">
      <c r="A110" s="5" t="n">
        <f aca="false">IF(B110&lt;&gt;"", COUNTA($B$2:B110), "")</f>
        <v>109</v>
      </c>
      <c r="B110" s="18" t="s">
        <v>57</v>
      </c>
      <c r="C110" s="5" t="s">
        <v>236</v>
      </c>
      <c r="D110" s="5" t="s">
        <v>793</v>
      </c>
      <c r="E110" s="17" t="n">
        <v>2011</v>
      </c>
      <c r="F110" s="6" t="s">
        <v>309</v>
      </c>
      <c r="G110" s="12" t="n">
        <v>0.075</v>
      </c>
      <c r="H110" s="5" t="s">
        <v>310</v>
      </c>
      <c r="I110" s="5" t="s">
        <v>763</v>
      </c>
      <c r="J110" s="5" t="s">
        <v>32</v>
      </c>
      <c r="K110" s="5" t="n">
        <v>2012</v>
      </c>
      <c r="L110" s="12" t="n">
        <v>36</v>
      </c>
      <c r="M110" s="6"/>
      <c r="N110" s="8"/>
    </row>
    <row r="111" customFormat="false" ht="22.5" hidden="false" customHeight="false" outlineLevel="0" collapsed="false">
      <c r="A111" s="5" t="n">
        <f aca="false">IF(B111&lt;&gt;"", COUNTA($B$2:B111), "")</f>
        <v>110</v>
      </c>
      <c r="B111" s="18" t="s">
        <v>57</v>
      </c>
      <c r="C111" s="5" t="s">
        <v>236</v>
      </c>
      <c r="D111" s="5" t="s">
        <v>794</v>
      </c>
      <c r="E111" s="17" t="n">
        <v>2011</v>
      </c>
      <c r="F111" s="6" t="s">
        <v>309</v>
      </c>
      <c r="G111" s="12" t="n">
        <v>0.075</v>
      </c>
      <c r="H111" s="5" t="s">
        <v>312</v>
      </c>
      <c r="I111" s="5" t="s">
        <v>763</v>
      </c>
      <c r="J111" s="5" t="s">
        <v>32</v>
      </c>
      <c r="K111" s="5" t="n">
        <v>2012</v>
      </c>
      <c r="L111" s="12" t="n">
        <v>36</v>
      </c>
      <c r="M111" s="6"/>
      <c r="N111" s="8"/>
    </row>
    <row r="112" customFormat="false" ht="22.5" hidden="false" customHeight="false" outlineLevel="0" collapsed="false">
      <c r="A112" s="5" t="n">
        <f aca="false">IF(B112&lt;&gt;"", COUNTA($B$2:B112), "")</f>
        <v>111</v>
      </c>
      <c r="B112" s="18" t="s">
        <v>57</v>
      </c>
      <c r="C112" s="5" t="s">
        <v>313</v>
      </c>
      <c r="D112" s="5" t="s">
        <v>795</v>
      </c>
      <c r="E112" s="16" t="n">
        <v>2010</v>
      </c>
      <c r="F112" s="6" t="s">
        <v>315</v>
      </c>
      <c r="G112" s="12" t="n">
        <v>0.075</v>
      </c>
      <c r="H112" s="5" t="s">
        <v>316</v>
      </c>
      <c r="I112" s="5" t="s">
        <v>763</v>
      </c>
      <c r="J112" s="5" t="s">
        <v>32</v>
      </c>
      <c r="K112" s="5" t="n">
        <v>2012</v>
      </c>
      <c r="L112" s="12" t="n">
        <v>36</v>
      </c>
      <c r="M112" s="6"/>
      <c r="N112" s="8"/>
    </row>
    <row r="113" customFormat="false" ht="22.5" hidden="false" customHeight="false" outlineLevel="0" collapsed="false">
      <c r="A113" s="5" t="n">
        <f aca="false">IF(B113&lt;&gt;"", COUNTA($B$2:B113), "")</f>
        <v>112</v>
      </c>
      <c r="B113" s="18" t="s">
        <v>57</v>
      </c>
      <c r="C113" s="5" t="s">
        <v>313</v>
      </c>
      <c r="D113" s="5" t="s">
        <v>796</v>
      </c>
      <c r="E113" s="16" t="n">
        <v>2010</v>
      </c>
      <c r="F113" s="6" t="s">
        <v>318</v>
      </c>
      <c r="G113" s="12" t="n">
        <v>0.075</v>
      </c>
      <c r="H113" s="5" t="s">
        <v>319</v>
      </c>
      <c r="I113" s="5" t="s">
        <v>763</v>
      </c>
      <c r="J113" s="5" t="s">
        <v>32</v>
      </c>
      <c r="K113" s="5" t="n">
        <v>2012</v>
      </c>
      <c r="L113" s="12" t="n">
        <v>36</v>
      </c>
      <c r="M113" s="6"/>
      <c r="N113" s="8"/>
    </row>
    <row r="114" customFormat="false" ht="22.5" hidden="false" customHeight="false" outlineLevel="0" collapsed="false">
      <c r="A114" s="5" t="n">
        <f aca="false">IF(B114&lt;&gt;"", COUNTA($B$2:B114), "")</f>
        <v>113</v>
      </c>
      <c r="B114" s="18" t="s">
        <v>57</v>
      </c>
      <c r="C114" s="5" t="s">
        <v>313</v>
      </c>
      <c r="D114" s="5" t="s">
        <v>797</v>
      </c>
      <c r="E114" s="16" t="n">
        <v>2010</v>
      </c>
      <c r="F114" s="6" t="s">
        <v>321</v>
      </c>
      <c r="G114" s="12" t="n">
        <v>0.075</v>
      </c>
      <c r="H114" s="5" t="s">
        <v>322</v>
      </c>
      <c r="I114" s="5" t="s">
        <v>763</v>
      </c>
      <c r="J114" s="5" t="s">
        <v>32</v>
      </c>
      <c r="K114" s="5" t="n">
        <v>2012</v>
      </c>
      <c r="L114" s="12" t="n">
        <v>36</v>
      </c>
      <c r="M114" s="6"/>
      <c r="N114" s="8"/>
    </row>
    <row r="115" customFormat="false" ht="22.5" hidden="false" customHeight="false" outlineLevel="0" collapsed="false">
      <c r="A115" s="5" t="n">
        <f aca="false">IF(B115&lt;&gt;"", COUNTA($B$2:B115), "")</f>
        <v>114</v>
      </c>
      <c r="B115" s="18" t="s">
        <v>57</v>
      </c>
      <c r="C115" s="5" t="s">
        <v>313</v>
      </c>
      <c r="D115" s="5" t="s">
        <v>798</v>
      </c>
      <c r="E115" s="17" t="n">
        <v>2011</v>
      </c>
      <c r="F115" s="6" t="s">
        <v>293</v>
      </c>
      <c r="G115" s="12" t="n">
        <v>0.075</v>
      </c>
      <c r="H115" s="5" t="s">
        <v>324</v>
      </c>
      <c r="I115" s="5" t="s">
        <v>763</v>
      </c>
      <c r="J115" s="5" t="s">
        <v>32</v>
      </c>
      <c r="K115" s="5" t="n">
        <v>2012</v>
      </c>
      <c r="L115" s="12" t="n">
        <v>36</v>
      </c>
      <c r="M115" s="6"/>
      <c r="N115" s="8"/>
    </row>
    <row r="116" customFormat="false" ht="33.75" hidden="false" customHeight="false" outlineLevel="0" collapsed="false">
      <c r="A116" s="5" t="n">
        <f aca="false">IF(B116&lt;&gt;"", COUNTA($B$2:B116), "")</f>
        <v>115</v>
      </c>
      <c r="B116" s="18" t="s">
        <v>57</v>
      </c>
      <c r="C116" s="5" t="s">
        <v>313</v>
      </c>
      <c r="D116" s="5" t="s">
        <v>799</v>
      </c>
      <c r="E116" s="16" t="n">
        <v>2010</v>
      </c>
      <c r="F116" s="6" t="s">
        <v>321</v>
      </c>
      <c r="G116" s="12" t="n">
        <v>0.075</v>
      </c>
      <c r="H116" s="5" t="s">
        <v>326</v>
      </c>
      <c r="I116" s="5" t="s">
        <v>763</v>
      </c>
      <c r="J116" s="5" t="s">
        <v>32</v>
      </c>
      <c r="K116" s="5" t="n">
        <v>2012</v>
      </c>
      <c r="L116" s="12" t="n">
        <v>36</v>
      </c>
      <c r="M116" s="6"/>
      <c r="N116" s="8"/>
    </row>
    <row r="117" customFormat="false" ht="33.75" hidden="false" customHeight="false" outlineLevel="0" collapsed="false">
      <c r="A117" s="5" t="n">
        <f aca="false">IF(B117&lt;&gt;"", COUNTA($B$2:B117), "")</f>
        <v>116</v>
      </c>
      <c r="B117" s="18" t="s">
        <v>57</v>
      </c>
      <c r="C117" s="5" t="s">
        <v>313</v>
      </c>
      <c r="D117" s="5" t="s">
        <v>800</v>
      </c>
      <c r="E117" s="16" t="n">
        <v>2010</v>
      </c>
      <c r="F117" s="6" t="s">
        <v>293</v>
      </c>
      <c r="G117" s="12" t="n">
        <v>0.075</v>
      </c>
      <c r="H117" s="5" t="s">
        <v>328</v>
      </c>
      <c r="I117" s="5" t="s">
        <v>763</v>
      </c>
      <c r="J117" s="5" t="s">
        <v>32</v>
      </c>
      <c r="K117" s="5" t="n">
        <v>2012</v>
      </c>
      <c r="L117" s="12" t="n">
        <v>36</v>
      </c>
      <c r="M117" s="6"/>
      <c r="N117" s="8"/>
    </row>
    <row r="118" customFormat="false" ht="22.5" hidden="false" customHeight="false" outlineLevel="0" collapsed="false">
      <c r="A118" s="5" t="n">
        <f aca="false">IF(B118&lt;&gt;"", COUNTA($B$2:B118), "")</f>
        <v>117</v>
      </c>
      <c r="B118" s="18" t="s">
        <v>57</v>
      </c>
      <c r="C118" s="5" t="s">
        <v>313</v>
      </c>
      <c r="D118" s="5" t="s">
        <v>801</v>
      </c>
      <c r="E118" s="16" t="n">
        <v>2010</v>
      </c>
      <c r="F118" s="6" t="s">
        <v>136</v>
      </c>
      <c r="G118" s="12" t="n">
        <v>0.075</v>
      </c>
      <c r="H118" s="5" t="s">
        <v>330</v>
      </c>
      <c r="I118" s="5" t="s">
        <v>763</v>
      </c>
      <c r="J118" s="5" t="s">
        <v>32</v>
      </c>
      <c r="K118" s="5" t="n">
        <v>2012</v>
      </c>
      <c r="L118" s="12" t="n">
        <v>36</v>
      </c>
      <c r="M118" s="6"/>
      <c r="N118" s="8"/>
    </row>
    <row r="119" customFormat="false" ht="22.5" hidden="false" customHeight="false" outlineLevel="0" collapsed="false">
      <c r="A119" s="5" t="n">
        <f aca="false">IF(B119&lt;&gt;"", COUNTA($B$2:B119), "")</f>
        <v>118</v>
      </c>
      <c r="B119" s="6" t="s">
        <v>221</v>
      </c>
      <c r="C119" s="19" t="s">
        <v>331</v>
      </c>
      <c r="D119" s="6" t="s">
        <v>802</v>
      </c>
      <c r="E119" s="17" t="n">
        <v>2011</v>
      </c>
      <c r="F119" s="19" t="s">
        <v>333</v>
      </c>
      <c r="G119" s="19" t="s">
        <v>181</v>
      </c>
      <c r="H119" s="6" t="s">
        <v>334</v>
      </c>
      <c r="I119" s="5" t="s">
        <v>763</v>
      </c>
      <c r="J119" s="5" t="s">
        <v>32</v>
      </c>
      <c r="K119" s="5" t="n">
        <v>2012</v>
      </c>
      <c r="L119" s="12" t="n">
        <v>36</v>
      </c>
      <c r="M119" s="6"/>
      <c r="N119" s="8"/>
    </row>
    <row r="120" customFormat="false" ht="22.5" hidden="false" customHeight="false" outlineLevel="0" collapsed="false">
      <c r="A120" s="5" t="n">
        <f aca="false">IF(B120&lt;&gt;"", COUNTA($B$2:B120), "")</f>
        <v>119</v>
      </c>
      <c r="B120" s="6" t="s">
        <v>221</v>
      </c>
      <c r="C120" s="19" t="s">
        <v>331</v>
      </c>
      <c r="D120" s="6" t="s">
        <v>803</v>
      </c>
      <c r="E120" s="17" t="n">
        <v>2011</v>
      </c>
      <c r="F120" s="19" t="s">
        <v>333</v>
      </c>
      <c r="G120" s="19" t="s">
        <v>181</v>
      </c>
      <c r="H120" s="6" t="s">
        <v>337</v>
      </c>
      <c r="I120" s="5" t="s">
        <v>763</v>
      </c>
      <c r="J120" s="5" t="s">
        <v>32</v>
      </c>
      <c r="K120" s="5" t="n">
        <v>2012</v>
      </c>
      <c r="L120" s="12" t="n">
        <v>36</v>
      </c>
      <c r="M120" s="6"/>
      <c r="N120" s="8"/>
    </row>
    <row r="121" customFormat="false" ht="22.5" hidden="false" customHeight="false" outlineLevel="0" collapsed="false">
      <c r="A121" s="5" t="n">
        <f aca="false">IF(B121&lt;&gt;"", COUNTA($B$2:B121), "")</f>
        <v>120</v>
      </c>
      <c r="B121" s="6" t="s">
        <v>221</v>
      </c>
      <c r="C121" s="6" t="s">
        <v>338</v>
      </c>
      <c r="D121" s="6" t="s">
        <v>804</v>
      </c>
      <c r="E121" s="17" t="n">
        <v>2011</v>
      </c>
      <c r="F121" s="19" t="s">
        <v>340</v>
      </c>
      <c r="G121" s="19" t="s">
        <v>341</v>
      </c>
      <c r="H121" s="6" t="s">
        <v>342</v>
      </c>
      <c r="I121" s="5" t="s">
        <v>763</v>
      </c>
      <c r="J121" s="5" t="s">
        <v>32</v>
      </c>
      <c r="K121" s="5" t="n">
        <v>2012</v>
      </c>
      <c r="L121" s="12" t="n">
        <v>36</v>
      </c>
      <c r="M121" s="6"/>
      <c r="N121" s="8"/>
    </row>
    <row r="122" customFormat="false" ht="22.5" hidden="false" customHeight="false" outlineLevel="0" collapsed="false">
      <c r="A122" s="5" t="n">
        <f aca="false">IF(B122&lt;&gt;"", COUNTA($B$2:B122), "")</f>
        <v>121</v>
      </c>
      <c r="B122" s="6" t="s">
        <v>221</v>
      </c>
      <c r="C122" s="6" t="s">
        <v>338</v>
      </c>
      <c r="D122" s="6" t="s">
        <v>805</v>
      </c>
      <c r="E122" s="17" t="n">
        <v>2011</v>
      </c>
      <c r="F122" s="19" t="s">
        <v>340</v>
      </c>
      <c r="G122" s="12" t="n">
        <v>1.6</v>
      </c>
      <c r="H122" s="6" t="s">
        <v>344</v>
      </c>
      <c r="I122" s="5" t="s">
        <v>763</v>
      </c>
      <c r="J122" s="5" t="s">
        <v>32</v>
      </c>
      <c r="K122" s="5" t="n">
        <v>2012</v>
      </c>
      <c r="L122" s="12" t="n">
        <v>36</v>
      </c>
      <c r="M122" s="6"/>
      <c r="N122" s="8"/>
    </row>
    <row r="123" customFormat="false" ht="22.5" hidden="false" customHeight="false" outlineLevel="0" collapsed="false">
      <c r="A123" s="5" t="n">
        <f aca="false">IF(B123&lt;&gt;"", COUNTA($B$2:B123), "")</f>
        <v>122</v>
      </c>
      <c r="B123" s="5" t="s">
        <v>568</v>
      </c>
      <c r="C123" s="12" t="s">
        <v>345</v>
      </c>
      <c r="D123" s="12" t="s">
        <v>806</v>
      </c>
      <c r="E123" s="17" t="n">
        <v>2011</v>
      </c>
      <c r="F123" s="12" t="s">
        <v>54</v>
      </c>
      <c r="G123" s="12" t="s">
        <v>55</v>
      </c>
      <c r="H123" s="12" t="s">
        <v>347</v>
      </c>
      <c r="I123" s="5" t="s">
        <v>763</v>
      </c>
      <c r="J123" s="5" t="s">
        <v>32</v>
      </c>
      <c r="K123" s="5" t="n">
        <v>2012</v>
      </c>
      <c r="L123" s="12" t="n">
        <v>48</v>
      </c>
      <c r="M123" s="6"/>
      <c r="N123" s="8"/>
    </row>
    <row r="124" customFormat="false" ht="15" hidden="false" customHeight="false" outlineLevel="0" collapsed="false">
      <c r="A124" s="5" t="n">
        <f aca="false">IF(B124&lt;&gt;"", COUNTA($B$2:B124), "")</f>
        <v>123</v>
      </c>
      <c r="B124" s="5" t="s">
        <v>568</v>
      </c>
      <c r="C124" s="12" t="s">
        <v>348</v>
      </c>
      <c r="D124" s="12" t="s">
        <v>679</v>
      </c>
      <c r="E124" s="17" t="n">
        <v>2011</v>
      </c>
      <c r="F124" s="12"/>
      <c r="G124" s="12"/>
      <c r="H124" s="12" t="s">
        <v>350</v>
      </c>
      <c r="I124" s="5" t="s">
        <v>763</v>
      </c>
      <c r="J124" s="5" t="s">
        <v>32</v>
      </c>
      <c r="K124" s="5" t="n">
        <v>2012</v>
      </c>
      <c r="L124" s="12"/>
      <c r="M124" s="6"/>
      <c r="N124" s="8"/>
    </row>
    <row r="125" customFormat="false" ht="15" hidden="false" customHeight="false" outlineLevel="0" collapsed="false">
      <c r="A125" s="5" t="n">
        <f aca="false">IF(B125&lt;&gt;"", COUNTA($B$2:B125), "")</f>
        <v>124</v>
      </c>
      <c r="B125" s="5" t="s">
        <v>568</v>
      </c>
      <c r="C125" s="12" t="s">
        <v>348</v>
      </c>
      <c r="D125" s="12" t="s">
        <v>807</v>
      </c>
      <c r="E125" s="17" t="n">
        <v>2011</v>
      </c>
      <c r="F125" s="12"/>
      <c r="G125" s="12"/>
      <c r="H125" s="12" t="s">
        <v>352</v>
      </c>
      <c r="I125" s="5" t="s">
        <v>763</v>
      </c>
      <c r="J125" s="5" t="s">
        <v>32</v>
      </c>
      <c r="K125" s="5" t="n">
        <v>2012</v>
      </c>
      <c r="L125" s="12"/>
      <c r="M125" s="6"/>
      <c r="N125" s="8"/>
    </row>
    <row r="126" customFormat="false" ht="15" hidden="false" customHeight="false" outlineLevel="0" collapsed="false">
      <c r="A126" s="5" t="n">
        <f aca="false">IF(B126&lt;&gt;"", COUNTA($B$2:B126), "")</f>
        <v>125</v>
      </c>
      <c r="B126" s="5" t="s">
        <v>568</v>
      </c>
      <c r="C126" s="12" t="s">
        <v>353</v>
      </c>
      <c r="D126" s="12" t="s">
        <v>807</v>
      </c>
      <c r="E126" s="17" t="n">
        <v>2011</v>
      </c>
      <c r="F126" s="12"/>
      <c r="G126" s="12"/>
      <c r="H126" s="12" t="s">
        <v>355</v>
      </c>
      <c r="I126" s="5" t="s">
        <v>763</v>
      </c>
      <c r="J126" s="5" t="s">
        <v>32</v>
      </c>
      <c r="K126" s="5" t="n">
        <v>2012</v>
      </c>
      <c r="L126" s="12"/>
      <c r="M126" s="6"/>
      <c r="N126" s="8"/>
    </row>
    <row r="127" customFormat="false" ht="22.5" hidden="false" customHeight="false" outlineLevel="0" collapsed="false">
      <c r="A127" s="5" t="n">
        <f aca="false">IF(B127&lt;&gt;"", COUNTA($B$2:B127), "")</f>
        <v>126</v>
      </c>
      <c r="B127" s="5" t="s">
        <v>568</v>
      </c>
      <c r="C127" s="12" t="s">
        <v>345</v>
      </c>
      <c r="D127" s="12" t="s">
        <v>808</v>
      </c>
      <c r="E127" s="17" t="n">
        <v>2011</v>
      </c>
      <c r="F127" s="12" t="s">
        <v>54</v>
      </c>
      <c r="G127" s="12" t="s">
        <v>55</v>
      </c>
      <c r="H127" s="12" t="s">
        <v>357</v>
      </c>
      <c r="I127" s="5" t="s">
        <v>763</v>
      </c>
      <c r="J127" s="5" t="s">
        <v>32</v>
      </c>
      <c r="K127" s="5" t="n">
        <v>2012</v>
      </c>
      <c r="L127" s="12" t="n">
        <v>48</v>
      </c>
      <c r="M127" s="6"/>
      <c r="N127" s="8"/>
    </row>
    <row r="128" customFormat="false" ht="15" hidden="false" customHeight="false" outlineLevel="0" collapsed="false">
      <c r="A128" s="5" t="n">
        <f aca="false">IF(B128&lt;&gt;"", COUNTA($B$2:B128), "")</f>
        <v>127</v>
      </c>
      <c r="B128" s="5" t="s">
        <v>568</v>
      </c>
      <c r="C128" s="12" t="s">
        <v>348</v>
      </c>
      <c r="D128" s="12" t="s">
        <v>673</v>
      </c>
      <c r="E128" s="17" t="n">
        <v>2011</v>
      </c>
      <c r="F128" s="12"/>
      <c r="G128" s="12"/>
      <c r="H128" s="12" t="s">
        <v>359</v>
      </c>
      <c r="I128" s="5" t="s">
        <v>763</v>
      </c>
      <c r="J128" s="5" t="s">
        <v>32</v>
      </c>
      <c r="K128" s="5" t="n">
        <v>2012</v>
      </c>
      <c r="L128" s="12"/>
      <c r="M128" s="6"/>
      <c r="N128" s="8"/>
    </row>
    <row r="129" customFormat="false" ht="15" hidden="false" customHeight="false" outlineLevel="0" collapsed="false">
      <c r="A129" s="5" t="n">
        <f aca="false">IF(B129&lt;&gt;"", COUNTA($B$2:B129), "")</f>
        <v>128</v>
      </c>
      <c r="B129" s="5" t="s">
        <v>568</v>
      </c>
      <c r="C129" s="12" t="s">
        <v>348</v>
      </c>
      <c r="D129" s="12" t="s">
        <v>809</v>
      </c>
      <c r="E129" s="17" t="n">
        <v>2011</v>
      </c>
      <c r="F129" s="12"/>
      <c r="G129" s="12"/>
      <c r="H129" s="12" t="s">
        <v>361</v>
      </c>
      <c r="I129" s="5" t="s">
        <v>763</v>
      </c>
      <c r="J129" s="5" t="s">
        <v>32</v>
      </c>
      <c r="K129" s="5" t="n">
        <v>2012</v>
      </c>
      <c r="L129" s="12"/>
      <c r="M129" s="6"/>
      <c r="N129" s="8"/>
    </row>
    <row r="130" customFormat="false" ht="15" hidden="false" customHeight="false" outlineLevel="0" collapsed="false">
      <c r="A130" s="5" t="n">
        <f aca="false">IF(B130&lt;&gt;"", COUNTA($B$2:B130), "")</f>
        <v>129</v>
      </c>
      <c r="B130" s="5" t="s">
        <v>568</v>
      </c>
      <c r="C130" s="12" t="s">
        <v>353</v>
      </c>
      <c r="D130" s="12" t="s">
        <v>810</v>
      </c>
      <c r="E130" s="17" t="n">
        <v>2011</v>
      </c>
      <c r="F130" s="12"/>
      <c r="G130" s="12"/>
      <c r="H130" s="12" t="s">
        <v>363</v>
      </c>
      <c r="I130" s="5" t="s">
        <v>763</v>
      </c>
      <c r="J130" s="5" t="s">
        <v>32</v>
      </c>
      <c r="K130" s="5" t="n">
        <v>2012</v>
      </c>
      <c r="L130" s="12"/>
      <c r="M130" s="6"/>
      <c r="N130" s="8"/>
    </row>
    <row r="131" customFormat="false" ht="22.5" hidden="false" customHeight="false" outlineLevel="0" collapsed="false">
      <c r="A131" s="5" t="n">
        <f aca="false">IF(B131&lt;&gt;"", COUNTA($B$2:B131), "")</f>
        <v>130</v>
      </c>
      <c r="B131" s="5" t="s">
        <v>568</v>
      </c>
      <c r="C131" s="12" t="s">
        <v>345</v>
      </c>
      <c r="D131" s="12" t="s">
        <v>811</v>
      </c>
      <c r="E131" s="17" t="n">
        <v>2011</v>
      </c>
      <c r="F131" s="12" t="s">
        <v>54</v>
      </c>
      <c r="G131" s="12" t="s">
        <v>55</v>
      </c>
      <c r="H131" s="12" t="s">
        <v>365</v>
      </c>
      <c r="I131" s="5" t="s">
        <v>763</v>
      </c>
      <c r="J131" s="5" t="s">
        <v>32</v>
      </c>
      <c r="K131" s="5" t="n">
        <v>2012</v>
      </c>
      <c r="L131" s="12" t="n">
        <v>48</v>
      </c>
      <c r="M131" s="6"/>
      <c r="N131" s="8"/>
    </row>
    <row r="132" customFormat="false" ht="15" hidden="false" customHeight="false" outlineLevel="0" collapsed="false">
      <c r="A132" s="5" t="n">
        <f aca="false">IF(B132&lt;&gt;"", COUNTA($B$2:B132), "")</f>
        <v>131</v>
      </c>
      <c r="B132" s="5" t="s">
        <v>568</v>
      </c>
      <c r="C132" s="12" t="s">
        <v>348</v>
      </c>
      <c r="D132" s="12" t="s">
        <v>812</v>
      </c>
      <c r="E132" s="17" t="n">
        <v>2011</v>
      </c>
      <c r="F132" s="12"/>
      <c r="G132" s="12"/>
      <c r="H132" s="12" t="s">
        <v>367</v>
      </c>
      <c r="I132" s="5" t="s">
        <v>763</v>
      </c>
      <c r="J132" s="5" t="s">
        <v>32</v>
      </c>
      <c r="K132" s="5" t="n">
        <v>2012</v>
      </c>
      <c r="L132" s="12"/>
      <c r="M132" s="6"/>
      <c r="N132" s="8"/>
    </row>
    <row r="133" customFormat="false" ht="15" hidden="false" customHeight="false" outlineLevel="0" collapsed="false">
      <c r="A133" s="5" t="n">
        <f aca="false">IF(B133&lt;&gt;"", COUNTA($B$2:B133), "")</f>
        <v>132</v>
      </c>
      <c r="B133" s="5" t="s">
        <v>568</v>
      </c>
      <c r="C133" s="12" t="s">
        <v>348</v>
      </c>
      <c r="D133" s="12" t="s">
        <v>810</v>
      </c>
      <c r="E133" s="17" t="n">
        <v>2011</v>
      </c>
      <c r="F133" s="12"/>
      <c r="G133" s="12"/>
      <c r="H133" s="12" t="s">
        <v>369</v>
      </c>
      <c r="I133" s="5" t="s">
        <v>763</v>
      </c>
      <c r="J133" s="5" t="s">
        <v>32</v>
      </c>
      <c r="K133" s="5" t="n">
        <v>2012</v>
      </c>
      <c r="L133" s="12"/>
      <c r="M133" s="6"/>
      <c r="N133" s="8"/>
    </row>
    <row r="134" customFormat="false" ht="15" hidden="false" customHeight="false" outlineLevel="0" collapsed="false">
      <c r="A134" s="5" t="n">
        <f aca="false">IF(B134&lt;&gt;"", COUNTA($B$2:B134), "")</f>
        <v>133</v>
      </c>
      <c r="B134" s="5" t="s">
        <v>568</v>
      </c>
      <c r="C134" s="12" t="s">
        <v>353</v>
      </c>
      <c r="D134" s="12" t="s">
        <v>809</v>
      </c>
      <c r="E134" s="17" t="n">
        <v>2011</v>
      </c>
      <c r="F134" s="12"/>
      <c r="G134" s="12"/>
      <c r="H134" s="12" t="s">
        <v>371</v>
      </c>
      <c r="I134" s="5" t="s">
        <v>763</v>
      </c>
      <c r="J134" s="5" t="s">
        <v>32</v>
      </c>
      <c r="K134" s="5" t="n">
        <v>2012</v>
      </c>
      <c r="L134" s="12"/>
      <c r="M134" s="6"/>
      <c r="N134" s="8"/>
    </row>
    <row r="135" customFormat="false" ht="22.5" hidden="false" customHeight="false" outlineLevel="0" collapsed="false">
      <c r="A135" s="5" t="n">
        <f aca="false">IF(B135&lt;&gt;"", COUNTA($B$2:B135), "")</f>
        <v>134</v>
      </c>
      <c r="B135" s="5" t="s">
        <v>568</v>
      </c>
      <c r="C135" s="12" t="s">
        <v>345</v>
      </c>
      <c r="D135" s="12" t="s">
        <v>813</v>
      </c>
      <c r="E135" s="17" t="n">
        <v>2011</v>
      </c>
      <c r="F135" s="12" t="s">
        <v>54</v>
      </c>
      <c r="G135" s="12" t="s">
        <v>55</v>
      </c>
      <c r="H135" s="12" t="s">
        <v>373</v>
      </c>
      <c r="I135" s="5" t="s">
        <v>763</v>
      </c>
      <c r="J135" s="5" t="s">
        <v>32</v>
      </c>
      <c r="K135" s="5" t="n">
        <v>2012</v>
      </c>
      <c r="L135" s="12" t="n">
        <v>48</v>
      </c>
      <c r="M135" s="6"/>
      <c r="N135" s="8"/>
    </row>
    <row r="136" customFormat="false" ht="15" hidden="false" customHeight="false" outlineLevel="0" collapsed="false">
      <c r="A136" s="5" t="n">
        <f aca="false">IF(B136&lt;&gt;"", COUNTA($B$2:B136), "")</f>
        <v>135</v>
      </c>
      <c r="B136" s="5" t="s">
        <v>568</v>
      </c>
      <c r="C136" s="12" t="s">
        <v>348</v>
      </c>
      <c r="D136" s="12" t="s">
        <v>370</v>
      </c>
      <c r="E136" s="17" t="n">
        <v>2011</v>
      </c>
      <c r="F136" s="12"/>
      <c r="G136" s="12"/>
      <c r="H136" s="12" t="s">
        <v>375</v>
      </c>
      <c r="I136" s="5" t="s">
        <v>763</v>
      </c>
      <c r="J136" s="5" t="s">
        <v>32</v>
      </c>
      <c r="K136" s="5" t="n">
        <v>2012</v>
      </c>
      <c r="L136" s="12"/>
      <c r="M136" s="6"/>
      <c r="N136" s="8"/>
    </row>
    <row r="137" customFormat="false" ht="15" hidden="false" customHeight="false" outlineLevel="0" collapsed="false">
      <c r="A137" s="5" t="n">
        <f aca="false">IF(B137&lt;&gt;"", COUNTA($B$2:B137), "")</f>
        <v>136</v>
      </c>
      <c r="B137" s="5" t="s">
        <v>568</v>
      </c>
      <c r="C137" s="12" t="s">
        <v>348</v>
      </c>
      <c r="D137" s="12" t="s">
        <v>362</v>
      </c>
      <c r="E137" s="17" t="n">
        <v>2011</v>
      </c>
      <c r="F137" s="12"/>
      <c r="G137" s="12"/>
      <c r="H137" s="12" t="s">
        <v>377</v>
      </c>
      <c r="I137" s="5" t="s">
        <v>763</v>
      </c>
      <c r="J137" s="5" t="s">
        <v>32</v>
      </c>
      <c r="K137" s="5" t="n">
        <v>2012</v>
      </c>
      <c r="L137" s="12"/>
      <c r="M137" s="6"/>
      <c r="N137" s="8"/>
    </row>
    <row r="138" customFormat="false" ht="15" hidden="false" customHeight="false" outlineLevel="0" collapsed="false">
      <c r="A138" s="5" t="n">
        <f aca="false">IF(B138&lt;&gt;"", COUNTA($B$2:B138), "")</f>
        <v>137</v>
      </c>
      <c r="B138" s="5" t="s">
        <v>568</v>
      </c>
      <c r="C138" s="12" t="s">
        <v>353</v>
      </c>
      <c r="D138" s="12" t="s">
        <v>670</v>
      </c>
      <c r="E138" s="17" t="n">
        <v>2011</v>
      </c>
      <c r="F138" s="12"/>
      <c r="G138" s="12"/>
      <c r="H138" s="12" t="s">
        <v>379</v>
      </c>
      <c r="I138" s="5" t="s">
        <v>763</v>
      </c>
      <c r="J138" s="5" t="s">
        <v>32</v>
      </c>
      <c r="K138" s="5" t="n">
        <v>2012</v>
      </c>
      <c r="L138" s="12"/>
      <c r="M138" s="6"/>
      <c r="N138" s="8"/>
    </row>
    <row r="139" customFormat="false" ht="22.5" hidden="false" customHeight="false" outlineLevel="0" collapsed="false">
      <c r="A139" s="5" t="n">
        <f aca="false">IF(B139&lt;&gt;"", COUNTA($B$2:B139), "")</f>
        <v>138</v>
      </c>
      <c r="B139" s="5" t="s">
        <v>568</v>
      </c>
      <c r="C139" s="12" t="s">
        <v>380</v>
      </c>
      <c r="D139" s="12" t="n">
        <v>20408760</v>
      </c>
      <c r="E139" s="17" t="n">
        <v>2011</v>
      </c>
      <c r="F139" s="12" t="s">
        <v>89</v>
      </c>
      <c r="G139" s="12"/>
      <c r="H139" s="12" t="s">
        <v>381</v>
      </c>
      <c r="I139" s="5" t="s">
        <v>763</v>
      </c>
      <c r="J139" s="5" t="s">
        <v>32</v>
      </c>
      <c r="K139" s="5" t="n">
        <v>2012</v>
      </c>
      <c r="L139" s="12"/>
      <c r="M139" s="6"/>
      <c r="N139" s="8"/>
    </row>
    <row r="140" customFormat="false" ht="33.75" hidden="false" customHeight="false" outlineLevel="0" collapsed="false">
      <c r="A140" s="5" t="n">
        <f aca="false">IF(B140&lt;&gt;"", COUNTA($B$2:B140), "")</f>
        <v>139</v>
      </c>
      <c r="B140" s="6" t="s">
        <v>221</v>
      </c>
      <c r="C140" s="12" t="s">
        <v>382</v>
      </c>
      <c r="D140" s="12" t="s">
        <v>814</v>
      </c>
      <c r="E140" s="17" t="n">
        <v>2011</v>
      </c>
      <c r="F140" s="12" t="s">
        <v>384</v>
      </c>
      <c r="G140" s="12" t="s">
        <v>385</v>
      </c>
      <c r="H140" s="12" t="s">
        <v>386</v>
      </c>
      <c r="I140" s="5" t="s">
        <v>763</v>
      </c>
      <c r="J140" s="5" t="s">
        <v>32</v>
      </c>
      <c r="K140" s="5" t="n">
        <v>2012</v>
      </c>
      <c r="L140" s="12" t="n">
        <v>48</v>
      </c>
      <c r="M140" s="6"/>
      <c r="N140" s="8"/>
    </row>
    <row r="141" customFormat="false" ht="33.75" hidden="false" customHeight="false" outlineLevel="0" collapsed="false">
      <c r="A141" s="5" t="n">
        <f aca="false">IF(B141&lt;&gt;"", COUNTA($B$2:B141), "")</f>
        <v>140</v>
      </c>
      <c r="B141" s="12" t="s">
        <v>387</v>
      </c>
      <c r="C141" s="8" t="s">
        <v>388</v>
      </c>
      <c r="D141" s="12" t="s">
        <v>389</v>
      </c>
      <c r="E141" s="16" t="n">
        <v>2010</v>
      </c>
      <c r="F141" s="12" t="s">
        <v>390</v>
      </c>
      <c r="G141" s="12" t="s">
        <v>391</v>
      </c>
      <c r="H141" s="5" t="s">
        <v>392</v>
      </c>
      <c r="I141" s="5" t="s">
        <v>763</v>
      </c>
      <c r="J141" s="5" t="s">
        <v>32</v>
      </c>
      <c r="K141" s="5" t="n">
        <v>2012</v>
      </c>
      <c r="L141" s="12" t="n">
        <v>24</v>
      </c>
      <c r="M141" s="6"/>
      <c r="N141" s="8"/>
    </row>
    <row r="142" customFormat="false" ht="22.5" hidden="false" customHeight="false" outlineLevel="0" collapsed="false">
      <c r="A142" s="5" t="n">
        <f aca="false">IF(B142&lt;&gt;"", COUNTA($B$2:B142), "")</f>
        <v>141</v>
      </c>
      <c r="B142" s="12" t="s">
        <v>387</v>
      </c>
      <c r="C142" s="8" t="s">
        <v>388</v>
      </c>
      <c r="D142" s="12" t="s">
        <v>389</v>
      </c>
      <c r="E142" s="16" t="n">
        <v>2010</v>
      </c>
      <c r="F142" s="12" t="s">
        <v>390</v>
      </c>
      <c r="G142" s="12" t="s">
        <v>391</v>
      </c>
      <c r="H142" s="5" t="s">
        <v>393</v>
      </c>
      <c r="I142" s="5" t="s">
        <v>763</v>
      </c>
      <c r="J142" s="5" t="s">
        <v>32</v>
      </c>
      <c r="K142" s="5" t="n">
        <v>2012</v>
      </c>
      <c r="L142" s="12" t="n">
        <v>24</v>
      </c>
      <c r="M142" s="6"/>
      <c r="N142" s="8"/>
    </row>
    <row r="143" customFormat="false" ht="33.75" hidden="false" customHeight="false" outlineLevel="0" collapsed="false">
      <c r="A143" s="5" t="n">
        <f aca="false">IF(B143&lt;&gt;"", COUNTA($B$2:B143), "")</f>
        <v>142</v>
      </c>
      <c r="B143" s="12" t="s">
        <v>387</v>
      </c>
      <c r="C143" s="8" t="s">
        <v>388</v>
      </c>
      <c r="D143" s="12" t="s">
        <v>389</v>
      </c>
      <c r="E143" s="16" t="n">
        <v>2010</v>
      </c>
      <c r="F143" s="12" t="s">
        <v>390</v>
      </c>
      <c r="G143" s="12" t="s">
        <v>391</v>
      </c>
      <c r="H143" s="5" t="s">
        <v>394</v>
      </c>
      <c r="I143" s="5" t="s">
        <v>763</v>
      </c>
      <c r="J143" s="5" t="s">
        <v>32</v>
      </c>
      <c r="K143" s="5" t="n">
        <v>2012</v>
      </c>
      <c r="L143" s="12" t="n">
        <v>24</v>
      </c>
      <c r="M143" s="6"/>
      <c r="N143" s="8"/>
    </row>
    <row r="144" customFormat="false" ht="33.75" hidden="false" customHeight="false" outlineLevel="0" collapsed="false">
      <c r="A144" s="5" t="n">
        <f aca="false">IF(B144&lt;&gt;"", COUNTA($B$2:B144), "")</f>
        <v>143</v>
      </c>
      <c r="B144" s="12" t="s">
        <v>387</v>
      </c>
      <c r="C144" s="8" t="s">
        <v>388</v>
      </c>
      <c r="D144" s="12" t="s">
        <v>389</v>
      </c>
      <c r="E144" s="16" t="n">
        <v>2010</v>
      </c>
      <c r="F144" s="12" t="s">
        <v>390</v>
      </c>
      <c r="G144" s="12" t="s">
        <v>391</v>
      </c>
      <c r="H144" s="5" t="s">
        <v>395</v>
      </c>
      <c r="I144" s="5" t="s">
        <v>763</v>
      </c>
      <c r="J144" s="5" t="s">
        <v>32</v>
      </c>
      <c r="K144" s="5" t="n">
        <v>2012</v>
      </c>
      <c r="L144" s="12" t="n">
        <v>24</v>
      </c>
      <c r="M144" s="6"/>
      <c r="N144" s="8"/>
    </row>
    <row r="145" customFormat="false" ht="22.5" hidden="false" customHeight="false" outlineLevel="0" collapsed="false">
      <c r="A145" s="5" t="n">
        <f aca="false">IF(B145&lt;&gt;"", COUNTA($B$2:B145), "")</f>
        <v>144</v>
      </c>
      <c r="B145" s="12" t="s">
        <v>387</v>
      </c>
      <c r="C145" s="8" t="s">
        <v>388</v>
      </c>
      <c r="D145" s="12" t="s">
        <v>389</v>
      </c>
      <c r="E145" s="16" t="n">
        <v>2010</v>
      </c>
      <c r="F145" s="12" t="s">
        <v>390</v>
      </c>
      <c r="G145" s="12" t="s">
        <v>391</v>
      </c>
      <c r="H145" s="5" t="s">
        <v>396</v>
      </c>
      <c r="I145" s="5" t="s">
        <v>763</v>
      </c>
      <c r="J145" s="5" t="s">
        <v>32</v>
      </c>
      <c r="K145" s="5" t="n">
        <v>2012</v>
      </c>
      <c r="L145" s="12" t="n">
        <v>24</v>
      </c>
      <c r="M145" s="6"/>
      <c r="N145" s="8"/>
    </row>
    <row r="146" customFormat="false" ht="22.5" hidden="false" customHeight="false" outlineLevel="0" collapsed="false">
      <c r="A146" s="5" t="n">
        <f aca="false">IF(B146&lt;&gt;"", COUNTA($B$2:B146), "")</f>
        <v>145</v>
      </c>
      <c r="B146" s="12" t="s">
        <v>387</v>
      </c>
      <c r="C146" s="8" t="s">
        <v>397</v>
      </c>
      <c r="D146" s="12" t="s">
        <v>389</v>
      </c>
      <c r="E146" s="16" t="n">
        <v>2010</v>
      </c>
      <c r="F146" s="12" t="s">
        <v>398</v>
      </c>
      <c r="G146" s="12" t="s">
        <v>391</v>
      </c>
      <c r="H146" s="5" t="s">
        <v>399</v>
      </c>
      <c r="I146" s="5" t="s">
        <v>763</v>
      </c>
      <c r="J146" s="5" t="s">
        <v>32</v>
      </c>
      <c r="K146" s="5" t="n">
        <v>2012</v>
      </c>
      <c r="L146" s="12" t="n">
        <v>24</v>
      </c>
      <c r="M146" s="6"/>
      <c r="N146" s="8"/>
    </row>
    <row r="147" customFormat="false" ht="22.5" hidden="false" customHeight="false" outlineLevel="0" collapsed="false">
      <c r="A147" s="5" t="n">
        <f aca="false">IF(B147&lt;&gt;"", COUNTA($B$2:B147), "")</f>
        <v>146</v>
      </c>
      <c r="B147" s="6" t="s">
        <v>64</v>
      </c>
      <c r="C147" s="19" t="s">
        <v>400</v>
      </c>
      <c r="D147" s="6" t="s">
        <v>815</v>
      </c>
      <c r="E147" s="17" t="n">
        <v>2011</v>
      </c>
      <c r="F147" s="19" t="s">
        <v>67</v>
      </c>
      <c r="G147" s="19" t="s">
        <v>68</v>
      </c>
      <c r="H147" s="6" t="s">
        <v>402</v>
      </c>
      <c r="I147" s="5" t="s">
        <v>763</v>
      </c>
      <c r="J147" s="5" t="s">
        <v>32</v>
      </c>
      <c r="K147" s="5" t="n">
        <v>2012</v>
      </c>
      <c r="L147" s="12" t="n">
        <v>36</v>
      </c>
      <c r="M147" s="6"/>
      <c r="N147" s="8"/>
    </row>
    <row r="148" customFormat="false" ht="22.5" hidden="false" customHeight="false" outlineLevel="0" collapsed="false">
      <c r="A148" s="5" t="n">
        <f aca="false">IF(B148&lt;&gt;"", COUNTA($B$2:B148), "")</f>
        <v>147</v>
      </c>
      <c r="B148" s="6" t="s">
        <v>64</v>
      </c>
      <c r="C148" s="19" t="s">
        <v>400</v>
      </c>
      <c r="D148" s="6" t="s">
        <v>816</v>
      </c>
      <c r="E148" s="17" t="n">
        <v>2011</v>
      </c>
      <c r="F148" s="19" t="s">
        <v>67</v>
      </c>
      <c r="G148" s="19" t="s">
        <v>68</v>
      </c>
      <c r="H148" s="6" t="s">
        <v>404</v>
      </c>
      <c r="I148" s="5" t="s">
        <v>763</v>
      </c>
      <c r="J148" s="5" t="s">
        <v>32</v>
      </c>
      <c r="K148" s="5" t="n">
        <v>2012</v>
      </c>
      <c r="L148" s="12" t="n">
        <v>36</v>
      </c>
      <c r="M148" s="6"/>
      <c r="N148" s="8"/>
    </row>
    <row r="149" customFormat="false" ht="15" hidden="false" customHeight="false" outlineLevel="0" collapsed="false">
      <c r="A149" s="5" t="n">
        <f aca="false">IF(B149&lt;&gt;"", COUNTA($B$2:B149), "")</f>
        <v>148</v>
      </c>
      <c r="B149" s="6" t="s">
        <v>64</v>
      </c>
      <c r="C149" s="19" t="s">
        <v>400</v>
      </c>
      <c r="D149" s="6" t="s">
        <v>817</v>
      </c>
      <c r="E149" s="17" t="n">
        <v>2011</v>
      </c>
      <c r="F149" s="19" t="s">
        <v>67</v>
      </c>
      <c r="G149" s="19" t="s">
        <v>68</v>
      </c>
      <c r="H149" s="6" t="s">
        <v>406</v>
      </c>
      <c r="I149" s="5" t="s">
        <v>763</v>
      </c>
      <c r="J149" s="5" t="s">
        <v>32</v>
      </c>
      <c r="K149" s="5" t="n">
        <v>2012</v>
      </c>
      <c r="L149" s="12" t="n">
        <v>36</v>
      </c>
      <c r="M149" s="6"/>
      <c r="N149" s="8"/>
    </row>
    <row r="150" customFormat="false" ht="22.5" hidden="false" customHeight="false" outlineLevel="0" collapsed="false">
      <c r="A150" s="5" t="n">
        <f aca="false">IF(B150&lt;&gt;"", COUNTA($B$2:B150), "")</f>
        <v>149</v>
      </c>
      <c r="B150" s="6" t="s">
        <v>64</v>
      </c>
      <c r="C150" s="19" t="s">
        <v>400</v>
      </c>
      <c r="D150" s="6" t="s">
        <v>818</v>
      </c>
      <c r="E150" s="17" t="n">
        <v>2011</v>
      </c>
      <c r="F150" s="19" t="s">
        <v>67</v>
      </c>
      <c r="G150" s="19" t="s">
        <v>68</v>
      </c>
      <c r="H150" s="6" t="s">
        <v>408</v>
      </c>
      <c r="I150" s="5" t="s">
        <v>763</v>
      </c>
      <c r="J150" s="5" t="s">
        <v>32</v>
      </c>
      <c r="K150" s="5" t="n">
        <v>2012</v>
      </c>
      <c r="L150" s="12" t="n">
        <v>36</v>
      </c>
      <c r="M150" s="6"/>
      <c r="N150" s="8"/>
    </row>
    <row r="151" customFormat="false" ht="22.5" hidden="false" customHeight="false" outlineLevel="0" collapsed="false">
      <c r="A151" s="5" t="n">
        <f aca="false">IF(B151&lt;&gt;"", COUNTA($B$2:B151), "")</f>
        <v>150</v>
      </c>
      <c r="B151" s="6" t="s">
        <v>64</v>
      </c>
      <c r="C151" s="19" t="s">
        <v>409</v>
      </c>
      <c r="D151" s="6" t="s">
        <v>819</v>
      </c>
      <c r="E151" s="17" t="n">
        <v>2011</v>
      </c>
      <c r="F151" s="19" t="s">
        <v>67</v>
      </c>
      <c r="G151" s="19" t="s">
        <v>68</v>
      </c>
      <c r="H151" s="6" t="s">
        <v>411</v>
      </c>
      <c r="I151" s="5" t="s">
        <v>763</v>
      </c>
      <c r="J151" s="5" t="s">
        <v>32</v>
      </c>
      <c r="K151" s="5" t="n">
        <v>2012</v>
      </c>
      <c r="L151" s="12" t="n">
        <v>36</v>
      </c>
      <c r="M151" s="6"/>
      <c r="N151" s="8"/>
    </row>
    <row r="152" customFormat="false" ht="22.5" hidden="false" customHeight="false" outlineLevel="0" collapsed="false">
      <c r="A152" s="5" t="n">
        <f aca="false">IF(B152&lt;&gt;"", COUNTA($B$2:B152), "")</f>
        <v>151</v>
      </c>
      <c r="B152" s="6" t="s">
        <v>64</v>
      </c>
      <c r="C152" s="19" t="s">
        <v>409</v>
      </c>
      <c r="D152" s="6" t="s">
        <v>820</v>
      </c>
      <c r="E152" s="17" t="n">
        <v>2011</v>
      </c>
      <c r="F152" s="19" t="s">
        <v>67</v>
      </c>
      <c r="G152" s="19" t="s">
        <v>68</v>
      </c>
      <c r="H152" s="6" t="s">
        <v>413</v>
      </c>
      <c r="I152" s="5" t="s">
        <v>763</v>
      </c>
      <c r="J152" s="5" t="s">
        <v>32</v>
      </c>
      <c r="K152" s="5" t="n">
        <v>2012</v>
      </c>
      <c r="L152" s="12" t="n">
        <v>36</v>
      </c>
      <c r="M152" s="6"/>
      <c r="N152" s="8"/>
    </row>
    <row r="153" customFormat="false" ht="22.5" hidden="false" customHeight="false" outlineLevel="0" collapsed="false">
      <c r="A153" s="5" t="n">
        <f aca="false">IF(B153&lt;&gt;"", COUNTA($B$2:B153), "")</f>
        <v>152</v>
      </c>
      <c r="B153" s="6" t="s">
        <v>64</v>
      </c>
      <c r="C153" s="19" t="s">
        <v>409</v>
      </c>
      <c r="D153" s="6" t="s">
        <v>821</v>
      </c>
      <c r="E153" s="17" t="n">
        <v>2011</v>
      </c>
      <c r="F153" s="19" t="s">
        <v>67</v>
      </c>
      <c r="G153" s="19" t="s">
        <v>68</v>
      </c>
      <c r="H153" s="6" t="s">
        <v>415</v>
      </c>
      <c r="I153" s="5" t="s">
        <v>763</v>
      </c>
      <c r="J153" s="5" t="s">
        <v>32</v>
      </c>
      <c r="K153" s="5" t="n">
        <v>2012</v>
      </c>
      <c r="L153" s="12" t="n">
        <v>36</v>
      </c>
      <c r="M153" s="6"/>
      <c r="N153" s="8"/>
    </row>
    <row r="154" customFormat="false" ht="22.5" hidden="false" customHeight="false" outlineLevel="0" collapsed="false">
      <c r="A154" s="5" t="n">
        <f aca="false">IF(B154&lt;&gt;"", COUNTA($B$2:B154), "")</f>
        <v>153</v>
      </c>
      <c r="B154" s="6" t="s">
        <v>64</v>
      </c>
      <c r="C154" s="19" t="s">
        <v>409</v>
      </c>
      <c r="D154" s="17" t="s">
        <v>693</v>
      </c>
      <c r="E154" s="17" t="n">
        <v>2011</v>
      </c>
      <c r="F154" s="19" t="s">
        <v>67</v>
      </c>
      <c r="G154" s="19" t="s">
        <v>68</v>
      </c>
      <c r="H154" s="6" t="s">
        <v>417</v>
      </c>
      <c r="I154" s="5" t="s">
        <v>763</v>
      </c>
      <c r="J154" s="5" t="s">
        <v>32</v>
      </c>
      <c r="K154" s="5" t="n">
        <v>2012</v>
      </c>
      <c r="L154" s="12" t="n">
        <v>36</v>
      </c>
      <c r="M154" s="6"/>
      <c r="N154" s="8"/>
    </row>
    <row r="155" customFormat="false" ht="33.75" hidden="false" customHeight="false" outlineLevel="0" collapsed="false">
      <c r="A155" s="5" t="n">
        <f aca="false">IF(B155&lt;&gt;"", COUNTA($B$2:B155), "")</f>
        <v>154</v>
      </c>
      <c r="B155" s="6" t="s">
        <v>64</v>
      </c>
      <c r="C155" s="19" t="s">
        <v>400</v>
      </c>
      <c r="D155" s="6" t="s">
        <v>451</v>
      </c>
      <c r="E155" s="17" t="n">
        <v>2011</v>
      </c>
      <c r="F155" s="19" t="s">
        <v>67</v>
      </c>
      <c r="G155" s="19" t="s">
        <v>689</v>
      </c>
      <c r="H155" s="6" t="s">
        <v>419</v>
      </c>
      <c r="I155" s="5" t="s">
        <v>763</v>
      </c>
      <c r="J155" s="5" t="s">
        <v>32</v>
      </c>
      <c r="K155" s="5" t="n">
        <v>2012</v>
      </c>
      <c r="L155" s="12" t="n">
        <v>36</v>
      </c>
      <c r="M155" s="6"/>
      <c r="N155" s="8"/>
    </row>
    <row r="156" s="34" customFormat="true" ht="33.75" hidden="false" customHeight="false" outlineLevel="0" collapsed="false">
      <c r="A156" s="5" t="n">
        <f aca="false">IF(B156&lt;&gt;"", COUNTA($B$2:B156), "")</f>
        <v>155</v>
      </c>
      <c r="B156" s="6" t="s">
        <v>64</v>
      </c>
      <c r="C156" s="19" t="s">
        <v>400</v>
      </c>
      <c r="D156" s="6" t="s">
        <v>688</v>
      </c>
      <c r="E156" s="33" t="n">
        <v>2011</v>
      </c>
      <c r="F156" s="19" t="s">
        <v>67</v>
      </c>
      <c r="G156" s="19" t="s">
        <v>689</v>
      </c>
      <c r="H156" s="6" t="s">
        <v>421</v>
      </c>
      <c r="I156" s="5" t="s">
        <v>763</v>
      </c>
      <c r="J156" s="5" t="s">
        <v>32</v>
      </c>
      <c r="K156" s="5" t="n">
        <v>2012</v>
      </c>
      <c r="L156" s="12" t="n">
        <v>36</v>
      </c>
      <c r="M156" s="6"/>
      <c r="N156" s="8"/>
    </row>
    <row r="157" s="34" customFormat="true" ht="22.5" hidden="false" customHeight="false" outlineLevel="0" collapsed="false">
      <c r="A157" s="5" t="n">
        <f aca="false">IF(B157&lt;&gt;"", COUNTA($B$2:B157), "")</f>
        <v>156</v>
      </c>
      <c r="B157" s="6" t="s">
        <v>64</v>
      </c>
      <c r="C157" s="19" t="s">
        <v>400</v>
      </c>
      <c r="D157" s="6" t="s">
        <v>822</v>
      </c>
      <c r="E157" s="33" t="n">
        <v>2011</v>
      </c>
      <c r="F157" s="19" t="s">
        <v>67</v>
      </c>
      <c r="G157" s="19" t="s">
        <v>68</v>
      </c>
      <c r="H157" s="6" t="s">
        <v>422</v>
      </c>
      <c r="I157" s="5" t="s">
        <v>763</v>
      </c>
      <c r="J157" s="5" t="s">
        <v>32</v>
      </c>
      <c r="K157" s="5" t="n">
        <v>2012</v>
      </c>
      <c r="L157" s="12" t="n">
        <v>36</v>
      </c>
      <c r="M157" s="6"/>
      <c r="N157" s="8"/>
    </row>
    <row r="158" s="34" customFormat="true" ht="15" hidden="false" customHeight="false" outlineLevel="0" collapsed="false">
      <c r="A158" s="5" t="n">
        <f aca="false">IF(B158&lt;&gt;"", COUNTA($B$2:B158), "")</f>
        <v>157</v>
      </c>
      <c r="B158" s="6" t="s">
        <v>64</v>
      </c>
      <c r="C158" s="19" t="s">
        <v>423</v>
      </c>
      <c r="D158" s="16" t="n">
        <v>18</v>
      </c>
      <c r="E158" s="35" t="s">
        <v>425</v>
      </c>
      <c r="F158" s="8" t="s">
        <v>156</v>
      </c>
      <c r="G158" s="19" t="s">
        <v>426</v>
      </c>
      <c r="H158" s="6" t="s">
        <v>427</v>
      </c>
      <c r="I158" s="5" t="s">
        <v>763</v>
      </c>
      <c r="J158" s="5" t="s">
        <v>32</v>
      </c>
      <c r="K158" s="5" t="n">
        <v>2012</v>
      </c>
      <c r="L158" s="12" t="n">
        <v>60</v>
      </c>
      <c r="M158" s="6"/>
      <c r="N158" s="8"/>
    </row>
    <row r="159" s="34" customFormat="true" ht="22.5" hidden="false" customHeight="false" outlineLevel="0" collapsed="false">
      <c r="A159" s="5" t="n">
        <f aca="false">IF(B159&lt;&gt;"", COUNTA($B$2:B159), "")</f>
        <v>158</v>
      </c>
      <c r="B159" s="6" t="s">
        <v>64</v>
      </c>
      <c r="C159" s="19" t="s">
        <v>400</v>
      </c>
      <c r="D159" s="6" t="s">
        <v>823</v>
      </c>
      <c r="E159" s="33" t="n">
        <v>2011</v>
      </c>
      <c r="F159" s="19" t="s">
        <v>67</v>
      </c>
      <c r="G159" s="19" t="s">
        <v>68</v>
      </c>
      <c r="H159" s="6" t="s">
        <v>429</v>
      </c>
      <c r="I159" s="5" t="s">
        <v>763</v>
      </c>
      <c r="J159" s="5" t="s">
        <v>32</v>
      </c>
      <c r="K159" s="5" t="n">
        <v>2012</v>
      </c>
      <c r="L159" s="12" t="n">
        <v>36</v>
      </c>
      <c r="M159" s="6"/>
      <c r="N159" s="8"/>
    </row>
    <row r="160" s="34" customFormat="true" ht="22.5" hidden="false" customHeight="false" outlineLevel="0" collapsed="false">
      <c r="A160" s="5" t="n">
        <f aca="false">IF(B160&lt;&gt;"", COUNTA($B$2:B160), "")</f>
        <v>159</v>
      </c>
      <c r="B160" s="6" t="s">
        <v>64</v>
      </c>
      <c r="C160" s="19" t="s">
        <v>400</v>
      </c>
      <c r="D160" s="6" t="s">
        <v>824</v>
      </c>
      <c r="E160" s="33" t="n">
        <v>2011</v>
      </c>
      <c r="F160" s="19" t="s">
        <v>67</v>
      </c>
      <c r="G160" s="19" t="s">
        <v>68</v>
      </c>
      <c r="H160" s="6" t="s">
        <v>431</v>
      </c>
      <c r="I160" s="5" t="s">
        <v>763</v>
      </c>
      <c r="J160" s="5" t="s">
        <v>32</v>
      </c>
      <c r="K160" s="5" t="n">
        <v>2012</v>
      </c>
      <c r="L160" s="12" t="n">
        <v>36</v>
      </c>
      <c r="M160" s="6"/>
      <c r="N160" s="8"/>
    </row>
    <row r="161" s="34" customFormat="true" ht="22.5" hidden="false" customHeight="false" outlineLevel="0" collapsed="false">
      <c r="A161" s="5" t="n">
        <f aca="false">IF(B161&lt;&gt;"", COUNTA($B$2:B161), "")</f>
        <v>160</v>
      </c>
      <c r="B161" s="6" t="s">
        <v>64</v>
      </c>
      <c r="C161" s="19" t="s">
        <v>400</v>
      </c>
      <c r="D161" s="6" t="s">
        <v>825</v>
      </c>
      <c r="E161" s="33" t="n">
        <v>2011</v>
      </c>
      <c r="F161" s="19" t="s">
        <v>67</v>
      </c>
      <c r="G161" s="19" t="s">
        <v>68</v>
      </c>
      <c r="H161" s="6" t="s">
        <v>433</v>
      </c>
      <c r="I161" s="5" t="s">
        <v>763</v>
      </c>
      <c r="J161" s="5" t="s">
        <v>32</v>
      </c>
      <c r="K161" s="5" t="n">
        <v>2012</v>
      </c>
      <c r="L161" s="12" t="n">
        <v>36</v>
      </c>
      <c r="M161" s="6"/>
      <c r="N161" s="8"/>
    </row>
    <row r="162" customFormat="false" ht="33.75" hidden="false" customHeight="false" outlineLevel="0" collapsed="false">
      <c r="A162" s="5" t="n">
        <f aca="false">IF(B162&lt;&gt;"", COUNTA($B$2:B162), "")</f>
        <v>161</v>
      </c>
      <c r="B162" s="6" t="s">
        <v>64</v>
      </c>
      <c r="C162" s="19" t="s">
        <v>434</v>
      </c>
      <c r="D162" s="6" t="s">
        <v>826</v>
      </c>
      <c r="E162" s="35" t="s">
        <v>439</v>
      </c>
      <c r="F162" s="36" t="s">
        <v>436</v>
      </c>
      <c r="G162" s="19" t="s">
        <v>68</v>
      </c>
      <c r="H162" s="19" t="s">
        <v>437</v>
      </c>
      <c r="I162" s="5" t="s">
        <v>763</v>
      </c>
      <c r="J162" s="5" t="s">
        <v>32</v>
      </c>
      <c r="K162" s="5" t="n">
        <v>2012</v>
      </c>
      <c r="L162" s="12" t="n">
        <v>24</v>
      </c>
      <c r="M162" s="6"/>
      <c r="N162" s="8"/>
    </row>
    <row r="163" customFormat="false" ht="33.75" hidden="false" customHeight="false" outlineLevel="0" collapsed="false">
      <c r="A163" s="5" t="n">
        <f aca="false">IF(B163&lt;&gt;"", COUNTA($B$2:B163), "")</f>
        <v>162</v>
      </c>
      <c r="B163" s="6" t="s">
        <v>64</v>
      </c>
      <c r="C163" s="19" t="s">
        <v>434</v>
      </c>
      <c r="D163" s="6" t="s">
        <v>827</v>
      </c>
      <c r="E163" s="35" t="s">
        <v>439</v>
      </c>
      <c r="F163" s="36" t="s">
        <v>436</v>
      </c>
      <c r="G163" s="19" t="s">
        <v>68</v>
      </c>
      <c r="H163" s="19" t="s">
        <v>440</v>
      </c>
      <c r="I163" s="5" t="s">
        <v>763</v>
      </c>
      <c r="J163" s="5" t="s">
        <v>32</v>
      </c>
      <c r="K163" s="5" t="n">
        <v>2012</v>
      </c>
      <c r="L163" s="12" t="n">
        <v>24</v>
      </c>
      <c r="M163" s="6"/>
      <c r="N163" s="8"/>
    </row>
    <row r="164" customFormat="false" ht="22.5" hidden="false" customHeight="false" outlineLevel="0" collapsed="false">
      <c r="A164" s="5" t="n">
        <f aca="false">IF(B164&lt;&gt;"", COUNTA($B$2:B164), "")</f>
        <v>163</v>
      </c>
      <c r="B164" s="37" t="s">
        <v>64</v>
      </c>
      <c r="C164" s="19" t="s">
        <v>434</v>
      </c>
      <c r="D164" s="37" t="s">
        <v>828</v>
      </c>
      <c r="E164" s="35" t="s">
        <v>439</v>
      </c>
      <c r="F164" s="36" t="s">
        <v>829</v>
      </c>
      <c r="G164" s="36" t="s">
        <v>68</v>
      </c>
      <c r="H164" s="36" t="s">
        <v>442</v>
      </c>
      <c r="I164" s="5" t="s">
        <v>763</v>
      </c>
      <c r="J164" s="5" t="s">
        <v>32</v>
      </c>
      <c r="K164" s="5" t="n">
        <v>2012</v>
      </c>
      <c r="L164" s="12" t="n">
        <v>24</v>
      </c>
      <c r="M164" s="6"/>
      <c r="N164" s="8"/>
    </row>
    <row r="165" customFormat="false" ht="22.5" hidden="false" customHeight="false" outlineLevel="0" collapsed="false">
      <c r="A165" s="5" t="n">
        <f aca="false">IF(B165&lt;&gt;"", COUNTA($B$2:B165), "")</f>
        <v>164</v>
      </c>
      <c r="B165" s="6" t="s">
        <v>64</v>
      </c>
      <c r="C165" s="19" t="s">
        <v>434</v>
      </c>
      <c r="D165" s="6" t="s">
        <v>830</v>
      </c>
      <c r="E165" s="16" t="s">
        <v>439</v>
      </c>
      <c r="F165" s="36" t="s">
        <v>829</v>
      </c>
      <c r="G165" s="19" t="s">
        <v>68</v>
      </c>
      <c r="H165" s="19" t="s">
        <v>444</v>
      </c>
      <c r="I165" s="5" t="s">
        <v>763</v>
      </c>
      <c r="J165" s="5" t="s">
        <v>32</v>
      </c>
      <c r="K165" s="5" t="n">
        <v>2012</v>
      </c>
      <c r="L165" s="12" t="n">
        <v>24</v>
      </c>
      <c r="M165" s="6"/>
      <c r="N165" s="8"/>
    </row>
    <row r="166" customFormat="false" ht="15" hidden="false" customHeight="false" outlineLevel="0" collapsed="false">
      <c r="A166" s="5" t="n">
        <f aca="false">IF(B166&lt;&gt;"", COUNTA($B$2:B166), "")</f>
        <v>165</v>
      </c>
      <c r="B166" s="6" t="s">
        <v>64</v>
      </c>
      <c r="C166" s="19" t="s">
        <v>445</v>
      </c>
      <c r="D166" s="19" t="s">
        <v>831</v>
      </c>
      <c r="E166" s="17" t="n">
        <v>2011</v>
      </c>
      <c r="F166" s="19" t="s">
        <v>447</v>
      </c>
      <c r="G166" s="19" t="s">
        <v>68</v>
      </c>
      <c r="H166" s="6" t="s">
        <v>448</v>
      </c>
      <c r="I166" s="5" t="s">
        <v>763</v>
      </c>
      <c r="J166" s="5" t="s">
        <v>32</v>
      </c>
      <c r="K166" s="5" t="n">
        <v>2012</v>
      </c>
      <c r="L166" s="5" t="n">
        <v>24</v>
      </c>
      <c r="M166" s="6"/>
      <c r="N166" s="8"/>
    </row>
    <row r="167" customFormat="false" ht="22.5" hidden="false" customHeight="false" outlineLevel="0" collapsed="false">
      <c r="A167" s="5" t="n">
        <f aca="false">IF(B167&lt;&gt;"", COUNTA($B$2:B167), "")</f>
        <v>166</v>
      </c>
      <c r="B167" s="6" t="s">
        <v>64</v>
      </c>
      <c r="C167" s="19" t="s">
        <v>400</v>
      </c>
      <c r="D167" s="6" t="s">
        <v>832</v>
      </c>
      <c r="E167" s="17" t="n">
        <v>2011</v>
      </c>
      <c r="F167" s="19" t="s">
        <v>67</v>
      </c>
      <c r="G167" s="19" t="s">
        <v>68</v>
      </c>
      <c r="H167" s="19" t="s">
        <v>450</v>
      </c>
      <c r="I167" s="5" t="s">
        <v>763</v>
      </c>
      <c r="J167" s="5" t="s">
        <v>32</v>
      </c>
      <c r="K167" s="5" t="n">
        <v>2012</v>
      </c>
      <c r="L167" s="12" t="n">
        <v>36</v>
      </c>
      <c r="M167" s="6"/>
      <c r="N167" s="8"/>
    </row>
    <row r="168" customFormat="false" ht="22.5" hidden="false" customHeight="false" outlineLevel="0" collapsed="false">
      <c r="A168" s="5" t="n">
        <f aca="false">IF(B168&lt;&gt;"", COUNTA($B$2:B168), "")</f>
        <v>167</v>
      </c>
      <c r="B168" s="6" t="s">
        <v>64</v>
      </c>
      <c r="C168" s="19" t="s">
        <v>400</v>
      </c>
      <c r="D168" s="6" t="s">
        <v>833</v>
      </c>
      <c r="E168" s="17" t="n">
        <v>2011</v>
      </c>
      <c r="F168" s="19" t="s">
        <v>67</v>
      </c>
      <c r="G168" s="19" t="s">
        <v>68</v>
      </c>
      <c r="H168" s="19" t="s">
        <v>450</v>
      </c>
      <c r="I168" s="5" t="s">
        <v>763</v>
      </c>
      <c r="J168" s="5" t="s">
        <v>32</v>
      </c>
      <c r="K168" s="5" t="n">
        <v>2012</v>
      </c>
      <c r="L168" s="12" t="n">
        <v>36</v>
      </c>
      <c r="M168" s="6"/>
      <c r="N168" s="8"/>
    </row>
    <row r="169" customFormat="false" ht="22.5" hidden="false" customHeight="false" outlineLevel="0" collapsed="false">
      <c r="A169" s="5" t="n">
        <f aca="false">IF(B169&lt;&gt;"", COUNTA($B$2:B169), "")</f>
        <v>168</v>
      </c>
      <c r="B169" s="6" t="s">
        <v>64</v>
      </c>
      <c r="C169" s="19" t="s">
        <v>400</v>
      </c>
      <c r="D169" s="6" t="s">
        <v>834</v>
      </c>
      <c r="E169" s="17" t="n">
        <v>2011</v>
      </c>
      <c r="F169" s="19" t="s">
        <v>67</v>
      </c>
      <c r="G169" s="19" t="s">
        <v>68</v>
      </c>
      <c r="H169" s="19" t="s">
        <v>452</v>
      </c>
      <c r="I169" s="5" t="s">
        <v>763</v>
      </c>
      <c r="J169" s="5" t="s">
        <v>32</v>
      </c>
      <c r="K169" s="5" t="n">
        <v>2012</v>
      </c>
      <c r="L169" s="12" t="n">
        <v>36</v>
      </c>
      <c r="M169" s="6"/>
      <c r="N169" s="8"/>
    </row>
    <row r="170" customFormat="false" ht="22.5" hidden="false" customHeight="false" outlineLevel="0" collapsed="false">
      <c r="A170" s="5" t="n">
        <f aca="false">IF(B170&lt;&gt;"", COUNTA($B$2:B170), "")</f>
        <v>169</v>
      </c>
      <c r="B170" s="6" t="s">
        <v>64</v>
      </c>
      <c r="C170" s="19" t="s">
        <v>453</v>
      </c>
      <c r="D170" s="19" t="s">
        <v>835</v>
      </c>
      <c r="E170" s="17" t="n">
        <v>2011</v>
      </c>
      <c r="F170" s="19" t="s">
        <v>436</v>
      </c>
      <c r="G170" s="19" t="s">
        <v>68</v>
      </c>
      <c r="H170" s="19" t="s">
        <v>454</v>
      </c>
      <c r="I170" s="5" t="s">
        <v>763</v>
      </c>
      <c r="J170" s="5" t="s">
        <v>32</v>
      </c>
      <c r="K170" s="5" t="n">
        <v>2012</v>
      </c>
      <c r="L170" s="5" t="n">
        <v>24</v>
      </c>
      <c r="M170" s="6"/>
      <c r="N170" s="8"/>
    </row>
    <row r="171" customFormat="false" ht="15" hidden="false" customHeight="false" outlineLevel="0" collapsed="false">
      <c r="A171" s="5" t="n">
        <f aca="false">IF(B171&lt;&gt;"", COUNTA($B$2:B171), "")</f>
        <v>170</v>
      </c>
      <c r="B171" s="6" t="s">
        <v>64</v>
      </c>
      <c r="C171" s="19" t="s">
        <v>409</v>
      </c>
      <c r="D171" s="6" t="s">
        <v>836</v>
      </c>
      <c r="E171" s="17" t="n">
        <v>2011</v>
      </c>
      <c r="F171" s="19" t="s">
        <v>67</v>
      </c>
      <c r="G171" s="19" t="s">
        <v>68</v>
      </c>
      <c r="H171" s="19" t="s">
        <v>455</v>
      </c>
      <c r="I171" s="5" t="s">
        <v>763</v>
      </c>
      <c r="J171" s="5" t="s">
        <v>32</v>
      </c>
      <c r="K171" s="5" t="n">
        <v>2012</v>
      </c>
      <c r="L171" s="12" t="n">
        <v>36</v>
      </c>
      <c r="M171" s="6"/>
      <c r="N171" s="8"/>
    </row>
    <row r="172" customFormat="false" ht="22.5" hidden="false" customHeight="false" outlineLevel="0" collapsed="false">
      <c r="A172" s="5" t="n">
        <f aca="false">IF(B172&lt;&gt;"", COUNTA($B$2:B172), "")</f>
        <v>171</v>
      </c>
      <c r="B172" s="6" t="s">
        <v>64</v>
      </c>
      <c r="C172" s="19" t="s">
        <v>456</v>
      </c>
      <c r="D172" s="19" t="s">
        <v>837</v>
      </c>
      <c r="E172" s="17" t="n">
        <v>2011</v>
      </c>
      <c r="F172" s="19" t="s">
        <v>436</v>
      </c>
      <c r="G172" s="19" t="s">
        <v>68</v>
      </c>
      <c r="H172" s="19" t="s">
        <v>458</v>
      </c>
      <c r="I172" s="5" t="s">
        <v>763</v>
      </c>
      <c r="J172" s="5" t="s">
        <v>32</v>
      </c>
      <c r="K172" s="5" t="n">
        <v>2012</v>
      </c>
      <c r="L172" s="5" t="n">
        <v>24</v>
      </c>
      <c r="M172" s="6"/>
      <c r="N172" s="8"/>
    </row>
    <row r="173" customFormat="false" ht="22.5" hidden="false" customHeight="false" outlineLevel="0" collapsed="false">
      <c r="A173" s="5" t="n">
        <f aca="false">IF(B173&lt;&gt;"", COUNTA($B$2:B173), "")</f>
        <v>172</v>
      </c>
      <c r="B173" s="12" t="s">
        <v>387</v>
      </c>
      <c r="C173" s="8" t="s">
        <v>459</v>
      </c>
      <c r="D173" s="12" t="n">
        <v>112705</v>
      </c>
      <c r="E173" s="17" t="n">
        <v>2011</v>
      </c>
      <c r="F173" s="12" t="s">
        <v>460</v>
      </c>
      <c r="G173" s="12" t="n">
        <v>2.5</v>
      </c>
      <c r="H173" s="5" t="s">
        <v>461</v>
      </c>
      <c r="I173" s="5" t="s">
        <v>763</v>
      </c>
      <c r="J173" s="5" t="s">
        <v>32</v>
      </c>
      <c r="K173" s="5" t="n">
        <v>2012</v>
      </c>
      <c r="L173" s="5" t="n">
        <v>12</v>
      </c>
      <c r="M173" s="6"/>
      <c r="N173" s="8"/>
    </row>
    <row r="174" customFormat="false" ht="22.5" hidden="false" customHeight="false" outlineLevel="0" collapsed="false">
      <c r="A174" s="5" t="n">
        <f aca="false">IF(B174&lt;&gt;"", COUNTA($B$2:B174), "")</f>
        <v>173</v>
      </c>
      <c r="B174" s="12" t="s">
        <v>387</v>
      </c>
      <c r="C174" s="8" t="s">
        <v>459</v>
      </c>
      <c r="D174" s="12" t="n">
        <v>112684</v>
      </c>
      <c r="E174" s="17" t="n">
        <v>2011</v>
      </c>
      <c r="F174" s="12" t="s">
        <v>460</v>
      </c>
      <c r="G174" s="12" t="n">
        <v>2.5</v>
      </c>
      <c r="H174" s="5" t="s">
        <v>462</v>
      </c>
      <c r="I174" s="5" t="s">
        <v>763</v>
      </c>
      <c r="J174" s="5" t="s">
        <v>32</v>
      </c>
      <c r="K174" s="5" t="n">
        <v>2012</v>
      </c>
      <c r="L174" s="5" t="n">
        <v>12</v>
      </c>
      <c r="M174" s="6"/>
      <c r="N174" s="8"/>
    </row>
    <row r="175" customFormat="false" ht="22.5" hidden="false" customHeight="false" outlineLevel="0" collapsed="false">
      <c r="A175" s="5" t="n">
        <f aca="false">IF(B175&lt;&gt;"", COUNTA($B$2:B175), "")</f>
        <v>174</v>
      </c>
      <c r="B175" s="12" t="s">
        <v>387</v>
      </c>
      <c r="C175" s="8" t="s">
        <v>459</v>
      </c>
      <c r="D175" s="12" t="n">
        <v>112689</v>
      </c>
      <c r="E175" s="17" t="n">
        <v>2011</v>
      </c>
      <c r="F175" s="12" t="s">
        <v>460</v>
      </c>
      <c r="G175" s="12" t="n">
        <v>2.5</v>
      </c>
      <c r="H175" s="5" t="s">
        <v>463</v>
      </c>
      <c r="I175" s="5" t="s">
        <v>763</v>
      </c>
      <c r="J175" s="5" t="s">
        <v>32</v>
      </c>
      <c r="K175" s="5" t="n">
        <v>2012</v>
      </c>
      <c r="L175" s="5" t="n">
        <v>12</v>
      </c>
      <c r="M175" s="6"/>
      <c r="N175" s="8"/>
    </row>
    <row r="176" customFormat="false" ht="22.5" hidden="false" customHeight="false" outlineLevel="0" collapsed="false">
      <c r="A176" s="5" t="n">
        <f aca="false">IF(B176&lt;&gt;"", COUNTA($B$2:B176), "")</f>
        <v>175</v>
      </c>
      <c r="B176" s="12" t="s">
        <v>387</v>
      </c>
      <c r="C176" s="8" t="s">
        <v>459</v>
      </c>
      <c r="D176" s="12" t="n">
        <v>112696</v>
      </c>
      <c r="E176" s="17" t="n">
        <v>2011</v>
      </c>
      <c r="F176" s="12" t="s">
        <v>460</v>
      </c>
      <c r="G176" s="12" t="n">
        <v>2.5</v>
      </c>
      <c r="H176" s="5" t="s">
        <v>464</v>
      </c>
      <c r="I176" s="5" t="s">
        <v>763</v>
      </c>
      <c r="J176" s="5" t="s">
        <v>32</v>
      </c>
      <c r="K176" s="5" t="n">
        <v>2012</v>
      </c>
      <c r="L176" s="5" t="n">
        <v>12</v>
      </c>
      <c r="M176" s="6"/>
      <c r="N176" s="8"/>
    </row>
    <row r="177" customFormat="false" ht="22.5" hidden="false" customHeight="false" outlineLevel="0" collapsed="false">
      <c r="A177" s="5" t="n">
        <f aca="false">IF(B177&lt;&gt;"", COUNTA($B$2:B177), "")</f>
        <v>176</v>
      </c>
      <c r="B177" s="12" t="s">
        <v>387</v>
      </c>
      <c r="C177" s="8" t="s">
        <v>459</v>
      </c>
      <c r="D177" s="12" t="n">
        <v>112691</v>
      </c>
      <c r="E177" s="17" t="n">
        <v>2011</v>
      </c>
      <c r="F177" s="12" t="s">
        <v>460</v>
      </c>
      <c r="G177" s="12" t="n">
        <v>2.5</v>
      </c>
      <c r="H177" s="5" t="s">
        <v>465</v>
      </c>
      <c r="I177" s="5" t="s">
        <v>763</v>
      </c>
      <c r="J177" s="5" t="s">
        <v>32</v>
      </c>
      <c r="K177" s="5" t="n">
        <v>2012</v>
      </c>
      <c r="L177" s="5" t="n">
        <v>12</v>
      </c>
      <c r="M177" s="6"/>
      <c r="N177" s="8"/>
    </row>
    <row r="178" customFormat="false" ht="15" hidden="false" customHeight="false" outlineLevel="0" collapsed="false">
      <c r="A178" s="5" t="n">
        <f aca="false">IF(B178&lt;&gt;"", COUNTA($B$2:B178), "")</f>
        <v>177</v>
      </c>
      <c r="B178" s="12" t="s">
        <v>387</v>
      </c>
      <c r="C178" s="8" t="s">
        <v>466</v>
      </c>
      <c r="D178" s="12" t="n">
        <v>112863</v>
      </c>
      <c r="E178" s="17" t="n">
        <v>2011</v>
      </c>
      <c r="F178" s="12" t="s">
        <v>460</v>
      </c>
      <c r="G178" s="12" t="n">
        <v>2.5</v>
      </c>
      <c r="H178" s="5" t="s">
        <v>467</v>
      </c>
      <c r="I178" s="5" t="s">
        <v>763</v>
      </c>
      <c r="J178" s="5" t="s">
        <v>32</v>
      </c>
      <c r="K178" s="5" t="n">
        <v>2012</v>
      </c>
      <c r="L178" s="5" t="n">
        <v>12</v>
      </c>
      <c r="M178" s="6"/>
      <c r="N178" s="8"/>
    </row>
    <row r="179" customFormat="false" ht="22.5" hidden="false" customHeight="false" outlineLevel="0" collapsed="false">
      <c r="A179" s="5" t="n">
        <f aca="false">IF(B179&lt;&gt;"", COUNTA($B$2:B179), "")</f>
        <v>178</v>
      </c>
      <c r="B179" s="12" t="s">
        <v>387</v>
      </c>
      <c r="C179" s="8" t="s">
        <v>466</v>
      </c>
      <c r="D179" s="12" t="n">
        <v>113356</v>
      </c>
      <c r="E179" s="17" t="n">
        <v>2011</v>
      </c>
      <c r="F179" s="12" t="s">
        <v>460</v>
      </c>
      <c r="G179" s="12" t="n">
        <v>2.5</v>
      </c>
      <c r="H179" s="5" t="s">
        <v>468</v>
      </c>
      <c r="I179" s="5" t="s">
        <v>763</v>
      </c>
      <c r="J179" s="5" t="s">
        <v>32</v>
      </c>
      <c r="K179" s="5" t="n">
        <v>2012</v>
      </c>
      <c r="L179" s="5" t="n">
        <v>12</v>
      </c>
      <c r="M179" s="6"/>
      <c r="N179" s="8"/>
    </row>
    <row r="180" customFormat="false" ht="15" hidden="false" customHeight="false" outlineLevel="0" collapsed="false">
      <c r="A180" s="5" t="n">
        <f aca="false">IF(B180&lt;&gt;"", COUNTA($B$2:B180), "")</f>
        <v>179</v>
      </c>
      <c r="B180" s="7" t="s">
        <v>27</v>
      </c>
      <c r="C180" s="8" t="s">
        <v>28</v>
      </c>
      <c r="D180" s="8" t="n">
        <v>15408</v>
      </c>
      <c r="E180" s="8" t="n">
        <v>2010</v>
      </c>
      <c r="F180" s="8" t="s">
        <v>29</v>
      </c>
      <c r="G180" s="10" t="n">
        <v>1</v>
      </c>
      <c r="H180" s="5" t="s">
        <v>469</v>
      </c>
      <c r="I180" s="8" t="s">
        <v>763</v>
      </c>
      <c r="J180" s="5" t="s">
        <v>32</v>
      </c>
      <c r="K180" s="5" t="n">
        <v>2012</v>
      </c>
      <c r="L180" s="5" t="n">
        <v>12</v>
      </c>
      <c r="M180" s="6" t="s">
        <v>33</v>
      </c>
      <c r="N180" s="8" t="s">
        <v>1</v>
      </c>
    </row>
    <row r="181" customFormat="false" ht="15" hidden="false" customHeight="false" outlineLevel="0" collapsed="false">
      <c r="A181" s="5" t="n">
        <f aca="false">IF(B181&lt;&gt;"", COUNTA($B$2:B181), "")</f>
        <v>180</v>
      </c>
      <c r="B181" s="7" t="s">
        <v>27</v>
      </c>
      <c r="C181" s="8" t="s">
        <v>28</v>
      </c>
      <c r="D181" s="8" t="n">
        <v>15182</v>
      </c>
      <c r="E181" s="8" t="n">
        <v>2010</v>
      </c>
      <c r="F181" s="8" t="s">
        <v>593</v>
      </c>
      <c r="G181" s="8" t="n">
        <v>1.5</v>
      </c>
      <c r="H181" s="5" t="s">
        <v>470</v>
      </c>
      <c r="I181" s="8" t="s">
        <v>763</v>
      </c>
      <c r="J181" s="5" t="s">
        <v>32</v>
      </c>
      <c r="K181" s="5" t="n">
        <v>2012</v>
      </c>
      <c r="L181" s="5" t="n">
        <v>12</v>
      </c>
      <c r="M181" s="6" t="s">
        <v>33</v>
      </c>
      <c r="N181" s="8" t="s">
        <v>1</v>
      </c>
    </row>
    <row r="182" customFormat="false" ht="15" hidden="false" customHeight="false" outlineLevel="0" collapsed="false">
      <c r="A182" s="5" t="n">
        <f aca="false">IF(B182&lt;&gt;"", COUNTA($B$2:B182), "")</f>
        <v>181</v>
      </c>
      <c r="B182" s="7" t="s">
        <v>27</v>
      </c>
      <c r="C182" s="8" t="s">
        <v>28</v>
      </c>
      <c r="D182" s="8" t="n">
        <v>80515</v>
      </c>
      <c r="E182" s="8" t="n">
        <v>2010</v>
      </c>
      <c r="F182" s="12" t="s">
        <v>192</v>
      </c>
      <c r="G182" s="10" t="n">
        <v>1</v>
      </c>
      <c r="H182" s="12" t="s">
        <v>471</v>
      </c>
      <c r="I182" s="8" t="s">
        <v>763</v>
      </c>
      <c r="J182" s="5" t="s">
        <v>32</v>
      </c>
      <c r="K182" s="5" t="n">
        <v>2012</v>
      </c>
      <c r="L182" s="5" t="n">
        <v>12</v>
      </c>
      <c r="M182" s="6" t="s">
        <v>37</v>
      </c>
      <c r="N182" s="8" t="s">
        <v>38</v>
      </c>
      <c r="O182" s="14"/>
    </row>
    <row r="183" customFormat="false" ht="15" hidden="false" customHeight="false" outlineLevel="0" collapsed="false">
      <c r="A183" s="5" t="n">
        <f aca="false">IF(B183&lt;&gt;"", COUNTA($B$2:B183), "")</f>
        <v>182</v>
      </c>
      <c r="B183" s="7" t="s">
        <v>27</v>
      </c>
      <c r="C183" s="8" t="s">
        <v>28</v>
      </c>
      <c r="D183" s="8" t="n">
        <v>15321</v>
      </c>
      <c r="E183" s="8" t="n">
        <v>2010</v>
      </c>
      <c r="F183" s="8" t="s">
        <v>593</v>
      </c>
      <c r="G183" s="10" t="n">
        <v>1.5</v>
      </c>
      <c r="H183" s="12" t="s">
        <v>472</v>
      </c>
      <c r="I183" s="8" t="s">
        <v>763</v>
      </c>
      <c r="J183" s="5" t="s">
        <v>32</v>
      </c>
      <c r="K183" s="5" t="n">
        <v>2012</v>
      </c>
      <c r="L183" s="5" t="n">
        <v>12</v>
      </c>
      <c r="M183" s="6" t="s">
        <v>37</v>
      </c>
      <c r="N183" s="8" t="s">
        <v>38</v>
      </c>
      <c r="O183" s="14"/>
    </row>
    <row r="184" customFormat="false" ht="15" hidden="false" customHeight="false" outlineLevel="0" collapsed="false">
      <c r="A184" s="5" t="n">
        <f aca="false">IF(B184&lt;&gt;"", COUNTA($B$2:B184), "")</f>
        <v>183</v>
      </c>
      <c r="B184" s="7" t="s">
        <v>27</v>
      </c>
      <c r="C184" s="8" t="s">
        <v>28</v>
      </c>
      <c r="D184" s="8" t="n">
        <v>15280</v>
      </c>
      <c r="E184" s="8" t="n">
        <v>2010</v>
      </c>
      <c r="F184" s="8" t="s">
        <v>119</v>
      </c>
      <c r="G184" s="8" t="n">
        <v>1.5</v>
      </c>
      <c r="H184" s="5" t="s">
        <v>474</v>
      </c>
      <c r="I184" s="8" t="s">
        <v>763</v>
      </c>
      <c r="J184" s="5" t="s">
        <v>32</v>
      </c>
      <c r="K184" s="5" t="n">
        <v>2012</v>
      </c>
      <c r="L184" s="5" t="n">
        <v>12</v>
      </c>
      <c r="M184" s="6" t="s">
        <v>33</v>
      </c>
      <c r="N184" s="8" t="s">
        <v>1</v>
      </c>
    </row>
    <row r="185" customFormat="false" ht="15" hidden="false" customHeight="false" outlineLevel="0" collapsed="false">
      <c r="A185" s="5" t="n">
        <f aca="false">IF(B185&lt;&gt;"", COUNTA($B$2:B185), "")</f>
        <v>184</v>
      </c>
      <c r="B185" s="7" t="s">
        <v>27</v>
      </c>
      <c r="C185" s="8" t="s">
        <v>28</v>
      </c>
      <c r="D185" s="15" t="s">
        <v>838</v>
      </c>
      <c r="E185" s="8" t="n">
        <v>2010</v>
      </c>
      <c r="F185" s="8" t="s">
        <v>178</v>
      </c>
      <c r="G185" s="8" t="n">
        <v>1.5</v>
      </c>
      <c r="H185" s="5" t="s">
        <v>476</v>
      </c>
      <c r="I185" s="8" t="s">
        <v>763</v>
      </c>
      <c r="J185" s="5" t="s">
        <v>32</v>
      </c>
      <c r="K185" s="5" t="n">
        <v>2012</v>
      </c>
      <c r="L185" s="5" t="n">
        <v>12</v>
      </c>
      <c r="M185" s="6" t="s">
        <v>33</v>
      </c>
      <c r="N185" s="8" t="s">
        <v>1</v>
      </c>
    </row>
    <row r="186" customFormat="false" ht="15" hidden="false" customHeight="false" outlineLevel="0" collapsed="false">
      <c r="A186" s="5" t="n">
        <f aca="false">IF(B186&lt;&gt;"", COUNTA($B$2:B186), "")</f>
        <v>185</v>
      </c>
      <c r="B186" s="7" t="s">
        <v>27</v>
      </c>
      <c r="C186" s="8" t="s">
        <v>28</v>
      </c>
      <c r="D186" s="8" t="n">
        <v>15241</v>
      </c>
      <c r="E186" s="8" t="n">
        <v>2010</v>
      </c>
      <c r="F186" s="8" t="s">
        <v>839</v>
      </c>
      <c r="G186" s="8" t="n">
        <v>1.5</v>
      </c>
      <c r="H186" s="5" t="s">
        <v>478</v>
      </c>
      <c r="I186" s="8" t="s">
        <v>763</v>
      </c>
      <c r="J186" s="5" t="s">
        <v>32</v>
      </c>
      <c r="K186" s="5" t="n">
        <v>2012</v>
      </c>
      <c r="L186" s="5" t="n">
        <v>12</v>
      </c>
      <c r="M186" s="6" t="s">
        <v>33</v>
      </c>
      <c r="N186" s="8" t="s">
        <v>1</v>
      </c>
    </row>
    <row r="187" customFormat="false" ht="22.5" hidden="false" customHeight="false" outlineLevel="0" collapsed="false">
      <c r="A187" s="5" t="n">
        <f aca="false">IF(B187&lt;&gt;"", COUNTA($B$2:B187), "")</f>
        <v>186</v>
      </c>
      <c r="B187" s="7" t="s">
        <v>27</v>
      </c>
      <c r="C187" s="8" t="s">
        <v>28</v>
      </c>
      <c r="D187" s="15" t="s">
        <v>840</v>
      </c>
      <c r="E187" s="8" t="n">
        <v>2010</v>
      </c>
      <c r="F187" s="8" t="s">
        <v>122</v>
      </c>
      <c r="G187" s="8" t="n">
        <v>1.5</v>
      </c>
      <c r="H187" s="5" t="s">
        <v>480</v>
      </c>
      <c r="I187" s="8" t="s">
        <v>763</v>
      </c>
      <c r="J187" s="5" t="s">
        <v>32</v>
      </c>
      <c r="K187" s="5" t="n">
        <v>2012</v>
      </c>
      <c r="L187" s="5" t="n">
        <v>12</v>
      </c>
      <c r="M187" s="6" t="s">
        <v>33</v>
      </c>
      <c r="N187" s="8" t="s">
        <v>1</v>
      </c>
    </row>
    <row r="188" customFormat="false" ht="22.5" hidden="false" customHeight="false" outlineLevel="0" collapsed="false">
      <c r="A188" s="5" t="n">
        <f aca="false">IF(B188&lt;&gt;"", COUNTA($B$2:B188), "")</f>
        <v>187</v>
      </c>
      <c r="B188" s="7" t="s">
        <v>27</v>
      </c>
      <c r="C188" s="8" t="s">
        <v>28</v>
      </c>
      <c r="D188" s="8" t="n">
        <v>15290</v>
      </c>
      <c r="E188" s="8" t="n">
        <v>2010</v>
      </c>
      <c r="F188" s="8" t="s">
        <v>122</v>
      </c>
      <c r="G188" s="8" t="n">
        <v>1.5</v>
      </c>
      <c r="H188" s="5" t="s">
        <v>482</v>
      </c>
      <c r="I188" s="8" t="s">
        <v>763</v>
      </c>
      <c r="J188" s="5" t="s">
        <v>32</v>
      </c>
      <c r="K188" s="5" t="n">
        <v>2012</v>
      </c>
      <c r="L188" s="5" t="n">
        <v>12</v>
      </c>
      <c r="M188" s="6" t="s">
        <v>33</v>
      </c>
      <c r="N188" s="8" t="s">
        <v>1</v>
      </c>
    </row>
    <row r="189" customFormat="false" ht="15" hidden="false" customHeight="false" outlineLevel="0" collapsed="false">
      <c r="A189" s="5" t="n">
        <f aca="false">IF(B189&lt;&gt;"", COUNTA($B$2:B189), "")</f>
        <v>188</v>
      </c>
      <c r="B189" s="7" t="s">
        <v>27</v>
      </c>
      <c r="C189" s="8" t="s">
        <v>28</v>
      </c>
      <c r="D189" s="8" t="n">
        <v>15307</v>
      </c>
      <c r="E189" s="8" t="n">
        <v>2010</v>
      </c>
      <c r="F189" s="8" t="s">
        <v>122</v>
      </c>
      <c r="G189" s="8" t="n">
        <v>1.5</v>
      </c>
      <c r="H189" s="5" t="s">
        <v>484</v>
      </c>
      <c r="I189" s="8" t="s">
        <v>763</v>
      </c>
      <c r="J189" s="5" t="s">
        <v>32</v>
      </c>
      <c r="K189" s="5" t="n">
        <v>2012</v>
      </c>
      <c r="L189" s="5" t="n">
        <v>12</v>
      </c>
      <c r="M189" s="6" t="s">
        <v>33</v>
      </c>
      <c r="N189" s="8" t="s">
        <v>1</v>
      </c>
    </row>
    <row r="190" customFormat="false" ht="22.5" hidden="false" customHeight="false" outlineLevel="0" collapsed="false">
      <c r="A190" s="5" t="n">
        <f aca="false">IF(B190&lt;&gt;"", COUNTA($B$2:B190), "")</f>
        <v>189</v>
      </c>
      <c r="B190" s="7" t="s">
        <v>27</v>
      </c>
      <c r="C190" s="8" t="s">
        <v>28</v>
      </c>
      <c r="D190" s="8" t="n">
        <v>15304</v>
      </c>
      <c r="E190" s="8" t="n">
        <v>2010</v>
      </c>
      <c r="F190" s="8" t="s">
        <v>122</v>
      </c>
      <c r="G190" s="8" t="n">
        <v>1.5</v>
      </c>
      <c r="H190" s="5" t="s">
        <v>486</v>
      </c>
      <c r="I190" s="8" t="s">
        <v>763</v>
      </c>
      <c r="J190" s="5" t="s">
        <v>32</v>
      </c>
      <c r="K190" s="5" t="n">
        <v>2012</v>
      </c>
      <c r="L190" s="5" t="n">
        <v>12</v>
      </c>
      <c r="M190" s="6" t="s">
        <v>33</v>
      </c>
      <c r="N190" s="8" t="s">
        <v>1</v>
      </c>
    </row>
    <row r="191" customFormat="false" ht="22.5" hidden="false" customHeight="false" outlineLevel="0" collapsed="false">
      <c r="A191" s="5" t="n">
        <f aca="false">IF(B191&lt;&gt;"", COUNTA($B$2:B191), "")</f>
        <v>190</v>
      </c>
      <c r="B191" s="7" t="s">
        <v>27</v>
      </c>
      <c r="C191" s="8" t="s">
        <v>28</v>
      </c>
      <c r="D191" s="8" t="n">
        <v>15555</v>
      </c>
      <c r="E191" s="8" t="n">
        <v>2010</v>
      </c>
      <c r="F191" s="8" t="s">
        <v>119</v>
      </c>
      <c r="G191" s="8" t="n">
        <v>1.5</v>
      </c>
      <c r="H191" s="5" t="s">
        <v>488</v>
      </c>
      <c r="I191" s="8" t="s">
        <v>763</v>
      </c>
      <c r="J191" s="5" t="s">
        <v>32</v>
      </c>
      <c r="K191" s="5" t="n">
        <v>2012</v>
      </c>
      <c r="L191" s="5" t="n">
        <v>12</v>
      </c>
      <c r="M191" s="6" t="s">
        <v>33</v>
      </c>
      <c r="N191" s="8" t="s">
        <v>1</v>
      </c>
    </row>
    <row r="192" customFormat="false" ht="22.5" hidden="false" customHeight="false" outlineLevel="0" collapsed="false">
      <c r="A192" s="5" t="n">
        <f aca="false">IF(B192&lt;&gt;"", COUNTA($B$2:B192), "")</f>
        <v>191</v>
      </c>
      <c r="B192" s="7" t="s">
        <v>27</v>
      </c>
      <c r="C192" s="8" t="s">
        <v>489</v>
      </c>
      <c r="D192" s="15" t="s">
        <v>841</v>
      </c>
      <c r="E192" s="8" t="n">
        <v>2010</v>
      </c>
      <c r="F192" s="15" t="s">
        <v>491</v>
      </c>
      <c r="G192" s="8" t="n">
        <v>1.5</v>
      </c>
      <c r="H192" s="5" t="s">
        <v>492</v>
      </c>
      <c r="I192" s="8" t="s">
        <v>763</v>
      </c>
      <c r="J192" s="5" t="s">
        <v>32</v>
      </c>
      <c r="K192" s="5" t="n">
        <v>2012</v>
      </c>
      <c r="L192" s="5" t="n">
        <v>12</v>
      </c>
      <c r="M192" s="6" t="s">
        <v>33</v>
      </c>
      <c r="N192" s="8" t="s">
        <v>1</v>
      </c>
    </row>
    <row r="193" customFormat="false" ht="15" hidden="false" customHeight="false" outlineLevel="0" collapsed="false">
      <c r="A193" s="5" t="n">
        <f aca="false">IF(B193&lt;&gt;"", COUNTA($B$2:B193), "")</f>
        <v>192</v>
      </c>
      <c r="B193" s="7" t="s">
        <v>27</v>
      </c>
      <c r="C193" s="8" t="s">
        <v>28</v>
      </c>
      <c r="D193" s="8" t="n">
        <v>15143</v>
      </c>
      <c r="E193" s="8" t="n">
        <v>2010</v>
      </c>
      <c r="F193" s="8" t="s">
        <v>178</v>
      </c>
      <c r="G193" s="8" t="n">
        <v>1.5</v>
      </c>
      <c r="H193" s="5" t="s">
        <v>494</v>
      </c>
      <c r="I193" s="8" t="s">
        <v>763</v>
      </c>
      <c r="J193" s="5" t="s">
        <v>32</v>
      </c>
      <c r="K193" s="5" t="n">
        <v>2012</v>
      </c>
      <c r="L193" s="5" t="n">
        <v>12</v>
      </c>
      <c r="M193" s="6" t="s">
        <v>33</v>
      </c>
      <c r="N193" s="8" t="s">
        <v>1</v>
      </c>
    </row>
    <row r="194" customFormat="false" ht="15" hidden="false" customHeight="false" outlineLevel="0" collapsed="false">
      <c r="A194" s="5" t="n">
        <f aca="false">IF(B194&lt;&gt;"", COUNTA($B$2:B194), "")</f>
        <v>193</v>
      </c>
      <c r="B194" s="7" t="s">
        <v>27</v>
      </c>
      <c r="C194" s="8" t="s">
        <v>28</v>
      </c>
      <c r="D194" s="8" t="n">
        <v>7092</v>
      </c>
      <c r="E194" s="8" t="n">
        <v>2010</v>
      </c>
      <c r="F194" s="12" t="s">
        <v>496</v>
      </c>
      <c r="G194" s="8" t="n">
        <v>1.5</v>
      </c>
      <c r="H194" s="5" t="s">
        <v>497</v>
      </c>
      <c r="I194" s="8" t="s">
        <v>763</v>
      </c>
      <c r="J194" s="5" t="s">
        <v>32</v>
      </c>
      <c r="K194" s="5" t="n">
        <v>2012</v>
      </c>
      <c r="L194" s="5" t="n">
        <v>12</v>
      </c>
      <c r="M194" s="6" t="s">
        <v>33</v>
      </c>
      <c r="N194" s="8" t="s">
        <v>1</v>
      </c>
    </row>
    <row r="195" customFormat="false" ht="22.5" hidden="false" customHeight="false" outlineLevel="0" collapsed="false">
      <c r="A195" s="5" t="n">
        <f aca="false">IF(B195&lt;&gt;"", COUNTA($B$2:B195), "")</f>
        <v>194</v>
      </c>
      <c r="B195" s="7" t="s">
        <v>27</v>
      </c>
      <c r="C195" s="8" t="s">
        <v>489</v>
      </c>
      <c r="D195" s="8" t="n">
        <v>15441</v>
      </c>
      <c r="E195" s="8" t="n">
        <v>2010</v>
      </c>
      <c r="F195" s="15" t="s">
        <v>491</v>
      </c>
      <c r="G195" s="8" t="n">
        <v>1.5</v>
      </c>
      <c r="H195" s="5" t="s">
        <v>499</v>
      </c>
      <c r="I195" s="8" t="s">
        <v>763</v>
      </c>
      <c r="J195" s="5" t="s">
        <v>32</v>
      </c>
      <c r="K195" s="5" t="n">
        <v>2012</v>
      </c>
      <c r="L195" s="5" t="n">
        <v>12</v>
      </c>
      <c r="M195" s="6" t="s">
        <v>33</v>
      </c>
      <c r="N195" s="8" t="s">
        <v>1</v>
      </c>
    </row>
    <row r="196" customFormat="false" ht="15" hidden="false" customHeight="false" outlineLevel="0" collapsed="false">
      <c r="A196" s="5" t="n">
        <f aca="false">IF(B196&lt;&gt;"", COUNTA($B$2:B196), "")</f>
        <v>195</v>
      </c>
      <c r="B196" s="7" t="s">
        <v>27</v>
      </c>
      <c r="C196" s="8" t="s">
        <v>500</v>
      </c>
      <c r="D196" s="8" t="n">
        <v>211222551</v>
      </c>
      <c r="E196" s="8"/>
      <c r="F196" s="5" t="s">
        <v>501</v>
      </c>
      <c r="G196" s="5" t="n">
        <v>1.5</v>
      </c>
      <c r="H196" s="5" t="s">
        <v>502</v>
      </c>
      <c r="I196" s="8" t="s">
        <v>763</v>
      </c>
      <c r="J196" s="5" t="s">
        <v>32</v>
      </c>
      <c r="K196" s="5" t="n">
        <v>2012</v>
      </c>
      <c r="L196" s="5" t="n">
        <v>12</v>
      </c>
      <c r="M196" s="6" t="s">
        <v>37</v>
      </c>
      <c r="N196" s="8" t="s">
        <v>38</v>
      </c>
      <c r="O196" s="14"/>
    </row>
    <row r="197" customFormat="false" ht="22.5" hidden="false" customHeight="false" outlineLevel="0" collapsed="false">
      <c r="A197" s="5" t="n">
        <f aca="false">IF(B197&lt;&gt;"", COUNTA($B$2:B197), "")</f>
        <v>196</v>
      </c>
      <c r="B197" s="5" t="s">
        <v>503</v>
      </c>
      <c r="C197" s="8" t="s">
        <v>504</v>
      </c>
      <c r="D197" s="8" t="n">
        <v>111502126</v>
      </c>
      <c r="E197" s="8" t="n">
        <v>2010</v>
      </c>
      <c r="F197" s="5" t="s">
        <v>505</v>
      </c>
      <c r="G197" s="8" t="n">
        <v>1</v>
      </c>
      <c r="H197" s="5" t="s">
        <v>506</v>
      </c>
      <c r="I197" s="8" t="s">
        <v>763</v>
      </c>
      <c r="J197" s="5" t="s">
        <v>32</v>
      </c>
      <c r="K197" s="5" t="n">
        <v>2012</v>
      </c>
      <c r="L197" s="5" t="n">
        <v>24</v>
      </c>
      <c r="M197" s="6" t="s">
        <v>507</v>
      </c>
      <c r="N197" s="8" t="s">
        <v>1</v>
      </c>
    </row>
    <row r="198" customFormat="false" ht="22.5" hidden="false" customHeight="false" outlineLevel="0" collapsed="false">
      <c r="A198" s="5" t="n">
        <f aca="false">IF(B198&lt;&gt;"", COUNTA($B$2:B198), "")</f>
        <v>197</v>
      </c>
      <c r="B198" s="5" t="s">
        <v>503</v>
      </c>
      <c r="C198" s="8" t="s">
        <v>504</v>
      </c>
      <c r="D198" s="8" t="n">
        <v>111502123</v>
      </c>
      <c r="E198" s="8" t="n">
        <v>2010</v>
      </c>
      <c r="F198" s="5" t="s">
        <v>508</v>
      </c>
      <c r="G198" s="8" t="n">
        <v>1</v>
      </c>
      <c r="H198" s="5" t="s">
        <v>509</v>
      </c>
      <c r="I198" s="8" t="s">
        <v>763</v>
      </c>
      <c r="J198" s="5" t="s">
        <v>32</v>
      </c>
      <c r="K198" s="5" t="n">
        <v>2012</v>
      </c>
      <c r="L198" s="5" t="n">
        <v>24</v>
      </c>
      <c r="M198" s="6" t="s">
        <v>507</v>
      </c>
      <c r="N198" s="8" t="s">
        <v>1</v>
      </c>
    </row>
    <row r="199" customFormat="false" ht="15" hidden="false" customHeight="false" outlineLevel="0" collapsed="false">
      <c r="A199" s="5" t="n">
        <f aca="false">IF(B199&lt;&gt;"", COUNTA($B$2:B199), "")</f>
        <v>198</v>
      </c>
      <c r="B199" s="6" t="s">
        <v>64</v>
      </c>
      <c r="C199" s="19" t="s">
        <v>400</v>
      </c>
      <c r="D199" s="6" t="s">
        <v>842</v>
      </c>
      <c r="E199" s="17" t="n">
        <v>2011</v>
      </c>
      <c r="F199" s="19" t="s">
        <v>67</v>
      </c>
      <c r="G199" s="19" t="s">
        <v>68</v>
      </c>
      <c r="H199" s="6" t="s">
        <v>511</v>
      </c>
      <c r="I199" s="5" t="s">
        <v>763</v>
      </c>
      <c r="J199" s="5" t="s">
        <v>32</v>
      </c>
      <c r="K199" s="5" t="n">
        <v>2012</v>
      </c>
      <c r="L199" s="12" t="n">
        <v>36</v>
      </c>
      <c r="M199" s="6"/>
      <c r="N199" s="8"/>
    </row>
    <row r="200" customFormat="false" ht="15" hidden="false" customHeight="false" outlineLevel="0" collapsed="false">
      <c r="A200" s="5" t="n">
        <f aca="false">IF(B200&lt;&gt;"", COUNTA($B$2:B200), "")</f>
        <v>199</v>
      </c>
      <c r="B200" s="7" t="s">
        <v>93</v>
      </c>
      <c r="C200" s="8" t="s">
        <v>94</v>
      </c>
      <c r="D200" s="8" t="n">
        <v>1105090</v>
      </c>
      <c r="E200" s="17" t="n">
        <v>2011</v>
      </c>
      <c r="F200" s="20"/>
      <c r="G200" s="20"/>
      <c r="H200" s="5" t="s">
        <v>512</v>
      </c>
      <c r="I200" s="5" t="s">
        <v>763</v>
      </c>
      <c r="J200" s="5" t="s">
        <v>32</v>
      </c>
      <c r="K200" s="5" t="n">
        <v>2012</v>
      </c>
      <c r="L200" s="12"/>
      <c r="M200" s="6"/>
      <c r="N200" s="8"/>
    </row>
    <row r="201" customFormat="false" ht="15" hidden="false" customHeight="false" outlineLevel="0" collapsed="false">
      <c r="A201" s="5" t="n">
        <f aca="false">IF(B201&lt;&gt;"", COUNTA($B$2:B201), "")</f>
        <v>200</v>
      </c>
      <c r="B201" s="7" t="s">
        <v>93</v>
      </c>
      <c r="C201" s="8" t="s">
        <v>94</v>
      </c>
      <c r="D201" s="8" t="n">
        <v>1105092</v>
      </c>
      <c r="E201" s="17" t="n">
        <v>2011</v>
      </c>
      <c r="F201" s="20"/>
      <c r="G201" s="20"/>
      <c r="H201" s="5" t="s">
        <v>513</v>
      </c>
      <c r="I201" s="5" t="s">
        <v>763</v>
      </c>
      <c r="J201" s="5" t="s">
        <v>32</v>
      </c>
      <c r="K201" s="5" t="n">
        <v>2012</v>
      </c>
      <c r="L201" s="12"/>
      <c r="M201" s="6"/>
      <c r="N201" s="20"/>
    </row>
    <row r="202" customFormat="false" ht="15" hidden="false" customHeight="false" outlineLevel="0" collapsed="false">
      <c r="A202" s="5" t="n">
        <f aca="false">IF(B202&lt;&gt;"", COUNTA($B$2:B202), "")</f>
        <v>201</v>
      </c>
      <c r="B202" s="7" t="s">
        <v>93</v>
      </c>
      <c r="C202" s="8" t="s">
        <v>94</v>
      </c>
      <c r="D202" s="8" t="n">
        <v>1105085</v>
      </c>
      <c r="E202" s="17" t="n">
        <v>2011</v>
      </c>
      <c r="F202" s="20"/>
      <c r="G202" s="20"/>
      <c r="H202" s="5" t="s">
        <v>514</v>
      </c>
      <c r="I202" s="5" t="s">
        <v>763</v>
      </c>
      <c r="J202" s="5" t="s">
        <v>32</v>
      </c>
      <c r="K202" s="5" t="n">
        <v>2012</v>
      </c>
      <c r="L202" s="12"/>
      <c r="M202" s="6"/>
      <c r="N202" s="20"/>
    </row>
    <row r="203" customFormat="false" ht="15" hidden="false" customHeight="false" outlineLevel="0" collapsed="false">
      <c r="A203" s="5" t="n">
        <f aca="false">IF(B203&lt;&gt;"", COUNTA($B$2:B203), "")</f>
        <v>202</v>
      </c>
      <c r="B203" s="7" t="s">
        <v>93</v>
      </c>
      <c r="C203" s="8" t="s">
        <v>94</v>
      </c>
      <c r="D203" s="8" t="n">
        <v>1201049</v>
      </c>
      <c r="E203" s="17" t="n">
        <v>2011</v>
      </c>
      <c r="F203" s="20"/>
      <c r="G203" s="20"/>
      <c r="H203" s="5" t="s">
        <v>515</v>
      </c>
      <c r="I203" s="5" t="s">
        <v>763</v>
      </c>
      <c r="J203" s="5" t="s">
        <v>32</v>
      </c>
      <c r="K203" s="5" t="n">
        <v>2012</v>
      </c>
      <c r="L203" s="12"/>
      <c r="M203" s="6"/>
      <c r="N203" s="20"/>
    </row>
    <row r="204" customFormat="false" ht="22.5" hidden="false" customHeight="false" outlineLevel="0" collapsed="false">
      <c r="A204" s="5" t="n">
        <f aca="false">IF(B204&lt;&gt;"", COUNTA($B$2:B204), "")</f>
        <v>203</v>
      </c>
      <c r="B204" s="7" t="s">
        <v>125</v>
      </c>
      <c r="C204" s="8" t="s">
        <v>516</v>
      </c>
      <c r="D204" s="8" t="n">
        <v>1059</v>
      </c>
      <c r="E204" s="17" t="n">
        <v>2011</v>
      </c>
      <c r="F204" s="19" t="s">
        <v>67</v>
      </c>
      <c r="G204" s="20"/>
      <c r="H204" s="5" t="s">
        <v>517</v>
      </c>
      <c r="I204" s="5" t="s">
        <v>763</v>
      </c>
      <c r="J204" s="5" t="s">
        <v>32</v>
      </c>
      <c r="K204" s="5" t="n">
        <v>2012</v>
      </c>
      <c r="L204" s="20"/>
      <c r="M204" s="20"/>
      <c r="N204" s="20"/>
    </row>
    <row r="205" customFormat="false" ht="22.5" hidden="false" customHeight="false" outlineLevel="0" collapsed="false">
      <c r="A205" s="5" t="n">
        <f aca="false">IF(B205&lt;&gt;"", COUNTA($B$2:B205), "")</f>
        <v>204</v>
      </c>
      <c r="B205" s="7" t="s">
        <v>125</v>
      </c>
      <c r="C205" s="8" t="s">
        <v>516</v>
      </c>
      <c r="D205" s="8" t="n">
        <v>1042</v>
      </c>
      <c r="E205" s="17" t="n">
        <v>2011</v>
      </c>
      <c r="F205" s="19" t="s">
        <v>67</v>
      </c>
      <c r="G205" s="20"/>
      <c r="H205" s="5" t="s">
        <v>518</v>
      </c>
      <c r="I205" s="5" t="s">
        <v>763</v>
      </c>
      <c r="J205" s="5" t="s">
        <v>32</v>
      </c>
      <c r="K205" s="5" t="n">
        <v>2012</v>
      </c>
      <c r="L205" s="20"/>
      <c r="M205" s="20"/>
      <c r="N205" s="20"/>
    </row>
    <row r="206" customFormat="false" ht="22.5" hidden="false" customHeight="false" outlineLevel="0" collapsed="false">
      <c r="A206" s="5" t="n">
        <f aca="false">IF(B206&lt;&gt;"", COUNTA($B$2:B206), "")</f>
        <v>205</v>
      </c>
      <c r="B206" s="7" t="s">
        <v>125</v>
      </c>
      <c r="C206" s="8" t="s">
        <v>516</v>
      </c>
      <c r="D206" s="8" t="n">
        <v>1052</v>
      </c>
      <c r="E206" s="17" t="n">
        <v>2011</v>
      </c>
      <c r="F206" s="19" t="s">
        <v>67</v>
      </c>
      <c r="G206" s="20"/>
      <c r="H206" s="5" t="s">
        <v>519</v>
      </c>
      <c r="I206" s="5" t="s">
        <v>763</v>
      </c>
      <c r="J206" s="5" t="s">
        <v>32</v>
      </c>
      <c r="K206" s="5" t="n">
        <v>2012</v>
      </c>
      <c r="L206" s="20"/>
      <c r="M206" s="20"/>
      <c r="N206" s="20"/>
    </row>
    <row r="207" customFormat="false" ht="22.5" hidden="false" customHeight="false" outlineLevel="0" collapsed="false">
      <c r="A207" s="5" t="n">
        <f aca="false">IF(B207&lt;&gt;"", COUNTA($B$2:B207), "")</f>
        <v>206</v>
      </c>
      <c r="B207" s="7" t="s">
        <v>125</v>
      </c>
      <c r="C207" s="8" t="s">
        <v>516</v>
      </c>
      <c r="D207" s="8" t="n">
        <v>1027</v>
      </c>
      <c r="E207" s="17" t="n">
        <v>2011</v>
      </c>
      <c r="F207" s="19" t="s">
        <v>67</v>
      </c>
      <c r="G207" s="20"/>
      <c r="H207" s="5" t="s">
        <v>520</v>
      </c>
      <c r="I207" s="5" t="s">
        <v>763</v>
      </c>
      <c r="J207" s="5" t="s">
        <v>32</v>
      </c>
      <c r="K207" s="5" t="n">
        <v>2012</v>
      </c>
      <c r="L207" s="20"/>
      <c r="M207" s="20"/>
      <c r="N207" s="20"/>
    </row>
    <row r="208" customFormat="false" ht="15" hidden="false" customHeight="false" outlineLevel="0" collapsed="false">
      <c r="A208" s="5" t="n">
        <f aca="false">IF(B208&lt;&gt;"", COUNTA($B$2:B208), "")</f>
        <v>207</v>
      </c>
      <c r="B208" s="7" t="s">
        <v>98</v>
      </c>
      <c r="C208" s="8" t="s">
        <v>99</v>
      </c>
      <c r="D208" s="15" t="s">
        <v>843</v>
      </c>
      <c r="E208" s="17" t="n">
        <v>2011</v>
      </c>
      <c r="F208" s="20"/>
      <c r="G208" s="20"/>
      <c r="H208" s="8" t="s">
        <v>522</v>
      </c>
      <c r="I208" s="5" t="s">
        <v>763</v>
      </c>
      <c r="J208" s="5" t="s">
        <v>32</v>
      </c>
      <c r="K208" s="5" t="n">
        <v>2012</v>
      </c>
      <c r="L208" s="20"/>
      <c r="M208" s="20"/>
      <c r="N208" s="20"/>
    </row>
    <row r="209" customFormat="false" ht="15" hidden="false" customHeight="false" outlineLevel="0" collapsed="false">
      <c r="A209" s="5" t="n">
        <f aca="false">IF(B209&lt;&gt;"", COUNTA($B$2:B209), "")</f>
        <v>208</v>
      </c>
      <c r="B209" s="7" t="s">
        <v>98</v>
      </c>
      <c r="C209" s="8" t="s">
        <v>99</v>
      </c>
      <c r="D209" s="15" t="s">
        <v>844</v>
      </c>
      <c r="E209" s="17" t="n">
        <v>2011</v>
      </c>
      <c r="F209" s="20"/>
      <c r="G209" s="20"/>
      <c r="H209" s="8" t="s">
        <v>524</v>
      </c>
      <c r="I209" s="5" t="s">
        <v>763</v>
      </c>
      <c r="J209" s="5" t="s">
        <v>32</v>
      </c>
      <c r="K209" s="5" t="n">
        <v>2012</v>
      </c>
      <c r="L209" s="20"/>
      <c r="M209" s="20"/>
      <c r="N209" s="20"/>
    </row>
    <row r="210" customFormat="false" ht="15" hidden="false" customHeight="false" outlineLevel="0" collapsed="false">
      <c r="A210" s="5" t="n">
        <f aca="false">IF(B210&lt;&gt;"", COUNTA($B$2:B210), "")</f>
        <v>209</v>
      </c>
      <c r="B210" s="7" t="s">
        <v>98</v>
      </c>
      <c r="C210" s="8" t="s">
        <v>99</v>
      </c>
      <c r="D210" s="15" t="s">
        <v>845</v>
      </c>
      <c r="E210" s="17" t="n">
        <v>2011</v>
      </c>
      <c r="F210" s="20"/>
      <c r="G210" s="20"/>
      <c r="H210" s="8" t="s">
        <v>526</v>
      </c>
      <c r="I210" s="5" t="s">
        <v>763</v>
      </c>
      <c r="J210" s="5" t="s">
        <v>32</v>
      </c>
      <c r="K210" s="5" t="n">
        <v>2012</v>
      </c>
      <c r="L210" s="20"/>
      <c r="M210" s="20"/>
      <c r="N210" s="20"/>
    </row>
    <row r="211" customFormat="false" ht="15" hidden="false" customHeight="false" outlineLevel="0" collapsed="false">
      <c r="A211" s="5" t="n">
        <f aca="false">IF(B211&lt;&gt;"", COUNTA($B$2:B211), "")</f>
        <v>210</v>
      </c>
      <c r="B211" s="7" t="s">
        <v>98</v>
      </c>
      <c r="C211" s="8" t="s">
        <v>99</v>
      </c>
      <c r="D211" s="15" t="s">
        <v>846</v>
      </c>
      <c r="E211" s="17" t="n">
        <v>2011</v>
      </c>
      <c r="F211" s="20"/>
      <c r="G211" s="20"/>
      <c r="H211" s="8" t="s">
        <v>528</v>
      </c>
      <c r="I211" s="5" t="s">
        <v>763</v>
      </c>
      <c r="J211" s="5" t="s">
        <v>32</v>
      </c>
      <c r="K211" s="5" t="n">
        <v>2012</v>
      </c>
      <c r="L211" s="20"/>
      <c r="M211" s="20"/>
      <c r="N211" s="20"/>
    </row>
    <row r="212" customFormat="false" ht="15" hidden="false" customHeight="false" outlineLevel="0" collapsed="false">
      <c r="A212" s="5" t="n">
        <f aca="false">IF(B212&lt;&gt;"", COUNTA($B$2:B212), "")</f>
        <v>211</v>
      </c>
      <c r="B212" s="7" t="s">
        <v>98</v>
      </c>
      <c r="C212" s="8" t="s">
        <v>99</v>
      </c>
      <c r="D212" s="15" t="s">
        <v>847</v>
      </c>
      <c r="E212" s="17" t="n">
        <v>2011</v>
      </c>
      <c r="F212" s="20"/>
      <c r="G212" s="20"/>
      <c r="H212" s="8" t="s">
        <v>530</v>
      </c>
      <c r="I212" s="5" t="s">
        <v>763</v>
      </c>
      <c r="J212" s="5" t="s">
        <v>32</v>
      </c>
      <c r="K212" s="5" t="n">
        <v>2012</v>
      </c>
      <c r="L212" s="20"/>
      <c r="M212" s="20"/>
      <c r="N212" s="20"/>
    </row>
    <row r="213" customFormat="false" ht="15" hidden="false" customHeight="false" outlineLevel="0" collapsed="false">
      <c r="A213" s="5" t="n">
        <f aca="false">IF(B213&lt;&gt;"", COUNTA($B$2:B213), "")</f>
        <v>212</v>
      </c>
      <c r="B213" s="7" t="s">
        <v>98</v>
      </c>
      <c r="C213" s="8" t="s">
        <v>531</v>
      </c>
      <c r="D213" s="15" t="s">
        <v>848</v>
      </c>
      <c r="E213" s="17" t="n">
        <v>2011</v>
      </c>
      <c r="F213" s="20"/>
      <c r="G213" s="20"/>
      <c r="H213" s="8" t="s">
        <v>533</v>
      </c>
      <c r="I213" s="5" t="s">
        <v>763</v>
      </c>
      <c r="J213" s="5" t="s">
        <v>32</v>
      </c>
      <c r="K213" s="5" t="n">
        <v>2012</v>
      </c>
      <c r="L213" s="20"/>
      <c r="M213" s="20"/>
      <c r="N213" s="20"/>
    </row>
    <row r="214" customFormat="false" ht="15" hidden="false" customHeight="false" outlineLevel="0" collapsed="false">
      <c r="A214" s="5" t="n">
        <f aca="false">IF(B214&lt;&gt;"", COUNTA($B$2:B214), "")</f>
        <v>213</v>
      </c>
      <c r="B214" s="7" t="s">
        <v>98</v>
      </c>
      <c r="C214" s="8" t="s">
        <v>531</v>
      </c>
      <c r="D214" s="15" t="s">
        <v>849</v>
      </c>
      <c r="E214" s="17" t="n">
        <v>2011</v>
      </c>
      <c r="F214" s="20"/>
      <c r="G214" s="20"/>
      <c r="H214" s="8" t="s">
        <v>535</v>
      </c>
      <c r="I214" s="5" t="s">
        <v>763</v>
      </c>
      <c r="J214" s="5" t="s">
        <v>32</v>
      </c>
      <c r="K214" s="5" t="n">
        <v>2012</v>
      </c>
      <c r="L214" s="20"/>
      <c r="M214" s="20"/>
      <c r="N214" s="20"/>
    </row>
    <row r="215" customFormat="false" ht="15" hidden="false" customHeight="false" outlineLevel="0" collapsed="false">
      <c r="A215" s="5" t="n">
        <f aca="false">IF(B215&lt;&gt;"", COUNTA($B$2:B215), "")</f>
        <v>214</v>
      </c>
      <c r="B215" s="7" t="s">
        <v>98</v>
      </c>
      <c r="C215" s="8" t="s">
        <v>99</v>
      </c>
      <c r="D215" s="15" t="s">
        <v>850</v>
      </c>
      <c r="E215" s="17" t="n">
        <v>2011</v>
      </c>
      <c r="F215" s="20"/>
      <c r="G215" s="20"/>
      <c r="H215" s="8" t="s">
        <v>537</v>
      </c>
      <c r="I215" s="5" t="s">
        <v>763</v>
      </c>
      <c r="J215" s="5" t="s">
        <v>32</v>
      </c>
      <c r="K215" s="5" t="n">
        <v>2012</v>
      </c>
      <c r="L215" s="20"/>
      <c r="M215" s="20"/>
      <c r="N215" s="20"/>
    </row>
    <row r="216" customFormat="false" ht="15" hidden="false" customHeight="false" outlineLevel="0" collapsed="false">
      <c r="A216" s="5" t="n">
        <f aca="false">IF(B216&lt;&gt;"", COUNTA($B$2:B216), "")</f>
        <v>215</v>
      </c>
      <c r="B216" s="7" t="s">
        <v>98</v>
      </c>
      <c r="C216" s="8" t="s">
        <v>99</v>
      </c>
      <c r="D216" s="15" t="s">
        <v>851</v>
      </c>
      <c r="E216" s="17" t="n">
        <v>2011</v>
      </c>
      <c r="F216" s="20"/>
      <c r="G216" s="20"/>
      <c r="H216" s="5" t="s">
        <v>727</v>
      </c>
      <c r="I216" s="5" t="s">
        <v>763</v>
      </c>
      <c r="J216" s="5" t="s">
        <v>32</v>
      </c>
      <c r="K216" s="5" t="n">
        <v>2012</v>
      </c>
      <c r="L216" s="20"/>
      <c r="M216" s="20"/>
      <c r="N216" s="20"/>
    </row>
    <row r="217" customFormat="false" ht="15" hidden="false" customHeight="false" outlineLevel="0" collapsed="false">
      <c r="A217" s="5" t="n">
        <f aca="false">IF(B217&lt;&gt;"", COUNTA($B$2:B217), "")</f>
        <v>216</v>
      </c>
      <c r="B217" s="7" t="s">
        <v>98</v>
      </c>
      <c r="C217" s="8" t="s">
        <v>99</v>
      </c>
      <c r="D217" s="15" t="s">
        <v>852</v>
      </c>
      <c r="E217" s="17" t="n">
        <v>2011</v>
      </c>
      <c r="F217" s="20"/>
      <c r="G217" s="20"/>
      <c r="H217" s="5" t="s">
        <v>729</v>
      </c>
      <c r="I217" s="5" t="s">
        <v>763</v>
      </c>
      <c r="J217" s="5" t="s">
        <v>32</v>
      </c>
      <c r="K217" s="5" t="n">
        <v>2012</v>
      </c>
      <c r="L217" s="20"/>
      <c r="M217" s="20"/>
      <c r="N217" s="20"/>
    </row>
    <row r="218" customFormat="false" ht="15" hidden="false" customHeight="false" outlineLevel="0" collapsed="false">
      <c r="A218" s="5" t="n">
        <f aca="false">IF(B218&lt;&gt;"", COUNTA($B$2:B218), "")</f>
        <v>217</v>
      </c>
      <c r="B218" s="7" t="s">
        <v>98</v>
      </c>
      <c r="C218" s="8" t="s">
        <v>99</v>
      </c>
      <c r="D218" s="15"/>
      <c r="E218" s="17" t="n">
        <v>2011</v>
      </c>
      <c r="F218" s="20"/>
      <c r="G218" s="20"/>
      <c r="H218" s="5" t="s">
        <v>543</v>
      </c>
      <c r="I218" s="5" t="s">
        <v>763</v>
      </c>
      <c r="J218" s="5" t="s">
        <v>32</v>
      </c>
      <c r="K218" s="5" t="n">
        <v>2012</v>
      </c>
      <c r="L218" s="20"/>
      <c r="M218" s="20"/>
      <c r="N218" s="20"/>
    </row>
    <row r="219" customFormat="false" ht="15" hidden="false" customHeight="false" outlineLevel="0" collapsed="false">
      <c r="A219" s="5" t="n">
        <f aca="false">IF(B219&lt;&gt;"", COUNTA($B$2:B219), "")</f>
        <v>218</v>
      </c>
      <c r="B219" s="7" t="s">
        <v>98</v>
      </c>
      <c r="C219" s="8" t="s">
        <v>99</v>
      </c>
      <c r="D219" s="15"/>
      <c r="E219" s="17" t="n">
        <v>2011</v>
      </c>
      <c r="F219" s="20"/>
      <c r="G219" s="20"/>
      <c r="H219" s="5" t="s">
        <v>545</v>
      </c>
      <c r="I219" s="5" t="s">
        <v>763</v>
      </c>
      <c r="J219" s="5" t="s">
        <v>32</v>
      </c>
      <c r="K219" s="5" t="n">
        <v>2012</v>
      </c>
      <c r="L219" s="20"/>
      <c r="M219" s="20"/>
      <c r="N219" s="20"/>
    </row>
    <row r="220" customFormat="false" ht="15" hidden="false" customHeight="false" outlineLevel="0" collapsed="false">
      <c r="A220" s="5" t="n">
        <f aca="false">IF(B220&lt;&gt;"", COUNTA($B$2:B220), "")</f>
        <v>219</v>
      </c>
      <c r="B220" s="7" t="s">
        <v>98</v>
      </c>
      <c r="C220" s="8" t="s">
        <v>99</v>
      </c>
      <c r="D220" s="15"/>
      <c r="E220" s="17" t="n">
        <v>2011</v>
      </c>
      <c r="F220" s="20"/>
      <c r="G220" s="20"/>
      <c r="H220" s="5" t="s">
        <v>547</v>
      </c>
      <c r="I220" s="5" t="s">
        <v>763</v>
      </c>
      <c r="J220" s="5" t="s">
        <v>32</v>
      </c>
      <c r="K220" s="5" t="n">
        <v>2012</v>
      </c>
      <c r="L220" s="20"/>
      <c r="M220" s="20"/>
      <c r="N220" s="20"/>
    </row>
    <row r="221" customFormat="false" ht="22.5" hidden="false" customHeight="false" outlineLevel="0" collapsed="false">
      <c r="A221" s="5" t="n">
        <f aca="false">IF(B221&lt;&gt;"", COUNTA($B$2:B221), "")</f>
        <v>220</v>
      </c>
      <c r="B221" s="6" t="s">
        <v>64</v>
      </c>
      <c r="C221" s="19" t="s">
        <v>65</v>
      </c>
      <c r="D221" s="6" t="s">
        <v>853</v>
      </c>
      <c r="E221" s="17" t="n">
        <v>2011</v>
      </c>
      <c r="F221" s="19" t="s">
        <v>67</v>
      </c>
      <c r="G221" s="19" t="s">
        <v>68</v>
      </c>
      <c r="H221" s="19" t="s">
        <v>549</v>
      </c>
      <c r="I221" s="5" t="s">
        <v>763</v>
      </c>
      <c r="J221" s="5" t="s">
        <v>32</v>
      </c>
      <c r="K221" s="5" t="n">
        <v>2012</v>
      </c>
      <c r="L221" s="12" t="n">
        <v>36</v>
      </c>
      <c r="M221" s="6"/>
      <c r="N221" s="8"/>
    </row>
    <row r="222" customFormat="false" ht="22.5" hidden="false" customHeight="false" outlineLevel="0" collapsed="false">
      <c r="A222" s="5" t="n">
        <f aca="false">IF(B222&lt;&gt;"", COUNTA($B$2:B222), "")</f>
        <v>221</v>
      </c>
      <c r="B222" s="18" t="s">
        <v>550</v>
      </c>
      <c r="C222" s="5" t="s">
        <v>854</v>
      </c>
      <c r="D222" s="19" t="s">
        <v>855</v>
      </c>
      <c r="E222" s="17"/>
      <c r="F222" s="19" t="s">
        <v>553</v>
      </c>
      <c r="G222" s="12" t="s">
        <v>554</v>
      </c>
      <c r="H222" s="5" t="s">
        <v>555</v>
      </c>
      <c r="I222" s="5" t="s">
        <v>763</v>
      </c>
      <c r="J222" s="5" t="s">
        <v>32</v>
      </c>
      <c r="K222" s="5" t="n">
        <v>2012</v>
      </c>
      <c r="L222" s="12" t="n">
        <v>24</v>
      </c>
      <c r="M222" s="6"/>
      <c r="N222" s="8"/>
    </row>
    <row r="223" customFormat="false" ht="14.25" hidden="false" customHeight="true" outlineLevel="0" collapsed="false">
      <c r="A223" s="5" t="n">
        <f aca="false">IF(B223&lt;&gt;"", COUNTA($B$2:B223), "")</f>
        <v>222</v>
      </c>
      <c r="B223" s="18" t="s">
        <v>556</v>
      </c>
      <c r="C223" s="10" t="s">
        <v>557</v>
      </c>
      <c r="D223" s="19" t="s">
        <v>856</v>
      </c>
      <c r="E223" s="17" t="n">
        <v>2011</v>
      </c>
      <c r="F223" s="19" t="s">
        <v>559</v>
      </c>
      <c r="G223" s="32" t="n">
        <v>0.1</v>
      </c>
      <c r="H223" s="12" t="s">
        <v>560</v>
      </c>
      <c r="I223" s="8" t="s">
        <v>763</v>
      </c>
      <c r="J223" s="5" t="s">
        <v>32</v>
      </c>
      <c r="K223" s="5" t="n">
        <v>2020</v>
      </c>
      <c r="L223" s="12" t="n">
        <v>12</v>
      </c>
      <c r="M223" s="6" t="s">
        <v>561</v>
      </c>
      <c r="N223" s="8" t="s">
        <v>38</v>
      </c>
    </row>
    <row r="224" customFormat="false" ht="15" hidden="false" customHeight="false" outlineLevel="0" collapsed="false">
      <c r="A224" s="5" t="n">
        <f aca="false">IF(B224&lt;&gt;"", COUNTA($B$2:B224), "")</f>
        <v>223</v>
      </c>
      <c r="B224" s="7" t="s">
        <v>27</v>
      </c>
      <c r="C224" s="8" t="s">
        <v>562</v>
      </c>
      <c r="D224" s="15" t="s">
        <v>857</v>
      </c>
      <c r="E224" s="8" t="n">
        <v>2011</v>
      </c>
      <c r="F224" s="8" t="s">
        <v>29</v>
      </c>
      <c r="G224" s="8" t="n">
        <v>1</v>
      </c>
      <c r="H224" s="5" t="s">
        <v>564</v>
      </c>
      <c r="I224" s="8" t="s">
        <v>763</v>
      </c>
      <c r="J224" s="5" t="s">
        <v>32</v>
      </c>
      <c r="K224" s="5" t="n">
        <v>2019</v>
      </c>
      <c r="L224" s="5" t="n">
        <v>12</v>
      </c>
      <c r="M224" s="6" t="s">
        <v>158</v>
      </c>
      <c r="N224" s="8" t="s">
        <v>1</v>
      </c>
    </row>
  </sheetData>
  <conditionalFormatting sqref="M1:M1048576">
    <cfRule type="expression" priority="2" aboveAverage="0" equalAverage="0" bottom="0" percent="0" rank="0" text="" dxfId="3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36111111111111" right="0.236111111111111" top="0.236111111111111" bottom="0.236111111111111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26"/>
  <sheetViews>
    <sheetView showFormulas="false" showGridLines="true" showRowColHeaders="true" showZeros="true" rightToLeft="false" tabSelected="true" showOutlineSymbols="true" defaultGridColor="true" view="normal" topLeftCell="C1" colorId="64" zoomScale="110" zoomScaleNormal="110" zoomScalePageLayoutView="100" workbookViewId="0">
      <pane xSplit="0" ySplit="1" topLeftCell="A17" activePane="bottomLeft" state="frozen"/>
      <selection pane="topLeft" activeCell="C1" activeCellId="0" sqref="C1"/>
      <selection pane="bottomLeft" activeCell="H12" activeCellId="0" sqref="H12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57"/>
    <col collapsed="false" customWidth="true" hidden="false" outlineLevel="0" max="2" min="2" style="4" width="21.43"/>
    <col collapsed="false" customWidth="true" hidden="false" outlineLevel="0" max="3" min="3" style="4" width="26.42"/>
    <col collapsed="false" customWidth="true" hidden="false" outlineLevel="0" max="4" min="4" style="4" width="15.29"/>
    <col collapsed="false" customWidth="true" hidden="false" outlineLevel="0" max="5" min="5" style="4" width="7"/>
    <col collapsed="false" customWidth="true" hidden="false" outlineLevel="0" max="7" min="6" style="4" width="15.42"/>
    <col collapsed="false" customWidth="true" hidden="false" outlineLevel="0" max="8" min="8" style="4" width="28.57"/>
    <col collapsed="false" customWidth="true" hidden="false" outlineLevel="0" max="9" min="9" style="4" width="12.57"/>
    <col collapsed="false" customWidth="true" hidden="false" outlineLevel="0" max="10" min="10" style="4" width="17.58"/>
    <col collapsed="false" customWidth="true" hidden="false" outlineLevel="0" max="11" min="11" style="4" width="8.71"/>
    <col collapsed="false" customWidth="true" hidden="false" outlineLevel="0" max="12" min="12" style="4" width="7.57"/>
    <col collapsed="false" customWidth="true" hidden="false" outlineLevel="0" max="13" min="13" style="4" width="8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56.2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858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7" t="s">
        <v>27</v>
      </c>
      <c r="C2" s="8" t="s">
        <v>28</v>
      </c>
      <c r="D2" s="9" t="n">
        <v>15136</v>
      </c>
      <c r="E2" s="8" t="n">
        <v>2010</v>
      </c>
      <c r="F2" s="8" t="s">
        <v>29</v>
      </c>
      <c r="G2" s="8" t="n">
        <v>1.5</v>
      </c>
      <c r="H2" s="5" t="s">
        <v>30</v>
      </c>
      <c r="I2" s="8" t="s">
        <v>859</v>
      </c>
      <c r="J2" s="5" t="s">
        <v>32</v>
      </c>
      <c r="K2" s="5" t="n">
        <v>2012</v>
      </c>
      <c r="L2" s="5" t="n">
        <v>12</v>
      </c>
      <c r="M2" s="6" t="s">
        <v>33</v>
      </c>
      <c r="N2" s="8" t="s">
        <v>1</v>
      </c>
    </row>
    <row r="3" customFormat="false" ht="15" hidden="false" customHeight="false" outlineLevel="0" collapsed="false">
      <c r="A3" s="5" t="n">
        <f aca="false">IF(B3&lt;&gt;"", COUNTA($B$2:B3), "")</f>
        <v>2</v>
      </c>
      <c r="B3" s="7" t="s">
        <v>27</v>
      </c>
      <c r="C3" s="8" t="s">
        <v>28</v>
      </c>
      <c r="D3" s="9" t="n">
        <v>6312</v>
      </c>
      <c r="E3" s="8" t="n">
        <v>2010</v>
      </c>
      <c r="F3" s="8" t="s">
        <v>593</v>
      </c>
      <c r="G3" s="8" t="n">
        <v>1.5</v>
      </c>
      <c r="H3" s="5" t="s">
        <v>35</v>
      </c>
      <c r="I3" s="8" t="s">
        <v>859</v>
      </c>
      <c r="J3" s="5" t="s">
        <v>32</v>
      </c>
      <c r="K3" s="5" t="n">
        <v>2012</v>
      </c>
      <c r="L3" s="5" t="n">
        <v>12</v>
      </c>
      <c r="M3" s="6" t="s">
        <v>33</v>
      </c>
      <c r="N3" s="8" t="s">
        <v>1</v>
      </c>
    </row>
    <row r="4" customFormat="false" ht="15" hidden="false" customHeight="false" outlineLevel="0" collapsed="false">
      <c r="A4" s="5" t="n">
        <f aca="false">IF(B4&lt;&gt;"", COUNTA($B$2:B4), "")</f>
        <v>3</v>
      </c>
      <c r="B4" s="7" t="s">
        <v>27</v>
      </c>
      <c r="C4" s="10" t="s">
        <v>860</v>
      </c>
      <c r="D4" s="64" t="n">
        <v>11067</v>
      </c>
      <c r="E4" s="8" t="n">
        <v>2010</v>
      </c>
      <c r="F4" s="8" t="s">
        <v>192</v>
      </c>
      <c r="G4" s="8" t="n">
        <v>1</v>
      </c>
      <c r="H4" s="12" t="s">
        <v>36</v>
      </c>
      <c r="I4" s="8" t="s">
        <v>859</v>
      </c>
      <c r="J4" s="5" t="s">
        <v>32</v>
      </c>
      <c r="K4" s="5" t="n">
        <v>2012</v>
      </c>
      <c r="L4" s="5" t="n">
        <v>12</v>
      </c>
      <c r="M4" s="27" t="s">
        <v>37</v>
      </c>
      <c r="N4" s="8" t="s">
        <v>38</v>
      </c>
      <c r="O4" s="14"/>
    </row>
    <row r="5" customFormat="false" ht="15" hidden="false" customHeight="false" outlineLevel="0" collapsed="false">
      <c r="A5" s="5" t="n">
        <f aca="false">IF(B5&lt;&gt;"", COUNTA($B$2:B5), "")</f>
        <v>4</v>
      </c>
      <c r="B5" s="7" t="s">
        <v>27</v>
      </c>
      <c r="C5" s="8" t="s">
        <v>28</v>
      </c>
      <c r="D5" s="9" t="n">
        <v>15137</v>
      </c>
      <c r="E5" s="8" t="n">
        <v>2010</v>
      </c>
      <c r="F5" s="8" t="s">
        <v>597</v>
      </c>
      <c r="G5" s="8" t="n">
        <v>1.5</v>
      </c>
      <c r="H5" s="5" t="s">
        <v>40</v>
      </c>
      <c r="I5" s="8" t="s">
        <v>859</v>
      </c>
      <c r="J5" s="5" t="s">
        <v>32</v>
      </c>
      <c r="K5" s="5" t="n">
        <v>2012</v>
      </c>
      <c r="L5" s="5" t="n">
        <v>12</v>
      </c>
      <c r="M5" s="6" t="s">
        <v>33</v>
      </c>
      <c r="N5" s="8" t="s">
        <v>1</v>
      </c>
    </row>
    <row r="6" customFormat="false" ht="15" hidden="false" customHeight="false" outlineLevel="0" collapsed="false">
      <c r="A6" s="5" t="n">
        <f aca="false">IF(B6&lt;&gt;"", COUNTA($B$2:B6), "")</f>
        <v>5</v>
      </c>
      <c r="B6" s="7" t="s">
        <v>27</v>
      </c>
      <c r="C6" s="8" t="s">
        <v>28</v>
      </c>
      <c r="D6" s="9" t="n">
        <v>15239</v>
      </c>
      <c r="E6" s="8" t="n">
        <v>2010</v>
      </c>
      <c r="F6" s="8" t="s">
        <v>599</v>
      </c>
      <c r="G6" s="8" t="n">
        <v>1.5</v>
      </c>
      <c r="H6" s="5" t="s">
        <v>861</v>
      </c>
      <c r="I6" s="8" t="s">
        <v>859</v>
      </c>
      <c r="J6" s="5" t="s">
        <v>32</v>
      </c>
      <c r="K6" s="5" t="n">
        <v>2012</v>
      </c>
      <c r="L6" s="5" t="n">
        <v>12</v>
      </c>
      <c r="M6" s="6" t="s">
        <v>33</v>
      </c>
      <c r="N6" s="8" t="s">
        <v>1</v>
      </c>
    </row>
    <row r="7" customFormat="false" ht="15" hidden="false" customHeight="false" outlineLevel="0" collapsed="false">
      <c r="A7" s="5" t="n">
        <f aca="false">IF(B7&lt;&gt;"", COUNTA($B$2:B7), "")</f>
        <v>6</v>
      </c>
      <c r="B7" s="7" t="s">
        <v>27</v>
      </c>
      <c r="C7" s="8" t="s">
        <v>28</v>
      </c>
      <c r="D7" s="9" t="n">
        <v>15197</v>
      </c>
      <c r="E7" s="8" t="n">
        <v>2010</v>
      </c>
      <c r="F7" s="8" t="s">
        <v>601</v>
      </c>
      <c r="G7" s="8" t="n">
        <v>1.5</v>
      </c>
      <c r="H7" s="5" t="s">
        <v>45</v>
      </c>
      <c r="I7" s="8" t="s">
        <v>859</v>
      </c>
      <c r="J7" s="5" t="s">
        <v>32</v>
      </c>
      <c r="K7" s="5" t="n">
        <v>2012</v>
      </c>
      <c r="L7" s="5" t="n">
        <v>12</v>
      </c>
      <c r="M7" s="6" t="s">
        <v>33</v>
      </c>
      <c r="N7" s="8" t="s">
        <v>1</v>
      </c>
    </row>
    <row r="8" customFormat="false" ht="15" hidden="false" customHeight="false" outlineLevel="0" collapsed="false">
      <c r="A8" s="5" t="n">
        <f aca="false">IF(B8&lt;&gt;"", COUNTA($B$2:B8), "")</f>
        <v>7</v>
      </c>
      <c r="B8" s="12" t="s">
        <v>46</v>
      </c>
      <c r="C8" s="8" t="s">
        <v>47</v>
      </c>
      <c r="D8" s="15" t="s">
        <v>862</v>
      </c>
      <c r="E8" s="16" t="n">
        <v>2015</v>
      </c>
      <c r="F8" s="8" t="s">
        <v>48</v>
      </c>
      <c r="G8" s="8" t="n">
        <v>1.5</v>
      </c>
      <c r="H8" s="5" t="s">
        <v>49</v>
      </c>
      <c r="I8" s="8" t="s">
        <v>859</v>
      </c>
      <c r="J8" s="5" t="s">
        <v>32</v>
      </c>
      <c r="K8" s="5" t="n">
        <v>2012</v>
      </c>
      <c r="L8" s="5" t="n">
        <v>24</v>
      </c>
      <c r="M8" s="6" t="s">
        <v>41</v>
      </c>
      <c r="N8" s="8" t="s">
        <v>1</v>
      </c>
    </row>
    <row r="9" customFormat="false" ht="15" hidden="false" customHeight="false" outlineLevel="0" collapsed="false">
      <c r="A9" s="5" t="n">
        <f aca="false">IF(B9&lt;&gt;"", COUNTA($B$2:B9), "")</f>
        <v>8</v>
      </c>
      <c r="B9" s="12" t="s">
        <v>46</v>
      </c>
      <c r="C9" s="8" t="s">
        <v>47</v>
      </c>
      <c r="D9" s="15" t="s">
        <v>863</v>
      </c>
      <c r="E9" s="16" t="n">
        <v>2015</v>
      </c>
      <c r="F9" s="8" t="s">
        <v>48</v>
      </c>
      <c r="G9" s="8" t="n">
        <v>1.5</v>
      </c>
      <c r="H9" s="5" t="s">
        <v>50</v>
      </c>
      <c r="I9" s="8" t="s">
        <v>859</v>
      </c>
      <c r="J9" s="5" t="s">
        <v>32</v>
      </c>
      <c r="K9" s="5" t="n">
        <v>2012</v>
      </c>
      <c r="L9" s="5" t="n">
        <v>24</v>
      </c>
      <c r="M9" s="6" t="s">
        <v>41</v>
      </c>
      <c r="N9" s="8" t="s">
        <v>1</v>
      </c>
    </row>
    <row r="10" customFormat="false" ht="15" hidden="false" customHeight="false" outlineLevel="0" collapsed="false">
      <c r="A10" s="5" t="n">
        <f aca="false">IF(B10&lt;&gt;"", COUNTA($B$2:B10), "")</f>
        <v>9</v>
      </c>
      <c r="B10" s="5" t="s">
        <v>568</v>
      </c>
      <c r="C10" s="12" t="s">
        <v>52</v>
      </c>
      <c r="D10" s="12" t="s">
        <v>864</v>
      </c>
      <c r="E10" s="17" t="n">
        <v>2011</v>
      </c>
      <c r="F10" s="12" t="s">
        <v>54</v>
      </c>
      <c r="G10" s="12" t="s">
        <v>55</v>
      </c>
      <c r="H10" s="5" t="s">
        <v>56</v>
      </c>
      <c r="I10" s="8" t="s">
        <v>859</v>
      </c>
      <c r="J10" s="5" t="s">
        <v>32</v>
      </c>
      <c r="K10" s="5" t="n">
        <v>2012</v>
      </c>
      <c r="L10" s="12" t="n">
        <v>48</v>
      </c>
      <c r="M10" s="6"/>
      <c r="N10" s="8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18" t="s">
        <v>57</v>
      </c>
      <c r="C11" s="5" t="s">
        <v>58</v>
      </c>
      <c r="D11" s="5" t="s">
        <v>865</v>
      </c>
      <c r="E11" s="17" t="n">
        <v>2011</v>
      </c>
      <c r="F11" s="12" t="s">
        <v>60</v>
      </c>
      <c r="G11" s="12" t="n">
        <v>0.075</v>
      </c>
      <c r="H11" s="5" t="s">
        <v>61</v>
      </c>
      <c r="I11" s="8" t="s">
        <v>859</v>
      </c>
      <c r="J11" s="5" t="s">
        <v>32</v>
      </c>
      <c r="K11" s="5" t="n">
        <v>2012</v>
      </c>
      <c r="L11" s="12" t="n">
        <v>36</v>
      </c>
      <c r="M11" s="6" t="s">
        <v>866</v>
      </c>
      <c r="N11" s="8" t="s">
        <v>1</v>
      </c>
    </row>
    <row r="12" customFormat="false" ht="22.5" hidden="false" customHeight="false" outlineLevel="0" collapsed="false">
      <c r="A12" s="5" t="n">
        <f aca="false">IF(B12&lt;&gt;"", COUNTA($B$2:B14), "")</f>
        <v>13</v>
      </c>
      <c r="B12" s="18" t="s">
        <v>57</v>
      </c>
      <c r="C12" s="5" t="s">
        <v>58</v>
      </c>
      <c r="D12" s="5" t="s">
        <v>867</v>
      </c>
      <c r="E12" s="17" t="n">
        <v>2011</v>
      </c>
      <c r="F12" s="12" t="s">
        <v>60</v>
      </c>
      <c r="G12" s="12" t="n">
        <v>0.075</v>
      </c>
      <c r="H12" s="5" t="s">
        <v>63</v>
      </c>
      <c r="I12" s="8" t="s">
        <v>859</v>
      </c>
      <c r="J12" s="5" t="s">
        <v>32</v>
      </c>
      <c r="K12" s="5" t="n">
        <v>2012</v>
      </c>
      <c r="L12" s="12" t="n">
        <v>36</v>
      </c>
      <c r="M12" s="6" t="s">
        <v>866</v>
      </c>
      <c r="N12" s="8" t="s">
        <v>1</v>
      </c>
    </row>
    <row r="13" customFormat="false" ht="22.5" hidden="false" customHeight="false" outlineLevel="0" collapsed="false">
      <c r="A13" s="5" t="n">
        <f aca="false">IF(B13&lt;&gt;"", COUNTA($B$2:B13), "")</f>
        <v>12</v>
      </c>
      <c r="B13" s="6" t="s">
        <v>64</v>
      </c>
      <c r="C13" s="6" t="s">
        <v>198</v>
      </c>
      <c r="D13" s="6" t="s">
        <v>868</v>
      </c>
      <c r="E13" s="19" t="s">
        <v>869</v>
      </c>
      <c r="F13" s="19" t="s">
        <v>67</v>
      </c>
      <c r="G13" s="19" t="s">
        <v>68</v>
      </c>
      <c r="H13" s="6" t="s">
        <v>71</v>
      </c>
      <c r="I13" s="8" t="s">
        <v>859</v>
      </c>
      <c r="J13" s="5" t="s">
        <v>32</v>
      </c>
      <c r="K13" s="5"/>
      <c r="L13" s="5"/>
      <c r="M13" s="6"/>
      <c r="N13" s="8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6" t="s">
        <v>64</v>
      </c>
      <c r="C14" s="6" t="s">
        <v>198</v>
      </c>
      <c r="D14" s="6" t="s">
        <v>870</v>
      </c>
      <c r="E14" s="19" t="s">
        <v>869</v>
      </c>
      <c r="F14" s="19" t="s">
        <v>67</v>
      </c>
      <c r="G14" s="19" t="s">
        <v>68</v>
      </c>
      <c r="H14" s="6" t="s">
        <v>75</v>
      </c>
      <c r="I14" s="8" t="s">
        <v>859</v>
      </c>
      <c r="J14" s="5" t="s">
        <v>32</v>
      </c>
      <c r="K14" s="5"/>
      <c r="L14" s="5"/>
      <c r="M14" s="6"/>
      <c r="N14" s="8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6" t="s">
        <v>64</v>
      </c>
      <c r="C15" s="19" t="s">
        <v>65</v>
      </c>
      <c r="D15" s="6" t="s">
        <v>871</v>
      </c>
      <c r="E15" s="17" t="n">
        <v>2011</v>
      </c>
      <c r="F15" s="19" t="s">
        <v>67</v>
      </c>
      <c r="G15" s="19" t="s">
        <v>68</v>
      </c>
      <c r="H15" s="6" t="s">
        <v>79</v>
      </c>
      <c r="I15" s="8" t="s">
        <v>859</v>
      </c>
      <c r="J15" s="5" t="s">
        <v>32</v>
      </c>
      <c r="K15" s="5" t="n">
        <v>2012</v>
      </c>
      <c r="L15" s="12" t="n">
        <v>36</v>
      </c>
      <c r="M15" s="6"/>
      <c r="N15" s="8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6" t="s">
        <v>64</v>
      </c>
      <c r="C16" s="19" t="s">
        <v>65</v>
      </c>
      <c r="D16" s="6" t="s">
        <v>872</v>
      </c>
      <c r="E16" s="17" t="n">
        <v>2011</v>
      </c>
      <c r="F16" s="19" t="s">
        <v>67</v>
      </c>
      <c r="G16" s="19" t="s">
        <v>68</v>
      </c>
      <c r="H16" s="6" t="s">
        <v>81</v>
      </c>
      <c r="I16" s="8" t="s">
        <v>859</v>
      </c>
      <c r="J16" s="5" t="s">
        <v>32</v>
      </c>
      <c r="K16" s="5" t="n">
        <v>2012</v>
      </c>
      <c r="L16" s="12" t="n">
        <v>36</v>
      </c>
      <c r="M16" s="6"/>
      <c r="N16" s="8"/>
    </row>
    <row r="17" customFormat="false" ht="15" hidden="false" customHeight="false" outlineLevel="0" collapsed="false">
      <c r="A17" s="5" t="n">
        <f aca="false">IF(B17&lt;&gt;"", COUNTA($B$2:B17), "")</f>
        <v>16</v>
      </c>
      <c r="B17" s="6" t="s">
        <v>64</v>
      </c>
      <c r="C17" s="19" t="s">
        <v>65</v>
      </c>
      <c r="D17" s="6" t="s">
        <v>873</v>
      </c>
      <c r="E17" s="17" t="n">
        <v>2011</v>
      </c>
      <c r="F17" s="19" t="s">
        <v>67</v>
      </c>
      <c r="G17" s="19" t="s">
        <v>68</v>
      </c>
      <c r="H17" s="6" t="s">
        <v>83</v>
      </c>
      <c r="I17" s="8" t="s">
        <v>859</v>
      </c>
      <c r="J17" s="5" t="s">
        <v>32</v>
      </c>
      <c r="K17" s="5" t="n">
        <v>2012</v>
      </c>
      <c r="L17" s="12" t="n">
        <v>36</v>
      </c>
      <c r="M17" s="6"/>
      <c r="N17" s="8"/>
    </row>
    <row r="18" customFormat="false" ht="15" hidden="false" customHeight="false" outlineLevel="0" collapsed="false">
      <c r="A18" s="5" t="n">
        <f aca="false">IF(B18&lt;&gt;"", COUNTA($B$2:B18), "")</f>
        <v>17</v>
      </c>
      <c r="B18" s="6" t="s">
        <v>64</v>
      </c>
      <c r="C18" s="19" t="s">
        <v>65</v>
      </c>
      <c r="D18" s="6" t="s">
        <v>874</v>
      </c>
      <c r="E18" s="17" t="n">
        <v>2011</v>
      </c>
      <c r="F18" s="19" t="s">
        <v>67</v>
      </c>
      <c r="G18" s="19" t="s">
        <v>68</v>
      </c>
      <c r="H18" s="6" t="s">
        <v>85</v>
      </c>
      <c r="I18" s="8" t="s">
        <v>859</v>
      </c>
      <c r="J18" s="5" t="s">
        <v>32</v>
      </c>
      <c r="K18" s="5" t="n">
        <v>2012</v>
      </c>
      <c r="L18" s="12" t="n">
        <v>36</v>
      </c>
      <c r="M18" s="6"/>
      <c r="N18" s="8"/>
    </row>
    <row r="19" customFormat="false" ht="15" hidden="false" customHeight="false" outlineLevel="0" collapsed="false">
      <c r="A19" s="5" t="n">
        <f aca="false">IF(B19&lt;&gt;"", COUNTA($B$2:B19), "")</f>
        <v>18</v>
      </c>
      <c r="B19" s="6" t="s">
        <v>64</v>
      </c>
      <c r="C19" s="19" t="s">
        <v>65</v>
      </c>
      <c r="D19" s="6" t="s">
        <v>875</v>
      </c>
      <c r="E19" s="17" t="n">
        <v>2011</v>
      </c>
      <c r="F19" s="19" t="s">
        <v>67</v>
      </c>
      <c r="G19" s="19" t="s">
        <v>68</v>
      </c>
      <c r="H19" s="6" t="s">
        <v>69</v>
      </c>
      <c r="I19" s="8" t="s">
        <v>859</v>
      </c>
      <c r="J19" s="5" t="s">
        <v>32</v>
      </c>
      <c r="K19" s="5" t="n">
        <v>2012</v>
      </c>
      <c r="L19" s="12" t="n">
        <v>36</v>
      </c>
      <c r="M19" s="6"/>
      <c r="N19" s="8"/>
    </row>
    <row r="20" customFormat="false" ht="15" hidden="false" customHeight="false" outlineLevel="0" collapsed="false">
      <c r="A20" s="5" t="n">
        <f aca="false">IF(B20&lt;&gt;"", COUNTA($B$2:B20), "")</f>
        <v>19</v>
      </c>
      <c r="B20" s="6" t="s">
        <v>64</v>
      </c>
      <c r="C20" s="19" t="s">
        <v>65</v>
      </c>
      <c r="D20" s="6" t="s">
        <v>876</v>
      </c>
      <c r="E20" s="17" t="n">
        <v>2011</v>
      </c>
      <c r="F20" s="19" t="s">
        <v>67</v>
      </c>
      <c r="G20" s="19" t="s">
        <v>68</v>
      </c>
      <c r="H20" s="6" t="s">
        <v>73</v>
      </c>
      <c r="I20" s="8" t="s">
        <v>859</v>
      </c>
      <c r="J20" s="5" t="s">
        <v>32</v>
      </c>
      <c r="K20" s="5" t="n">
        <v>2012</v>
      </c>
      <c r="L20" s="12" t="n">
        <v>36</v>
      </c>
      <c r="M20" s="6"/>
      <c r="N20" s="8"/>
    </row>
    <row r="21" customFormat="false" ht="15" hidden="false" customHeight="false" outlineLevel="0" collapsed="false">
      <c r="A21" s="5" t="n">
        <f aca="false">IF(B21&lt;&gt;"", COUNTA($B$2:B21), "")</f>
        <v>20</v>
      </c>
      <c r="B21" s="6" t="s">
        <v>64</v>
      </c>
      <c r="C21" s="19" t="s">
        <v>65</v>
      </c>
      <c r="D21" s="6" t="s">
        <v>877</v>
      </c>
      <c r="E21" s="17" t="n">
        <v>2011</v>
      </c>
      <c r="F21" s="19" t="s">
        <v>67</v>
      </c>
      <c r="G21" s="19" t="s">
        <v>68</v>
      </c>
      <c r="H21" s="6" t="s">
        <v>77</v>
      </c>
      <c r="I21" s="8" t="s">
        <v>859</v>
      </c>
      <c r="J21" s="5" t="s">
        <v>32</v>
      </c>
      <c r="K21" s="5" t="n">
        <v>2012</v>
      </c>
      <c r="L21" s="12" t="n">
        <v>36</v>
      </c>
      <c r="M21" s="6"/>
      <c r="N21" s="8"/>
    </row>
    <row r="22" customFormat="false" ht="15" hidden="false" customHeight="false" outlineLevel="0" collapsed="false">
      <c r="A22" s="5" t="n">
        <f aca="false">IF(B22&lt;&gt;"", COUNTA($B$2:B22), "")</f>
        <v>21</v>
      </c>
      <c r="B22" s="6" t="s">
        <v>86</v>
      </c>
      <c r="C22" s="19" t="s">
        <v>87</v>
      </c>
      <c r="D22" s="6" t="s">
        <v>878</v>
      </c>
      <c r="E22" s="17" t="n">
        <v>2011</v>
      </c>
      <c r="F22" s="19" t="s">
        <v>89</v>
      </c>
      <c r="G22" s="19"/>
      <c r="H22" s="6" t="s">
        <v>90</v>
      </c>
      <c r="I22" s="8" t="s">
        <v>859</v>
      </c>
      <c r="J22" s="5" t="s">
        <v>32</v>
      </c>
      <c r="K22" s="5"/>
      <c r="L22" s="12"/>
      <c r="M22" s="6"/>
      <c r="N22" s="8"/>
    </row>
    <row r="23" customFormat="false" ht="15" hidden="false" customHeight="false" outlineLevel="0" collapsed="false">
      <c r="A23" s="5" t="n">
        <f aca="false">IF(B23&lt;&gt;"", COUNTA($B$2:B23), "")</f>
        <v>22</v>
      </c>
      <c r="B23" s="6" t="s">
        <v>86</v>
      </c>
      <c r="C23" s="19" t="s">
        <v>87</v>
      </c>
      <c r="D23" s="6" t="s">
        <v>879</v>
      </c>
      <c r="E23" s="17" t="n">
        <v>2011</v>
      </c>
      <c r="F23" s="19" t="s">
        <v>89</v>
      </c>
      <c r="G23" s="19"/>
      <c r="H23" s="6" t="s">
        <v>92</v>
      </c>
      <c r="I23" s="8" t="s">
        <v>859</v>
      </c>
      <c r="J23" s="5" t="s">
        <v>32</v>
      </c>
      <c r="K23" s="5"/>
      <c r="L23" s="12"/>
      <c r="M23" s="6"/>
      <c r="N23" s="8"/>
    </row>
    <row r="24" s="34" customFormat="true" ht="15" hidden="false" customHeight="false" outlineLevel="0" collapsed="false">
      <c r="A24" s="53" t="n">
        <f aca="false">IF(B24&lt;&gt;"", COUNTA($B$2:B24), "")</f>
        <v>23</v>
      </c>
      <c r="B24" s="54" t="s">
        <v>93</v>
      </c>
      <c r="C24" s="55" t="s">
        <v>96</v>
      </c>
      <c r="D24" s="55" t="n">
        <v>25527</v>
      </c>
      <c r="E24" s="65" t="n">
        <v>2025</v>
      </c>
      <c r="F24" s="57"/>
      <c r="G24" s="57"/>
      <c r="H24" s="53" t="s">
        <v>95</v>
      </c>
      <c r="I24" s="53" t="s">
        <v>859</v>
      </c>
      <c r="J24" s="53" t="s">
        <v>32</v>
      </c>
      <c r="K24" s="53" t="n">
        <v>2012</v>
      </c>
      <c r="L24" s="58"/>
      <c r="M24" s="59"/>
      <c r="N24" s="57"/>
    </row>
    <row r="25" s="34" customFormat="true" ht="15" hidden="false" customHeight="false" outlineLevel="0" collapsed="false">
      <c r="A25" s="53" t="n">
        <f aca="false">IF(B25&lt;&gt;"", COUNTA($B$2:B25), "")</f>
        <v>24</v>
      </c>
      <c r="B25" s="54" t="s">
        <v>93</v>
      </c>
      <c r="C25" s="55" t="s">
        <v>96</v>
      </c>
      <c r="D25" s="55" t="n">
        <v>25522</v>
      </c>
      <c r="E25" s="65" t="n">
        <v>2025</v>
      </c>
      <c r="F25" s="57"/>
      <c r="G25" s="57"/>
      <c r="H25" s="53" t="s">
        <v>97</v>
      </c>
      <c r="I25" s="53" t="s">
        <v>859</v>
      </c>
      <c r="J25" s="53" t="s">
        <v>32</v>
      </c>
      <c r="K25" s="53" t="n">
        <v>2012</v>
      </c>
      <c r="L25" s="58"/>
      <c r="M25" s="59"/>
      <c r="N25" s="57"/>
    </row>
    <row r="26" customFormat="false" ht="15" hidden="false" customHeight="false" outlineLevel="0" collapsed="false">
      <c r="A26" s="5" t="n">
        <f aca="false">IF(B26&lt;&gt;"", COUNTA($B$2:B26), "")</f>
        <v>25</v>
      </c>
      <c r="B26" s="7" t="s">
        <v>98</v>
      </c>
      <c r="C26" s="8" t="s">
        <v>99</v>
      </c>
      <c r="D26" s="15" t="s">
        <v>880</v>
      </c>
      <c r="E26" s="17" t="n">
        <v>2011</v>
      </c>
      <c r="F26" s="20"/>
      <c r="G26" s="20"/>
      <c r="H26" s="5" t="s">
        <v>101</v>
      </c>
      <c r="I26" s="5" t="s">
        <v>859</v>
      </c>
      <c r="J26" s="5" t="s">
        <v>32</v>
      </c>
      <c r="K26" s="5" t="n">
        <v>2012</v>
      </c>
      <c r="L26" s="20"/>
      <c r="M26" s="20"/>
      <c r="N26" s="20"/>
    </row>
    <row r="27" customFormat="false" ht="15" hidden="false" customHeight="false" outlineLevel="0" collapsed="false">
      <c r="A27" s="5" t="n">
        <f aca="false">IF(B27&lt;&gt;"", COUNTA($B$2:B27), "")</f>
        <v>26</v>
      </c>
      <c r="B27" s="7" t="s">
        <v>98</v>
      </c>
      <c r="C27" s="8" t="s">
        <v>99</v>
      </c>
      <c r="D27" s="15" t="s">
        <v>881</v>
      </c>
      <c r="E27" s="17" t="n">
        <v>2011</v>
      </c>
      <c r="F27" s="20"/>
      <c r="G27" s="20"/>
      <c r="H27" s="5" t="s">
        <v>103</v>
      </c>
      <c r="I27" s="5" t="s">
        <v>859</v>
      </c>
      <c r="J27" s="5" t="s">
        <v>32</v>
      </c>
      <c r="K27" s="5" t="n">
        <v>2012</v>
      </c>
      <c r="L27" s="20"/>
      <c r="M27" s="20"/>
      <c r="N27" s="20"/>
    </row>
    <row r="28" customFormat="false" ht="15" hidden="false" customHeight="false" outlineLevel="0" collapsed="false">
      <c r="A28" s="5" t="n">
        <f aca="false">IF(B28&lt;&gt;"", COUNTA($B$2:B28), "")</f>
        <v>27</v>
      </c>
      <c r="B28" s="7" t="s">
        <v>98</v>
      </c>
      <c r="C28" s="8" t="s">
        <v>99</v>
      </c>
      <c r="D28" s="15" t="s">
        <v>882</v>
      </c>
      <c r="E28" s="17" t="n">
        <v>2011</v>
      </c>
      <c r="F28" s="20"/>
      <c r="G28" s="20"/>
      <c r="H28" s="5" t="s">
        <v>105</v>
      </c>
      <c r="I28" s="5" t="s">
        <v>859</v>
      </c>
      <c r="J28" s="5" t="s">
        <v>32</v>
      </c>
      <c r="K28" s="5" t="n">
        <v>2012</v>
      </c>
      <c r="L28" s="20"/>
      <c r="M28" s="20"/>
      <c r="N28" s="20"/>
    </row>
    <row r="29" customFormat="false" ht="15" hidden="false" customHeight="false" outlineLevel="0" collapsed="false">
      <c r="A29" s="5" t="n">
        <f aca="false">IF(B29&lt;&gt;"", COUNTA($B$2:B29), "")</f>
        <v>28</v>
      </c>
      <c r="B29" s="7" t="s">
        <v>98</v>
      </c>
      <c r="C29" s="8" t="s">
        <v>99</v>
      </c>
      <c r="D29" s="15" t="s">
        <v>883</v>
      </c>
      <c r="E29" s="17" t="n">
        <v>2011</v>
      </c>
      <c r="F29" s="20"/>
      <c r="G29" s="20"/>
      <c r="H29" s="5" t="s">
        <v>107</v>
      </c>
      <c r="I29" s="5" t="s">
        <v>859</v>
      </c>
      <c r="J29" s="5" t="s">
        <v>32</v>
      </c>
      <c r="K29" s="5" t="n">
        <v>2012</v>
      </c>
      <c r="L29" s="20"/>
      <c r="M29" s="20"/>
      <c r="N29" s="20"/>
    </row>
    <row r="30" customFormat="false" ht="15" hidden="false" customHeight="false" outlineLevel="0" collapsed="false">
      <c r="A30" s="5" t="n">
        <f aca="false">IF(B30&lt;&gt;"", COUNTA($B$2:B30), "")</f>
        <v>29</v>
      </c>
      <c r="B30" s="6" t="s">
        <v>64</v>
      </c>
      <c r="C30" s="12" t="s">
        <v>108</v>
      </c>
      <c r="D30" s="12" t="n">
        <v>40</v>
      </c>
      <c r="E30" s="17" t="n">
        <v>2011</v>
      </c>
      <c r="F30" s="19" t="s">
        <v>109</v>
      </c>
      <c r="G30" s="12" t="s">
        <v>110</v>
      </c>
      <c r="H30" s="5" t="s">
        <v>111</v>
      </c>
      <c r="I30" s="5" t="s">
        <v>884</v>
      </c>
      <c r="J30" s="5" t="s">
        <v>32</v>
      </c>
      <c r="K30" s="5" t="n">
        <v>2012</v>
      </c>
      <c r="L30" s="12" t="n">
        <v>24</v>
      </c>
      <c r="M30" s="6"/>
      <c r="N30" s="8"/>
    </row>
    <row r="31" customFormat="false" ht="15" hidden="false" customHeight="false" outlineLevel="0" collapsed="false">
      <c r="A31" s="5" t="n">
        <f aca="false">IF(B31&lt;&gt;"", COUNTA($B$2:B31), "")</f>
        <v>30</v>
      </c>
      <c r="B31" s="6" t="s">
        <v>64</v>
      </c>
      <c r="C31" s="12" t="s">
        <v>108</v>
      </c>
      <c r="D31" s="12" t="n">
        <v>2</v>
      </c>
      <c r="E31" s="17" t="n">
        <v>2011</v>
      </c>
      <c r="F31" s="19" t="s">
        <v>109</v>
      </c>
      <c r="G31" s="12" t="s">
        <v>110</v>
      </c>
      <c r="H31" s="5" t="s">
        <v>113</v>
      </c>
      <c r="I31" s="5" t="s">
        <v>884</v>
      </c>
      <c r="J31" s="5" t="s">
        <v>32</v>
      </c>
      <c r="K31" s="5" t="n">
        <v>2012</v>
      </c>
      <c r="L31" s="12" t="n">
        <v>24</v>
      </c>
      <c r="M31" s="6"/>
      <c r="N31" s="8"/>
    </row>
    <row r="32" customFormat="false" ht="15" hidden="false" customHeight="false" outlineLevel="0" collapsed="false">
      <c r="A32" s="5" t="n">
        <f aca="false">IF(B32&lt;&gt;"", COUNTA($B$2:B32), "")</f>
        <v>31</v>
      </c>
      <c r="B32" s="6" t="s">
        <v>64</v>
      </c>
      <c r="C32" s="12" t="s">
        <v>108</v>
      </c>
      <c r="D32" s="12" t="n">
        <v>27</v>
      </c>
      <c r="E32" s="17" t="n">
        <v>2011</v>
      </c>
      <c r="F32" s="19" t="s">
        <v>114</v>
      </c>
      <c r="G32" s="12" t="s">
        <v>110</v>
      </c>
      <c r="H32" s="5" t="s">
        <v>115</v>
      </c>
      <c r="I32" s="5" t="s">
        <v>884</v>
      </c>
      <c r="J32" s="5" t="s">
        <v>32</v>
      </c>
      <c r="K32" s="5" t="n">
        <v>2012</v>
      </c>
      <c r="L32" s="12" t="n">
        <v>24</v>
      </c>
      <c r="M32" s="6"/>
      <c r="N32" s="8"/>
    </row>
    <row r="33" customFormat="false" ht="15" hidden="false" customHeight="false" outlineLevel="0" collapsed="false">
      <c r="A33" s="5" t="n">
        <f aca="false">IF(B33&lt;&gt;"", COUNTA($B$2:B33), "")</f>
        <v>32</v>
      </c>
      <c r="B33" s="6" t="s">
        <v>64</v>
      </c>
      <c r="C33" s="12" t="s">
        <v>108</v>
      </c>
      <c r="D33" s="12" t="n">
        <v>36</v>
      </c>
      <c r="E33" s="17" t="n">
        <v>2011</v>
      </c>
      <c r="F33" s="19" t="s">
        <v>114</v>
      </c>
      <c r="G33" s="12" t="s">
        <v>110</v>
      </c>
      <c r="H33" s="5" t="s">
        <v>116</v>
      </c>
      <c r="I33" s="5" t="s">
        <v>884</v>
      </c>
      <c r="J33" s="5" t="s">
        <v>32</v>
      </c>
      <c r="K33" s="5" t="n">
        <v>2012</v>
      </c>
      <c r="L33" s="12" t="n">
        <v>24</v>
      </c>
      <c r="M33" s="6"/>
      <c r="N33" s="8"/>
    </row>
    <row r="34" customFormat="false" ht="15" hidden="false" customHeight="false" outlineLevel="0" collapsed="false">
      <c r="A34" s="5" t="n">
        <f aca="false">IF(B34&lt;&gt;"", COUNTA($B$2:B34), "")</f>
        <v>33</v>
      </c>
      <c r="B34" s="6" t="s">
        <v>64</v>
      </c>
      <c r="C34" s="12" t="s">
        <v>108</v>
      </c>
      <c r="D34" s="12" t="n">
        <v>16</v>
      </c>
      <c r="E34" s="17" t="n">
        <v>2011</v>
      </c>
      <c r="F34" s="19" t="s">
        <v>109</v>
      </c>
      <c r="G34" s="12" t="s">
        <v>110</v>
      </c>
      <c r="H34" s="5" t="s">
        <v>117</v>
      </c>
      <c r="I34" s="5" t="s">
        <v>884</v>
      </c>
      <c r="J34" s="5" t="s">
        <v>32</v>
      </c>
      <c r="K34" s="5" t="n">
        <v>2012</v>
      </c>
      <c r="L34" s="12" t="n">
        <v>24</v>
      </c>
      <c r="M34" s="6"/>
      <c r="N34" s="8"/>
    </row>
    <row r="35" customFormat="false" ht="15" hidden="false" customHeight="false" outlineLevel="0" collapsed="false">
      <c r="A35" s="5" t="n">
        <f aca="false">IF(B35&lt;&gt;"", COUNTA($B$2:B35), "")</f>
        <v>34</v>
      </c>
      <c r="B35" s="6" t="s">
        <v>64</v>
      </c>
      <c r="C35" s="12" t="s">
        <v>108</v>
      </c>
      <c r="D35" s="12" t="n">
        <v>12</v>
      </c>
      <c r="E35" s="17" t="n">
        <v>2011</v>
      </c>
      <c r="F35" s="19" t="s">
        <v>109</v>
      </c>
      <c r="G35" s="12" t="s">
        <v>110</v>
      </c>
      <c r="H35" s="5" t="s">
        <v>118</v>
      </c>
      <c r="I35" s="5" t="s">
        <v>884</v>
      </c>
      <c r="J35" s="5" t="s">
        <v>32</v>
      </c>
      <c r="K35" s="5" t="n">
        <v>2012</v>
      </c>
      <c r="L35" s="12" t="n">
        <v>24</v>
      </c>
      <c r="M35" s="6"/>
      <c r="N35" s="8"/>
    </row>
    <row r="36" customFormat="false" ht="1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5" t="s">
        <v>28</v>
      </c>
      <c r="D36" s="5" t="n">
        <v>15251</v>
      </c>
      <c r="E36" s="8" t="n">
        <v>2010</v>
      </c>
      <c r="F36" s="5" t="s">
        <v>119</v>
      </c>
      <c r="G36" s="5" t="n">
        <v>1.5</v>
      </c>
      <c r="H36" s="5" t="s">
        <v>120</v>
      </c>
      <c r="I36" s="8" t="s">
        <v>884</v>
      </c>
      <c r="J36" s="5" t="s">
        <v>32</v>
      </c>
      <c r="K36" s="5" t="n">
        <v>2012</v>
      </c>
      <c r="L36" s="5" t="n">
        <v>12</v>
      </c>
      <c r="M36" s="6" t="s">
        <v>33</v>
      </c>
      <c r="N36" s="8" t="s">
        <v>1</v>
      </c>
    </row>
    <row r="37" customFormat="false" ht="1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6" t="s">
        <v>121</v>
      </c>
      <c r="D37" s="5" t="n">
        <v>15157</v>
      </c>
      <c r="E37" s="8" t="n">
        <v>2010</v>
      </c>
      <c r="F37" s="5" t="s">
        <v>122</v>
      </c>
      <c r="G37" s="5" t="n">
        <v>1.5</v>
      </c>
      <c r="H37" s="5" t="s">
        <v>123</v>
      </c>
      <c r="I37" s="8" t="s">
        <v>884</v>
      </c>
      <c r="J37" s="5" t="s">
        <v>32</v>
      </c>
      <c r="K37" s="5" t="n">
        <v>2012</v>
      </c>
      <c r="L37" s="5" t="n">
        <v>12</v>
      </c>
      <c r="M37" s="6" t="s">
        <v>33</v>
      </c>
      <c r="N37" s="8" t="s">
        <v>1</v>
      </c>
    </row>
    <row r="38" s="34" customFormat="true" ht="15" hidden="false" customHeight="false" outlineLevel="0" collapsed="false">
      <c r="A38" s="5" t="n">
        <f aca="false">IF(B38&lt;&gt;"", COUNTA($B$2:B38), "")</f>
        <v>37</v>
      </c>
      <c r="B38" s="7" t="s">
        <v>93</v>
      </c>
      <c r="C38" s="8" t="s">
        <v>94</v>
      </c>
      <c r="D38" s="8" t="n">
        <v>1105278</v>
      </c>
      <c r="E38" s="33" t="n">
        <v>2011</v>
      </c>
      <c r="F38" s="20"/>
      <c r="G38" s="20"/>
      <c r="H38" s="5" t="s">
        <v>124</v>
      </c>
      <c r="I38" s="5" t="s">
        <v>884</v>
      </c>
      <c r="J38" s="5" t="s">
        <v>32</v>
      </c>
      <c r="K38" s="5" t="n">
        <v>2012</v>
      </c>
      <c r="L38" s="12"/>
      <c r="M38" s="6"/>
      <c r="N38" s="20"/>
    </row>
    <row r="39" customFormat="false" ht="22.5" hidden="false" customHeight="false" outlineLevel="0" collapsed="false">
      <c r="A39" s="5" t="n">
        <f aca="false">IF(B39&lt;&gt;"", COUNTA($B$2:B39), "")</f>
        <v>38</v>
      </c>
      <c r="B39" s="7" t="s">
        <v>125</v>
      </c>
      <c r="C39" s="8" t="s">
        <v>126</v>
      </c>
      <c r="D39" s="8" t="n">
        <v>1927</v>
      </c>
      <c r="E39" s="33" t="n">
        <v>2011</v>
      </c>
      <c r="F39" s="19" t="s">
        <v>127</v>
      </c>
      <c r="G39" s="20"/>
      <c r="H39" s="5" t="s">
        <v>128</v>
      </c>
      <c r="I39" s="5" t="s">
        <v>884</v>
      </c>
      <c r="J39" s="5" t="s">
        <v>32</v>
      </c>
      <c r="K39" s="5" t="n">
        <v>2012</v>
      </c>
      <c r="L39" s="20"/>
      <c r="M39" s="20"/>
      <c r="N39" s="20"/>
    </row>
    <row r="40" customFormat="false" ht="22.5" hidden="false" customHeight="false" outlineLevel="0" collapsed="false">
      <c r="A40" s="5" t="n">
        <f aca="false">IF(B40&lt;&gt;"", COUNTA($B$2:B40), "")</f>
        <v>39</v>
      </c>
      <c r="B40" s="7" t="s">
        <v>125</v>
      </c>
      <c r="C40" s="8" t="s">
        <v>126</v>
      </c>
      <c r="D40" s="8" t="n">
        <v>1928</v>
      </c>
      <c r="E40" s="33" t="n">
        <v>2011</v>
      </c>
      <c r="F40" s="19" t="s">
        <v>127</v>
      </c>
      <c r="G40" s="20"/>
      <c r="H40" s="5" t="s">
        <v>129</v>
      </c>
      <c r="I40" s="5" t="s">
        <v>884</v>
      </c>
      <c r="J40" s="5" t="s">
        <v>32</v>
      </c>
      <c r="K40" s="5" t="n">
        <v>2012</v>
      </c>
      <c r="L40" s="20"/>
      <c r="M40" s="20"/>
      <c r="N40" s="20"/>
    </row>
    <row r="41" customFormat="false" ht="22.5" hidden="false" customHeight="false" outlineLevel="0" collapsed="false">
      <c r="A41" s="5" t="n">
        <f aca="false">IF(B41&lt;&gt;"", COUNTA($B$2:B41), "")</f>
        <v>40</v>
      </c>
      <c r="B41" s="66" t="s">
        <v>125</v>
      </c>
      <c r="C41" s="67" t="s">
        <v>126</v>
      </c>
      <c r="D41" s="67" t="n">
        <v>1929</v>
      </c>
      <c r="E41" s="33" t="n">
        <v>2011</v>
      </c>
      <c r="F41" s="19" t="s">
        <v>127</v>
      </c>
      <c r="G41" s="68"/>
      <c r="H41" s="69" t="s">
        <v>130</v>
      </c>
      <c r="I41" s="5" t="s">
        <v>884</v>
      </c>
      <c r="J41" s="5" t="s">
        <v>32</v>
      </c>
      <c r="K41" s="5" t="n">
        <v>2012</v>
      </c>
      <c r="L41" s="20"/>
      <c r="M41" s="20"/>
      <c r="N41" s="20"/>
    </row>
    <row r="42" customFormat="false" ht="22.5" hidden="false" customHeight="false" outlineLevel="0" collapsed="false">
      <c r="A42" s="5" t="n">
        <f aca="false">IF(B42&lt;&gt;"", COUNTA($B$2:B42), "")</f>
        <v>41</v>
      </c>
      <c r="B42" s="18" t="s">
        <v>57</v>
      </c>
      <c r="C42" s="8" t="s">
        <v>131</v>
      </c>
      <c r="D42" s="8" t="s">
        <v>885</v>
      </c>
      <c r="E42" s="8"/>
      <c r="F42" s="8" t="s">
        <v>133</v>
      </c>
      <c r="G42" s="8"/>
      <c r="H42" s="8" t="s">
        <v>134</v>
      </c>
      <c r="I42" s="5" t="s">
        <v>884</v>
      </c>
      <c r="J42" s="5" t="s">
        <v>32</v>
      </c>
      <c r="K42" s="5" t="n">
        <v>2012</v>
      </c>
      <c r="L42" s="30"/>
      <c r="M42" s="30"/>
      <c r="N42" s="30"/>
    </row>
    <row r="43" customFormat="false" ht="22.5" hidden="false" customHeight="false" outlineLevel="0" collapsed="false">
      <c r="A43" s="5" t="n">
        <f aca="false">IF(B43&lt;&gt;"", COUNTA($B$2:B43), "")</f>
        <v>42</v>
      </c>
      <c r="B43" s="18" t="s">
        <v>57</v>
      </c>
      <c r="C43" s="8" t="s">
        <v>135</v>
      </c>
      <c r="D43" s="8" t="s">
        <v>886</v>
      </c>
      <c r="E43" s="8" t="n">
        <v>2011</v>
      </c>
      <c r="F43" s="8" t="s">
        <v>136</v>
      </c>
      <c r="G43" s="8"/>
      <c r="H43" s="8" t="s">
        <v>137</v>
      </c>
      <c r="I43" s="5" t="s">
        <v>884</v>
      </c>
      <c r="J43" s="5" t="s">
        <v>32</v>
      </c>
      <c r="K43" s="5" t="n">
        <v>2012</v>
      </c>
      <c r="L43" s="30"/>
      <c r="M43" s="30"/>
      <c r="N43" s="30"/>
    </row>
    <row r="44" customFormat="false" ht="22.5" hidden="false" customHeight="false" outlineLevel="0" collapsed="false">
      <c r="A44" s="5" t="n">
        <f aca="false">IF(B44&lt;&gt;"", COUNTA($B$2:B44), "")</f>
        <v>43</v>
      </c>
      <c r="B44" s="18" t="s">
        <v>57</v>
      </c>
      <c r="C44" s="8" t="s">
        <v>138</v>
      </c>
      <c r="D44" s="8" t="n">
        <v>303054</v>
      </c>
      <c r="E44" s="8"/>
      <c r="F44" s="8" t="s">
        <v>139</v>
      </c>
      <c r="G44" s="8"/>
      <c r="H44" s="8" t="s">
        <v>140</v>
      </c>
      <c r="I44" s="5" t="s">
        <v>884</v>
      </c>
      <c r="J44" s="5" t="s">
        <v>32</v>
      </c>
      <c r="K44" s="5" t="n">
        <v>2012</v>
      </c>
      <c r="L44" s="30"/>
      <c r="M44" s="30"/>
      <c r="N44" s="30"/>
    </row>
    <row r="45" customFormat="false" ht="15" hidden="false" customHeight="false" outlineLevel="0" collapsed="false">
      <c r="A45" s="5" t="n">
        <f aca="false">IF(B45&lt;&gt;"", COUNTA($B$2:B45), "")</f>
        <v>44</v>
      </c>
      <c r="B45" s="8" t="s">
        <v>141</v>
      </c>
      <c r="C45" s="8" t="s">
        <v>142</v>
      </c>
      <c r="D45" s="8" t="n">
        <v>11035111</v>
      </c>
      <c r="E45" s="8" t="n">
        <v>2011</v>
      </c>
      <c r="F45" s="6" t="s">
        <v>143</v>
      </c>
      <c r="G45" s="8"/>
      <c r="H45" s="8" t="s">
        <v>141</v>
      </c>
      <c r="I45" s="5" t="s">
        <v>884</v>
      </c>
      <c r="J45" s="5" t="s">
        <v>32</v>
      </c>
      <c r="K45" s="5" t="n">
        <v>2012</v>
      </c>
      <c r="L45" s="30"/>
      <c r="M45" s="30"/>
      <c r="N45" s="30"/>
    </row>
    <row r="46" customFormat="false" ht="1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8" t="s">
        <v>144</v>
      </c>
      <c r="D46" s="8" t="n">
        <v>15256</v>
      </c>
      <c r="E46" s="8" t="n">
        <v>2010</v>
      </c>
      <c r="F46" s="8" t="s">
        <v>29</v>
      </c>
      <c r="G46" s="8" t="n">
        <v>1.5</v>
      </c>
      <c r="H46" s="5" t="s">
        <v>145</v>
      </c>
      <c r="I46" s="8" t="s">
        <v>887</v>
      </c>
      <c r="J46" s="5" t="s">
        <v>32</v>
      </c>
      <c r="K46" s="5" t="n">
        <v>2012</v>
      </c>
      <c r="L46" s="5" t="n">
        <v>12</v>
      </c>
      <c r="M46" s="6" t="s">
        <v>33</v>
      </c>
      <c r="N46" s="8" t="s">
        <v>1</v>
      </c>
    </row>
    <row r="47" customFormat="false" ht="1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8" t="s">
        <v>144</v>
      </c>
      <c r="D47" s="9" t="n">
        <v>15261</v>
      </c>
      <c r="E47" s="8" t="n">
        <v>2010</v>
      </c>
      <c r="F47" s="8" t="s">
        <v>593</v>
      </c>
      <c r="G47" s="8" t="n">
        <v>1.5</v>
      </c>
      <c r="H47" s="5" t="s">
        <v>147</v>
      </c>
      <c r="I47" s="8" t="s">
        <v>887</v>
      </c>
      <c r="J47" s="5" t="s">
        <v>32</v>
      </c>
      <c r="K47" s="5" t="n">
        <v>2012</v>
      </c>
      <c r="L47" s="5" t="n">
        <v>12</v>
      </c>
      <c r="M47" s="6" t="s">
        <v>33</v>
      </c>
      <c r="N47" s="8" t="s">
        <v>1</v>
      </c>
    </row>
    <row r="48" customFormat="false" ht="1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8" t="s">
        <v>144</v>
      </c>
      <c r="D48" s="15" t="s">
        <v>888</v>
      </c>
      <c r="E48" s="8" t="n">
        <v>2010</v>
      </c>
      <c r="F48" s="8" t="s">
        <v>595</v>
      </c>
      <c r="G48" s="8" t="n">
        <v>1.5</v>
      </c>
      <c r="H48" s="5" t="s">
        <v>148</v>
      </c>
      <c r="I48" s="8" t="s">
        <v>887</v>
      </c>
      <c r="J48" s="5" t="s">
        <v>32</v>
      </c>
      <c r="K48" s="5" t="n">
        <v>2012</v>
      </c>
      <c r="L48" s="5" t="n">
        <v>12</v>
      </c>
      <c r="M48" s="6" t="s">
        <v>33</v>
      </c>
      <c r="N48" s="8" t="s">
        <v>1</v>
      </c>
    </row>
    <row r="49" customFormat="false" ht="1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8" t="s">
        <v>144</v>
      </c>
      <c r="D49" s="15" t="s">
        <v>889</v>
      </c>
      <c r="E49" s="8" t="n">
        <v>2010</v>
      </c>
      <c r="F49" s="8" t="s">
        <v>597</v>
      </c>
      <c r="G49" s="8" t="n">
        <v>1.5</v>
      </c>
      <c r="H49" s="5" t="s">
        <v>149</v>
      </c>
      <c r="I49" s="8" t="s">
        <v>887</v>
      </c>
      <c r="J49" s="5" t="s">
        <v>32</v>
      </c>
      <c r="K49" s="5" t="n">
        <v>2012</v>
      </c>
      <c r="L49" s="5" t="n">
        <v>12</v>
      </c>
      <c r="M49" s="6" t="s">
        <v>33</v>
      </c>
      <c r="N49" s="8" t="s">
        <v>1</v>
      </c>
    </row>
    <row r="50" customFormat="false" ht="1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8" t="s">
        <v>144</v>
      </c>
      <c r="D50" s="15" t="s">
        <v>890</v>
      </c>
      <c r="E50" s="8" t="n">
        <v>2010</v>
      </c>
      <c r="F50" s="8" t="s">
        <v>599</v>
      </c>
      <c r="G50" s="8" t="n">
        <v>1.5</v>
      </c>
      <c r="H50" s="5" t="s">
        <v>150</v>
      </c>
      <c r="I50" s="8" t="s">
        <v>887</v>
      </c>
      <c r="J50" s="5" t="s">
        <v>32</v>
      </c>
      <c r="K50" s="5" t="n">
        <v>2012</v>
      </c>
      <c r="L50" s="5" t="n">
        <v>12</v>
      </c>
      <c r="M50" s="6" t="s">
        <v>33</v>
      </c>
      <c r="N50" s="8" t="s">
        <v>1</v>
      </c>
    </row>
    <row r="51" customFormat="false" ht="1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8" t="s">
        <v>144</v>
      </c>
      <c r="D51" s="15" t="s">
        <v>891</v>
      </c>
      <c r="E51" s="8" t="n">
        <v>2010</v>
      </c>
      <c r="F51" s="8" t="s">
        <v>601</v>
      </c>
      <c r="G51" s="8" t="n">
        <v>1.5</v>
      </c>
      <c r="H51" s="5" t="s">
        <v>151</v>
      </c>
      <c r="I51" s="8" t="s">
        <v>887</v>
      </c>
      <c r="J51" s="5" t="s">
        <v>32</v>
      </c>
      <c r="K51" s="5" t="n">
        <v>2012</v>
      </c>
      <c r="L51" s="5" t="n">
        <v>12</v>
      </c>
      <c r="M51" s="6" t="s">
        <v>33</v>
      </c>
      <c r="N51" s="8" t="s">
        <v>1</v>
      </c>
    </row>
    <row r="52" customFormat="false" ht="1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8" t="s">
        <v>144</v>
      </c>
      <c r="D52" s="15" t="s">
        <v>892</v>
      </c>
      <c r="E52" s="8" t="n">
        <v>2010</v>
      </c>
      <c r="F52" s="8" t="s">
        <v>603</v>
      </c>
      <c r="G52" s="8" t="n">
        <v>1.5</v>
      </c>
      <c r="H52" s="5" t="s">
        <v>152</v>
      </c>
      <c r="I52" s="8" t="s">
        <v>887</v>
      </c>
      <c r="J52" s="5" t="s">
        <v>32</v>
      </c>
      <c r="K52" s="5" t="n">
        <v>2012</v>
      </c>
      <c r="L52" s="5" t="n">
        <v>12</v>
      </c>
      <c r="M52" s="6" t="s">
        <v>33</v>
      </c>
      <c r="N52" s="8" t="s">
        <v>1</v>
      </c>
    </row>
    <row r="53" customFormat="false" ht="1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8" t="s">
        <v>144</v>
      </c>
      <c r="D53" s="9" t="n">
        <v>15265</v>
      </c>
      <c r="E53" s="8" t="n">
        <v>2010</v>
      </c>
      <c r="F53" s="8" t="s">
        <v>605</v>
      </c>
      <c r="G53" s="8" t="n">
        <v>1.5</v>
      </c>
      <c r="H53" s="5" t="s">
        <v>153</v>
      </c>
      <c r="I53" s="8" t="s">
        <v>887</v>
      </c>
      <c r="J53" s="5" t="s">
        <v>32</v>
      </c>
      <c r="K53" s="5" t="n">
        <v>2012</v>
      </c>
      <c r="L53" s="5" t="n">
        <v>12</v>
      </c>
      <c r="M53" s="6" t="s">
        <v>33</v>
      </c>
      <c r="N53" s="8" t="s">
        <v>1</v>
      </c>
    </row>
    <row r="54" customFormat="false" ht="15" hidden="false" customHeight="false" outlineLevel="0" collapsed="false">
      <c r="A54" s="5" t="n">
        <f aca="false">IF(B54&lt;&gt;"", COUNTA($B$2:B54), "")</f>
        <v>53</v>
      </c>
      <c r="B54" s="12" t="s">
        <v>46</v>
      </c>
      <c r="C54" s="8" t="s">
        <v>47</v>
      </c>
      <c r="D54" s="15" t="s">
        <v>893</v>
      </c>
      <c r="E54" s="8" t="n">
        <v>2010</v>
      </c>
      <c r="F54" s="8" t="s">
        <v>156</v>
      </c>
      <c r="G54" s="8" t="n">
        <v>1</v>
      </c>
      <c r="H54" s="5" t="s">
        <v>157</v>
      </c>
      <c r="I54" s="8" t="s">
        <v>887</v>
      </c>
      <c r="J54" s="5" t="s">
        <v>32</v>
      </c>
      <c r="K54" s="5" t="n">
        <v>2012</v>
      </c>
      <c r="L54" s="5" t="n">
        <v>24</v>
      </c>
      <c r="M54" s="6" t="s">
        <v>158</v>
      </c>
      <c r="N54" s="8" t="s">
        <v>1</v>
      </c>
    </row>
    <row r="55" customFormat="false" ht="15" hidden="false" customHeight="false" outlineLevel="0" collapsed="false">
      <c r="A55" s="5" t="n">
        <f aca="false">IF(B55&lt;&gt;"", COUNTA($B$2:B55), "")</f>
        <v>54</v>
      </c>
      <c r="B55" s="12" t="s">
        <v>46</v>
      </c>
      <c r="C55" s="8" t="s">
        <v>47</v>
      </c>
      <c r="D55" s="15" t="s">
        <v>894</v>
      </c>
      <c r="E55" s="8" t="n">
        <v>2010</v>
      </c>
      <c r="F55" s="8" t="s">
        <v>156</v>
      </c>
      <c r="G55" s="8" t="n">
        <v>1</v>
      </c>
      <c r="H55" s="5" t="s">
        <v>160</v>
      </c>
      <c r="I55" s="8" t="s">
        <v>887</v>
      </c>
      <c r="J55" s="5" t="s">
        <v>32</v>
      </c>
      <c r="K55" s="5" t="n">
        <v>2012</v>
      </c>
      <c r="L55" s="5" t="n">
        <v>24</v>
      </c>
      <c r="M55" s="6" t="s">
        <v>158</v>
      </c>
      <c r="N55" s="8" t="s">
        <v>1</v>
      </c>
    </row>
    <row r="56" customFormat="false" ht="15" hidden="false" customHeight="false" outlineLevel="0" collapsed="false">
      <c r="A56" s="5" t="n">
        <f aca="false">IF(B56&lt;&gt;"", COUNTA($B$2:B56), "")</f>
        <v>55</v>
      </c>
      <c r="B56" s="12" t="s">
        <v>46</v>
      </c>
      <c r="C56" s="8" t="s">
        <v>47</v>
      </c>
      <c r="D56" s="9" t="n">
        <v>761</v>
      </c>
      <c r="E56" s="8" t="n">
        <v>2010</v>
      </c>
      <c r="F56" s="8" t="s">
        <v>156</v>
      </c>
      <c r="G56" s="8" t="n">
        <v>1</v>
      </c>
      <c r="H56" s="5" t="s">
        <v>162</v>
      </c>
      <c r="I56" s="8" t="s">
        <v>887</v>
      </c>
      <c r="J56" s="5" t="s">
        <v>32</v>
      </c>
      <c r="K56" s="5" t="n">
        <v>2012</v>
      </c>
      <c r="L56" s="5" t="n">
        <v>24</v>
      </c>
      <c r="M56" s="6" t="s">
        <v>158</v>
      </c>
      <c r="N56" s="8" t="s">
        <v>1</v>
      </c>
    </row>
    <row r="57" customFormat="false" ht="15" hidden="false" customHeight="false" outlineLevel="0" collapsed="false">
      <c r="A57" s="5" t="n">
        <f aca="false">IF(B57&lt;&gt;"", COUNTA($B$2:B57), "")</f>
        <v>56</v>
      </c>
      <c r="B57" s="12" t="s">
        <v>46</v>
      </c>
      <c r="C57" s="8" t="s">
        <v>47</v>
      </c>
      <c r="D57" s="15" t="s">
        <v>895</v>
      </c>
      <c r="E57" s="8" t="n">
        <v>2010</v>
      </c>
      <c r="F57" s="8" t="s">
        <v>156</v>
      </c>
      <c r="G57" s="8" t="n">
        <v>1</v>
      </c>
      <c r="H57" s="5" t="s">
        <v>164</v>
      </c>
      <c r="I57" s="8" t="s">
        <v>887</v>
      </c>
      <c r="J57" s="5" t="s">
        <v>32</v>
      </c>
      <c r="K57" s="5" t="n">
        <v>2012</v>
      </c>
      <c r="L57" s="5" t="n">
        <v>24</v>
      </c>
      <c r="M57" s="6" t="s">
        <v>158</v>
      </c>
      <c r="N57" s="8" t="s">
        <v>1</v>
      </c>
    </row>
    <row r="58" customFormat="false" ht="15" hidden="false" customHeight="false" outlineLevel="0" collapsed="false">
      <c r="A58" s="5" t="n">
        <f aca="false">IF(B58&lt;&gt;"", COUNTA($B$2:B58), "")</f>
        <v>57</v>
      </c>
      <c r="B58" s="12" t="s">
        <v>46</v>
      </c>
      <c r="C58" s="8" t="s">
        <v>47</v>
      </c>
      <c r="D58" s="15" t="s">
        <v>896</v>
      </c>
      <c r="E58" s="8" t="n">
        <v>2010</v>
      </c>
      <c r="F58" s="8" t="s">
        <v>156</v>
      </c>
      <c r="G58" s="8" t="n">
        <v>1</v>
      </c>
      <c r="H58" s="5" t="s">
        <v>166</v>
      </c>
      <c r="I58" s="8" t="s">
        <v>887</v>
      </c>
      <c r="J58" s="5" t="s">
        <v>32</v>
      </c>
      <c r="K58" s="5" t="n">
        <v>2012</v>
      </c>
      <c r="L58" s="5" t="n">
        <v>24</v>
      </c>
      <c r="M58" s="6" t="s">
        <v>158</v>
      </c>
      <c r="N58" s="8" t="s">
        <v>1</v>
      </c>
    </row>
    <row r="59" customFormat="false" ht="15" hidden="false" customHeight="false" outlineLevel="0" collapsed="false">
      <c r="A59" s="5" t="n">
        <f aca="false">IF(B59&lt;&gt;"", COUNTA($B$2:B59), "")</f>
        <v>58</v>
      </c>
      <c r="B59" s="12" t="s">
        <v>46</v>
      </c>
      <c r="C59" s="8" t="s">
        <v>47</v>
      </c>
      <c r="D59" s="15" t="s">
        <v>897</v>
      </c>
      <c r="E59" s="8" t="n">
        <v>2010</v>
      </c>
      <c r="F59" s="8" t="s">
        <v>156</v>
      </c>
      <c r="G59" s="8" t="n">
        <v>1</v>
      </c>
      <c r="H59" s="5" t="s">
        <v>168</v>
      </c>
      <c r="I59" s="8" t="s">
        <v>887</v>
      </c>
      <c r="J59" s="5" t="s">
        <v>32</v>
      </c>
      <c r="K59" s="5" t="n">
        <v>2012</v>
      </c>
      <c r="L59" s="5" t="n">
        <v>24</v>
      </c>
      <c r="M59" s="6" t="s">
        <v>158</v>
      </c>
      <c r="N59" s="8" t="s">
        <v>1</v>
      </c>
    </row>
    <row r="60" customFormat="false" ht="15" hidden="false" customHeight="false" outlineLevel="0" collapsed="false">
      <c r="A60" s="5" t="n">
        <f aca="false">IF(B60&lt;&gt;"", COUNTA($B$2:B60), "")</f>
        <v>59</v>
      </c>
      <c r="B60" s="12" t="s">
        <v>46</v>
      </c>
      <c r="C60" s="8" t="s">
        <v>47</v>
      </c>
      <c r="D60" s="8" t="n">
        <v>785</v>
      </c>
      <c r="E60" s="8" t="n">
        <v>2010</v>
      </c>
      <c r="F60" s="8" t="s">
        <v>156</v>
      </c>
      <c r="G60" s="8" t="n">
        <v>1</v>
      </c>
      <c r="H60" s="5" t="s">
        <v>170</v>
      </c>
      <c r="I60" s="8" t="s">
        <v>887</v>
      </c>
      <c r="J60" s="5" t="s">
        <v>32</v>
      </c>
      <c r="K60" s="5" t="n">
        <v>2012</v>
      </c>
      <c r="L60" s="5" t="n">
        <v>24</v>
      </c>
      <c r="M60" s="6" t="s">
        <v>158</v>
      </c>
      <c r="N60" s="8" t="s">
        <v>1</v>
      </c>
    </row>
    <row r="61" customFormat="false" ht="15" hidden="false" customHeight="false" outlineLevel="0" collapsed="false">
      <c r="A61" s="5" t="n">
        <f aca="false">IF(B61&lt;&gt;"", COUNTA($B$2:B61), "")</f>
        <v>60</v>
      </c>
      <c r="B61" s="12" t="s">
        <v>46</v>
      </c>
      <c r="C61" s="8" t="s">
        <v>47</v>
      </c>
      <c r="D61" s="8" t="n">
        <v>818</v>
      </c>
      <c r="E61" s="8" t="n">
        <v>2010</v>
      </c>
      <c r="F61" s="8" t="s">
        <v>156</v>
      </c>
      <c r="G61" s="8" t="n">
        <v>1</v>
      </c>
      <c r="H61" s="5" t="s">
        <v>172</v>
      </c>
      <c r="I61" s="8" t="s">
        <v>887</v>
      </c>
      <c r="J61" s="5" t="s">
        <v>32</v>
      </c>
      <c r="K61" s="5" t="n">
        <v>2012</v>
      </c>
      <c r="L61" s="5" t="n">
        <v>24</v>
      </c>
      <c r="M61" s="6" t="s">
        <v>158</v>
      </c>
      <c r="N61" s="8" t="s">
        <v>1</v>
      </c>
    </row>
    <row r="62" customFormat="false" ht="15" hidden="false" customHeight="false" outlineLevel="0" collapsed="false">
      <c r="A62" s="5" t="n">
        <f aca="false">IF(B62&lt;&gt;"", COUNTA($B$2:B62), "")</f>
        <v>61</v>
      </c>
      <c r="B62" s="7" t="s">
        <v>27</v>
      </c>
      <c r="C62" s="5" t="s">
        <v>28</v>
      </c>
      <c r="D62" s="15" t="s">
        <v>898</v>
      </c>
      <c r="E62" s="8" t="n">
        <v>2010</v>
      </c>
      <c r="F62" s="8" t="s">
        <v>29</v>
      </c>
      <c r="G62" s="8" t="n">
        <v>1.5</v>
      </c>
      <c r="H62" s="5" t="s">
        <v>175</v>
      </c>
      <c r="I62" s="8" t="s">
        <v>887</v>
      </c>
      <c r="J62" s="5" t="s">
        <v>32</v>
      </c>
      <c r="K62" s="5" t="n">
        <v>2012</v>
      </c>
      <c r="L62" s="5" t="n">
        <v>12</v>
      </c>
      <c r="M62" s="6" t="s">
        <v>33</v>
      </c>
      <c r="N62" s="8" t="s">
        <v>1</v>
      </c>
    </row>
    <row r="63" customFormat="false" ht="15" hidden="false" customHeight="false" outlineLevel="0" collapsed="false">
      <c r="A63" s="5" t="n">
        <f aca="false">IF(B63&lt;&gt;"", COUNTA($B$2:B63), "")</f>
        <v>62</v>
      </c>
      <c r="B63" s="7" t="s">
        <v>27</v>
      </c>
      <c r="C63" s="5" t="s">
        <v>28</v>
      </c>
      <c r="D63" s="15" t="s">
        <v>899</v>
      </c>
      <c r="E63" s="8" t="n">
        <v>2010</v>
      </c>
      <c r="F63" s="8" t="s">
        <v>593</v>
      </c>
      <c r="G63" s="8" t="n">
        <v>1.5</v>
      </c>
      <c r="H63" s="5" t="s">
        <v>177</v>
      </c>
      <c r="I63" s="8" t="s">
        <v>887</v>
      </c>
      <c r="J63" s="5" t="s">
        <v>32</v>
      </c>
      <c r="K63" s="5" t="n">
        <v>2012</v>
      </c>
      <c r="L63" s="5" t="n">
        <v>12</v>
      </c>
      <c r="M63" s="6" t="s">
        <v>33</v>
      </c>
      <c r="N63" s="8" t="s">
        <v>1</v>
      </c>
    </row>
    <row r="64" customFormat="false" ht="15" hidden="false" customHeight="false" outlineLevel="0" collapsed="false">
      <c r="A64" s="5" t="n">
        <f aca="false">IF(B64&lt;&gt;"", COUNTA($B$2:B64), "")</f>
        <v>63</v>
      </c>
      <c r="B64" s="7" t="s">
        <v>27</v>
      </c>
      <c r="C64" s="5" t="s">
        <v>28</v>
      </c>
      <c r="D64" s="15" t="s">
        <v>900</v>
      </c>
      <c r="E64" s="8" t="n">
        <v>2010</v>
      </c>
      <c r="F64" s="5" t="s">
        <v>178</v>
      </c>
      <c r="G64" s="8" t="n">
        <v>1.5</v>
      </c>
      <c r="H64" s="5" t="s">
        <v>179</v>
      </c>
      <c r="I64" s="8" t="s">
        <v>887</v>
      </c>
      <c r="J64" s="5" t="s">
        <v>32</v>
      </c>
      <c r="K64" s="5" t="n">
        <v>2012</v>
      </c>
      <c r="L64" s="5" t="n">
        <v>12</v>
      </c>
      <c r="M64" s="6" t="s">
        <v>33</v>
      </c>
      <c r="N64" s="8" t="s">
        <v>1</v>
      </c>
    </row>
    <row r="65" customFormat="false" ht="22.5" hidden="false" customHeight="false" outlineLevel="0" collapsed="false">
      <c r="A65" s="5" t="n">
        <f aca="false">IF(B65&lt;&gt;"", COUNTA($B$2:B65), "")</f>
        <v>64</v>
      </c>
      <c r="B65" s="6" t="s">
        <v>64</v>
      </c>
      <c r="C65" s="6" t="s">
        <v>180</v>
      </c>
      <c r="D65" s="6" t="s">
        <v>901</v>
      </c>
      <c r="E65" s="19" t="s">
        <v>902</v>
      </c>
      <c r="F65" s="19" t="s">
        <v>67</v>
      </c>
      <c r="G65" s="19" t="s">
        <v>68</v>
      </c>
      <c r="H65" s="6" t="s">
        <v>183</v>
      </c>
      <c r="I65" s="8" t="s">
        <v>887</v>
      </c>
      <c r="J65" s="5" t="s">
        <v>32</v>
      </c>
      <c r="K65" s="5"/>
      <c r="L65" s="5"/>
      <c r="M65" s="6"/>
      <c r="N65" s="8"/>
    </row>
    <row r="66" customFormat="false" ht="22.5" hidden="false" customHeight="false" outlineLevel="0" collapsed="false">
      <c r="A66" s="5" t="n">
        <f aca="false">IF(B66&lt;&gt;"", COUNTA($B$2:B66), "")</f>
        <v>65</v>
      </c>
      <c r="B66" s="6" t="s">
        <v>64</v>
      </c>
      <c r="C66" s="6" t="s">
        <v>180</v>
      </c>
      <c r="D66" s="6" t="s">
        <v>903</v>
      </c>
      <c r="E66" s="19" t="s">
        <v>902</v>
      </c>
      <c r="F66" s="19" t="s">
        <v>67</v>
      </c>
      <c r="G66" s="19" t="s">
        <v>68</v>
      </c>
      <c r="H66" s="6" t="s">
        <v>185</v>
      </c>
      <c r="I66" s="8" t="s">
        <v>887</v>
      </c>
      <c r="J66" s="5" t="s">
        <v>32</v>
      </c>
      <c r="K66" s="5"/>
      <c r="L66" s="5"/>
      <c r="M66" s="6"/>
      <c r="N66" s="8"/>
    </row>
    <row r="67" customFormat="false" ht="22.5" hidden="false" customHeight="false" outlineLevel="0" collapsed="false">
      <c r="A67" s="5" t="n">
        <f aca="false">IF(B67&lt;&gt;"", COUNTA($B$2:B67), "")</f>
        <v>66</v>
      </c>
      <c r="B67" s="18" t="s">
        <v>57</v>
      </c>
      <c r="C67" s="5" t="s">
        <v>186</v>
      </c>
      <c r="D67" s="5" t="s">
        <v>904</v>
      </c>
      <c r="E67" s="16" t="n">
        <v>2012</v>
      </c>
      <c r="F67" s="12" t="s">
        <v>188</v>
      </c>
      <c r="G67" s="19" t="s">
        <v>905</v>
      </c>
      <c r="H67" s="5" t="s">
        <v>189</v>
      </c>
      <c r="I67" s="8" t="s">
        <v>887</v>
      </c>
      <c r="J67" s="5" t="s">
        <v>32</v>
      </c>
      <c r="K67" s="5" t="n">
        <v>2012</v>
      </c>
      <c r="L67" s="12" t="n">
        <v>60</v>
      </c>
      <c r="M67" s="6" t="s">
        <v>906</v>
      </c>
      <c r="N67" s="8" t="s">
        <v>1</v>
      </c>
    </row>
    <row r="68" customFormat="false" ht="22.5" hidden="false" customHeight="false" outlineLevel="0" collapsed="false">
      <c r="A68" s="5" t="n">
        <f aca="false">IF(B68&lt;&gt;"", COUNTA($B$2:B68), "")</f>
        <v>67</v>
      </c>
      <c r="B68" s="18" t="s">
        <v>57</v>
      </c>
      <c r="C68" s="5" t="s">
        <v>190</v>
      </c>
      <c r="D68" s="5" t="s">
        <v>907</v>
      </c>
      <c r="E68" s="16" t="n">
        <v>2012</v>
      </c>
      <c r="F68" s="12" t="s">
        <v>192</v>
      </c>
      <c r="G68" s="19" t="s">
        <v>908</v>
      </c>
      <c r="H68" s="5" t="s">
        <v>193</v>
      </c>
      <c r="I68" s="8" t="s">
        <v>887</v>
      </c>
      <c r="J68" s="5" t="s">
        <v>32</v>
      </c>
      <c r="K68" s="5" t="n">
        <v>2012</v>
      </c>
      <c r="L68" s="12" t="n">
        <v>60</v>
      </c>
      <c r="M68" s="6" t="s">
        <v>906</v>
      </c>
      <c r="N68" s="8" t="s">
        <v>1</v>
      </c>
    </row>
    <row r="69" customFormat="false" ht="15" hidden="false" customHeight="false" outlineLevel="0" collapsed="false">
      <c r="A69" s="5" t="n">
        <f aca="false">IF(B69&lt;&gt;"", COUNTA($B$2:B69), "")</f>
        <v>68</v>
      </c>
      <c r="B69" s="6" t="s">
        <v>64</v>
      </c>
      <c r="C69" s="6" t="s">
        <v>909</v>
      </c>
      <c r="D69" s="6" t="s">
        <v>910</v>
      </c>
      <c r="E69" s="19" t="s">
        <v>200</v>
      </c>
      <c r="F69" s="19" t="s">
        <v>195</v>
      </c>
      <c r="G69" s="19" t="s">
        <v>68</v>
      </c>
      <c r="H69" s="6" t="s">
        <v>196</v>
      </c>
      <c r="I69" s="5" t="s">
        <v>911</v>
      </c>
      <c r="J69" s="5" t="s">
        <v>32</v>
      </c>
      <c r="K69" s="5"/>
      <c r="L69" s="5"/>
      <c r="M69" s="6"/>
      <c r="N69" s="8"/>
    </row>
    <row r="70" customFormat="false" ht="15" hidden="false" customHeight="false" outlineLevel="0" collapsed="false">
      <c r="A70" s="5" t="n">
        <f aca="false">IF(B70&lt;&gt;"", COUNTA($B$2:B70), "")</f>
        <v>69</v>
      </c>
      <c r="B70" s="6" t="s">
        <v>64</v>
      </c>
      <c r="C70" s="19" t="s">
        <v>198</v>
      </c>
      <c r="D70" s="6" t="s">
        <v>912</v>
      </c>
      <c r="E70" s="16" t="n">
        <v>2011</v>
      </c>
      <c r="F70" s="19" t="s">
        <v>201</v>
      </c>
      <c r="G70" s="19" t="s">
        <v>68</v>
      </c>
      <c r="H70" s="6" t="s">
        <v>202</v>
      </c>
      <c r="I70" s="5" t="s">
        <v>911</v>
      </c>
      <c r="J70" s="5" t="s">
        <v>32</v>
      </c>
      <c r="K70" s="5" t="n">
        <v>2012</v>
      </c>
      <c r="L70" s="12" t="n">
        <v>36</v>
      </c>
      <c r="M70" s="6"/>
      <c r="N70" s="8"/>
    </row>
    <row r="71" customFormat="false" ht="15" hidden="false" customHeight="false" outlineLevel="0" collapsed="false">
      <c r="A71" s="5" t="n">
        <f aca="false">IF(B71&lt;&gt;"", COUNTA($B$2:B71), "")</f>
        <v>70</v>
      </c>
      <c r="B71" s="6" t="s">
        <v>64</v>
      </c>
      <c r="C71" s="6" t="s">
        <v>913</v>
      </c>
      <c r="D71" s="6" t="s">
        <v>914</v>
      </c>
      <c r="E71" s="19" t="s">
        <v>200</v>
      </c>
      <c r="F71" s="19" t="s">
        <v>195</v>
      </c>
      <c r="G71" s="19" t="s">
        <v>68</v>
      </c>
      <c r="H71" s="6" t="s">
        <v>204</v>
      </c>
      <c r="I71" s="5" t="s">
        <v>911</v>
      </c>
      <c r="J71" s="5" t="s">
        <v>32</v>
      </c>
      <c r="K71" s="5"/>
      <c r="L71" s="5"/>
      <c r="M71" s="6"/>
      <c r="N71" s="8"/>
    </row>
    <row r="72" customFormat="false" ht="22.5" hidden="false" customHeight="false" outlineLevel="0" collapsed="false">
      <c r="A72" s="5" t="n">
        <f aca="false">IF(B72&lt;&gt;"", COUNTA($B$2:B72), "")</f>
        <v>71</v>
      </c>
      <c r="B72" s="6" t="s">
        <v>64</v>
      </c>
      <c r="C72" s="19" t="s">
        <v>203</v>
      </c>
      <c r="D72" s="17" t="n">
        <v>10</v>
      </c>
      <c r="E72" s="17" t="n">
        <v>2013</v>
      </c>
      <c r="F72" s="19" t="s">
        <v>201</v>
      </c>
      <c r="G72" s="19" t="s">
        <v>68</v>
      </c>
      <c r="H72" s="19" t="s">
        <v>206</v>
      </c>
      <c r="I72" s="5" t="s">
        <v>911</v>
      </c>
      <c r="J72" s="5" t="s">
        <v>32</v>
      </c>
      <c r="K72" s="5" t="n">
        <v>2012</v>
      </c>
      <c r="L72" s="12" t="n">
        <v>24</v>
      </c>
      <c r="M72" s="6"/>
      <c r="N72" s="8"/>
    </row>
    <row r="73" customFormat="false" ht="22.5" hidden="false" customHeight="false" outlineLevel="0" collapsed="false">
      <c r="A73" s="5" t="n">
        <f aca="false">IF(B73&lt;&gt;"", COUNTA($B$2:B73), "")</f>
        <v>72</v>
      </c>
      <c r="B73" s="7" t="s">
        <v>207</v>
      </c>
      <c r="C73" s="8" t="s">
        <v>208</v>
      </c>
      <c r="D73" s="10" t="n">
        <v>124602</v>
      </c>
      <c r="E73" s="8" t="n">
        <v>2011</v>
      </c>
      <c r="F73" s="16" t="s">
        <v>209</v>
      </c>
      <c r="G73" s="8"/>
      <c r="H73" s="5" t="s">
        <v>210</v>
      </c>
      <c r="I73" s="5" t="s">
        <v>911</v>
      </c>
      <c r="J73" s="5" t="s">
        <v>32</v>
      </c>
      <c r="K73" s="5" t="n">
        <v>2012</v>
      </c>
      <c r="L73" s="5"/>
      <c r="M73" s="6"/>
      <c r="N73" s="8"/>
    </row>
    <row r="74" customFormat="false" ht="22.5" hidden="false" customHeight="false" outlineLevel="0" collapsed="false">
      <c r="A74" s="5" t="n">
        <f aca="false">IF(B74&lt;&gt;"", COUNTA($B$2:B74), "")</f>
        <v>73</v>
      </c>
      <c r="B74" s="7" t="s">
        <v>207</v>
      </c>
      <c r="C74" s="8" t="s">
        <v>208</v>
      </c>
      <c r="D74" s="10" t="n">
        <v>124780</v>
      </c>
      <c r="E74" s="8" t="n">
        <v>2011</v>
      </c>
      <c r="F74" s="16" t="s">
        <v>211</v>
      </c>
      <c r="G74" s="8"/>
      <c r="H74" s="5" t="s">
        <v>212</v>
      </c>
      <c r="I74" s="5" t="s">
        <v>911</v>
      </c>
      <c r="J74" s="5" t="s">
        <v>32</v>
      </c>
      <c r="K74" s="5" t="n">
        <v>2012</v>
      </c>
      <c r="L74" s="5"/>
      <c r="M74" s="6"/>
      <c r="N74" s="8"/>
    </row>
    <row r="75" customFormat="false" ht="22.5" hidden="false" customHeight="false" outlineLevel="0" collapsed="false">
      <c r="A75" s="5" t="n">
        <f aca="false">IF(B75&lt;&gt;"", COUNTA($B$2:B75), "")</f>
        <v>74</v>
      </c>
      <c r="B75" s="7" t="s">
        <v>207</v>
      </c>
      <c r="C75" s="8" t="s">
        <v>213</v>
      </c>
      <c r="D75" s="10" t="n">
        <v>257619</v>
      </c>
      <c r="E75" s="8" t="n">
        <v>2015</v>
      </c>
      <c r="F75" s="16" t="s">
        <v>214</v>
      </c>
      <c r="G75" s="8"/>
      <c r="H75" s="5" t="s">
        <v>215</v>
      </c>
      <c r="I75" s="5" t="s">
        <v>911</v>
      </c>
      <c r="J75" s="5" t="s">
        <v>32</v>
      </c>
      <c r="K75" s="5" t="n">
        <v>2012</v>
      </c>
      <c r="L75" s="5"/>
      <c r="M75" s="6"/>
      <c r="N75" s="8"/>
    </row>
    <row r="76" customFormat="false" ht="22.5" hidden="false" customHeight="false" outlineLevel="0" collapsed="false">
      <c r="A76" s="5" t="n">
        <f aca="false">IF(B76&lt;&gt;"", COUNTA($B$2:B76), "")</f>
        <v>75</v>
      </c>
      <c r="B76" s="7" t="s">
        <v>207</v>
      </c>
      <c r="C76" s="8" t="s">
        <v>208</v>
      </c>
      <c r="D76" s="10" t="n">
        <v>124601</v>
      </c>
      <c r="E76" s="8" t="n">
        <v>2011</v>
      </c>
      <c r="F76" s="16" t="s">
        <v>209</v>
      </c>
      <c r="G76" s="8"/>
      <c r="H76" s="5" t="s">
        <v>216</v>
      </c>
      <c r="I76" s="5" t="s">
        <v>911</v>
      </c>
      <c r="J76" s="5" t="s">
        <v>32</v>
      </c>
      <c r="K76" s="5" t="n">
        <v>2012</v>
      </c>
      <c r="L76" s="5"/>
      <c r="M76" s="6"/>
      <c r="N76" s="8"/>
    </row>
    <row r="77" customFormat="false" ht="15" hidden="false" customHeight="false" outlineLevel="0" collapsed="false">
      <c r="A77" s="5" t="n">
        <f aca="false">IF(B77&lt;&gt;"", COUNTA($B$2:B77), "")</f>
        <v>76</v>
      </c>
      <c r="B77" s="7" t="s">
        <v>207</v>
      </c>
      <c r="C77" s="8" t="s">
        <v>213</v>
      </c>
      <c r="D77" s="10" t="n">
        <v>122937</v>
      </c>
      <c r="E77" s="8" t="n">
        <v>2011</v>
      </c>
      <c r="F77" s="16" t="s">
        <v>217</v>
      </c>
      <c r="G77" s="8"/>
      <c r="H77" s="5" t="s">
        <v>218</v>
      </c>
      <c r="I77" s="5" t="s">
        <v>911</v>
      </c>
      <c r="J77" s="5" t="s">
        <v>32</v>
      </c>
      <c r="K77" s="5" t="n">
        <v>2012</v>
      </c>
      <c r="L77" s="5"/>
      <c r="M77" s="6"/>
      <c r="N77" s="8"/>
    </row>
    <row r="78" customFormat="false" ht="33.75" hidden="false" customHeight="false" outlineLevel="0" collapsed="false">
      <c r="A78" s="5" t="n">
        <f aca="false">IF(B78&lt;&gt;"", COUNTA($B$2:B78), "")</f>
        <v>77</v>
      </c>
      <c r="B78" s="6" t="s">
        <v>64</v>
      </c>
      <c r="C78" s="6" t="s">
        <v>65</v>
      </c>
      <c r="D78" s="6" t="s">
        <v>915</v>
      </c>
      <c r="E78" s="19" t="s">
        <v>200</v>
      </c>
      <c r="F78" s="19" t="s">
        <v>67</v>
      </c>
      <c r="G78" s="19" t="s">
        <v>68</v>
      </c>
      <c r="H78" s="6" t="s">
        <v>220</v>
      </c>
      <c r="I78" s="5" t="s">
        <v>911</v>
      </c>
      <c r="J78" s="5" t="s">
        <v>32</v>
      </c>
      <c r="K78" s="5"/>
      <c r="L78" s="5"/>
      <c r="M78" s="6"/>
      <c r="N78" s="8"/>
    </row>
    <row r="79" customFormat="false" ht="15" hidden="false" customHeight="false" outlineLevel="0" collapsed="false">
      <c r="A79" s="5" t="n">
        <f aca="false">IF(B79&lt;&gt;"", COUNTA($B$2:B79), "")</f>
        <v>78</v>
      </c>
      <c r="B79" s="6" t="s">
        <v>221</v>
      </c>
      <c r="C79" s="5" t="s">
        <v>222</v>
      </c>
      <c r="D79" s="5" t="s">
        <v>916</v>
      </c>
      <c r="E79" s="17" t="n">
        <v>2011</v>
      </c>
      <c r="F79" s="12" t="s">
        <v>224</v>
      </c>
      <c r="G79" s="32" t="n">
        <v>0.03</v>
      </c>
      <c r="H79" s="5" t="s">
        <v>225</v>
      </c>
      <c r="I79" s="5" t="s">
        <v>911</v>
      </c>
      <c r="J79" s="5" t="s">
        <v>32</v>
      </c>
      <c r="K79" s="5" t="n">
        <v>2012</v>
      </c>
      <c r="L79" s="12" t="n">
        <v>36</v>
      </c>
      <c r="M79" s="6"/>
      <c r="N79" s="8"/>
    </row>
    <row r="80" customFormat="false" ht="22.5" hidden="false" customHeight="false" outlineLevel="0" collapsed="false">
      <c r="A80" s="5" t="n">
        <f aca="false">IF(B80&lt;&gt;"", COUNTA($B$2:B80), "")</f>
        <v>79</v>
      </c>
      <c r="B80" s="18" t="s">
        <v>57</v>
      </c>
      <c r="C80" s="5" t="s">
        <v>226</v>
      </c>
      <c r="D80" s="5" t="n">
        <v>1009062</v>
      </c>
      <c r="E80" s="17" t="n">
        <v>2011</v>
      </c>
      <c r="F80" s="12" t="s">
        <v>227</v>
      </c>
      <c r="G80" s="19" t="s">
        <v>917</v>
      </c>
      <c r="H80" s="5" t="s">
        <v>228</v>
      </c>
      <c r="I80" s="5" t="s">
        <v>911</v>
      </c>
      <c r="J80" s="5" t="s">
        <v>32</v>
      </c>
      <c r="K80" s="5" t="n">
        <v>2012</v>
      </c>
      <c r="L80" s="12" t="n">
        <v>36</v>
      </c>
      <c r="M80" s="6" t="s">
        <v>906</v>
      </c>
      <c r="N80" s="8" t="s">
        <v>1</v>
      </c>
    </row>
    <row r="81" customFormat="false" ht="22.5" hidden="false" customHeight="false" outlineLevel="0" collapsed="false">
      <c r="A81" s="5" t="n">
        <f aca="false">IF(B81&lt;&gt;"", COUNTA($B$2:B81), "")</f>
        <v>80</v>
      </c>
      <c r="B81" s="18" t="s">
        <v>57</v>
      </c>
      <c r="C81" s="5" t="s">
        <v>226</v>
      </c>
      <c r="D81" s="5" t="n">
        <v>1066249</v>
      </c>
      <c r="E81" s="17" t="n">
        <v>2011</v>
      </c>
      <c r="F81" s="12" t="s">
        <v>227</v>
      </c>
      <c r="G81" s="19" t="s">
        <v>917</v>
      </c>
      <c r="H81" s="5" t="s">
        <v>229</v>
      </c>
      <c r="I81" s="5" t="s">
        <v>911</v>
      </c>
      <c r="J81" s="5" t="s">
        <v>32</v>
      </c>
      <c r="K81" s="5" t="n">
        <v>2012</v>
      </c>
      <c r="L81" s="12" t="n">
        <v>36</v>
      </c>
      <c r="M81" s="6" t="s">
        <v>906</v>
      </c>
      <c r="N81" s="8" t="s">
        <v>1</v>
      </c>
    </row>
    <row r="82" customFormat="false" ht="22.5" hidden="false" customHeight="false" outlineLevel="0" collapsed="false">
      <c r="A82" s="5" t="n">
        <f aca="false">IF(B82&lt;&gt;"", COUNTA($B$2:B82), "")</f>
        <v>81</v>
      </c>
      <c r="B82" s="18" t="s">
        <v>57</v>
      </c>
      <c r="C82" s="12" t="s">
        <v>230</v>
      </c>
      <c r="D82" s="12" t="n">
        <v>6112273</v>
      </c>
      <c r="E82" s="16" t="n">
        <v>2019</v>
      </c>
      <c r="F82" s="12" t="s">
        <v>192</v>
      </c>
      <c r="G82" s="19" t="s">
        <v>917</v>
      </c>
      <c r="H82" s="12" t="s">
        <v>232</v>
      </c>
      <c r="I82" s="5" t="s">
        <v>911</v>
      </c>
      <c r="J82" s="5" t="s">
        <v>32</v>
      </c>
      <c r="K82" s="5" t="n">
        <v>2019</v>
      </c>
      <c r="L82" s="12"/>
      <c r="M82" s="6"/>
      <c r="N82" s="8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18" t="s">
        <v>57</v>
      </c>
      <c r="C83" s="12" t="s">
        <v>233</v>
      </c>
      <c r="D83" s="12" t="n">
        <v>6112270</v>
      </c>
      <c r="E83" s="16" t="n">
        <v>2019</v>
      </c>
      <c r="F83" s="12" t="s">
        <v>234</v>
      </c>
      <c r="G83" s="19" t="s">
        <v>917</v>
      </c>
      <c r="H83" s="12" t="s">
        <v>235</v>
      </c>
      <c r="I83" s="5" t="s">
        <v>911</v>
      </c>
      <c r="J83" s="5" t="s">
        <v>32</v>
      </c>
      <c r="K83" s="5" t="n">
        <v>2019</v>
      </c>
      <c r="L83" s="12"/>
      <c r="M83" s="6"/>
      <c r="N83" s="8"/>
    </row>
    <row r="84" customFormat="false" ht="22.5" hidden="false" customHeight="false" outlineLevel="0" collapsed="false">
      <c r="A84" s="5" t="n">
        <f aca="false">IF(B84&lt;&gt;"", COUNTA($B$2:B84), "")</f>
        <v>83</v>
      </c>
      <c r="B84" s="18" t="s">
        <v>57</v>
      </c>
      <c r="C84" s="5" t="s">
        <v>768</v>
      </c>
      <c r="D84" s="5" t="n">
        <v>1372838</v>
      </c>
      <c r="E84" s="17" t="n">
        <v>2011</v>
      </c>
      <c r="F84" s="12" t="s">
        <v>238</v>
      </c>
      <c r="G84" s="19" t="s">
        <v>917</v>
      </c>
      <c r="H84" s="5" t="s">
        <v>239</v>
      </c>
      <c r="I84" s="5" t="s">
        <v>911</v>
      </c>
      <c r="J84" s="5" t="s">
        <v>32</v>
      </c>
      <c r="K84" s="5" t="n">
        <v>2012</v>
      </c>
      <c r="L84" s="12" t="n">
        <v>36</v>
      </c>
      <c r="M84" s="6" t="s">
        <v>906</v>
      </c>
      <c r="N84" s="8" t="s">
        <v>1</v>
      </c>
    </row>
    <row r="85" customFormat="false" ht="22.5" hidden="false" customHeight="false" outlineLevel="0" collapsed="false">
      <c r="A85" s="5" t="n">
        <f aca="false">IF(B85&lt;&gt;"", COUNTA($B$2:B85), "")</f>
        <v>84</v>
      </c>
      <c r="B85" s="18" t="s">
        <v>57</v>
      </c>
      <c r="C85" s="5" t="s">
        <v>240</v>
      </c>
      <c r="D85" s="5" t="n">
        <v>1051197</v>
      </c>
      <c r="E85" s="17" t="n">
        <v>2011</v>
      </c>
      <c r="F85" s="12" t="s">
        <v>241</v>
      </c>
      <c r="G85" s="19" t="s">
        <v>917</v>
      </c>
      <c r="H85" s="5" t="s">
        <v>242</v>
      </c>
      <c r="I85" s="5" t="s">
        <v>911</v>
      </c>
      <c r="J85" s="5" t="s">
        <v>32</v>
      </c>
      <c r="K85" s="5" t="n">
        <v>2012</v>
      </c>
      <c r="L85" s="12" t="n">
        <v>36</v>
      </c>
      <c r="M85" s="6" t="s">
        <v>906</v>
      </c>
      <c r="N85" s="8" t="s">
        <v>1</v>
      </c>
    </row>
    <row r="86" customFormat="false" ht="22.5" hidden="false" customHeight="false" outlineLevel="0" collapsed="false">
      <c r="A86" s="5" t="n">
        <f aca="false">IF(B86&lt;&gt;"", COUNTA($B$2:B86), "")</f>
        <v>85</v>
      </c>
      <c r="B86" s="18" t="s">
        <v>57</v>
      </c>
      <c r="C86" s="5" t="s">
        <v>243</v>
      </c>
      <c r="D86" s="5" t="n">
        <v>1372828</v>
      </c>
      <c r="E86" s="17" t="n">
        <v>2011</v>
      </c>
      <c r="F86" s="12" t="s">
        <v>244</v>
      </c>
      <c r="G86" s="19" t="s">
        <v>917</v>
      </c>
      <c r="H86" s="5" t="s">
        <v>245</v>
      </c>
      <c r="I86" s="5" t="s">
        <v>911</v>
      </c>
      <c r="J86" s="5" t="s">
        <v>32</v>
      </c>
      <c r="K86" s="5" t="n">
        <v>2012</v>
      </c>
      <c r="L86" s="12" t="n">
        <v>36</v>
      </c>
      <c r="M86" s="6" t="s">
        <v>906</v>
      </c>
      <c r="N86" s="8" t="s">
        <v>1</v>
      </c>
    </row>
    <row r="87" customFormat="false" ht="22.5" hidden="false" customHeight="false" outlineLevel="0" collapsed="false">
      <c r="A87" s="5" t="n">
        <f aca="false">IF(B87&lt;&gt;"", COUNTA($B$2:B87), "")</f>
        <v>86</v>
      </c>
      <c r="B87" s="18" t="s">
        <v>57</v>
      </c>
      <c r="C87" s="5" t="s">
        <v>243</v>
      </c>
      <c r="D87" s="5" t="n">
        <v>1372830</v>
      </c>
      <c r="E87" s="17" t="n">
        <v>2011</v>
      </c>
      <c r="F87" s="12" t="s">
        <v>246</v>
      </c>
      <c r="G87" s="19" t="s">
        <v>917</v>
      </c>
      <c r="H87" s="5" t="s">
        <v>247</v>
      </c>
      <c r="I87" s="5" t="s">
        <v>911</v>
      </c>
      <c r="J87" s="5" t="s">
        <v>32</v>
      </c>
      <c r="K87" s="5" t="n">
        <v>2012</v>
      </c>
      <c r="L87" s="12" t="n">
        <v>36</v>
      </c>
      <c r="M87" s="6" t="s">
        <v>906</v>
      </c>
      <c r="N87" s="8" t="s">
        <v>1</v>
      </c>
    </row>
    <row r="88" customFormat="false" ht="22.5" hidden="false" customHeight="false" outlineLevel="0" collapsed="false">
      <c r="A88" s="5" t="n">
        <f aca="false">IF(B88&lt;&gt;"", COUNTA($B$2:B88), "")</f>
        <v>87</v>
      </c>
      <c r="B88" s="18" t="s">
        <v>57</v>
      </c>
      <c r="C88" s="5" t="s">
        <v>190</v>
      </c>
      <c r="D88" s="5" t="s">
        <v>918</v>
      </c>
      <c r="E88" s="16" t="n">
        <v>2012</v>
      </c>
      <c r="F88" s="12" t="s">
        <v>192</v>
      </c>
      <c r="G88" s="19" t="s">
        <v>908</v>
      </c>
      <c r="H88" s="5" t="s">
        <v>249</v>
      </c>
      <c r="I88" s="5" t="s">
        <v>911</v>
      </c>
      <c r="J88" s="5" t="s">
        <v>32</v>
      </c>
      <c r="K88" s="5" t="n">
        <v>2012</v>
      </c>
      <c r="L88" s="12" t="n">
        <v>60</v>
      </c>
      <c r="M88" s="6" t="s">
        <v>906</v>
      </c>
      <c r="N88" s="8" t="s">
        <v>1</v>
      </c>
    </row>
    <row r="89" customFormat="false" ht="22.5" hidden="false" customHeight="false" outlineLevel="0" collapsed="false">
      <c r="A89" s="5" t="n">
        <f aca="false">IF(B89&lt;&gt;"", COUNTA($B$2:B89), "")</f>
        <v>88</v>
      </c>
      <c r="B89" s="18" t="s">
        <v>57</v>
      </c>
      <c r="C89" s="5" t="s">
        <v>186</v>
      </c>
      <c r="D89" s="5" t="s">
        <v>919</v>
      </c>
      <c r="E89" s="16" t="n">
        <v>2012</v>
      </c>
      <c r="F89" s="12" t="s">
        <v>251</v>
      </c>
      <c r="G89" s="19" t="s">
        <v>905</v>
      </c>
      <c r="H89" s="5" t="s">
        <v>252</v>
      </c>
      <c r="I89" s="5" t="s">
        <v>911</v>
      </c>
      <c r="J89" s="5" t="s">
        <v>32</v>
      </c>
      <c r="K89" s="5" t="n">
        <v>2012</v>
      </c>
      <c r="L89" s="12" t="n">
        <v>60</v>
      </c>
      <c r="M89" s="6" t="s">
        <v>906</v>
      </c>
      <c r="N89" s="8" t="s">
        <v>1</v>
      </c>
    </row>
    <row r="90" customFormat="false" ht="22.5" hidden="false" customHeight="false" outlineLevel="0" collapsed="false">
      <c r="A90" s="5" t="n">
        <f aca="false">IF(B90&lt;&gt;"", COUNTA($B$2:B90), "")</f>
        <v>89</v>
      </c>
      <c r="B90" s="18" t="s">
        <v>57</v>
      </c>
      <c r="C90" s="5" t="s">
        <v>186</v>
      </c>
      <c r="D90" s="5" t="s">
        <v>920</v>
      </c>
      <c r="E90" s="16" t="n">
        <v>2012</v>
      </c>
      <c r="F90" s="12" t="s">
        <v>254</v>
      </c>
      <c r="G90" s="19" t="s">
        <v>905</v>
      </c>
      <c r="H90" s="5" t="s">
        <v>255</v>
      </c>
      <c r="I90" s="5" t="s">
        <v>911</v>
      </c>
      <c r="J90" s="5" t="s">
        <v>32</v>
      </c>
      <c r="K90" s="5" t="n">
        <v>2012</v>
      </c>
      <c r="L90" s="12" t="n">
        <v>60</v>
      </c>
      <c r="M90" s="6" t="s">
        <v>906</v>
      </c>
      <c r="N90" s="8" t="s">
        <v>1</v>
      </c>
    </row>
    <row r="91" customFormat="false" ht="22.5" hidden="false" customHeight="false" outlineLevel="0" collapsed="false">
      <c r="A91" s="5" t="n">
        <f aca="false">IF(B91&lt;&gt;"", COUNTA($B$2:B91), "")</f>
        <v>90</v>
      </c>
      <c r="B91" s="18" t="s">
        <v>57</v>
      </c>
      <c r="C91" s="5" t="s">
        <v>58</v>
      </c>
      <c r="D91" s="5" t="s">
        <v>921</v>
      </c>
      <c r="E91" s="16" t="n">
        <v>2010</v>
      </c>
      <c r="F91" s="12" t="s">
        <v>257</v>
      </c>
      <c r="G91" s="12" t="n">
        <v>0.075</v>
      </c>
      <c r="H91" s="5" t="s">
        <v>258</v>
      </c>
      <c r="I91" s="5" t="s">
        <v>911</v>
      </c>
      <c r="J91" s="5" t="s">
        <v>32</v>
      </c>
      <c r="K91" s="5" t="n">
        <v>2012</v>
      </c>
      <c r="L91" s="12" t="n">
        <v>36</v>
      </c>
      <c r="M91" s="6" t="s">
        <v>866</v>
      </c>
      <c r="N91" s="8" t="s">
        <v>1</v>
      </c>
    </row>
    <row r="92" customFormat="false" ht="22.5" hidden="false" customHeight="false" outlineLevel="0" collapsed="false">
      <c r="A92" s="5" t="n">
        <f aca="false">IF(B92&lt;&gt;"", COUNTA($B$2:B92), "")</f>
        <v>91</v>
      </c>
      <c r="B92" s="18" t="s">
        <v>57</v>
      </c>
      <c r="C92" s="5" t="s">
        <v>58</v>
      </c>
      <c r="D92" s="5" t="s">
        <v>922</v>
      </c>
      <c r="E92" s="17" t="n">
        <v>2011</v>
      </c>
      <c r="F92" s="12" t="s">
        <v>260</v>
      </c>
      <c r="G92" s="12" t="n">
        <v>0.075</v>
      </c>
      <c r="H92" s="5" t="s">
        <v>261</v>
      </c>
      <c r="I92" s="5" t="s">
        <v>911</v>
      </c>
      <c r="J92" s="5" t="s">
        <v>32</v>
      </c>
      <c r="K92" s="5" t="n">
        <v>2012</v>
      </c>
      <c r="L92" s="12" t="n">
        <v>36</v>
      </c>
      <c r="M92" s="6" t="s">
        <v>866</v>
      </c>
      <c r="N92" s="8" t="s">
        <v>1</v>
      </c>
    </row>
    <row r="93" customFormat="false" ht="22.5" hidden="false" customHeight="false" outlineLevel="0" collapsed="false">
      <c r="A93" s="5" t="n">
        <f aca="false">IF(B93&lt;&gt;"", COUNTA($B$2:B93), "")</f>
        <v>92</v>
      </c>
      <c r="B93" s="18" t="s">
        <v>57</v>
      </c>
      <c r="C93" s="5" t="s">
        <v>58</v>
      </c>
      <c r="D93" s="5" t="s">
        <v>923</v>
      </c>
      <c r="E93" s="17" t="n">
        <v>2011</v>
      </c>
      <c r="F93" s="12" t="s">
        <v>192</v>
      </c>
      <c r="G93" s="12" t="n">
        <v>0.075</v>
      </c>
      <c r="H93" s="5" t="s">
        <v>263</v>
      </c>
      <c r="I93" s="5" t="s">
        <v>911</v>
      </c>
      <c r="J93" s="5" t="s">
        <v>32</v>
      </c>
      <c r="K93" s="5" t="n">
        <v>2012</v>
      </c>
      <c r="L93" s="12" t="n">
        <v>36</v>
      </c>
      <c r="M93" s="6" t="s">
        <v>866</v>
      </c>
      <c r="N93" s="8" t="s">
        <v>1</v>
      </c>
    </row>
    <row r="94" customFormat="false" ht="22.5" hidden="false" customHeight="false" outlineLevel="0" collapsed="false">
      <c r="A94" s="5" t="n">
        <f aca="false">IF(B94&lt;&gt;"", COUNTA($B$2:B94), "")</f>
        <v>93</v>
      </c>
      <c r="B94" s="18" t="s">
        <v>57</v>
      </c>
      <c r="C94" s="5" t="s">
        <v>58</v>
      </c>
      <c r="D94" s="5" t="s">
        <v>924</v>
      </c>
      <c r="E94" s="16" t="n">
        <v>2010</v>
      </c>
      <c r="F94" s="6" t="s">
        <v>260</v>
      </c>
      <c r="G94" s="12" t="n">
        <v>0.075</v>
      </c>
      <c r="H94" s="5" t="s">
        <v>265</v>
      </c>
      <c r="I94" s="5" t="s">
        <v>911</v>
      </c>
      <c r="J94" s="5" t="s">
        <v>32</v>
      </c>
      <c r="K94" s="5" t="n">
        <v>2012</v>
      </c>
      <c r="L94" s="12" t="n">
        <v>36</v>
      </c>
      <c r="M94" s="6" t="s">
        <v>866</v>
      </c>
      <c r="N94" s="8" t="s">
        <v>1</v>
      </c>
    </row>
    <row r="95" customFormat="false" ht="22.5" hidden="false" customHeight="false" outlineLevel="0" collapsed="false">
      <c r="A95" s="5" t="n">
        <f aca="false">IF(B95&lt;&gt;"", COUNTA($B$2:B95), "")</f>
        <v>94</v>
      </c>
      <c r="B95" s="18" t="s">
        <v>57</v>
      </c>
      <c r="C95" s="5" t="s">
        <v>58</v>
      </c>
      <c r="D95" s="5" t="s">
        <v>925</v>
      </c>
      <c r="E95" s="17" t="n">
        <v>2011</v>
      </c>
      <c r="F95" s="6" t="s">
        <v>260</v>
      </c>
      <c r="G95" s="12" t="n">
        <v>0.075</v>
      </c>
      <c r="H95" s="5" t="s">
        <v>267</v>
      </c>
      <c r="I95" s="5" t="s">
        <v>911</v>
      </c>
      <c r="J95" s="5" t="s">
        <v>32</v>
      </c>
      <c r="K95" s="5" t="n">
        <v>2012</v>
      </c>
      <c r="L95" s="12" t="n">
        <v>36</v>
      </c>
      <c r="M95" s="6" t="s">
        <v>866</v>
      </c>
      <c r="N95" s="8" t="s">
        <v>1</v>
      </c>
    </row>
    <row r="96" customFormat="false" ht="33.75" hidden="false" customHeight="false" outlineLevel="0" collapsed="false">
      <c r="A96" s="5" t="n">
        <f aca="false">IF(B96&lt;&gt;"", COUNTA($B$2:B96), "")</f>
        <v>95</v>
      </c>
      <c r="B96" s="18" t="s">
        <v>57</v>
      </c>
      <c r="C96" s="5" t="s">
        <v>58</v>
      </c>
      <c r="D96" s="5" t="s">
        <v>926</v>
      </c>
      <c r="E96" s="17" t="n">
        <v>2011</v>
      </c>
      <c r="F96" s="6" t="s">
        <v>260</v>
      </c>
      <c r="G96" s="12" t="n">
        <v>0.075</v>
      </c>
      <c r="H96" s="5" t="s">
        <v>269</v>
      </c>
      <c r="I96" s="5" t="s">
        <v>911</v>
      </c>
      <c r="J96" s="5" t="s">
        <v>32</v>
      </c>
      <c r="K96" s="5" t="n">
        <v>2012</v>
      </c>
      <c r="L96" s="12" t="n">
        <v>36</v>
      </c>
      <c r="M96" s="6" t="s">
        <v>866</v>
      </c>
      <c r="N96" s="8" t="s">
        <v>1</v>
      </c>
    </row>
    <row r="97" customFormat="false" ht="22.5" hidden="false" customHeight="false" outlineLevel="0" collapsed="false">
      <c r="A97" s="5" t="n">
        <f aca="false">IF(B97&lt;&gt;"", COUNTA($B$2:B97), "")</f>
        <v>96</v>
      </c>
      <c r="B97" s="18" t="s">
        <v>57</v>
      </c>
      <c r="C97" s="5" t="s">
        <v>58</v>
      </c>
      <c r="D97" s="5" t="s">
        <v>927</v>
      </c>
      <c r="E97" s="16" t="n">
        <v>2010</v>
      </c>
      <c r="F97" s="6" t="s">
        <v>271</v>
      </c>
      <c r="G97" s="12" t="n">
        <v>0.075</v>
      </c>
      <c r="H97" s="5" t="s">
        <v>272</v>
      </c>
      <c r="I97" s="5" t="s">
        <v>911</v>
      </c>
      <c r="J97" s="5" t="s">
        <v>32</v>
      </c>
      <c r="K97" s="5" t="n">
        <v>2012</v>
      </c>
      <c r="L97" s="12" t="n">
        <v>36</v>
      </c>
      <c r="M97" s="6" t="s">
        <v>866</v>
      </c>
      <c r="N97" s="8" t="s">
        <v>1</v>
      </c>
    </row>
    <row r="98" customFormat="false" ht="22.5" hidden="false" customHeight="false" outlineLevel="0" collapsed="false">
      <c r="A98" s="5" t="n">
        <f aca="false">IF(B98&lt;&gt;"", COUNTA($B$2:B98), "")</f>
        <v>97</v>
      </c>
      <c r="B98" s="18" t="s">
        <v>57</v>
      </c>
      <c r="C98" s="5" t="s">
        <v>273</v>
      </c>
      <c r="D98" s="5" t="s">
        <v>928</v>
      </c>
      <c r="E98" s="17" t="n">
        <v>2011</v>
      </c>
      <c r="F98" s="12" t="s">
        <v>275</v>
      </c>
      <c r="G98" s="12" t="n">
        <v>0.075</v>
      </c>
      <c r="H98" s="5" t="s">
        <v>276</v>
      </c>
      <c r="I98" s="5" t="s">
        <v>911</v>
      </c>
      <c r="J98" s="5" t="s">
        <v>32</v>
      </c>
      <c r="K98" s="5" t="n">
        <v>2012</v>
      </c>
      <c r="L98" s="12" t="n">
        <v>36</v>
      </c>
      <c r="M98" s="6" t="s">
        <v>866</v>
      </c>
      <c r="N98" s="8" t="s">
        <v>1</v>
      </c>
    </row>
    <row r="99" customFormat="false" ht="22.5" hidden="false" customHeight="false" outlineLevel="0" collapsed="false">
      <c r="A99" s="5" t="n">
        <f aca="false">IF(B99&lt;&gt;"", COUNTA($B$2:B99), "")</f>
        <v>98</v>
      </c>
      <c r="B99" s="18" t="s">
        <v>57</v>
      </c>
      <c r="C99" s="5" t="s">
        <v>273</v>
      </c>
      <c r="D99" s="5" t="s">
        <v>929</v>
      </c>
      <c r="E99" s="17" t="n">
        <v>2011</v>
      </c>
      <c r="F99" s="12" t="s">
        <v>275</v>
      </c>
      <c r="G99" s="12" t="n">
        <v>0.075</v>
      </c>
      <c r="H99" s="5" t="s">
        <v>278</v>
      </c>
      <c r="I99" s="5" t="s">
        <v>911</v>
      </c>
      <c r="J99" s="5" t="s">
        <v>32</v>
      </c>
      <c r="K99" s="5" t="n">
        <v>2012</v>
      </c>
      <c r="L99" s="12" t="n">
        <v>36</v>
      </c>
      <c r="M99" s="6" t="s">
        <v>866</v>
      </c>
      <c r="N99" s="8" t="s">
        <v>1</v>
      </c>
    </row>
    <row r="100" customFormat="false" ht="22.5" hidden="false" customHeight="false" outlineLevel="0" collapsed="false">
      <c r="A100" s="5" t="n">
        <f aca="false">IF(B100&lt;&gt;"", COUNTA($B$2:B100), "")</f>
        <v>99</v>
      </c>
      <c r="B100" s="18" t="s">
        <v>57</v>
      </c>
      <c r="C100" s="5" t="s">
        <v>273</v>
      </c>
      <c r="D100" s="5" t="s">
        <v>930</v>
      </c>
      <c r="E100" s="17" t="n">
        <v>2011</v>
      </c>
      <c r="F100" s="6" t="s">
        <v>280</v>
      </c>
      <c r="G100" s="12" t="n">
        <v>0.075</v>
      </c>
      <c r="H100" s="5" t="s">
        <v>281</v>
      </c>
      <c r="I100" s="5" t="s">
        <v>911</v>
      </c>
      <c r="J100" s="5" t="s">
        <v>32</v>
      </c>
      <c r="K100" s="5" t="n">
        <v>2012</v>
      </c>
      <c r="L100" s="12" t="n">
        <v>36</v>
      </c>
      <c r="M100" s="6" t="s">
        <v>866</v>
      </c>
      <c r="N100" s="8" t="s">
        <v>1</v>
      </c>
    </row>
    <row r="101" customFormat="false" ht="33.75" hidden="false" customHeight="false" outlineLevel="0" collapsed="false">
      <c r="A101" s="5" t="n">
        <f aca="false">IF(B101&lt;&gt;"", COUNTA($B$2:B101), "")</f>
        <v>100</v>
      </c>
      <c r="B101" s="18" t="s">
        <v>57</v>
      </c>
      <c r="C101" s="5" t="s">
        <v>273</v>
      </c>
      <c r="D101" s="5" t="s">
        <v>931</v>
      </c>
      <c r="E101" s="17" t="n">
        <v>2011</v>
      </c>
      <c r="F101" s="12" t="s">
        <v>283</v>
      </c>
      <c r="G101" s="12" t="n">
        <v>0.075</v>
      </c>
      <c r="H101" s="5" t="s">
        <v>284</v>
      </c>
      <c r="I101" s="5" t="s">
        <v>911</v>
      </c>
      <c r="J101" s="5" t="s">
        <v>32</v>
      </c>
      <c r="K101" s="5" t="n">
        <v>2012</v>
      </c>
      <c r="L101" s="12" t="n">
        <v>36</v>
      </c>
      <c r="M101" s="6" t="s">
        <v>866</v>
      </c>
      <c r="N101" s="8" t="s">
        <v>1</v>
      </c>
    </row>
    <row r="102" customFormat="false" ht="22.5" hidden="false" customHeight="false" outlineLevel="0" collapsed="false">
      <c r="A102" s="5" t="n">
        <f aca="false">IF(B102&lt;&gt;"", COUNTA($B$2:B102), "")</f>
        <v>101</v>
      </c>
      <c r="B102" s="18" t="s">
        <v>57</v>
      </c>
      <c r="C102" s="5" t="s">
        <v>285</v>
      </c>
      <c r="D102" s="5" t="s">
        <v>932</v>
      </c>
      <c r="E102" s="17" t="n">
        <v>2011</v>
      </c>
      <c r="F102" s="6" t="s">
        <v>287</v>
      </c>
      <c r="G102" s="12" t="n">
        <v>0.075</v>
      </c>
      <c r="H102" s="5" t="s">
        <v>288</v>
      </c>
      <c r="I102" s="5" t="s">
        <v>911</v>
      </c>
      <c r="J102" s="5" t="s">
        <v>32</v>
      </c>
      <c r="K102" s="5" t="n">
        <v>2012</v>
      </c>
      <c r="L102" s="12" t="n">
        <v>36</v>
      </c>
      <c r="M102" s="6" t="s">
        <v>866</v>
      </c>
      <c r="N102" s="8" t="s">
        <v>1</v>
      </c>
    </row>
    <row r="103" customFormat="false" ht="22.5" hidden="false" customHeight="false" outlineLevel="0" collapsed="false">
      <c r="A103" s="5" t="n">
        <f aca="false">IF(B103&lt;&gt;"", COUNTA($B$2:B103), "")</f>
        <v>102</v>
      </c>
      <c r="B103" s="18" t="s">
        <v>57</v>
      </c>
      <c r="C103" s="5" t="s">
        <v>236</v>
      </c>
      <c r="D103" s="5" t="s">
        <v>933</v>
      </c>
      <c r="E103" s="17" t="n">
        <v>2011</v>
      </c>
      <c r="F103" s="6" t="s">
        <v>290</v>
      </c>
      <c r="G103" s="12" t="n">
        <v>0.075</v>
      </c>
      <c r="H103" s="5" t="s">
        <v>291</v>
      </c>
      <c r="I103" s="5" t="s">
        <v>911</v>
      </c>
      <c r="J103" s="5" t="s">
        <v>32</v>
      </c>
      <c r="K103" s="5" t="n">
        <v>2012</v>
      </c>
      <c r="L103" s="12" t="n">
        <v>36</v>
      </c>
      <c r="M103" s="6" t="s">
        <v>866</v>
      </c>
      <c r="N103" s="8" t="s">
        <v>1</v>
      </c>
    </row>
    <row r="104" customFormat="false" ht="33.75" hidden="false" customHeight="false" outlineLevel="0" collapsed="false">
      <c r="A104" s="5" t="n">
        <f aca="false">IF(B104&lt;&gt;"", COUNTA($B$2:B104), "")</f>
        <v>103</v>
      </c>
      <c r="B104" s="18" t="s">
        <v>57</v>
      </c>
      <c r="C104" s="5" t="s">
        <v>236</v>
      </c>
      <c r="D104" s="5" t="s">
        <v>934</v>
      </c>
      <c r="E104" s="17" t="n">
        <v>2011</v>
      </c>
      <c r="F104" s="6" t="s">
        <v>293</v>
      </c>
      <c r="G104" s="12" t="n">
        <v>0.075</v>
      </c>
      <c r="H104" s="5" t="s">
        <v>294</v>
      </c>
      <c r="I104" s="5" t="s">
        <v>911</v>
      </c>
      <c r="J104" s="5" t="s">
        <v>32</v>
      </c>
      <c r="K104" s="5" t="n">
        <v>2012</v>
      </c>
      <c r="L104" s="12" t="n">
        <v>36</v>
      </c>
      <c r="M104" s="6" t="s">
        <v>866</v>
      </c>
      <c r="N104" s="8" t="s">
        <v>1</v>
      </c>
    </row>
    <row r="105" customFormat="false" ht="33.75" hidden="false" customHeight="false" outlineLevel="0" collapsed="false">
      <c r="A105" s="5" t="n">
        <f aca="false">IF(B105&lt;&gt;"", COUNTA($B$2:B105), "")</f>
        <v>104</v>
      </c>
      <c r="B105" s="18" t="s">
        <v>57</v>
      </c>
      <c r="C105" s="5" t="s">
        <v>236</v>
      </c>
      <c r="D105" s="5" t="s">
        <v>935</v>
      </c>
      <c r="E105" s="17" t="n">
        <v>2011</v>
      </c>
      <c r="F105" s="6" t="s">
        <v>293</v>
      </c>
      <c r="G105" s="12" t="n">
        <v>0.075</v>
      </c>
      <c r="H105" s="5" t="s">
        <v>296</v>
      </c>
      <c r="I105" s="5" t="s">
        <v>911</v>
      </c>
      <c r="J105" s="5" t="s">
        <v>32</v>
      </c>
      <c r="K105" s="5" t="n">
        <v>2012</v>
      </c>
      <c r="L105" s="12" t="n">
        <v>36</v>
      </c>
      <c r="M105" s="6" t="s">
        <v>866</v>
      </c>
      <c r="N105" s="8" t="s">
        <v>1</v>
      </c>
    </row>
    <row r="106" customFormat="false" ht="22.5" hidden="false" customHeight="false" outlineLevel="0" collapsed="false">
      <c r="A106" s="5" t="n">
        <f aca="false">IF(B106&lt;&gt;"", COUNTA($B$2:B106), "")</f>
        <v>105</v>
      </c>
      <c r="B106" s="18" t="s">
        <v>57</v>
      </c>
      <c r="C106" s="5" t="s">
        <v>236</v>
      </c>
      <c r="D106" s="5" t="s">
        <v>936</v>
      </c>
      <c r="E106" s="17" t="n">
        <v>2011</v>
      </c>
      <c r="F106" s="6" t="s">
        <v>246</v>
      </c>
      <c r="G106" s="12" t="n">
        <v>0.075</v>
      </c>
      <c r="H106" s="5" t="s">
        <v>298</v>
      </c>
      <c r="I106" s="5" t="s">
        <v>911</v>
      </c>
      <c r="J106" s="5" t="s">
        <v>32</v>
      </c>
      <c r="K106" s="5" t="n">
        <v>2012</v>
      </c>
      <c r="L106" s="12" t="n">
        <v>36</v>
      </c>
      <c r="M106" s="6" t="s">
        <v>866</v>
      </c>
      <c r="N106" s="8" t="s">
        <v>1</v>
      </c>
    </row>
    <row r="107" customFormat="false" ht="22.5" hidden="false" customHeight="false" outlineLevel="0" collapsed="false">
      <c r="A107" s="5" t="n">
        <f aca="false">IF(B107&lt;&gt;"", COUNTA($B$2:B107), "")</f>
        <v>106</v>
      </c>
      <c r="B107" s="18" t="s">
        <v>57</v>
      </c>
      <c r="C107" s="5" t="s">
        <v>236</v>
      </c>
      <c r="D107" s="5" t="s">
        <v>937</v>
      </c>
      <c r="E107" s="17" t="n">
        <v>2011</v>
      </c>
      <c r="F107" s="6" t="s">
        <v>300</v>
      </c>
      <c r="G107" s="12" t="n">
        <v>0.075</v>
      </c>
      <c r="H107" s="5" t="s">
        <v>301</v>
      </c>
      <c r="I107" s="5" t="s">
        <v>911</v>
      </c>
      <c r="J107" s="5" t="s">
        <v>32</v>
      </c>
      <c r="K107" s="5" t="n">
        <v>2012</v>
      </c>
      <c r="L107" s="12" t="n">
        <v>36</v>
      </c>
      <c r="M107" s="6" t="s">
        <v>866</v>
      </c>
      <c r="N107" s="8" t="s">
        <v>1</v>
      </c>
    </row>
    <row r="108" customFormat="false" ht="22.5" hidden="false" customHeight="false" outlineLevel="0" collapsed="false">
      <c r="A108" s="5" t="n">
        <f aca="false">IF(B108&lt;&gt;"", COUNTA($B$2:B108), "")</f>
        <v>107</v>
      </c>
      <c r="B108" s="18" t="s">
        <v>57</v>
      </c>
      <c r="C108" s="5" t="s">
        <v>236</v>
      </c>
      <c r="D108" s="5" t="s">
        <v>938</v>
      </c>
      <c r="E108" s="17" t="n">
        <v>2011</v>
      </c>
      <c r="F108" s="6" t="s">
        <v>303</v>
      </c>
      <c r="G108" s="12" t="n">
        <v>0.075</v>
      </c>
      <c r="H108" s="5" t="s">
        <v>304</v>
      </c>
      <c r="I108" s="5" t="s">
        <v>911</v>
      </c>
      <c r="J108" s="5" t="s">
        <v>32</v>
      </c>
      <c r="K108" s="5" t="n">
        <v>2012</v>
      </c>
      <c r="L108" s="12" t="n">
        <v>36</v>
      </c>
      <c r="M108" s="6" t="s">
        <v>791</v>
      </c>
      <c r="N108" s="8" t="s">
        <v>1</v>
      </c>
    </row>
    <row r="109" customFormat="false" ht="22.5" hidden="false" customHeight="false" outlineLevel="0" collapsed="false">
      <c r="A109" s="5" t="n">
        <f aca="false">IF(B109&lt;&gt;"", COUNTA($B$2:B109), "")</f>
        <v>108</v>
      </c>
      <c r="B109" s="18" t="s">
        <v>57</v>
      </c>
      <c r="C109" s="5" t="s">
        <v>236</v>
      </c>
      <c r="D109" s="5" t="s">
        <v>939</v>
      </c>
      <c r="E109" s="17" t="n">
        <v>2011</v>
      </c>
      <c r="F109" s="6" t="s">
        <v>306</v>
      </c>
      <c r="G109" s="12" t="n">
        <v>0.075</v>
      </c>
      <c r="H109" s="5" t="s">
        <v>307</v>
      </c>
      <c r="I109" s="5" t="s">
        <v>911</v>
      </c>
      <c r="J109" s="5" t="s">
        <v>32</v>
      </c>
      <c r="K109" s="5" t="n">
        <v>2012</v>
      </c>
      <c r="L109" s="12" t="n">
        <v>36</v>
      </c>
      <c r="M109" s="6" t="s">
        <v>791</v>
      </c>
      <c r="N109" s="8" t="s">
        <v>1</v>
      </c>
    </row>
    <row r="110" customFormat="false" ht="22.5" hidden="false" customHeight="false" outlineLevel="0" collapsed="false">
      <c r="A110" s="5" t="n">
        <f aca="false">IF(B110&lt;&gt;"", COUNTA($B$2:B110), "")</f>
        <v>109</v>
      </c>
      <c r="B110" s="18" t="s">
        <v>57</v>
      </c>
      <c r="C110" s="5" t="s">
        <v>236</v>
      </c>
      <c r="D110" s="5" t="s">
        <v>940</v>
      </c>
      <c r="E110" s="17" t="n">
        <v>2011</v>
      </c>
      <c r="F110" s="6" t="s">
        <v>309</v>
      </c>
      <c r="G110" s="12" t="n">
        <v>0.075</v>
      </c>
      <c r="H110" s="5" t="s">
        <v>310</v>
      </c>
      <c r="I110" s="5" t="s">
        <v>911</v>
      </c>
      <c r="J110" s="5" t="s">
        <v>32</v>
      </c>
      <c r="K110" s="5" t="n">
        <v>2012</v>
      </c>
      <c r="L110" s="12" t="n">
        <v>36</v>
      </c>
      <c r="M110" s="6" t="s">
        <v>791</v>
      </c>
      <c r="N110" s="8" t="s">
        <v>1</v>
      </c>
    </row>
    <row r="111" customFormat="false" ht="22.5" hidden="false" customHeight="false" outlineLevel="0" collapsed="false">
      <c r="A111" s="5" t="n">
        <f aca="false">IF(B111&lt;&gt;"", COUNTA($B$2:B111), "")</f>
        <v>110</v>
      </c>
      <c r="B111" s="18" t="s">
        <v>57</v>
      </c>
      <c r="C111" s="5" t="s">
        <v>236</v>
      </c>
      <c r="D111" s="5" t="s">
        <v>941</v>
      </c>
      <c r="E111" s="17" t="n">
        <v>2011</v>
      </c>
      <c r="F111" s="6" t="s">
        <v>309</v>
      </c>
      <c r="G111" s="12" t="n">
        <v>0.075</v>
      </c>
      <c r="H111" s="5" t="s">
        <v>312</v>
      </c>
      <c r="I111" s="5" t="s">
        <v>911</v>
      </c>
      <c r="J111" s="5" t="s">
        <v>32</v>
      </c>
      <c r="K111" s="5" t="n">
        <v>2012</v>
      </c>
      <c r="L111" s="12" t="n">
        <v>36</v>
      </c>
      <c r="M111" s="6" t="s">
        <v>791</v>
      </c>
      <c r="N111" s="8" t="s">
        <v>1</v>
      </c>
    </row>
    <row r="112" customFormat="false" ht="22.5" hidden="false" customHeight="false" outlineLevel="0" collapsed="false">
      <c r="A112" s="5" t="n">
        <f aca="false">IF(B112&lt;&gt;"", COUNTA($B$2:B112), "")</f>
        <v>111</v>
      </c>
      <c r="B112" s="18" t="s">
        <v>57</v>
      </c>
      <c r="C112" s="5" t="s">
        <v>313</v>
      </c>
      <c r="D112" s="5" t="s">
        <v>942</v>
      </c>
      <c r="E112" s="16" t="n">
        <v>2010</v>
      </c>
      <c r="F112" s="6" t="s">
        <v>315</v>
      </c>
      <c r="G112" s="12" t="n">
        <v>0.075</v>
      </c>
      <c r="H112" s="5" t="s">
        <v>316</v>
      </c>
      <c r="I112" s="5" t="s">
        <v>911</v>
      </c>
      <c r="J112" s="5" t="s">
        <v>32</v>
      </c>
      <c r="K112" s="5" t="n">
        <v>2012</v>
      </c>
      <c r="L112" s="12" t="n">
        <v>36</v>
      </c>
      <c r="M112" s="6" t="s">
        <v>791</v>
      </c>
      <c r="N112" s="8" t="s">
        <v>1</v>
      </c>
    </row>
    <row r="113" customFormat="false" ht="22.5" hidden="false" customHeight="false" outlineLevel="0" collapsed="false">
      <c r="A113" s="5" t="n">
        <f aca="false">IF(B113&lt;&gt;"", COUNTA($B$2:B113), "")</f>
        <v>112</v>
      </c>
      <c r="B113" s="18" t="s">
        <v>57</v>
      </c>
      <c r="C113" s="5" t="s">
        <v>313</v>
      </c>
      <c r="D113" s="5" t="s">
        <v>943</v>
      </c>
      <c r="E113" s="16" t="n">
        <v>2010</v>
      </c>
      <c r="F113" s="6" t="s">
        <v>318</v>
      </c>
      <c r="G113" s="12" t="n">
        <v>0.075</v>
      </c>
      <c r="H113" s="5" t="s">
        <v>319</v>
      </c>
      <c r="I113" s="5" t="s">
        <v>911</v>
      </c>
      <c r="J113" s="5" t="s">
        <v>32</v>
      </c>
      <c r="K113" s="5" t="n">
        <v>2012</v>
      </c>
      <c r="L113" s="12" t="n">
        <v>36</v>
      </c>
      <c r="M113" s="6" t="s">
        <v>791</v>
      </c>
      <c r="N113" s="8" t="s">
        <v>1</v>
      </c>
    </row>
    <row r="114" customFormat="false" ht="22.5" hidden="false" customHeight="false" outlineLevel="0" collapsed="false">
      <c r="A114" s="5" t="n">
        <f aca="false">IF(B114&lt;&gt;"", COUNTA($B$2:B114), "")</f>
        <v>113</v>
      </c>
      <c r="B114" s="18" t="s">
        <v>57</v>
      </c>
      <c r="C114" s="5" t="s">
        <v>313</v>
      </c>
      <c r="D114" s="5" t="s">
        <v>944</v>
      </c>
      <c r="E114" s="16" t="n">
        <v>2010</v>
      </c>
      <c r="F114" s="6" t="s">
        <v>321</v>
      </c>
      <c r="G114" s="12" t="n">
        <v>0.075</v>
      </c>
      <c r="H114" s="5" t="s">
        <v>322</v>
      </c>
      <c r="I114" s="5" t="s">
        <v>911</v>
      </c>
      <c r="J114" s="5" t="s">
        <v>32</v>
      </c>
      <c r="K114" s="5" t="n">
        <v>2012</v>
      </c>
      <c r="L114" s="12" t="n">
        <v>36</v>
      </c>
      <c r="M114" s="6" t="s">
        <v>791</v>
      </c>
      <c r="N114" s="8" t="s">
        <v>1</v>
      </c>
    </row>
    <row r="115" customFormat="false" ht="22.5" hidden="false" customHeight="false" outlineLevel="0" collapsed="false">
      <c r="A115" s="5" t="n">
        <f aca="false">IF(B115&lt;&gt;"", COUNTA($B$2:B115), "")</f>
        <v>114</v>
      </c>
      <c r="B115" s="18" t="s">
        <v>57</v>
      </c>
      <c r="C115" s="5" t="s">
        <v>313</v>
      </c>
      <c r="D115" s="5" t="s">
        <v>945</v>
      </c>
      <c r="E115" s="17" t="n">
        <v>2011</v>
      </c>
      <c r="F115" s="6" t="s">
        <v>293</v>
      </c>
      <c r="G115" s="12" t="n">
        <v>0.075</v>
      </c>
      <c r="H115" s="5" t="s">
        <v>324</v>
      </c>
      <c r="I115" s="5" t="s">
        <v>911</v>
      </c>
      <c r="J115" s="5" t="s">
        <v>32</v>
      </c>
      <c r="K115" s="5" t="n">
        <v>2012</v>
      </c>
      <c r="L115" s="12" t="n">
        <v>36</v>
      </c>
      <c r="M115" s="6" t="s">
        <v>791</v>
      </c>
      <c r="N115" s="8" t="s">
        <v>1</v>
      </c>
    </row>
    <row r="116" customFormat="false" ht="22.5" hidden="false" customHeight="false" outlineLevel="0" collapsed="false">
      <c r="A116" s="5" t="n">
        <f aca="false">IF(B116&lt;&gt;"", COUNTA($B$2:B116), "")</f>
        <v>115</v>
      </c>
      <c r="B116" s="18" t="s">
        <v>57</v>
      </c>
      <c r="C116" s="5" t="s">
        <v>313</v>
      </c>
      <c r="D116" s="5" t="s">
        <v>946</v>
      </c>
      <c r="E116" s="16" t="n">
        <v>2010</v>
      </c>
      <c r="F116" s="6" t="s">
        <v>321</v>
      </c>
      <c r="G116" s="12" t="n">
        <v>0.075</v>
      </c>
      <c r="H116" s="5" t="s">
        <v>326</v>
      </c>
      <c r="I116" s="5" t="s">
        <v>911</v>
      </c>
      <c r="J116" s="5" t="s">
        <v>32</v>
      </c>
      <c r="K116" s="5" t="n">
        <v>2012</v>
      </c>
      <c r="L116" s="12" t="n">
        <v>36</v>
      </c>
      <c r="M116" s="6" t="s">
        <v>791</v>
      </c>
      <c r="N116" s="8" t="s">
        <v>1</v>
      </c>
    </row>
    <row r="117" customFormat="false" ht="33.75" hidden="false" customHeight="false" outlineLevel="0" collapsed="false">
      <c r="A117" s="5" t="n">
        <f aca="false">IF(B117&lt;&gt;"", COUNTA($B$2:B117), "")</f>
        <v>116</v>
      </c>
      <c r="B117" s="18" t="s">
        <v>57</v>
      </c>
      <c r="C117" s="5" t="s">
        <v>313</v>
      </c>
      <c r="D117" s="5" t="s">
        <v>947</v>
      </c>
      <c r="E117" s="16" t="n">
        <v>2010</v>
      </c>
      <c r="F117" s="6" t="s">
        <v>293</v>
      </c>
      <c r="G117" s="12" t="n">
        <v>0.075</v>
      </c>
      <c r="H117" s="5" t="s">
        <v>328</v>
      </c>
      <c r="I117" s="5" t="s">
        <v>911</v>
      </c>
      <c r="J117" s="5" t="s">
        <v>32</v>
      </c>
      <c r="K117" s="5" t="n">
        <v>2012</v>
      </c>
      <c r="L117" s="12" t="n">
        <v>36</v>
      </c>
      <c r="M117" s="6" t="s">
        <v>791</v>
      </c>
      <c r="N117" s="8" t="s">
        <v>1</v>
      </c>
    </row>
    <row r="118" customFormat="false" ht="22.5" hidden="false" customHeight="false" outlineLevel="0" collapsed="false">
      <c r="A118" s="5" t="n">
        <f aca="false">IF(B118&lt;&gt;"", COUNTA($B$2:B118), "")</f>
        <v>117</v>
      </c>
      <c r="B118" s="18" t="s">
        <v>57</v>
      </c>
      <c r="C118" s="5" t="s">
        <v>313</v>
      </c>
      <c r="D118" s="5" t="s">
        <v>948</v>
      </c>
      <c r="E118" s="16" t="n">
        <v>2010</v>
      </c>
      <c r="F118" s="6" t="s">
        <v>136</v>
      </c>
      <c r="G118" s="12" t="n">
        <v>0.075</v>
      </c>
      <c r="H118" s="5" t="s">
        <v>330</v>
      </c>
      <c r="I118" s="5" t="s">
        <v>911</v>
      </c>
      <c r="J118" s="5" t="s">
        <v>32</v>
      </c>
      <c r="K118" s="5" t="n">
        <v>2012</v>
      </c>
      <c r="L118" s="12" t="n">
        <v>36</v>
      </c>
      <c r="M118" s="6" t="s">
        <v>791</v>
      </c>
      <c r="N118" s="8" t="s">
        <v>1</v>
      </c>
    </row>
    <row r="119" customFormat="false" ht="22.5" hidden="false" customHeight="false" outlineLevel="0" collapsed="false">
      <c r="A119" s="5" t="n">
        <f aca="false">IF(B119&lt;&gt;"", COUNTA($B$2:B119), "")</f>
        <v>118</v>
      </c>
      <c r="B119" s="6" t="s">
        <v>221</v>
      </c>
      <c r="C119" s="6" t="s">
        <v>331</v>
      </c>
      <c r="D119" s="6" t="s">
        <v>949</v>
      </c>
      <c r="E119" s="17" t="n">
        <v>2011</v>
      </c>
      <c r="F119" s="19" t="s">
        <v>333</v>
      </c>
      <c r="G119" s="19" t="s">
        <v>181</v>
      </c>
      <c r="H119" s="6" t="s">
        <v>334</v>
      </c>
      <c r="I119" s="5" t="s">
        <v>911</v>
      </c>
      <c r="J119" s="5" t="s">
        <v>32</v>
      </c>
      <c r="K119" s="5" t="n">
        <v>2012</v>
      </c>
      <c r="L119" s="12" t="n">
        <v>36</v>
      </c>
      <c r="M119" s="6"/>
      <c r="N119" s="8"/>
    </row>
    <row r="120" customFormat="false" ht="22.5" hidden="false" customHeight="false" outlineLevel="0" collapsed="false">
      <c r="A120" s="5" t="n">
        <f aca="false">IF(B120&lt;&gt;"", COUNTA($B$2:B120), "")</f>
        <v>119</v>
      </c>
      <c r="B120" s="6" t="s">
        <v>221</v>
      </c>
      <c r="C120" s="6" t="s">
        <v>331</v>
      </c>
      <c r="D120" s="6" t="s">
        <v>950</v>
      </c>
      <c r="E120" s="17" t="n">
        <v>2011</v>
      </c>
      <c r="F120" s="19" t="s">
        <v>333</v>
      </c>
      <c r="G120" s="19" t="s">
        <v>181</v>
      </c>
      <c r="H120" s="6" t="s">
        <v>337</v>
      </c>
      <c r="I120" s="5" t="s">
        <v>911</v>
      </c>
      <c r="J120" s="5" t="s">
        <v>32</v>
      </c>
      <c r="K120" s="5" t="n">
        <v>2012</v>
      </c>
      <c r="L120" s="12" t="n">
        <v>36</v>
      </c>
      <c r="M120" s="6"/>
      <c r="N120" s="8"/>
    </row>
    <row r="121" customFormat="false" ht="22.5" hidden="false" customHeight="false" outlineLevel="0" collapsed="false">
      <c r="A121" s="5" t="n">
        <f aca="false">IF(B121&lt;&gt;"", COUNTA($B$2:B121), "")</f>
        <v>120</v>
      </c>
      <c r="B121" s="6" t="s">
        <v>221</v>
      </c>
      <c r="C121" s="6" t="s">
        <v>338</v>
      </c>
      <c r="D121" s="6" t="s">
        <v>951</v>
      </c>
      <c r="E121" s="17" t="n">
        <v>2011</v>
      </c>
      <c r="F121" s="19" t="s">
        <v>340</v>
      </c>
      <c r="G121" s="19" t="s">
        <v>341</v>
      </c>
      <c r="H121" s="6" t="s">
        <v>342</v>
      </c>
      <c r="I121" s="5" t="s">
        <v>911</v>
      </c>
      <c r="J121" s="5" t="s">
        <v>32</v>
      </c>
      <c r="K121" s="5" t="n">
        <v>2012</v>
      </c>
      <c r="L121" s="12" t="n">
        <v>36</v>
      </c>
      <c r="M121" s="6"/>
      <c r="N121" s="8"/>
    </row>
    <row r="122" customFormat="false" ht="22.5" hidden="false" customHeight="false" outlineLevel="0" collapsed="false">
      <c r="A122" s="5" t="n">
        <f aca="false">IF(B122&lt;&gt;"", COUNTA($B$2:B122), "")</f>
        <v>121</v>
      </c>
      <c r="B122" s="6" t="s">
        <v>221</v>
      </c>
      <c r="C122" s="6" t="s">
        <v>338</v>
      </c>
      <c r="D122" s="6" t="s">
        <v>952</v>
      </c>
      <c r="E122" s="17" t="n">
        <v>2011</v>
      </c>
      <c r="F122" s="19" t="s">
        <v>340</v>
      </c>
      <c r="G122" s="12" t="n">
        <v>1.6</v>
      </c>
      <c r="H122" s="6" t="s">
        <v>344</v>
      </c>
      <c r="I122" s="5" t="s">
        <v>911</v>
      </c>
      <c r="J122" s="5" t="s">
        <v>32</v>
      </c>
      <c r="K122" s="5" t="n">
        <v>2012</v>
      </c>
      <c r="L122" s="12" t="n">
        <v>36</v>
      </c>
      <c r="M122" s="6"/>
      <c r="N122" s="8"/>
    </row>
    <row r="123" customFormat="false" ht="22.5" hidden="false" customHeight="false" outlineLevel="0" collapsed="false">
      <c r="A123" s="5" t="n">
        <f aca="false">IF(B123&lt;&gt;"", COUNTA($B$2:B123), "")</f>
        <v>122</v>
      </c>
      <c r="B123" s="5" t="s">
        <v>568</v>
      </c>
      <c r="C123" s="12" t="s">
        <v>345</v>
      </c>
      <c r="D123" s="12" t="s">
        <v>953</v>
      </c>
      <c r="E123" s="17" t="n">
        <v>2011</v>
      </c>
      <c r="F123" s="12" t="s">
        <v>54</v>
      </c>
      <c r="G123" s="12" t="s">
        <v>55</v>
      </c>
      <c r="H123" s="12" t="s">
        <v>347</v>
      </c>
      <c r="I123" s="5" t="s">
        <v>911</v>
      </c>
      <c r="J123" s="5" t="s">
        <v>32</v>
      </c>
      <c r="K123" s="5" t="n">
        <v>2012</v>
      </c>
      <c r="L123" s="12" t="n">
        <v>48</v>
      </c>
      <c r="M123" s="6"/>
      <c r="N123" s="8"/>
    </row>
    <row r="124" customFormat="false" ht="15" hidden="false" customHeight="false" outlineLevel="0" collapsed="false">
      <c r="A124" s="5" t="n">
        <f aca="false">IF(B124&lt;&gt;"", COUNTA($B$2:B124), "")</f>
        <v>123</v>
      </c>
      <c r="B124" s="5" t="s">
        <v>568</v>
      </c>
      <c r="C124" s="12" t="s">
        <v>348</v>
      </c>
      <c r="D124" s="12" t="s">
        <v>954</v>
      </c>
      <c r="E124" s="17" t="n">
        <v>2011</v>
      </c>
      <c r="F124" s="12"/>
      <c r="G124" s="12"/>
      <c r="H124" s="12" t="s">
        <v>350</v>
      </c>
      <c r="I124" s="5" t="s">
        <v>911</v>
      </c>
      <c r="J124" s="5" t="s">
        <v>32</v>
      </c>
      <c r="K124" s="5" t="n">
        <v>2012</v>
      </c>
      <c r="L124" s="12"/>
      <c r="M124" s="6"/>
      <c r="N124" s="8"/>
    </row>
    <row r="125" customFormat="false" ht="15" hidden="false" customHeight="false" outlineLevel="0" collapsed="false">
      <c r="A125" s="5" t="n">
        <f aca="false">IF(B125&lt;&gt;"", COUNTA($B$2:B125), "")</f>
        <v>124</v>
      </c>
      <c r="B125" s="5" t="s">
        <v>568</v>
      </c>
      <c r="C125" s="12" t="s">
        <v>348</v>
      </c>
      <c r="D125" s="12" t="s">
        <v>955</v>
      </c>
      <c r="E125" s="17" t="n">
        <v>2011</v>
      </c>
      <c r="F125" s="12"/>
      <c r="G125" s="12"/>
      <c r="H125" s="12" t="s">
        <v>352</v>
      </c>
      <c r="I125" s="5" t="s">
        <v>911</v>
      </c>
      <c r="J125" s="5" t="s">
        <v>32</v>
      </c>
      <c r="K125" s="5" t="n">
        <v>2012</v>
      </c>
      <c r="L125" s="12"/>
      <c r="M125" s="6"/>
      <c r="N125" s="8"/>
    </row>
    <row r="126" customFormat="false" ht="15" hidden="false" customHeight="false" outlineLevel="0" collapsed="false">
      <c r="A126" s="5" t="n">
        <f aca="false">IF(B126&lt;&gt;"", COUNTA($B$2:B126), "")</f>
        <v>125</v>
      </c>
      <c r="B126" s="5" t="s">
        <v>568</v>
      </c>
      <c r="C126" s="12" t="s">
        <v>353</v>
      </c>
      <c r="D126" s="12" t="s">
        <v>812</v>
      </c>
      <c r="E126" s="17" t="n">
        <v>2011</v>
      </c>
      <c r="F126" s="12"/>
      <c r="G126" s="12"/>
      <c r="H126" s="12" t="s">
        <v>355</v>
      </c>
      <c r="I126" s="5" t="s">
        <v>911</v>
      </c>
      <c r="J126" s="5" t="s">
        <v>32</v>
      </c>
      <c r="K126" s="5" t="n">
        <v>2012</v>
      </c>
      <c r="L126" s="12"/>
      <c r="M126" s="6"/>
      <c r="N126" s="8"/>
    </row>
    <row r="127" customFormat="false" ht="22.5" hidden="false" customHeight="false" outlineLevel="0" collapsed="false">
      <c r="A127" s="5" t="n">
        <f aca="false">IF(B127&lt;&gt;"", COUNTA($B$2:B127), "")</f>
        <v>126</v>
      </c>
      <c r="B127" s="5" t="s">
        <v>568</v>
      </c>
      <c r="C127" s="12" t="s">
        <v>345</v>
      </c>
      <c r="D127" s="12" t="s">
        <v>956</v>
      </c>
      <c r="E127" s="17" t="n">
        <v>2011</v>
      </c>
      <c r="F127" s="12" t="s">
        <v>54</v>
      </c>
      <c r="G127" s="12" t="s">
        <v>55</v>
      </c>
      <c r="H127" s="12" t="s">
        <v>357</v>
      </c>
      <c r="I127" s="5" t="s">
        <v>911</v>
      </c>
      <c r="J127" s="5" t="s">
        <v>32</v>
      </c>
      <c r="K127" s="5" t="n">
        <v>2012</v>
      </c>
      <c r="L127" s="12" t="n">
        <v>48</v>
      </c>
      <c r="M127" s="6"/>
      <c r="N127" s="8"/>
    </row>
    <row r="128" customFormat="false" ht="15" hidden="false" customHeight="false" outlineLevel="0" collapsed="false">
      <c r="A128" s="5" t="n">
        <f aca="false">IF(B128&lt;&gt;"", COUNTA($B$2:B128), "")</f>
        <v>127</v>
      </c>
      <c r="B128" s="5" t="s">
        <v>568</v>
      </c>
      <c r="C128" s="12" t="s">
        <v>348</v>
      </c>
      <c r="D128" s="12" t="s">
        <v>957</v>
      </c>
      <c r="E128" s="17" t="n">
        <v>2011</v>
      </c>
      <c r="F128" s="12"/>
      <c r="G128" s="12"/>
      <c r="H128" s="12" t="s">
        <v>359</v>
      </c>
      <c r="I128" s="5" t="s">
        <v>911</v>
      </c>
      <c r="J128" s="5" t="s">
        <v>32</v>
      </c>
      <c r="K128" s="5" t="n">
        <v>2012</v>
      </c>
      <c r="L128" s="12"/>
      <c r="M128" s="6"/>
      <c r="N128" s="8"/>
    </row>
    <row r="129" customFormat="false" ht="15" hidden="false" customHeight="false" outlineLevel="0" collapsed="false">
      <c r="A129" s="5" t="n">
        <f aca="false">IF(B129&lt;&gt;"", COUNTA($B$2:B129), "")</f>
        <v>128</v>
      </c>
      <c r="B129" s="5" t="s">
        <v>568</v>
      </c>
      <c r="C129" s="12" t="s">
        <v>348</v>
      </c>
      <c r="D129" s="12" t="s">
        <v>958</v>
      </c>
      <c r="E129" s="17" t="n">
        <v>2011</v>
      </c>
      <c r="F129" s="12"/>
      <c r="G129" s="12"/>
      <c r="H129" s="12" t="s">
        <v>361</v>
      </c>
      <c r="I129" s="5" t="s">
        <v>911</v>
      </c>
      <c r="J129" s="5" t="s">
        <v>32</v>
      </c>
      <c r="K129" s="5" t="n">
        <v>2012</v>
      </c>
      <c r="L129" s="12"/>
      <c r="M129" s="6"/>
      <c r="N129" s="8"/>
    </row>
    <row r="130" customFormat="false" ht="15" hidden="false" customHeight="false" outlineLevel="0" collapsed="false">
      <c r="A130" s="5" t="n">
        <f aca="false">IF(B130&lt;&gt;"", COUNTA($B$2:B130), "")</f>
        <v>129</v>
      </c>
      <c r="B130" s="5" t="s">
        <v>568</v>
      </c>
      <c r="C130" s="12" t="s">
        <v>353</v>
      </c>
      <c r="D130" s="12" t="s">
        <v>677</v>
      </c>
      <c r="E130" s="17" t="n">
        <v>2011</v>
      </c>
      <c r="F130" s="12"/>
      <c r="G130" s="12"/>
      <c r="H130" s="12" t="s">
        <v>363</v>
      </c>
      <c r="I130" s="5" t="s">
        <v>911</v>
      </c>
      <c r="J130" s="5" t="s">
        <v>32</v>
      </c>
      <c r="K130" s="5" t="n">
        <v>2012</v>
      </c>
      <c r="L130" s="12"/>
      <c r="M130" s="6"/>
      <c r="N130" s="8"/>
    </row>
    <row r="131" customFormat="false" ht="22.5" hidden="false" customHeight="false" outlineLevel="0" collapsed="false">
      <c r="A131" s="5" t="n">
        <f aca="false">IF(B131&lt;&gt;"", COUNTA($B$2:B131), "")</f>
        <v>130</v>
      </c>
      <c r="B131" s="5" t="s">
        <v>568</v>
      </c>
      <c r="C131" s="12" t="s">
        <v>345</v>
      </c>
      <c r="D131" s="12" t="s">
        <v>959</v>
      </c>
      <c r="E131" s="17" t="n">
        <v>2011</v>
      </c>
      <c r="F131" s="12" t="s">
        <v>54</v>
      </c>
      <c r="G131" s="12" t="s">
        <v>55</v>
      </c>
      <c r="H131" s="12" t="s">
        <v>365</v>
      </c>
      <c r="I131" s="5" t="s">
        <v>911</v>
      </c>
      <c r="J131" s="5" t="s">
        <v>32</v>
      </c>
      <c r="K131" s="5" t="n">
        <v>2012</v>
      </c>
      <c r="L131" s="12" t="n">
        <v>48</v>
      </c>
      <c r="M131" s="6"/>
      <c r="N131" s="8"/>
    </row>
    <row r="132" customFormat="false" ht="15" hidden="false" customHeight="false" outlineLevel="0" collapsed="false">
      <c r="A132" s="5" t="n">
        <f aca="false">IF(B132&lt;&gt;"", COUNTA($B$2:B132), "")</f>
        <v>131</v>
      </c>
      <c r="B132" s="5" t="s">
        <v>568</v>
      </c>
      <c r="C132" s="12" t="s">
        <v>348</v>
      </c>
      <c r="D132" s="12" t="s">
        <v>960</v>
      </c>
      <c r="E132" s="17" t="n">
        <v>2011</v>
      </c>
      <c r="F132" s="12"/>
      <c r="G132" s="12"/>
      <c r="H132" s="12" t="s">
        <v>367</v>
      </c>
      <c r="I132" s="5" t="s">
        <v>911</v>
      </c>
      <c r="J132" s="5" t="s">
        <v>32</v>
      </c>
      <c r="K132" s="5" t="n">
        <v>2012</v>
      </c>
      <c r="L132" s="12"/>
      <c r="M132" s="6"/>
      <c r="N132" s="8"/>
    </row>
    <row r="133" customFormat="false" ht="15" hidden="false" customHeight="false" outlineLevel="0" collapsed="false">
      <c r="A133" s="5" t="n">
        <f aca="false">IF(B133&lt;&gt;"", COUNTA($B$2:B133), "")</f>
        <v>132</v>
      </c>
      <c r="B133" s="5" t="s">
        <v>568</v>
      </c>
      <c r="C133" s="12" t="s">
        <v>348</v>
      </c>
      <c r="D133" s="12" t="s">
        <v>961</v>
      </c>
      <c r="E133" s="17" t="n">
        <v>2011</v>
      </c>
      <c r="F133" s="12"/>
      <c r="G133" s="12"/>
      <c r="H133" s="12" t="s">
        <v>369</v>
      </c>
      <c r="I133" s="5" t="s">
        <v>911</v>
      </c>
      <c r="J133" s="5" t="s">
        <v>32</v>
      </c>
      <c r="K133" s="5" t="n">
        <v>2012</v>
      </c>
      <c r="L133" s="12"/>
      <c r="M133" s="6"/>
      <c r="N133" s="8"/>
    </row>
    <row r="134" customFormat="false" ht="15" hidden="false" customHeight="false" outlineLevel="0" collapsed="false">
      <c r="A134" s="5" t="n">
        <f aca="false">IF(B134&lt;&gt;"", COUNTA($B$2:B134), "")</f>
        <v>133</v>
      </c>
      <c r="B134" s="5" t="s">
        <v>568</v>
      </c>
      <c r="C134" s="12" t="s">
        <v>353</v>
      </c>
      <c r="D134" s="12" t="s">
        <v>675</v>
      </c>
      <c r="E134" s="17" t="n">
        <v>2011</v>
      </c>
      <c r="F134" s="12"/>
      <c r="G134" s="12"/>
      <c r="H134" s="12" t="s">
        <v>371</v>
      </c>
      <c r="I134" s="5" t="s">
        <v>911</v>
      </c>
      <c r="J134" s="5" t="s">
        <v>32</v>
      </c>
      <c r="K134" s="5" t="n">
        <v>2012</v>
      </c>
      <c r="L134" s="12"/>
      <c r="M134" s="6"/>
      <c r="N134" s="8"/>
    </row>
    <row r="135" customFormat="false" ht="22.5" hidden="false" customHeight="false" outlineLevel="0" collapsed="false">
      <c r="A135" s="5" t="n">
        <f aca="false">IF(B135&lt;&gt;"", COUNTA($B$2:B135), "")</f>
        <v>134</v>
      </c>
      <c r="B135" s="5" t="s">
        <v>568</v>
      </c>
      <c r="C135" s="12" t="s">
        <v>345</v>
      </c>
      <c r="D135" s="12" t="s">
        <v>962</v>
      </c>
      <c r="E135" s="17" t="n">
        <v>2011</v>
      </c>
      <c r="F135" s="12" t="s">
        <v>54</v>
      </c>
      <c r="G135" s="12" t="s">
        <v>55</v>
      </c>
      <c r="H135" s="12" t="s">
        <v>373</v>
      </c>
      <c r="I135" s="5" t="s">
        <v>911</v>
      </c>
      <c r="J135" s="5" t="s">
        <v>32</v>
      </c>
      <c r="K135" s="5" t="n">
        <v>2012</v>
      </c>
      <c r="L135" s="12" t="n">
        <v>48</v>
      </c>
      <c r="M135" s="6"/>
      <c r="N135" s="8"/>
    </row>
    <row r="136" customFormat="false" ht="15" hidden="false" customHeight="false" outlineLevel="0" collapsed="false">
      <c r="A136" s="5" t="n">
        <f aca="false">IF(B136&lt;&gt;"", COUNTA($B$2:B136), "")</f>
        <v>135</v>
      </c>
      <c r="B136" s="5" t="s">
        <v>568</v>
      </c>
      <c r="C136" s="12" t="s">
        <v>348</v>
      </c>
      <c r="D136" s="12" t="s">
        <v>963</v>
      </c>
      <c r="E136" s="17" t="n">
        <v>2011</v>
      </c>
      <c r="F136" s="12"/>
      <c r="G136" s="12"/>
      <c r="H136" s="12" t="s">
        <v>375</v>
      </c>
      <c r="I136" s="5" t="s">
        <v>911</v>
      </c>
      <c r="J136" s="5" t="s">
        <v>32</v>
      </c>
      <c r="K136" s="5" t="n">
        <v>2012</v>
      </c>
      <c r="L136" s="12"/>
      <c r="M136" s="6"/>
      <c r="N136" s="8"/>
    </row>
    <row r="137" customFormat="false" ht="15" hidden="false" customHeight="false" outlineLevel="0" collapsed="false">
      <c r="A137" s="5" t="n">
        <f aca="false">IF(B137&lt;&gt;"", COUNTA($B$2:B137), "")</f>
        <v>136</v>
      </c>
      <c r="B137" s="5" t="s">
        <v>568</v>
      </c>
      <c r="C137" s="12" t="s">
        <v>348</v>
      </c>
      <c r="D137" s="12" t="s">
        <v>964</v>
      </c>
      <c r="E137" s="17" t="n">
        <v>2011</v>
      </c>
      <c r="F137" s="12"/>
      <c r="G137" s="12"/>
      <c r="H137" s="12" t="s">
        <v>377</v>
      </c>
      <c r="I137" s="5" t="s">
        <v>911</v>
      </c>
      <c r="J137" s="5" t="s">
        <v>32</v>
      </c>
      <c r="K137" s="5" t="n">
        <v>2012</v>
      </c>
      <c r="L137" s="12"/>
      <c r="M137" s="6"/>
      <c r="N137" s="8"/>
    </row>
    <row r="138" customFormat="false" ht="15" hidden="false" customHeight="false" outlineLevel="0" collapsed="false">
      <c r="A138" s="5" t="n">
        <f aca="false">IF(B138&lt;&gt;"", COUNTA($B$2:B138), "")</f>
        <v>137</v>
      </c>
      <c r="B138" s="5" t="s">
        <v>568</v>
      </c>
      <c r="C138" s="12" t="s">
        <v>353</v>
      </c>
      <c r="D138" s="12" t="s">
        <v>678</v>
      </c>
      <c r="E138" s="17" t="n">
        <v>2011</v>
      </c>
      <c r="F138" s="12"/>
      <c r="G138" s="12"/>
      <c r="H138" s="12" t="s">
        <v>379</v>
      </c>
      <c r="I138" s="5" t="s">
        <v>911</v>
      </c>
      <c r="J138" s="5" t="s">
        <v>32</v>
      </c>
      <c r="K138" s="5" t="n">
        <v>2012</v>
      </c>
      <c r="L138" s="12"/>
      <c r="M138" s="6"/>
      <c r="N138" s="8"/>
    </row>
    <row r="139" customFormat="false" ht="22.5" hidden="false" customHeight="false" outlineLevel="0" collapsed="false">
      <c r="A139" s="5" t="n">
        <f aca="false">IF(B139&lt;&gt;"", COUNTA($B$2:B139), "")</f>
        <v>138</v>
      </c>
      <c r="B139" s="5" t="s">
        <v>568</v>
      </c>
      <c r="C139" s="12" t="s">
        <v>380</v>
      </c>
      <c r="D139" s="12" t="n">
        <v>20408758</v>
      </c>
      <c r="E139" s="17" t="n">
        <v>2011</v>
      </c>
      <c r="F139" s="12" t="s">
        <v>89</v>
      </c>
      <c r="G139" s="12"/>
      <c r="H139" s="12" t="s">
        <v>381</v>
      </c>
      <c r="I139" s="5" t="s">
        <v>911</v>
      </c>
      <c r="J139" s="5" t="s">
        <v>32</v>
      </c>
      <c r="K139" s="5" t="n">
        <v>2012</v>
      </c>
      <c r="L139" s="12"/>
      <c r="M139" s="6"/>
      <c r="N139" s="8"/>
    </row>
    <row r="140" customFormat="false" ht="33.75" hidden="false" customHeight="false" outlineLevel="0" collapsed="false">
      <c r="A140" s="5" t="n">
        <f aca="false">IF(B140&lt;&gt;"", COUNTA($B$2:B140), "")</f>
        <v>139</v>
      </c>
      <c r="B140" s="6" t="s">
        <v>221</v>
      </c>
      <c r="C140" s="12" t="s">
        <v>382</v>
      </c>
      <c r="D140" s="12" t="s">
        <v>965</v>
      </c>
      <c r="E140" s="17" t="n">
        <v>2011</v>
      </c>
      <c r="F140" s="12" t="s">
        <v>384</v>
      </c>
      <c r="G140" s="12" t="s">
        <v>385</v>
      </c>
      <c r="H140" s="5" t="s">
        <v>386</v>
      </c>
      <c r="I140" s="5" t="s">
        <v>911</v>
      </c>
      <c r="J140" s="5" t="s">
        <v>32</v>
      </c>
      <c r="K140" s="5" t="n">
        <v>2012</v>
      </c>
      <c r="L140" s="12" t="n">
        <v>48</v>
      </c>
      <c r="M140" s="6"/>
      <c r="N140" s="8"/>
    </row>
    <row r="141" customFormat="false" ht="33.75" hidden="false" customHeight="false" outlineLevel="0" collapsed="false">
      <c r="A141" s="5" t="n">
        <f aca="false">IF(B141&lt;&gt;"", COUNTA($B$2:B141), "")</f>
        <v>140</v>
      </c>
      <c r="B141" s="12" t="s">
        <v>387</v>
      </c>
      <c r="C141" s="8" t="s">
        <v>388</v>
      </c>
      <c r="D141" s="12" t="n">
        <v>110285</v>
      </c>
      <c r="E141" s="16" t="n">
        <v>2010</v>
      </c>
      <c r="F141" s="12" t="s">
        <v>390</v>
      </c>
      <c r="G141" s="12" t="s">
        <v>391</v>
      </c>
      <c r="H141" s="5" t="s">
        <v>392</v>
      </c>
      <c r="I141" s="5" t="s">
        <v>911</v>
      </c>
      <c r="J141" s="5" t="s">
        <v>32</v>
      </c>
      <c r="K141" s="5" t="n">
        <v>2012</v>
      </c>
      <c r="L141" s="12" t="n">
        <v>24</v>
      </c>
      <c r="M141" s="6"/>
      <c r="N141" s="8"/>
    </row>
    <row r="142" customFormat="false" ht="22.5" hidden="false" customHeight="false" outlineLevel="0" collapsed="false">
      <c r="A142" s="5" t="n">
        <f aca="false">IF(B142&lt;&gt;"", COUNTA($B$2:B142), "")</f>
        <v>141</v>
      </c>
      <c r="B142" s="12" t="s">
        <v>387</v>
      </c>
      <c r="C142" s="8" t="s">
        <v>388</v>
      </c>
      <c r="D142" s="12" t="n">
        <v>110300</v>
      </c>
      <c r="E142" s="16" t="n">
        <v>2010</v>
      </c>
      <c r="F142" s="12" t="s">
        <v>390</v>
      </c>
      <c r="G142" s="12" t="s">
        <v>391</v>
      </c>
      <c r="H142" s="5" t="s">
        <v>393</v>
      </c>
      <c r="I142" s="5" t="s">
        <v>911</v>
      </c>
      <c r="J142" s="5" t="s">
        <v>32</v>
      </c>
      <c r="K142" s="5" t="n">
        <v>2012</v>
      </c>
      <c r="L142" s="12" t="n">
        <v>24</v>
      </c>
      <c r="M142" s="6"/>
      <c r="N142" s="8"/>
    </row>
    <row r="143" customFormat="false" ht="33.75" hidden="false" customHeight="false" outlineLevel="0" collapsed="false">
      <c r="A143" s="5" t="n">
        <f aca="false">IF(B143&lt;&gt;"", COUNTA($B$2:B143), "")</f>
        <v>142</v>
      </c>
      <c r="B143" s="12" t="s">
        <v>387</v>
      </c>
      <c r="C143" s="8" t="s">
        <v>388</v>
      </c>
      <c r="D143" s="12" t="n">
        <v>110288</v>
      </c>
      <c r="E143" s="16" t="n">
        <v>2010</v>
      </c>
      <c r="F143" s="12" t="s">
        <v>390</v>
      </c>
      <c r="G143" s="12" t="s">
        <v>391</v>
      </c>
      <c r="H143" s="5" t="s">
        <v>394</v>
      </c>
      <c r="I143" s="5" t="s">
        <v>911</v>
      </c>
      <c r="J143" s="5" t="s">
        <v>32</v>
      </c>
      <c r="K143" s="5" t="n">
        <v>2012</v>
      </c>
      <c r="L143" s="12" t="n">
        <v>24</v>
      </c>
      <c r="M143" s="6"/>
      <c r="N143" s="8"/>
    </row>
    <row r="144" customFormat="false" ht="33.75" hidden="false" customHeight="false" outlineLevel="0" collapsed="false">
      <c r="A144" s="5" t="n">
        <f aca="false">IF(B144&lt;&gt;"", COUNTA($B$2:B144), "")</f>
        <v>143</v>
      </c>
      <c r="B144" s="12" t="s">
        <v>387</v>
      </c>
      <c r="C144" s="8" t="s">
        <v>388</v>
      </c>
      <c r="D144" s="12" t="n">
        <v>110286</v>
      </c>
      <c r="E144" s="16" t="n">
        <v>2010</v>
      </c>
      <c r="F144" s="12" t="s">
        <v>390</v>
      </c>
      <c r="G144" s="12" t="s">
        <v>391</v>
      </c>
      <c r="H144" s="5" t="s">
        <v>395</v>
      </c>
      <c r="I144" s="5" t="s">
        <v>911</v>
      </c>
      <c r="J144" s="5" t="s">
        <v>32</v>
      </c>
      <c r="K144" s="5" t="n">
        <v>2012</v>
      </c>
      <c r="L144" s="12" t="n">
        <v>24</v>
      </c>
      <c r="M144" s="6"/>
      <c r="N144" s="8"/>
    </row>
    <row r="145" customFormat="false" ht="22.5" hidden="false" customHeight="false" outlineLevel="0" collapsed="false">
      <c r="A145" s="5" t="n">
        <f aca="false">IF(B145&lt;&gt;"", COUNTA($B$2:B145), "")</f>
        <v>144</v>
      </c>
      <c r="B145" s="12" t="s">
        <v>387</v>
      </c>
      <c r="C145" s="8" t="s">
        <v>388</v>
      </c>
      <c r="D145" s="12" t="n">
        <v>110273</v>
      </c>
      <c r="E145" s="16" t="n">
        <v>2010</v>
      </c>
      <c r="F145" s="12" t="s">
        <v>390</v>
      </c>
      <c r="G145" s="12" t="s">
        <v>391</v>
      </c>
      <c r="H145" s="5" t="s">
        <v>396</v>
      </c>
      <c r="I145" s="5" t="s">
        <v>911</v>
      </c>
      <c r="J145" s="5" t="s">
        <v>32</v>
      </c>
      <c r="K145" s="5" t="n">
        <v>2012</v>
      </c>
      <c r="L145" s="12" t="n">
        <v>24</v>
      </c>
      <c r="M145" s="6"/>
      <c r="N145" s="8"/>
    </row>
    <row r="146" customFormat="false" ht="22.5" hidden="false" customHeight="false" outlineLevel="0" collapsed="false">
      <c r="A146" s="5" t="n">
        <f aca="false">IF(B146&lt;&gt;"", COUNTA($B$2:B146), "")</f>
        <v>145</v>
      </c>
      <c r="B146" s="12" t="s">
        <v>387</v>
      </c>
      <c r="C146" s="8" t="s">
        <v>397</v>
      </c>
      <c r="D146" s="12" t="n">
        <v>120434</v>
      </c>
      <c r="E146" s="16" t="n">
        <v>2010</v>
      </c>
      <c r="F146" s="12" t="s">
        <v>398</v>
      </c>
      <c r="G146" s="12" t="s">
        <v>391</v>
      </c>
      <c r="H146" s="5" t="s">
        <v>399</v>
      </c>
      <c r="I146" s="5" t="s">
        <v>911</v>
      </c>
      <c r="J146" s="5" t="s">
        <v>32</v>
      </c>
      <c r="K146" s="5" t="n">
        <v>2012</v>
      </c>
      <c r="L146" s="12" t="n">
        <v>24</v>
      </c>
      <c r="M146" s="6"/>
      <c r="N146" s="8"/>
    </row>
    <row r="147" customFormat="false" ht="22.5" hidden="false" customHeight="false" outlineLevel="0" collapsed="false">
      <c r="A147" s="5" t="n">
        <f aca="false">IF(B147&lt;&gt;"", COUNTA($B$2:B147), "")</f>
        <v>146</v>
      </c>
      <c r="B147" s="6" t="s">
        <v>64</v>
      </c>
      <c r="C147" s="19" t="s">
        <v>400</v>
      </c>
      <c r="D147" s="6" t="s">
        <v>966</v>
      </c>
      <c r="E147" s="17" t="n">
        <v>2011</v>
      </c>
      <c r="F147" s="19" t="s">
        <v>67</v>
      </c>
      <c r="G147" s="19" t="s">
        <v>68</v>
      </c>
      <c r="H147" s="6" t="s">
        <v>402</v>
      </c>
      <c r="I147" s="5" t="s">
        <v>911</v>
      </c>
      <c r="J147" s="5" t="s">
        <v>32</v>
      </c>
      <c r="K147" s="5" t="n">
        <v>2012</v>
      </c>
      <c r="L147" s="12" t="n">
        <v>36</v>
      </c>
      <c r="M147" s="6"/>
      <c r="N147" s="8"/>
    </row>
    <row r="148" customFormat="false" ht="22.5" hidden="false" customHeight="false" outlineLevel="0" collapsed="false">
      <c r="A148" s="5" t="n">
        <f aca="false">IF(B148&lt;&gt;"", COUNTA($B$2:B148), "")</f>
        <v>147</v>
      </c>
      <c r="B148" s="6" t="s">
        <v>64</v>
      </c>
      <c r="C148" s="19" t="s">
        <v>400</v>
      </c>
      <c r="D148" s="6" t="s">
        <v>967</v>
      </c>
      <c r="E148" s="17" t="n">
        <v>2011</v>
      </c>
      <c r="F148" s="19" t="s">
        <v>67</v>
      </c>
      <c r="G148" s="19" t="s">
        <v>68</v>
      </c>
      <c r="H148" s="6" t="s">
        <v>404</v>
      </c>
      <c r="I148" s="5" t="s">
        <v>911</v>
      </c>
      <c r="J148" s="5" t="s">
        <v>32</v>
      </c>
      <c r="K148" s="5" t="n">
        <v>2012</v>
      </c>
      <c r="L148" s="12" t="n">
        <v>36</v>
      </c>
      <c r="M148" s="6"/>
      <c r="N148" s="8"/>
    </row>
    <row r="149" customFormat="false" ht="15" hidden="false" customHeight="false" outlineLevel="0" collapsed="false">
      <c r="A149" s="5" t="n">
        <f aca="false">IF(B149&lt;&gt;"", COUNTA($B$2:B149), "")</f>
        <v>148</v>
      </c>
      <c r="B149" s="6" t="s">
        <v>64</v>
      </c>
      <c r="C149" s="19" t="s">
        <v>400</v>
      </c>
      <c r="D149" s="6" t="s">
        <v>968</v>
      </c>
      <c r="E149" s="17" t="n">
        <v>2011</v>
      </c>
      <c r="F149" s="19" t="s">
        <v>67</v>
      </c>
      <c r="G149" s="19" t="s">
        <v>68</v>
      </c>
      <c r="H149" s="6" t="s">
        <v>406</v>
      </c>
      <c r="I149" s="5" t="s">
        <v>911</v>
      </c>
      <c r="J149" s="5" t="s">
        <v>32</v>
      </c>
      <c r="K149" s="5" t="n">
        <v>2012</v>
      </c>
      <c r="L149" s="12" t="n">
        <v>36</v>
      </c>
      <c r="M149" s="6"/>
      <c r="N149" s="8"/>
    </row>
    <row r="150" customFormat="false" ht="22.5" hidden="false" customHeight="false" outlineLevel="0" collapsed="false">
      <c r="A150" s="5" t="n">
        <f aca="false">IF(B150&lt;&gt;"", COUNTA($B$2:B150), "")</f>
        <v>149</v>
      </c>
      <c r="B150" s="6" t="s">
        <v>64</v>
      </c>
      <c r="C150" s="19" t="s">
        <v>400</v>
      </c>
      <c r="D150" s="6" t="s">
        <v>969</v>
      </c>
      <c r="E150" s="17" t="n">
        <v>2011</v>
      </c>
      <c r="F150" s="19" t="s">
        <v>67</v>
      </c>
      <c r="G150" s="19" t="s">
        <v>68</v>
      </c>
      <c r="H150" s="6" t="s">
        <v>408</v>
      </c>
      <c r="I150" s="5" t="s">
        <v>911</v>
      </c>
      <c r="J150" s="5" t="s">
        <v>32</v>
      </c>
      <c r="K150" s="5" t="n">
        <v>2012</v>
      </c>
      <c r="L150" s="12" t="n">
        <v>36</v>
      </c>
      <c r="M150" s="6"/>
      <c r="N150" s="8"/>
    </row>
    <row r="151" customFormat="false" ht="22.5" hidden="false" customHeight="false" outlineLevel="0" collapsed="false">
      <c r="A151" s="5" t="n">
        <f aca="false">IF(B151&lt;&gt;"", COUNTA($B$2:B151), "")</f>
        <v>150</v>
      </c>
      <c r="B151" s="6" t="s">
        <v>64</v>
      </c>
      <c r="C151" s="19" t="s">
        <v>409</v>
      </c>
      <c r="D151" s="6" t="s">
        <v>970</v>
      </c>
      <c r="E151" s="17" t="n">
        <v>2011</v>
      </c>
      <c r="F151" s="19" t="s">
        <v>67</v>
      </c>
      <c r="G151" s="19" t="s">
        <v>68</v>
      </c>
      <c r="H151" s="6" t="s">
        <v>411</v>
      </c>
      <c r="I151" s="5" t="s">
        <v>911</v>
      </c>
      <c r="J151" s="5" t="s">
        <v>32</v>
      </c>
      <c r="K151" s="5" t="n">
        <v>2012</v>
      </c>
      <c r="L151" s="12" t="n">
        <v>36</v>
      </c>
      <c r="M151" s="6"/>
      <c r="N151" s="8"/>
    </row>
    <row r="152" customFormat="false" ht="22.5" hidden="false" customHeight="false" outlineLevel="0" collapsed="false">
      <c r="A152" s="5" t="n">
        <f aca="false">IF(B152&lt;&gt;"", COUNTA($B$2:B152), "")</f>
        <v>151</v>
      </c>
      <c r="B152" s="6" t="s">
        <v>64</v>
      </c>
      <c r="C152" s="19" t="s">
        <v>409</v>
      </c>
      <c r="D152" s="6" t="s">
        <v>818</v>
      </c>
      <c r="E152" s="17" t="n">
        <v>2011</v>
      </c>
      <c r="F152" s="19" t="s">
        <v>67</v>
      </c>
      <c r="G152" s="19" t="s">
        <v>68</v>
      </c>
      <c r="H152" s="6" t="s">
        <v>413</v>
      </c>
      <c r="I152" s="5" t="s">
        <v>911</v>
      </c>
      <c r="J152" s="5" t="s">
        <v>32</v>
      </c>
      <c r="K152" s="5" t="n">
        <v>2012</v>
      </c>
      <c r="L152" s="12" t="n">
        <v>36</v>
      </c>
      <c r="M152" s="6"/>
      <c r="N152" s="8"/>
    </row>
    <row r="153" customFormat="false" ht="22.5" hidden="false" customHeight="false" outlineLevel="0" collapsed="false">
      <c r="A153" s="5" t="n">
        <f aca="false">IF(B153&lt;&gt;"", COUNTA($B$2:B153), "")</f>
        <v>152</v>
      </c>
      <c r="B153" s="6" t="s">
        <v>64</v>
      </c>
      <c r="C153" s="19" t="s">
        <v>409</v>
      </c>
      <c r="D153" s="6" t="s">
        <v>971</v>
      </c>
      <c r="E153" s="17" t="n">
        <v>2011</v>
      </c>
      <c r="F153" s="19" t="s">
        <v>67</v>
      </c>
      <c r="G153" s="19" t="s">
        <v>68</v>
      </c>
      <c r="H153" s="6" t="s">
        <v>415</v>
      </c>
      <c r="I153" s="5" t="s">
        <v>911</v>
      </c>
      <c r="J153" s="5" t="s">
        <v>32</v>
      </c>
      <c r="K153" s="5" t="n">
        <v>2012</v>
      </c>
      <c r="L153" s="12" t="n">
        <v>36</v>
      </c>
      <c r="M153" s="6"/>
      <c r="N153" s="8"/>
    </row>
    <row r="154" customFormat="false" ht="22.5" hidden="false" customHeight="false" outlineLevel="0" collapsed="false">
      <c r="A154" s="5" t="n">
        <f aca="false">IF(B154&lt;&gt;"", COUNTA($B$2:B154), "")</f>
        <v>153</v>
      </c>
      <c r="B154" s="6" t="s">
        <v>64</v>
      </c>
      <c r="C154" s="19" t="s">
        <v>409</v>
      </c>
      <c r="D154" s="6" t="s">
        <v>690</v>
      </c>
      <c r="E154" s="17" t="n">
        <v>2011</v>
      </c>
      <c r="F154" s="19" t="s">
        <v>67</v>
      </c>
      <c r="G154" s="19" t="s">
        <v>68</v>
      </c>
      <c r="H154" s="6" t="s">
        <v>417</v>
      </c>
      <c r="I154" s="5" t="s">
        <v>911</v>
      </c>
      <c r="J154" s="5" t="s">
        <v>32</v>
      </c>
      <c r="K154" s="5" t="n">
        <v>2012</v>
      </c>
      <c r="L154" s="12" t="n">
        <v>36</v>
      </c>
      <c r="M154" s="6"/>
      <c r="N154" s="8"/>
    </row>
    <row r="155" customFormat="false" ht="33.75" hidden="false" customHeight="false" outlineLevel="0" collapsed="false">
      <c r="A155" s="5" t="n">
        <f aca="false">IF(B155&lt;&gt;"", COUNTA($B$2:B155), "")</f>
        <v>154</v>
      </c>
      <c r="B155" s="6" t="s">
        <v>64</v>
      </c>
      <c r="C155" s="19" t="s">
        <v>400</v>
      </c>
      <c r="D155" s="6" t="s">
        <v>972</v>
      </c>
      <c r="E155" s="17" t="n">
        <v>2011</v>
      </c>
      <c r="F155" s="19" t="s">
        <v>67</v>
      </c>
      <c r="G155" s="19" t="s">
        <v>68</v>
      </c>
      <c r="H155" s="6" t="s">
        <v>419</v>
      </c>
      <c r="I155" s="5" t="s">
        <v>911</v>
      </c>
      <c r="J155" s="5" t="s">
        <v>32</v>
      </c>
      <c r="K155" s="5" t="n">
        <v>2012</v>
      </c>
      <c r="L155" s="12" t="n">
        <v>36</v>
      </c>
      <c r="M155" s="6"/>
      <c r="N155" s="8"/>
    </row>
    <row r="156" customFormat="false" ht="33.75" hidden="false" customHeight="false" outlineLevel="0" collapsed="false">
      <c r="A156" s="5" t="n">
        <f aca="false">IF(B156&lt;&gt;"", COUNTA($B$2:B156), "")</f>
        <v>155</v>
      </c>
      <c r="B156" s="6" t="s">
        <v>64</v>
      </c>
      <c r="C156" s="19" t="s">
        <v>400</v>
      </c>
      <c r="D156" s="6" t="s">
        <v>973</v>
      </c>
      <c r="E156" s="17" t="n">
        <v>2011</v>
      </c>
      <c r="F156" s="19" t="s">
        <v>67</v>
      </c>
      <c r="G156" s="19" t="s">
        <v>68</v>
      </c>
      <c r="H156" s="6" t="s">
        <v>421</v>
      </c>
      <c r="I156" s="5" t="s">
        <v>911</v>
      </c>
      <c r="J156" s="5" t="s">
        <v>32</v>
      </c>
      <c r="K156" s="5" t="n">
        <v>2012</v>
      </c>
      <c r="L156" s="12" t="n">
        <v>36</v>
      </c>
      <c r="M156" s="6"/>
      <c r="N156" s="8"/>
    </row>
    <row r="157" customFormat="false" ht="22.5" hidden="false" customHeight="false" outlineLevel="0" collapsed="false">
      <c r="A157" s="5" t="n">
        <f aca="false">IF(B157&lt;&gt;"", COUNTA($B$2:B157), "")</f>
        <v>156</v>
      </c>
      <c r="B157" s="6" t="s">
        <v>64</v>
      </c>
      <c r="C157" s="19" t="s">
        <v>400</v>
      </c>
      <c r="D157" s="6" t="s">
        <v>692</v>
      </c>
      <c r="E157" s="17" t="n">
        <v>2011</v>
      </c>
      <c r="F157" s="19" t="s">
        <v>67</v>
      </c>
      <c r="G157" s="19" t="s">
        <v>68</v>
      </c>
      <c r="H157" s="6" t="s">
        <v>422</v>
      </c>
      <c r="I157" s="5" t="s">
        <v>911</v>
      </c>
      <c r="J157" s="5" t="s">
        <v>32</v>
      </c>
      <c r="K157" s="5" t="n">
        <v>2012</v>
      </c>
      <c r="L157" s="12" t="n">
        <v>36</v>
      </c>
      <c r="M157" s="6"/>
      <c r="N157" s="8"/>
    </row>
    <row r="158" customFormat="false" ht="15" hidden="false" customHeight="false" outlineLevel="0" collapsed="false">
      <c r="A158" s="5" t="n">
        <f aca="false">IF(B158&lt;&gt;"", COUNTA($B$2:B158), "")</f>
        <v>157</v>
      </c>
      <c r="B158" s="6" t="s">
        <v>64</v>
      </c>
      <c r="C158" s="19" t="s">
        <v>423</v>
      </c>
      <c r="D158" s="6" t="s">
        <v>974</v>
      </c>
      <c r="E158" s="16" t="n">
        <v>2011</v>
      </c>
      <c r="F158" s="8" t="s">
        <v>156</v>
      </c>
      <c r="G158" s="19" t="s">
        <v>426</v>
      </c>
      <c r="H158" s="6" t="s">
        <v>427</v>
      </c>
      <c r="I158" s="5" t="s">
        <v>911</v>
      </c>
      <c r="J158" s="5" t="s">
        <v>32</v>
      </c>
      <c r="K158" s="5" t="n">
        <v>2012</v>
      </c>
      <c r="L158" s="12" t="n">
        <v>60</v>
      </c>
      <c r="M158" s="6"/>
      <c r="N158" s="8"/>
    </row>
    <row r="159" customFormat="false" ht="22.5" hidden="false" customHeight="false" outlineLevel="0" collapsed="false">
      <c r="A159" s="5" t="n">
        <f aca="false">IF(B159&lt;&gt;"", COUNTA($B$2:B159), "")</f>
        <v>158</v>
      </c>
      <c r="B159" s="6" t="s">
        <v>64</v>
      </c>
      <c r="C159" s="19" t="s">
        <v>400</v>
      </c>
      <c r="D159" s="6" t="s">
        <v>975</v>
      </c>
      <c r="E159" s="17" t="n">
        <v>2011</v>
      </c>
      <c r="F159" s="19" t="s">
        <v>67</v>
      </c>
      <c r="G159" s="19" t="s">
        <v>68</v>
      </c>
      <c r="H159" s="6" t="s">
        <v>429</v>
      </c>
      <c r="I159" s="5" t="s">
        <v>911</v>
      </c>
      <c r="J159" s="5" t="s">
        <v>32</v>
      </c>
      <c r="K159" s="5" t="n">
        <v>2012</v>
      </c>
      <c r="L159" s="12" t="n">
        <v>36</v>
      </c>
      <c r="M159" s="6"/>
      <c r="N159" s="8"/>
    </row>
    <row r="160" customFormat="false" ht="22.5" hidden="false" customHeight="false" outlineLevel="0" collapsed="false">
      <c r="A160" s="5" t="n">
        <f aca="false">IF(B160&lt;&gt;"", COUNTA($B$2:B160), "")</f>
        <v>159</v>
      </c>
      <c r="B160" s="6" t="s">
        <v>64</v>
      </c>
      <c r="C160" s="19" t="s">
        <v>400</v>
      </c>
      <c r="D160" s="6" t="s">
        <v>820</v>
      </c>
      <c r="E160" s="17" t="n">
        <v>2011</v>
      </c>
      <c r="F160" s="19" t="s">
        <v>67</v>
      </c>
      <c r="G160" s="19" t="s">
        <v>68</v>
      </c>
      <c r="H160" s="6" t="s">
        <v>431</v>
      </c>
      <c r="I160" s="5" t="s">
        <v>911</v>
      </c>
      <c r="J160" s="5" t="s">
        <v>32</v>
      </c>
      <c r="K160" s="5" t="n">
        <v>2012</v>
      </c>
      <c r="L160" s="12" t="n">
        <v>36</v>
      </c>
      <c r="M160" s="6"/>
      <c r="N160" s="8"/>
    </row>
    <row r="161" customFormat="false" ht="22.5" hidden="false" customHeight="false" outlineLevel="0" collapsed="false">
      <c r="A161" s="5" t="n">
        <f aca="false">IF(B161&lt;&gt;"", COUNTA($B$2:B161), "")</f>
        <v>160</v>
      </c>
      <c r="B161" s="6" t="s">
        <v>64</v>
      </c>
      <c r="C161" s="19" t="s">
        <v>400</v>
      </c>
      <c r="D161" s="6" t="s">
        <v>412</v>
      </c>
      <c r="E161" s="17" t="n">
        <v>2011</v>
      </c>
      <c r="F161" s="19" t="s">
        <v>67</v>
      </c>
      <c r="G161" s="19" t="s">
        <v>68</v>
      </c>
      <c r="H161" s="6" t="s">
        <v>433</v>
      </c>
      <c r="I161" s="5" t="s">
        <v>911</v>
      </c>
      <c r="J161" s="5" t="s">
        <v>32</v>
      </c>
      <c r="K161" s="5" t="n">
        <v>2012</v>
      </c>
      <c r="L161" s="12" t="n">
        <v>36</v>
      </c>
      <c r="M161" s="6"/>
      <c r="N161" s="8"/>
    </row>
    <row r="162" customFormat="false" ht="33.75" hidden="false" customHeight="false" outlineLevel="0" collapsed="false">
      <c r="A162" s="5" t="n">
        <f aca="false">IF(B162&lt;&gt;"", COUNTA($B$2:B162), "")</f>
        <v>161</v>
      </c>
      <c r="B162" s="6" t="s">
        <v>64</v>
      </c>
      <c r="C162" s="19" t="s">
        <v>434</v>
      </c>
      <c r="D162" s="6" t="s">
        <v>976</v>
      </c>
      <c r="E162" s="16" t="s">
        <v>439</v>
      </c>
      <c r="F162" s="36" t="s">
        <v>436</v>
      </c>
      <c r="G162" s="19" t="s">
        <v>68</v>
      </c>
      <c r="H162" s="19" t="s">
        <v>437</v>
      </c>
      <c r="I162" s="5" t="s">
        <v>911</v>
      </c>
      <c r="J162" s="5" t="s">
        <v>32</v>
      </c>
      <c r="K162" s="5" t="n">
        <v>2012</v>
      </c>
      <c r="L162" s="12" t="n">
        <v>24</v>
      </c>
      <c r="M162" s="6" t="s">
        <v>791</v>
      </c>
      <c r="N162" s="8" t="s">
        <v>1</v>
      </c>
    </row>
    <row r="163" customFormat="false" ht="33.75" hidden="false" customHeight="false" outlineLevel="0" collapsed="false">
      <c r="A163" s="5" t="n">
        <f aca="false">IF(B163&lt;&gt;"", COUNTA($B$2:B163), "")</f>
        <v>162</v>
      </c>
      <c r="B163" s="6" t="s">
        <v>64</v>
      </c>
      <c r="C163" s="19" t="s">
        <v>434</v>
      </c>
      <c r="D163" s="6" t="s">
        <v>977</v>
      </c>
      <c r="E163" s="16" t="s">
        <v>439</v>
      </c>
      <c r="F163" s="36" t="s">
        <v>436</v>
      </c>
      <c r="G163" s="19" t="s">
        <v>68</v>
      </c>
      <c r="H163" s="19" t="s">
        <v>440</v>
      </c>
      <c r="I163" s="5" t="s">
        <v>911</v>
      </c>
      <c r="J163" s="5" t="s">
        <v>32</v>
      </c>
      <c r="K163" s="5" t="n">
        <v>2012</v>
      </c>
      <c r="L163" s="12" t="n">
        <v>24</v>
      </c>
      <c r="M163" s="6" t="s">
        <v>791</v>
      </c>
      <c r="N163" s="8" t="s">
        <v>1</v>
      </c>
    </row>
    <row r="164" customFormat="false" ht="22.5" hidden="false" customHeight="false" outlineLevel="0" collapsed="false">
      <c r="A164" s="5" t="n">
        <f aca="false">IF(B164&lt;&gt;"", COUNTA($B$2:B164), "")</f>
        <v>163</v>
      </c>
      <c r="B164" s="6" t="s">
        <v>64</v>
      </c>
      <c r="C164" s="19" t="s">
        <v>434</v>
      </c>
      <c r="D164" s="6" t="s">
        <v>978</v>
      </c>
      <c r="E164" s="16" t="s">
        <v>439</v>
      </c>
      <c r="F164" s="36" t="s">
        <v>436</v>
      </c>
      <c r="G164" s="19" t="s">
        <v>68</v>
      </c>
      <c r="H164" s="19" t="s">
        <v>442</v>
      </c>
      <c r="I164" s="5" t="s">
        <v>911</v>
      </c>
      <c r="J164" s="5" t="s">
        <v>32</v>
      </c>
      <c r="K164" s="5" t="n">
        <v>2012</v>
      </c>
      <c r="L164" s="12" t="n">
        <v>24</v>
      </c>
      <c r="M164" s="6" t="s">
        <v>791</v>
      </c>
      <c r="N164" s="8" t="s">
        <v>1</v>
      </c>
    </row>
    <row r="165" customFormat="false" ht="22.5" hidden="false" customHeight="false" outlineLevel="0" collapsed="false">
      <c r="A165" s="5" t="n">
        <f aca="false">IF(B165&lt;&gt;"", COUNTA($B$2:B165), "")</f>
        <v>164</v>
      </c>
      <c r="B165" s="6" t="s">
        <v>64</v>
      </c>
      <c r="C165" s="19" t="s">
        <v>434</v>
      </c>
      <c r="D165" s="6" t="s">
        <v>979</v>
      </c>
      <c r="E165" s="16" t="s">
        <v>439</v>
      </c>
      <c r="F165" s="36" t="s">
        <v>436</v>
      </c>
      <c r="G165" s="19" t="s">
        <v>68</v>
      </c>
      <c r="H165" s="19" t="s">
        <v>444</v>
      </c>
      <c r="I165" s="5" t="s">
        <v>911</v>
      </c>
      <c r="J165" s="5" t="s">
        <v>32</v>
      </c>
      <c r="K165" s="5" t="n">
        <v>2012</v>
      </c>
      <c r="L165" s="12" t="n">
        <v>24</v>
      </c>
      <c r="M165" s="6" t="s">
        <v>791</v>
      </c>
      <c r="N165" s="8" t="s">
        <v>1</v>
      </c>
    </row>
    <row r="166" customFormat="false" ht="15" hidden="false" customHeight="false" outlineLevel="0" collapsed="false">
      <c r="A166" s="5" t="n">
        <f aca="false">IF(B166&lt;&gt;"", COUNTA($B$2:B166), "")</f>
        <v>165</v>
      </c>
      <c r="B166" s="6" t="s">
        <v>64</v>
      </c>
      <c r="C166" s="19" t="s">
        <v>980</v>
      </c>
      <c r="D166" s="6" t="s">
        <v>981</v>
      </c>
      <c r="E166" s="16" t="s">
        <v>439</v>
      </c>
      <c r="F166" s="19" t="s">
        <v>447</v>
      </c>
      <c r="G166" s="19" t="s">
        <v>68</v>
      </c>
      <c r="H166" s="19" t="s">
        <v>448</v>
      </c>
      <c r="I166" s="5" t="s">
        <v>911</v>
      </c>
      <c r="J166" s="5" t="s">
        <v>32</v>
      </c>
      <c r="K166" s="5" t="n">
        <v>2012</v>
      </c>
      <c r="L166" s="5" t="n">
        <v>12</v>
      </c>
      <c r="M166" s="6"/>
      <c r="N166" s="8"/>
    </row>
    <row r="167" customFormat="false" ht="22.5" hidden="false" customHeight="false" outlineLevel="0" collapsed="false">
      <c r="A167" s="5" t="n">
        <f aca="false">IF(B167&lt;&gt;"", COUNTA($B$2:B167), "")</f>
        <v>166</v>
      </c>
      <c r="B167" s="6" t="s">
        <v>64</v>
      </c>
      <c r="C167" s="19" t="s">
        <v>400</v>
      </c>
      <c r="D167" s="6" t="s">
        <v>982</v>
      </c>
      <c r="E167" s="17" t="n">
        <v>2011</v>
      </c>
      <c r="F167" s="19" t="s">
        <v>67</v>
      </c>
      <c r="G167" s="19" t="s">
        <v>68</v>
      </c>
      <c r="H167" s="19" t="s">
        <v>450</v>
      </c>
      <c r="I167" s="5" t="s">
        <v>911</v>
      </c>
      <c r="J167" s="5" t="s">
        <v>32</v>
      </c>
      <c r="K167" s="5" t="n">
        <v>2012</v>
      </c>
      <c r="L167" s="12" t="n">
        <v>36</v>
      </c>
      <c r="M167" s="6" t="s">
        <v>791</v>
      </c>
      <c r="N167" s="8" t="s">
        <v>1</v>
      </c>
    </row>
    <row r="168" customFormat="false" ht="22.5" hidden="false" customHeight="false" outlineLevel="0" collapsed="false">
      <c r="A168" s="5" t="n">
        <f aca="false">IF(B168&lt;&gt;"", COUNTA($B$2:B168), "")</f>
        <v>167</v>
      </c>
      <c r="B168" s="6" t="s">
        <v>64</v>
      </c>
      <c r="C168" s="19" t="s">
        <v>400</v>
      </c>
      <c r="D168" s="6" t="s">
        <v>983</v>
      </c>
      <c r="E168" s="17" t="n">
        <v>2011</v>
      </c>
      <c r="F168" s="19" t="s">
        <v>67</v>
      </c>
      <c r="G168" s="19" t="s">
        <v>68</v>
      </c>
      <c r="H168" s="19" t="s">
        <v>450</v>
      </c>
      <c r="I168" s="5" t="s">
        <v>911</v>
      </c>
      <c r="J168" s="5" t="s">
        <v>32</v>
      </c>
      <c r="K168" s="5" t="n">
        <v>2012</v>
      </c>
      <c r="L168" s="12" t="n">
        <v>36</v>
      </c>
      <c r="M168" s="6" t="s">
        <v>791</v>
      </c>
      <c r="N168" s="8" t="s">
        <v>1</v>
      </c>
    </row>
    <row r="169" customFormat="false" ht="22.5" hidden="false" customHeight="false" outlineLevel="0" collapsed="false">
      <c r="A169" s="5" t="n">
        <f aca="false">IF(B169&lt;&gt;"", COUNTA($B$2:B169), "")</f>
        <v>168</v>
      </c>
      <c r="B169" s="6" t="s">
        <v>64</v>
      </c>
      <c r="C169" s="19" t="s">
        <v>400</v>
      </c>
      <c r="D169" s="6" t="s">
        <v>766</v>
      </c>
      <c r="E169" s="17" t="n">
        <v>2011</v>
      </c>
      <c r="F169" s="19" t="s">
        <v>67</v>
      </c>
      <c r="G169" s="19" t="s">
        <v>68</v>
      </c>
      <c r="H169" s="19" t="s">
        <v>452</v>
      </c>
      <c r="I169" s="5" t="s">
        <v>911</v>
      </c>
      <c r="J169" s="5" t="s">
        <v>32</v>
      </c>
      <c r="K169" s="5" t="n">
        <v>2012</v>
      </c>
      <c r="L169" s="12" t="n">
        <v>36</v>
      </c>
      <c r="M169" s="6"/>
      <c r="N169" s="8"/>
    </row>
    <row r="170" customFormat="false" ht="22.5" hidden="false" customHeight="false" outlineLevel="0" collapsed="false">
      <c r="A170" s="5" t="n">
        <f aca="false">IF(B170&lt;&gt;"", COUNTA($B$2:B170), "")</f>
        <v>169</v>
      </c>
      <c r="B170" s="6" t="s">
        <v>64</v>
      </c>
      <c r="C170" s="19" t="s">
        <v>453</v>
      </c>
      <c r="D170" s="6" t="s">
        <v>976</v>
      </c>
      <c r="E170" s="17" t="n">
        <v>2011</v>
      </c>
      <c r="F170" s="19" t="s">
        <v>67</v>
      </c>
      <c r="G170" s="19" t="s">
        <v>68</v>
      </c>
      <c r="H170" s="19" t="s">
        <v>454</v>
      </c>
      <c r="I170" s="5" t="s">
        <v>911</v>
      </c>
      <c r="J170" s="5" t="s">
        <v>32</v>
      </c>
      <c r="K170" s="5" t="n">
        <v>2012</v>
      </c>
      <c r="L170" s="12" t="n">
        <v>36</v>
      </c>
      <c r="M170" s="6"/>
      <c r="N170" s="8"/>
    </row>
    <row r="171" customFormat="false" ht="22.5" hidden="false" customHeight="false" outlineLevel="0" collapsed="false">
      <c r="A171" s="5" t="n">
        <f aca="false">IF(B171&lt;&gt;"", COUNTA($B$2:B171), "")</f>
        <v>170</v>
      </c>
      <c r="B171" s="6" t="s">
        <v>64</v>
      </c>
      <c r="C171" s="19" t="s">
        <v>409</v>
      </c>
      <c r="D171" s="6" t="s">
        <v>984</v>
      </c>
      <c r="E171" s="17" t="n">
        <v>2011</v>
      </c>
      <c r="F171" s="19" t="s">
        <v>67</v>
      </c>
      <c r="G171" s="19" t="s">
        <v>68</v>
      </c>
      <c r="H171" s="19" t="s">
        <v>455</v>
      </c>
      <c r="I171" s="5" t="s">
        <v>911</v>
      </c>
      <c r="J171" s="5" t="s">
        <v>32</v>
      </c>
      <c r="K171" s="5" t="n">
        <v>2012</v>
      </c>
      <c r="L171" s="12" t="n">
        <v>36</v>
      </c>
      <c r="M171" s="6" t="s">
        <v>791</v>
      </c>
      <c r="N171" s="8" t="s">
        <v>1</v>
      </c>
    </row>
    <row r="172" customFormat="false" ht="15" hidden="false" customHeight="false" outlineLevel="0" collapsed="false">
      <c r="A172" s="5" t="n">
        <f aca="false">IF(B172&lt;&gt;"", COUNTA($B$2:B172), "")</f>
        <v>171</v>
      </c>
      <c r="B172" s="6" t="s">
        <v>64</v>
      </c>
      <c r="C172" s="19" t="s">
        <v>456</v>
      </c>
      <c r="D172" s="6" t="s">
        <v>985</v>
      </c>
      <c r="E172" s="17" t="n">
        <v>2008</v>
      </c>
      <c r="F172" s="19" t="s">
        <v>436</v>
      </c>
      <c r="G172" s="19" t="s">
        <v>68</v>
      </c>
      <c r="H172" s="19" t="s">
        <v>458</v>
      </c>
      <c r="I172" s="5" t="s">
        <v>911</v>
      </c>
      <c r="J172" s="5" t="s">
        <v>32</v>
      </c>
      <c r="K172" s="5" t="n">
        <v>2012</v>
      </c>
      <c r="L172" s="12" t="n">
        <v>36</v>
      </c>
      <c r="M172" s="6"/>
      <c r="N172" s="8"/>
    </row>
    <row r="173" customFormat="false" ht="22.5" hidden="false" customHeight="false" outlineLevel="0" collapsed="false">
      <c r="A173" s="5" t="n">
        <f aca="false">IF(B173&lt;&gt;"", COUNTA($B$2:B173), "")</f>
        <v>172</v>
      </c>
      <c r="B173" s="12" t="s">
        <v>387</v>
      </c>
      <c r="C173" s="8" t="s">
        <v>459</v>
      </c>
      <c r="D173" s="12" t="n">
        <v>112692</v>
      </c>
      <c r="E173" s="17" t="n">
        <v>2011</v>
      </c>
      <c r="F173" s="12" t="s">
        <v>460</v>
      </c>
      <c r="G173" s="19" t="s">
        <v>68</v>
      </c>
      <c r="H173" s="5" t="s">
        <v>461</v>
      </c>
      <c r="I173" s="5" t="s">
        <v>986</v>
      </c>
      <c r="J173" s="5" t="s">
        <v>32</v>
      </c>
      <c r="K173" s="5" t="n">
        <v>2012</v>
      </c>
      <c r="L173" s="5" t="n">
        <v>12</v>
      </c>
      <c r="M173" s="6"/>
      <c r="N173" s="8"/>
    </row>
    <row r="174" customFormat="false" ht="22.5" hidden="false" customHeight="false" outlineLevel="0" collapsed="false">
      <c r="A174" s="5" t="n">
        <f aca="false">IF(B174&lt;&gt;"", COUNTA($B$2:B174), "")</f>
        <v>173</v>
      </c>
      <c r="B174" s="12" t="s">
        <v>387</v>
      </c>
      <c r="C174" s="8" t="s">
        <v>459</v>
      </c>
      <c r="D174" s="12" t="n">
        <v>112639</v>
      </c>
      <c r="E174" s="17" t="n">
        <v>2011</v>
      </c>
      <c r="F174" s="12" t="s">
        <v>460</v>
      </c>
      <c r="G174" s="19" t="s">
        <v>68</v>
      </c>
      <c r="H174" s="5" t="s">
        <v>462</v>
      </c>
      <c r="I174" s="5" t="s">
        <v>986</v>
      </c>
      <c r="J174" s="5" t="s">
        <v>32</v>
      </c>
      <c r="K174" s="5" t="n">
        <v>2012</v>
      </c>
      <c r="L174" s="5" t="n">
        <v>12</v>
      </c>
      <c r="M174" s="6"/>
      <c r="N174" s="8"/>
    </row>
    <row r="175" customFormat="false" ht="22.5" hidden="false" customHeight="false" outlineLevel="0" collapsed="false">
      <c r="A175" s="5" t="n">
        <f aca="false">IF(B175&lt;&gt;"", COUNTA($B$2:B175), "")</f>
        <v>174</v>
      </c>
      <c r="B175" s="12" t="s">
        <v>387</v>
      </c>
      <c r="C175" s="8" t="s">
        <v>459</v>
      </c>
      <c r="D175" s="12" t="n">
        <v>112697</v>
      </c>
      <c r="E175" s="17" t="n">
        <v>2011</v>
      </c>
      <c r="F175" s="12" t="s">
        <v>460</v>
      </c>
      <c r="G175" s="19" t="s">
        <v>68</v>
      </c>
      <c r="H175" s="5" t="s">
        <v>463</v>
      </c>
      <c r="I175" s="5" t="s">
        <v>986</v>
      </c>
      <c r="J175" s="5" t="s">
        <v>32</v>
      </c>
      <c r="K175" s="5" t="n">
        <v>2012</v>
      </c>
      <c r="L175" s="5" t="n">
        <v>12</v>
      </c>
      <c r="M175" s="6"/>
      <c r="N175" s="8"/>
    </row>
    <row r="176" customFormat="false" ht="22.5" hidden="false" customHeight="false" outlineLevel="0" collapsed="false">
      <c r="A176" s="5" t="n">
        <f aca="false">IF(B176&lt;&gt;"", COUNTA($B$2:B176), "")</f>
        <v>175</v>
      </c>
      <c r="B176" s="12" t="s">
        <v>387</v>
      </c>
      <c r="C176" s="8" t="s">
        <v>459</v>
      </c>
      <c r="D176" s="12" t="n">
        <v>111612</v>
      </c>
      <c r="E176" s="17" t="n">
        <v>2011</v>
      </c>
      <c r="F176" s="12" t="s">
        <v>460</v>
      </c>
      <c r="G176" s="19" t="s">
        <v>68</v>
      </c>
      <c r="H176" s="5" t="s">
        <v>464</v>
      </c>
      <c r="I176" s="5" t="s">
        <v>986</v>
      </c>
      <c r="J176" s="5" t="s">
        <v>32</v>
      </c>
      <c r="K176" s="5" t="n">
        <v>2012</v>
      </c>
      <c r="L176" s="5" t="n">
        <v>12</v>
      </c>
      <c r="M176" s="6"/>
      <c r="N176" s="8"/>
    </row>
    <row r="177" customFormat="false" ht="22.5" hidden="false" customHeight="false" outlineLevel="0" collapsed="false">
      <c r="A177" s="5" t="n">
        <f aca="false">IF(B177&lt;&gt;"", COUNTA($B$2:B177), "")</f>
        <v>176</v>
      </c>
      <c r="B177" s="12" t="s">
        <v>387</v>
      </c>
      <c r="C177" s="8" t="s">
        <v>459</v>
      </c>
      <c r="D177" s="12" t="n">
        <v>91505</v>
      </c>
      <c r="E177" s="17" t="n">
        <v>2011</v>
      </c>
      <c r="F177" s="12" t="s">
        <v>460</v>
      </c>
      <c r="G177" s="19" t="s">
        <v>68</v>
      </c>
      <c r="H177" s="5" t="s">
        <v>465</v>
      </c>
      <c r="I177" s="5" t="s">
        <v>986</v>
      </c>
      <c r="J177" s="5" t="s">
        <v>32</v>
      </c>
      <c r="K177" s="5" t="n">
        <v>2012</v>
      </c>
      <c r="L177" s="5" t="n">
        <v>12</v>
      </c>
      <c r="M177" s="6"/>
      <c r="N177" s="8"/>
    </row>
    <row r="178" customFormat="false" ht="22.5" hidden="false" customHeight="false" outlineLevel="0" collapsed="false">
      <c r="A178" s="5" t="n">
        <f aca="false">IF(B178&lt;&gt;"", COUNTA($B$2:B178), "")</f>
        <v>177</v>
      </c>
      <c r="B178" s="12" t="s">
        <v>387</v>
      </c>
      <c r="C178" s="8" t="s">
        <v>466</v>
      </c>
      <c r="D178" s="12" t="n">
        <v>120086</v>
      </c>
      <c r="E178" s="17" t="n">
        <v>2011</v>
      </c>
      <c r="F178" s="12" t="s">
        <v>460</v>
      </c>
      <c r="G178" s="19" t="s">
        <v>68</v>
      </c>
      <c r="H178" s="5" t="s">
        <v>467</v>
      </c>
      <c r="I178" s="5" t="s">
        <v>986</v>
      </c>
      <c r="J178" s="5" t="s">
        <v>32</v>
      </c>
      <c r="K178" s="5" t="n">
        <v>2012</v>
      </c>
      <c r="L178" s="5" t="n">
        <v>12</v>
      </c>
      <c r="M178" s="6"/>
      <c r="N178" s="8"/>
    </row>
    <row r="179" customFormat="false" ht="22.5" hidden="false" customHeight="false" outlineLevel="0" collapsed="false">
      <c r="A179" s="5" t="n">
        <f aca="false">IF(B179&lt;&gt;"", COUNTA($B$2:B179), "")</f>
        <v>178</v>
      </c>
      <c r="B179" s="12" t="s">
        <v>387</v>
      </c>
      <c r="C179" s="8" t="s">
        <v>466</v>
      </c>
      <c r="D179" s="12" t="n">
        <v>120071</v>
      </c>
      <c r="E179" s="17" t="n">
        <v>2011</v>
      </c>
      <c r="F179" s="12" t="s">
        <v>460</v>
      </c>
      <c r="G179" s="19" t="s">
        <v>68</v>
      </c>
      <c r="H179" s="5" t="s">
        <v>468</v>
      </c>
      <c r="I179" s="5" t="s">
        <v>986</v>
      </c>
      <c r="J179" s="5" t="s">
        <v>32</v>
      </c>
      <c r="K179" s="5" t="n">
        <v>2012</v>
      </c>
      <c r="L179" s="5" t="n">
        <v>12</v>
      </c>
      <c r="M179" s="6"/>
      <c r="N179" s="8"/>
    </row>
    <row r="180" customFormat="false" ht="15" hidden="false" customHeight="false" outlineLevel="0" collapsed="false">
      <c r="A180" s="5" t="n">
        <f aca="false">IF(B180&lt;&gt;"", COUNTA($B$2:B180), "")</f>
        <v>179</v>
      </c>
      <c r="B180" s="7" t="s">
        <v>27</v>
      </c>
      <c r="C180" s="8" t="s">
        <v>28</v>
      </c>
      <c r="D180" s="9" t="n">
        <v>6203</v>
      </c>
      <c r="E180" s="8" t="n">
        <v>2010</v>
      </c>
      <c r="F180" s="8" t="s">
        <v>29</v>
      </c>
      <c r="G180" s="19" t="s">
        <v>987</v>
      </c>
      <c r="H180" s="5" t="s">
        <v>469</v>
      </c>
      <c r="I180" s="8" t="s">
        <v>911</v>
      </c>
      <c r="J180" s="5" t="s">
        <v>32</v>
      </c>
      <c r="K180" s="5" t="n">
        <v>2012</v>
      </c>
      <c r="L180" s="5" t="n">
        <v>12</v>
      </c>
      <c r="M180" s="6" t="s">
        <v>33</v>
      </c>
      <c r="N180" s="8" t="s">
        <v>1</v>
      </c>
    </row>
    <row r="181" customFormat="false" ht="15" hidden="false" customHeight="false" outlineLevel="0" collapsed="false">
      <c r="A181" s="5" t="n">
        <f aca="false">IF(B181&lt;&gt;"", COUNTA($B$2:B181), "")</f>
        <v>180</v>
      </c>
      <c r="B181" s="7" t="s">
        <v>27</v>
      </c>
      <c r="C181" s="8" t="s">
        <v>28</v>
      </c>
      <c r="D181" s="9" t="n">
        <v>15133</v>
      </c>
      <c r="E181" s="8" t="n">
        <v>2010</v>
      </c>
      <c r="F181" s="8" t="s">
        <v>593</v>
      </c>
      <c r="G181" s="19" t="s">
        <v>987</v>
      </c>
      <c r="H181" s="5" t="s">
        <v>470</v>
      </c>
      <c r="I181" s="8" t="s">
        <v>911</v>
      </c>
      <c r="J181" s="5" t="s">
        <v>32</v>
      </c>
      <c r="K181" s="5" t="n">
        <v>2012</v>
      </c>
      <c r="L181" s="5" t="n">
        <v>12</v>
      </c>
      <c r="M181" s="6" t="s">
        <v>33</v>
      </c>
      <c r="N181" s="8" t="s">
        <v>1</v>
      </c>
    </row>
    <row r="182" customFormat="false" ht="15" hidden="false" customHeight="false" outlineLevel="0" collapsed="false">
      <c r="A182" s="5" t="n">
        <f aca="false">IF(B182&lt;&gt;"", COUNTA($B$2:B182), "")</f>
        <v>181</v>
      </c>
      <c r="B182" s="7" t="s">
        <v>27</v>
      </c>
      <c r="C182" s="10" t="s">
        <v>28</v>
      </c>
      <c r="D182" s="8" t="n">
        <v>15566</v>
      </c>
      <c r="E182" s="8" t="n">
        <v>2010</v>
      </c>
      <c r="F182" s="8" t="s">
        <v>192</v>
      </c>
      <c r="G182" s="19" t="s">
        <v>181</v>
      </c>
      <c r="H182" s="12" t="s">
        <v>471</v>
      </c>
      <c r="I182" s="8" t="s">
        <v>911</v>
      </c>
      <c r="J182" s="5" t="s">
        <v>32</v>
      </c>
      <c r="K182" s="5" t="n">
        <v>2012</v>
      </c>
      <c r="L182" s="5" t="n">
        <v>12</v>
      </c>
      <c r="M182" s="27" t="s">
        <v>37</v>
      </c>
      <c r="N182" s="8" t="s">
        <v>38</v>
      </c>
      <c r="O182" s="14"/>
    </row>
    <row r="183" customFormat="false" ht="15" hidden="false" customHeight="false" outlineLevel="0" collapsed="false">
      <c r="A183" s="5" t="n">
        <f aca="false">IF(B183&lt;&gt;"", COUNTA($B$2:B183), "")</f>
        <v>182</v>
      </c>
      <c r="B183" s="7" t="s">
        <v>27</v>
      </c>
      <c r="C183" s="10" t="s">
        <v>28</v>
      </c>
      <c r="D183" s="8" t="n">
        <v>212032130</v>
      </c>
      <c r="E183" s="8" t="n">
        <v>2010</v>
      </c>
      <c r="F183" s="8" t="s">
        <v>192</v>
      </c>
      <c r="G183" s="19" t="s">
        <v>987</v>
      </c>
      <c r="H183" s="12" t="s">
        <v>472</v>
      </c>
      <c r="I183" s="8" t="s">
        <v>911</v>
      </c>
      <c r="J183" s="5" t="s">
        <v>32</v>
      </c>
      <c r="K183" s="5" t="n">
        <v>2012</v>
      </c>
      <c r="L183" s="5" t="n">
        <v>12</v>
      </c>
      <c r="M183" s="27" t="s">
        <v>37</v>
      </c>
      <c r="N183" s="8" t="s">
        <v>38</v>
      </c>
      <c r="O183" s="14"/>
    </row>
    <row r="184" customFormat="false" ht="15" hidden="false" customHeight="false" outlineLevel="0" collapsed="false">
      <c r="A184" s="5" t="n">
        <f aca="false">IF(B184&lt;&gt;"", COUNTA($B$2:B184), "")</f>
        <v>183</v>
      </c>
      <c r="B184" s="7" t="s">
        <v>27</v>
      </c>
      <c r="C184" s="8" t="s">
        <v>28</v>
      </c>
      <c r="D184" s="15" t="s">
        <v>988</v>
      </c>
      <c r="E184" s="8" t="n">
        <v>2010</v>
      </c>
      <c r="F184" s="8" t="s">
        <v>119</v>
      </c>
      <c r="G184" s="19" t="s">
        <v>987</v>
      </c>
      <c r="H184" s="5" t="s">
        <v>474</v>
      </c>
      <c r="I184" s="8" t="s">
        <v>911</v>
      </c>
      <c r="J184" s="5" t="s">
        <v>32</v>
      </c>
      <c r="K184" s="5" t="n">
        <v>2012</v>
      </c>
      <c r="L184" s="5" t="n">
        <v>12</v>
      </c>
      <c r="M184" s="6" t="s">
        <v>33</v>
      </c>
      <c r="N184" s="8" t="s">
        <v>1</v>
      </c>
    </row>
    <row r="185" customFormat="false" ht="15" hidden="false" customHeight="false" outlineLevel="0" collapsed="false">
      <c r="A185" s="5" t="n">
        <f aca="false">IF(B185&lt;&gt;"", COUNTA($B$2:B185), "")</f>
        <v>184</v>
      </c>
      <c r="B185" s="7" t="s">
        <v>27</v>
      </c>
      <c r="C185" s="8" t="s">
        <v>28</v>
      </c>
      <c r="D185" s="15" t="s">
        <v>989</v>
      </c>
      <c r="E185" s="8" t="n">
        <v>2010</v>
      </c>
      <c r="F185" s="8" t="s">
        <v>178</v>
      </c>
      <c r="G185" s="19" t="s">
        <v>987</v>
      </c>
      <c r="H185" s="5" t="s">
        <v>476</v>
      </c>
      <c r="I185" s="8" t="s">
        <v>911</v>
      </c>
      <c r="J185" s="5" t="s">
        <v>32</v>
      </c>
      <c r="K185" s="5" t="n">
        <v>2012</v>
      </c>
      <c r="L185" s="5" t="n">
        <v>12</v>
      </c>
      <c r="M185" s="6" t="s">
        <v>33</v>
      </c>
      <c r="N185" s="8" t="s">
        <v>1</v>
      </c>
    </row>
    <row r="186" customFormat="false" ht="15" hidden="false" customHeight="false" outlineLevel="0" collapsed="false">
      <c r="A186" s="5" t="n">
        <f aca="false">IF(B186&lt;&gt;"", COUNTA($B$2:B186), "")</f>
        <v>185</v>
      </c>
      <c r="B186" s="7" t="s">
        <v>27</v>
      </c>
      <c r="C186" s="8" t="s">
        <v>28</v>
      </c>
      <c r="D186" s="15" t="s">
        <v>990</v>
      </c>
      <c r="E186" s="8" t="n">
        <v>2010</v>
      </c>
      <c r="F186" s="8" t="s">
        <v>178</v>
      </c>
      <c r="G186" s="19" t="s">
        <v>987</v>
      </c>
      <c r="H186" s="5" t="s">
        <v>478</v>
      </c>
      <c r="I186" s="8" t="s">
        <v>911</v>
      </c>
      <c r="J186" s="5" t="s">
        <v>32</v>
      </c>
      <c r="K186" s="5" t="n">
        <v>2012</v>
      </c>
      <c r="L186" s="5" t="n">
        <v>12</v>
      </c>
      <c r="M186" s="6" t="s">
        <v>33</v>
      </c>
      <c r="N186" s="8" t="s">
        <v>1</v>
      </c>
    </row>
    <row r="187" customFormat="false" ht="22.5" hidden="false" customHeight="false" outlineLevel="0" collapsed="false">
      <c r="A187" s="5" t="n">
        <f aca="false">IF(B187&lt;&gt;"", COUNTA($B$2:B187), "")</f>
        <v>186</v>
      </c>
      <c r="B187" s="7" t="s">
        <v>27</v>
      </c>
      <c r="C187" s="8" t="s">
        <v>28</v>
      </c>
      <c r="D187" s="15" t="s">
        <v>991</v>
      </c>
      <c r="E187" s="8" t="n">
        <v>2010</v>
      </c>
      <c r="F187" s="8" t="s">
        <v>122</v>
      </c>
      <c r="G187" s="19" t="s">
        <v>987</v>
      </c>
      <c r="H187" s="5" t="s">
        <v>480</v>
      </c>
      <c r="I187" s="8" t="s">
        <v>911</v>
      </c>
      <c r="J187" s="5" t="s">
        <v>32</v>
      </c>
      <c r="K187" s="5" t="n">
        <v>2012</v>
      </c>
      <c r="L187" s="5" t="n">
        <v>12</v>
      </c>
      <c r="M187" s="6" t="s">
        <v>33</v>
      </c>
      <c r="N187" s="8" t="s">
        <v>1</v>
      </c>
    </row>
    <row r="188" customFormat="false" ht="22.5" hidden="false" customHeight="false" outlineLevel="0" collapsed="false">
      <c r="A188" s="5" t="n">
        <f aca="false">IF(B188&lt;&gt;"", COUNTA($B$2:B188), "")</f>
        <v>187</v>
      </c>
      <c r="B188" s="7" t="s">
        <v>27</v>
      </c>
      <c r="C188" s="8" t="s">
        <v>28</v>
      </c>
      <c r="D188" s="15" t="s">
        <v>992</v>
      </c>
      <c r="E188" s="8" t="n">
        <v>2010</v>
      </c>
      <c r="F188" s="8" t="s">
        <v>122</v>
      </c>
      <c r="G188" s="19" t="s">
        <v>987</v>
      </c>
      <c r="H188" s="5" t="s">
        <v>482</v>
      </c>
      <c r="I188" s="8" t="s">
        <v>911</v>
      </c>
      <c r="J188" s="5" t="s">
        <v>32</v>
      </c>
      <c r="K188" s="5" t="n">
        <v>2012</v>
      </c>
      <c r="L188" s="5" t="n">
        <v>12</v>
      </c>
      <c r="M188" s="6" t="s">
        <v>33</v>
      </c>
      <c r="N188" s="8" t="s">
        <v>1</v>
      </c>
    </row>
    <row r="189" customFormat="false" ht="15" hidden="false" customHeight="false" outlineLevel="0" collapsed="false">
      <c r="A189" s="5" t="n">
        <f aca="false">IF(B189&lt;&gt;"", COUNTA($B$2:B189), "")</f>
        <v>188</v>
      </c>
      <c r="B189" s="7" t="s">
        <v>27</v>
      </c>
      <c r="C189" s="8" t="s">
        <v>28</v>
      </c>
      <c r="D189" s="15" t="s">
        <v>993</v>
      </c>
      <c r="E189" s="8" t="n">
        <v>2010</v>
      </c>
      <c r="F189" s="8" t="s">
        <v>122</v>
      </c>
      <c r="G189" s="19" t="s">
        <v>987</v>
      </c>
      <c r="H189" s="5" t="s">
        <v>484</v>
      </c>
      <c r="I189" s="8" t="s">
        <v>911</v>
      </c>
      <c r="J189" s="5" t="s">
        <v>32</v>
      </c>
      <c r="K189" s="5" t="n">
        <v>2012</v>
      </c>
      <c r="L189" s="5" t="n">
        <v>12</v>
      </c>
      <c r="M189" s="6" t="s">
        <v>33</v>
      </c>
      <c r="N189" s="8" t="s">
        <v>1</v>
      </c>
    </row>
    <row r="190" customFormat="false" ht="22.5" hidden="false" customHeight="false" outlineLevel="0" collapsed="false">
      <c r="A190" s="5" t="n">
        <f aca="false">IF(B190&lt;&gt;"", COUNTA($B$2:B190), "")</f>
        <v>189</v>
      </c>
      <c r="B190" s="7" t="s">
        <v>27</v>
      </c>
      <c r="C190" s="8" t="s">
        <v>28</v>
      </c>
      <c r="D190" s="15" t="s">
        <v>994</v>
      </c>
      <c r="E190" s="8" t="n">
        <v>2010</v>
      </c>
      <c r="F190" s="8" t="s">
        <v>122</v>
      </c>
      <c r="G190" s="19" t="s">
        <v>987</v>
      </c>
      <c r="H190" s="5" t="s">
        <v>486</v>
      </c>
      <c r="I190" s="8" t="s">
        <v>911</v>
      </c>
      <c r="J190" s="5" t="s">
        <v>32</v>
      </c>
      <c r="K190" s="5" t="n">
        <v>2012</v>
      </c>
      <c r="L190" s="5" t="n">
        <v>12</v>
      </c>
      <c r="M190" s="6" t="s">
        <v>33</v>
      </c>
      <c r="N190" s="8" t="s">
        <v>1</v>
      </c>
    </row>
    <row r="191" customFormat="false" ht="22.5" hidden="false" customHeight="false" outlineLevel="0" collapsed="false">
      <c r="A191" s="5" t="n">
        <f aca="false">IF(B191&lt;&gt;"", COUNTA($B$2:B191), "")</f>
        <v>190</v>
      </c>
      <c r="B191" s="7" t="s">
        <v>27</v>
      </c>
      <c r="C191" s="8" t="s">
        <v>28</v>
      </c>
      <c r="D191" s="15" t="s">
        <v>995</v>
      </c>
      <c r="E191" s="8" t="n">
        <v>2010</v>
      </c>
      <c r="F191" s="8" t="s">
        <v>119</v>
      </c>
      <c r="G191" s="19" t="s">
        <v>987</v>
      </c>
      <c r="H191" s="5" t="s">
        <v>488</v>
      </c>
      <c r="I191" s="8" t="s">
        <v>911</v>
      </c>
      <c r="J191" s="5" t="s">
        <v>32</v>
      </c>
      <c r="K191" s="5" t="n">
        <v>2012</v>
      </c>
      <c r="L191" s="5" t="n">
        <v>12</v>
      </c>
      <c r="M191" s="6" t="s">
        <v>33</v>
      </c>
      <c r="N191" s="8" t="s">
        <v>1</v>
      </c>
    </row>
    <row r="192" customFormat="false" ht="22.5" hidden="false" customHeight="false" outlineLevel="0" collapsed="false">
      <c r="A192" s="5" t="n">
        <f aca="false">IF(B192&lt;&gt;"", COUNTA($B$2:B192), "")</f>
        <v>191</v>
      </c>
      <c r="B192" s="7" t="s">
        <v>27</v>
      </c>
      <c r="C192" s="8" t="s">
        <v>489</v>
      </c>
      <c r="D192" s="15" t="s">
        <v>996</v>
      </c>
      <c r="E192" s="8" t="n">
        <v>2010</v>
      </c>
      <c r="F192" s="15" t="s">
        <v>491</v>
      </c>
      <c r="G192" s="19" t="s">
        <v>987</v>
      </c>
      <c r="H192" s="5" t="s">
        <v>492</v>
      </c>
      <c r="I192" s="8" t="s">
        <v>911</v>
      </c>
      <c r="J192" s="5" t="s">
        <v>32</v>
      </c>
      <c r="K192" s="5" t="n">
        <v>2012</v>
      </c>
      <c r="L192" s="5" t="n">
        <v>12</v>
      </c>
      <c r="M192" s="6" t="s">
        <v>33</v>
      </c>
      <c r="N192" s="8" t="s">
        <v>1</v>
      </c>
    </row>
    <row r="193" customFormat="false" ht="15" hidden="false" customHeight="false" outlineLevel="0" collapsed="false">
      <c r="A193" s="5" t="n">
        <f aca="false">IF(B193&lt;&gt;"", COUNTA($B$2:B193), "")</f>
        <v>192</v>
      </c>
      <c r="B193" s="7" t="s">
        <v>27</v>
      </c>
      <c r="C193" s="8" t="s">
        <v>28</v>
      </c>
      <c r="D193" s="15" t="s">
        <v>997</v>
      </c>
      <c r="E193" s="8" t="n">
        <v>2010</v>
      </c>
      <c r="F193" s="8" t="s">
        <v>178</v>
      </c>
      <c r="G193" s="19" t="s">
        <v>987</v>
      </c>
      <c r="H193" s="5" t="s">
        <v>494</v>
      </c>
      <c r="I193" s="8" t="s">
        <v>911</v>
      </c>
      <c r="J193" s="5" t="s">
        <v>32</v>
      </c>
      <c r="K193" s="5" t="n">
        <v>2012</v>
      </c>
      <c r="L193" s="5" t="n">
        <v>12</v>
      </c>
      <c r="M193" s="6" t="s">
        <v>33</v>
      </c>
      <c r="N193" s="8" t="s">
        <v>1</v>
      </c>
    </row>
    <row r="194" customFormat="false" ht="15" hidden="false" customHeight="false" outlineLevel="0" collapsed="false">
      <c r="A194" s="5" t="n">
        <f aca="false">IF(B194&lt;&gt;"", COUNTA($B$2:B194), "")</f>
        <v>193</v>
      </c>
      <c r="B194" s="7" t="s">
        <v>27</v>
      </c>
      <c r="C194" s="8" t="s">
        <v>28</v>
      </c>
      <c r="D194" s="15" t="s">
        <v>998</v>
      </c>
      <c r="E194" s="8" t="n">
        <v>2010</v>
      </c>
      <c r="F194" s="12" t="s">
        <v>496</v>
      </c>
      <c r="G194" s="19" t="s">
        <v>987</v>
      </c>
      <c r="H194" s="5" t="s">
        <v>497</v>
      </c>
      <c r="I194" s="8" t="s">
        <v>911</v>
      </c>
      <c r="J194" s="5" t="s">
        <v>32</v>
      </c>
      <c r="K194" s="5" t="n">
        <v>2012</v>
      </c>
      <c r="L194" s="5" t="n">
        <v>12</v>
      </c>
      <c r="M194" s="6" t="s">
        <v>33</v>
      </c>
      <c r="N194" s="8" t="s">
        <v>1</v>
      </c>
    </row>
    <row r="195" customFormat="false" ht="22.5" hidden="false" customHeight="false" outlineLevel="0" collapsed="false">
      <c r="A195" s="5" t="n">
        <f aca="false">IF(B195&lt;&gt;"", COUNTA($B$2:B195), "")</f>
        <v>194</v>
      </c>
      <c r="B195" s="7" t="s">
        <v>27</v>
      </c>
      <c r="C195" s="8" t="s">
        <v>489</v>
      </c>
      <c r="D195" s="15" t="s">
        <v>999</v>
      </c>
      <c r="E195" s="8" t="n">
        <v>2010</v>
      </c>
      <c r="F195" s="15" t="s">
        <v>491</v>
      </c>
      <c r="G195" s="19" t="s">
        <v>987</v>
      </c>
      <c r="H195" s="5" t="s">
        <v>499</v>
      </c>
      <c r="I195" s="8" t="s">
        <v>911</v>
      </c>
      <c r="J195" s="5" t="s">
        <v>32</v>
      </c>
      <c r="K195" s="5" t="n">
        <v>2012</v>
      </c>
      <c r="L195" s="5" t="n">
        <v>12</v>
      </c>
      <c r="M195" s="6" t="s">
        <v>33</v>
      </c>
      <c r="N195" s="8" t="s">
        <v>1</v>
      </c>
    </row>
    <row r="196" customFormat="false" ht="15" hidden="false" customHeight="false" outlineLevel="0" collapsed="false">
      <c r="A196" s="5" t="n">
        <f aca="false">IF(B196&lt;&gt;"", COUNTA($B$2:B196), "")</f>
        <v>195</v>
      </c>
      <c r="B196" s="7" t="s">
        <v>27</v>
      </c>
      <c r="C196" s="8" t="s">
        <v>1000</v>
      </c>
      <c r="D196" s="8" t="n">
        <v>1322170</v>
      </c>
      <c r="E196" s="8"/>
      <c r="F196" s="8" t="s">
        <v>178</v>
      </c>
      <c r="G196" s="19" t="s">
        <v>987</v>
      </c>
      <c r="H196" s="5" t="s">
        <v>502</v>
      </c>
      <c r="I196" s="8" t="s">
        <v>911</v>
      </c>
      <c r="J196" s="5" t="s">
        <v>32</v>
      </c>
      <c r="K196" s="5" t="n">
        <v>2012</v>
      </c>
      <c r="L196" s="5" t="n">
        <v>12</v>
      </c>
      <c r="M196" s="6" t="s">
        <v>37</v>
      </c>
      <c r="N196" s="8" t="s">
        <v>38</v>
      </c>
      <c r="O196" s="14"/>
    </row>
    <row r="197" customFormat="false" ht="22.5" hidden="false" customHeight="false" outlineLevel="0" collapsed="false">
      <c r="A197" s="5" t="n">
        <f aca="false">IF(B197&lt;&gt;"", COUNTA($B$2:B197), "")</f>
        <v>196</v>
      </c>
      <c r="B197" s="5" t="s">
        <v>503</v>
      </c>
      <c r="C197" s="8" t="s">
        <v>504</v>
      </c>
      <c r="D197" s="9" t="n">
        <v>111502125</v>
      </c>
      <c r="E197" s="8" t="n">
        <v>2010</v>
      </c>
      <c r="F197" s="5" t="s">
        <v>505</v>
      </c>
      <c r="G197" s="19" t="s">
        <v>68</v>
      </c>
      <c r="H197" s="5" t="s">
        <v>506</v>
      </c>
      <c r="I197" s="8" t="s">
        <v>911</v>
      </c>
      <c r="J197" s="5" t="s">
        <v>32</v>
      </c>
      <c r="K197" s="5" t="n">
        <v>2012</v>
      </c>
      <c r="L197" s="5" t="n">
        <v>24</v>
      </c>
      <c r="M197" s="6" t="s">
        <v>507</v>
      </c>
      <c r="N197" s="8" t="s">
        <v>1</v>
      </c>
    </row>
    <row r="198" customFormat="false" ht="22.5" hidden="false" customHeight="false" outlineLevel="0" collapsed="false">
      <c r="A198" s="5" t="n">
        <f aca="false">IF(B198&lt;&gt;"", COUNTA($B$2:B198), "")</f>
        <v>197</v>
      </c>
      <c r="B198" s="5" t="s">
        <v>503</v>
      </c>
      <c r="C198" s="8" t="s">
        <v>504</v>
      </c>
      <c r="D198" s="15" t="s">
        <v>1001</v>
      </c>
      <c r="E198" s="8" t="n">
        <v>2010</v>
      </c>
      <c r="F198" s="5" t="s">
        <v>508</v>
      </c>
      <c r="G198" s="19" t="s">
        <v>68</v>
      </c>
      <c r="H198" s="5" t="s">
        <v>509</v>
      </c>
      <c r="I198" s="8" t="s">
        <v>911</v>
      </c>
      <c r="J198" s="5" t="s">
        <v>32</v>
      </c>
      <c r="K198" s="5" t="n">
        <v>2012</v>
      </c>
      <c r="L198" s="5" t="n">
        <v>24</v>
      </c>
      <c r="M198" s="6" t="s">
        <v>507</v>
      </c>
      <c r="N198" s="8" t="s">
        <v>1</v>
      </c>
    </row>
    <row r="199" customFormat="false" ht="15" hidden="false" customHeight="false" outlineLevel="0" collapsed="false">
      <c r="A199" s="5" t="n">
        <f aca="false">IF(B199&lt;&gt;"", COUNTA($B$2:B199), "")</f>
        <v>198</v>
      </c>
      <c r="B199" s="37" t="s">
        <v>64</v>
      </c>
      <c r="C199" s="36" t="s">
        <v>400</v>
      </c>
      <c r="D199" s="37" t="s">
        <v>1002</v>
      </c>
      <c r="E199" s="33" t="n">
        <v>2011</v>
      </c>
      <c r="F199" s="19" t="s">
        <v>67</v>
      </c>
      <c r="G199" s="36" t="s">
        <v>68</v>
      </c>
      <c r="H199" s="36" t="s">
        <v>511</v>
      </c>
      <c r="I199" s="69" t="s">
        <v>911</v>
      </c>
      <c r="J199" s="69" t="s">
        <v>32</v>
      </c>
      <c r="K199" s="69" t="n">
        <v>2012</v>
      </c>
      <c r="L199" s="70"/>
      <c r="M199" s="20"/>
      <c r="N199" s="67"/>
    </row>
    <row r="200" s="34" customFormat="true" ht="15" hidden="false" customHeight="false" outlineLevel="0" collapsed="false">
      <c r="A200" s="5" t="n">
        <f aca="false">IF(B200&lt;&gt;"", COUNTA($B$2:B200), "")</f>
        <v>199</v>
      </c>
      <c r="B200" s="7" t="s">
        <v>93</v>
      </c>
      <c r="C200" s="8" t="s">
        <v>94</v>
      </c>
      <c r="D200" s="8" t="n">
        <v>1105066</v>
      </c>
      <c r="E200" s="33" t="n">
        <v>2011</v>
      </c>
      <c r="F200" s="20"/>
      <c r="G200" s="20"/>
      <c r="H200" s="5" t="s">
        <v>512</v>
      </c>
      <c r="I200" s="5" t="s">
        <v>911</v>
      </c>
      <c r="J200" s="5" t="s">
        <v>32</v>
      </c>
      <c r="K200" s="5" t="n">
        <v>2012</v>
      </c>
      <c r="L200" s="12"/>
      <c r="M200" s="20"/>
      <c r="N200" s="8"/>
    </row>
    <row r="201" s="34" customFormat="true" ht="15" hidden="false" customHeight="false" outlineLevel="0" collapsed="false">
      <c r="A201" s="5" t="n">
        <f aca="false">IF(B201&lt;&gt;"", COUNTA($B$2:B201), "")</f>
        <v>200</v>
      </c>
      <c r="B201" s="7" t="s">
        <v>93</v>
      </c>
      <c r="C201" s="8" t="s">
        <v>94</v>
      </c>
      <c r="D201" s="8" t="n">
        <v>1105029</v>
      </c>
      <c r="E201" s="33" t="n">
        <v>2011</v>
      </c>
      <c r="F201" s="20"/>
      <c r="G201" s="20"/>
      <c r="H201" s="5" t="s">
        <v>513</v>
      </c>
      <c r="I201" s="5" t="s">
        <v>911</v>
      </c>
      <c r="J201" s="5" t="s">
        <v>32</v>
      </c>
      <c r="K201" s="5" t="n">
        <v>2012</v>
      </c>
      <c r="L201" s="12"/>
      <c r="M201" s="20"/>
      <c r="N201" s="20"/>
    </row>
    <row r="202" s="34" customFormat="true" ht="15" hidden="false" customHeight="false" outlineLevel="0" collapsed="false">
      <c r="A202" s="53" t="n">
        <f aca="false">IF(B202&lt;&gt;"", COUNTA($B$2:B202), "")</f>
        <v>201</v>
      </c>
      <c r="B202" s="54" t="s">
        <v>93</v>
      </c>
      <c r="C202" s="55" t="s">
        <v>96</v>
      </c>
      <c r="D202" s="55" t="n">
        <v>25523</v>
      </c>
      <c r="E202" s="65" t="n">
        <v>2025</v>
      </c>
      <c r="F202" s="57"/>
      <c r="G202" s="57"/>
      <c r="H202" s="53" t="s">
        <v>514</v>
      </c>
      <c r="I202" s="53" t="s">
        <v>911</v>
      </c>
      <c r="J202" s="53" t="s">
        <v>32</v>
      </c>
      <c r="K202" s="53" t="n">
        <v>2012</v>
      </c>
      <c r="L202" s="58"/>
      <c r="M202" s="57"/>
      <c r="N202" s="57"/>
    </row>
    <row r="203" customFormat="false" ht="15" hidden="false" customHeight="false" outlineLevel="0" collapsed="false">
      <c r="A203" s="5" t="n">
        <f aca="false">IF(B203&lt;&gt;"", COUNTA($B$2:B203), "")</f>
        <v>202</v>
      </c>
      <c r="B203" s="7" t="s">
        <v>93</v>
      </c>
      <c r="C203" s="8" t="s">
        <v>94</v>
      </c>
      <c r="D203" s="8" t="n">
        <v>1105065</v>
      </c>
      <c r="E203" s="17" t="n">
        <v>2011</v>
      </c>
      <c r="F203" s="20"/>
      <c r="G203" s="20"/>
      <c r="H203" s="5" t="s">
        <v>515</v>
      </c>
      <c r="I203" s="5" t="s">
        <v>911</v>
      </c>
      <c r="J203" s="5" t="s">
        <v>32</v>
      </c>
      <c r="K203" s="5" t="n">
        <v>2012</v>
      </c>
      <c r="L203" s="12"/>
      <c r="M203" s="20"/>
      <c r="N203" s="20"/>
    </row>
    <row r="204" customFormat="false" ht="22.5" hidden="false" customHeight="false" outlineLevel="0" collapsed="false">
      <c r="A204" s="5" t="n">
        <f aca="false">IF(B204&lt;&gt;"", COUNTA($B$2:B204), "")</f>
        <v>203</v>
      </c>
      <c r="B204" s="7" t="s">
        <v>125</v>
      </c>
      <c r="C204" s="8" t="s">
        <v>516</v>
      </c>
      <c r="D204" s="8" t="n">
        <v>1060</v>
      </c>
      <c r="E204" s="17" t="n">
        <v>2011</v>
      </c>
      <c r="F204" s="19" t="s">
        <v>67</v>
      </c>
      <c r="G204" s="20"/>
      <c r="H204" s="5" t="s">
        <v>517</v>
      </c>
      <c r="I204" s="5" t="s">
        <v>911</v>
      </c>
      <c r="J204" s="5" t="s">
        <v>32</v>
      </c>
      <c r="K204" s="5" t="n">
        <v>2012</v>
      </c>
      <c r="L204" s="20"/>
      <c r="M204" s="20"/>
      <c r="N204" s="20"/>
    </row>
    <row r="205" customFormat="false" ht="22.5" hidden="false" customHeight="false" outlineLevel="0" collapsed="false">
      <c r="A205" s="5" t="n">
        <f aca="false">IF(B205&lt;&gt;"", COUNTA($B$2:B205), "")</f>
        <v>204</v>
      </c>
      <c r="B205" s="7" t="s">
        <v>125</v>
      </c>
      <c r="C205" s="8" t="s">
        <v>516</v>
      </c>
      <c r="D205" s="8" t="n">
        <v>1047</v>
      </c>
      <c r="E205" s="17" t="n">
        <v>2011</v>
      </c>
      <c r="F205" s="19" t="s">
        <v>67</v>
      </c>
      <c r="G205" s="20"/>
      <c r="H205" s="5" t="s">
        <v>518</v>
      </c>
      <c r="I205" s="5" t="s">
        <v>911</v>
      </c>
      <c r="J205" s="5" t="s">
        <v>32</v>
      </c>
      <c r="K205" s="5" t="n">
        <v>2012</v>
      </c>
      <c r="L205" s="20"/>
      <c r="M205" s="20"/>
      <c r="N205" s="20"/>
    </row>
    <row r="206" customFormat="false" ht="22.5" hidden="false" customHeight="false" outlineLevel="0" collapsed="false">
      <c r="A206" s="5" t="n">
        <f aca="false">IF(B206&lt;&gt;"", COUNTA($B$2:B206), "")</f>
        <v>205</v>
      </c>
      <c r="B206" s="7" t="s">
        <v>125</v>
      </c>
      <c r="C206" s="8" t="s">
        <v>516</v>
      </c>
      <c r="D206" s="8" t="n">
        <v>1022</v>
      </c>
      <c r="E206" s="17" t="n">
        <v>2011</v>
      </c>
      <c r="F206" s="19" t="s">
        <v>67</v>
      </c>
      <c r="G206" s="20"/>
      <c r="H206" s="5" t="s">
        <v>519</v>
      </c>
      <c r="I206" s="5" t="s">
        <v>911</v>
      </c>
      <c r="J206" s="5" t="s">
        <v>32</v>
      </c>
      <c r="K206" s="5" t="n">
        <v>2012</v>
      </c>
      <c r="L206" s="20"/>
      <c r="M206" s="20"/>
      <c r="N206" s="20"/>
    </row>
    <row r="207" customFormat="false" ht="22.5" hidden="false" customHeight="false" outlineLevel="0" collapsed="false">
      <c r="A207" s="5" t="n">
        <f aca="false">IF(B207&lt;&gt;"", COUNTA($B$2:B207), "")</f>
        <v>206</v>
      </c>
      <c r="B207" s="7" t="s">
        <v>125</v>
      </c>
      <c r="C207" s="8" t="s">
        <v>516</v>
      </c>
      <c r="D207" s="8" t="n">
        <v>1045</v>
      </c>
      <c r="E207" s="17" t="n">
        <v>2011</v>
      </c>
      <c r="F207" s="19" t="s">
        <v>67</v>
      </c>
      <c r="G207" s="20"/>
      <c r="H207" s="5" t="s">
        <v>520</v>
      </c>
      <c r="I207" s="5" t="s">
        <v>911</v>
      </c>
      <c r="J207" s="5" t="s">
        <v>32</v>
      </c>
      <c r="K207" s="5" t="n">
        <v>2012</v>
      </c>
      <c r="L207" s="20"/>
      <c r="M207" s="20"/>
      <c r="N207" s="20"/>
    </row>
    <row r="208" customFormat="false" ht="15" hidden="false" customHeight="false" outlineLevel="0" collapsed="false">
      <c r="A208" s="5" t="n">
        <f aca="false">IF(B208&lt;&gt;"", COUNTA($B$2:B208), "")</f>
        <v>207</v>
      </c>
      <c r="B208" s="7" t="s">
        <v>98</v>
      </c>
      <c r="C208" s="8" t="s">
        <v>99</v>
      </c>
      <c r="D208" s="15" t="s">
        <v>1003</v>
      </c>
      <c r="E208" s="17" t="n">
        <v>2011</v>
      </c>
      <c r="F208" s="20"/>
      <c r="G208" s="20"/>
      <c r="H208" s="8" t="s">
        <v>522</v>
      </c>
      <c r="I208" s="5" t="s">
        <v>911</v>
      </c>
      <c r="J208" s="5" t="s">
        <v>32</v>
      </c>
      <c r="K208" s="5" t="n">
        <v>2012</v>
      </c>
      <c r="L208" s="20"/>
      <c r="M208" s="20"/>
      <c r="N208" s="20"/>
    </row>
    <row r="209" customFormat="false" ht="15" hidden="false" customHeight="false" outlineLevel="0" collapsed="false">
      <c r="A209" s="5" t="n">
        <f aca="false">IF(B209&lt;&gt;"", COUNTA($B$2:B209), "")</f>
        <v>208</v>
      </c>
      <c r="B209" s="7" t="s">
        <v>98</v>
      </c>
      <c r="C209" s="8" t="s">
        <v>99</v>
      </c>
      <c r="D209" s="15" t="s">
        <v>1004</v>
      </c>
      <c r="E209" s="17" t="n">
        <v>2011</v>
      </c>
      <c r="F209" s="20"/>
      <c r="G209" s="20"/>
      <c r="H209" s="8" t="s">
        <v>524</v>
      </c>
      <c r="I209" s="5" t="s">
        <v>911</v>
      </c>
      <c r="J209" s="5" t="s">
        <v>32</v>
      </c>
      <c r="K209" s="5" t="n">
        <v>2012</v>
      </c>
      <c r="L209" s="20"/>
      <c r="M209" s="20"/>
      <c r="N209" s="20"/>
    </row>
    <row r="210" customFormat="false" ht="15" hidden="false" customHeight="false" outlineLevel="0" collapsed="false">
      <c r="A210" s="5" t="n">
        <f aca="false">IF(B210&lt;&gt;"", COUNTA($B$2:B210), "")</f>
        <v>209</v>
      </c>
      <c r="B210" s="7" t="s">
        <v>98</v>
      </c>
      <c r="C210" s="8" t="s">
        <v>99</v>
      </c>
      <c r="D210" s="15" t="s">
        <v>1005</v>
      </c>
      <c r="E210" s="17" t="n">
        <v>2011</v>
      </c>
      <c r="F210" s="20"/>
      <c r="G210" s="20"/>
      <c r="H210" s="8" t="s">
        <v>526</v>
      </c>
      <c r="I210" s="5" t="s">
        <v>911</v>
      </c>
      <c r="J210" s="5" t="s">
        <v>32</v>
      </c>
      <c r="K210" s="5" t="n">
        <v>2012</v>
      </c>
      <c r="L210" s="20"/>
      <c r="M210" s="20"/>
      <c r="N210" s="20"/>
    </row>
    <row r="211" customFormat="false" ht="15" hidden="false" customHeight="false" outlineLevel="0" collapsed="false">
      <c r="A211" s="5" t="n">
        <f aca="false">IF(B211&lt;&gt;"", COUNTA($B$2:B211), "")</f>
        <v>210</v>
      </c>
      <c r="B211" s="7" t="s">
        <v>98</v>
      </c>
      <c r="C211" s="8" t="s">
        <v>99</v>
      </c>
      <c r="D211" s="15" t="s">
        <v>1006</v>
      </c>
      <c r="E211" s="17" t="n">
        <v>2011</v>
      </c>
      <c r="F211" s="20"/>
      <c r="G211" s="20"/>
      <c r="H211" s="8" t="s">
        <v>528</v>
      </c>
      <c r="I211" s="5" t="s">
        <v>911</v>
      </c>
      <c r="J211" s="5" t="s">
        <v>32</v>
      </c>
      <c r="K211" s="5" t="n">
        <v>2012</v>
      </c>
      <c r="L211" s="20"/>
      <c r="M211" s="20"/>
      <c r="N211" s="20"/>
    </row>
    <row r="212" customFormat="false" ht="15" hidden="false" customHeight="false" outlineLevel="0" collapsed="false">
      <c r="A212" s="5" t="n">
        <f aca="false">IF(B212&lt;&gt;"", COUNTA($B$2:B212), "")</f>
        <v>211</v>
      </c>
      <c r="B212" s="7" t="s">
        <v>98</v>
      </c>
      <c r="C212" s="8" t="s">
        <v>99</v>
      </c>
      <c r="D212" s="15" t="s">
        <v>1007</v>
      </c>
      <c r="E212" s="17" t="n">
        <v>2011</v>
      </c>
      <c r="F212" s="20"/>
      <c r="G212" s="20"/>
      <c r="H212" s="8" t="s">
        <v>530</v>
      </c>
      <c r="I212" s="5" t="s">
        <v>911</v>
      </c>
      <c r="J212" s="5" t="s">
        <v>32</v>
      </c>
      <c r="K212" s="5" t="n">
        <v>2012</v>
      </c>
      <c r="L212" s="20"/>
      <c r="M212" s="20"/>
      <c r="N212" s="20"/>
    </row>
    <row r="213" customFormat="false" ht="15" hidden="false" customHeight="false" outlineLevel="0" collapsed="false">
      <c r="A213" s="5" t="n">
        <f aca="false">IF(B213&lt;&gt;"", COUNTA($B$2:B213), "")</f>
        <v>212</v>
      </c>
      <c r="B213" s="7" t="s">
        <v>98</v>
      </c>
      <c r="C213" s="8" t="s">
        <v>531</v>
      </c>
      <c r="D213" s="15" t="s">
        <v>1008</v>
      </c>
      <c r="E213" s="17" t="n">
        <v>2011</v>
      </c>
      <c r="F213" s="20"/>
      <c r="G213" s="20"/>
      <c r="H213" s="8" t="s">
        <v>533</v>
      </c>
      <c r="I213" s="5" t="s">
        <v>911</v>
      </c>
      <c r="J213" s="5" t="s">
        <v>32</v>
      </c>
      <c r="K213" s="5" t="n">
        <v>2012</v>
      </c>
      <c r="L213" s="20"/>
      <c r="M213" s="20"/>
      <c r="N213" s="20"/>
    </row>
    <row r="214" customFormat="false" ht="15" hidden="false" customHeight="false" outlineLevel="0" collapsed="false">
      <c r="A214" s="5" t="n">
        <f aca="false">IF(B214&lt;&gt;"", COUNTA($B$2:B214), "")</f>
        <v>213</v>
      </c>
      <c r="B214" s="7" t="s">
        <v>98</v>
      </c>
      <c r="C214" s="8" t="s">
        <v>531</v>
      </c>
      <c r="D214" s="15" t="s">
        <v>1009</v>
      </c>
      <c r="E214" s="17" t="n">
        <v>2011</v>
      </c>
      <c r="F214" s="20"/>
      <c r="G214" s="20"/>
      <c r="H214" s="8" t="s">
        <v>535</v>
      </c>
      <c r="I214" s="5" t="s">
        <v>911</v>
      </c>
      <c r="J214" s="5" t="s">
        <v>32</v>
      </c>
      <c r="K214" s="5" t="n">
        <v>2012</v>
      </c>
      <c r="L214" s="20"/>
      <c r="M214" s="20"/>
      <c r="N214" s="20"/>
    </row>
    <row r="215" customFormat="false" ht="15" hidden="false" customHeight="false" outlineLevel="0" collapsed="false">
      <c r="A215" s="5" t="n">
        <f aca="false">IF(B215&lt;&gt;"", COUNTA($B$2:B215), "")</f>
        <v>214</v>
      </c>
      <c r="B215" s="7" t="s">
        <v>98</v>
      </c>
      <c r="C215" s="8" t="s">
        <v>99</v>
      </c>
      <c r="D215" s="15" t="s">
        <v>1010</v>
      </c>
      <c r="E215" s="17" t="n">
        <v>2011</v>
      </c>
      <c r="F215" s="20"/>
      <c r="G215" s="20"/>
      <c r="H215" s="8" t="s">
        <v>537</v>
      </c>
      <c r="I215" s="5" t="s">
        <v>911</v>
      </c>
      <c r="J215" s="5" t="s">
        <v>32</v>
      </c>
      <c r="K215" s="5" t="n">
        <v>2012</v>
      </c>
      <c r="L215" s="20"/>
      <c r="M215" s="6"/>
      <c r="N215" s="20"/>
    </row>
    <row r="216" customFormat="false" ht="15" hidden="false" customHeight="false" outlineLevel="0" collapsed="false">
      <c r="A216" s="5" t="n">
        <f aca="false">IF(B216&lt;&gt;"", COUNTA($B$2:B216), "")</f>
        <v>215</v>
      </c>
      <c r="B216" s="7" t="s">
        <v>98</v>
      </c>
      <c r="C216" s="8" t="s">
        <v>99</v>
      </c>
      <c r="D216" s="15" t="s">
        <v>1011</v>
      </c>
      <c r="E216" s="17" t="n">
        <v>2011</v>
      </c>
      <c r="F216" s="20"/>
      <c r="G216" s="20"/>
      <c r="H216" s="5" t="s">
        <v>539</v>
      </c>
      <c r="I216" s="5" t="s">
        <v>911</v>
      </c>
      <c r="J216" s="5" t="s">
        <v>32</v>
      </c>
      <c r="K216" s="5" t="n">
        <v>2012</v>
      </c>
      <c r="L216" s="20"/>
      <c r="M216" s="6"/>
      <c r="N216" s="20"/>
    </row>
    <row r="217" customFormat="false" ht="15" hidden="false" customHeight="false" outlineLevel="0" collapsed="false">
      <c r="A217" s="5" t="n">
        <f aca="false">IF(B217&lt;&gt;"", COUNTA($B$2:B217), "")</f>
        <v>216</v>
      </c>
      <c r="B217" s="7" t="s">
        <v>98</v>
      </c>
      <c r="C217" s="8" t="s">
        <v>99</v>
      </c>
      <c r="D217" s="15" t="s">
        <v>1012</v>
      </c>
      <c r="E217" s="17" t="n">
        <v>2011</v>
      </c>
      <c r="F217" s="20"/>
      <c r="G217" s="20"/>
      <c r="H217" s="5" t="s">
        <v>541</v>
      </c>
      <c r="I217" s="5" t="s">
        <v>911</v>
      </c>
      <c r="J217" s="5" t="s">
        <v>32</v>
      </c>
      <c r="K217" s="5" t="n">
        <v>2012</v>
      </c>
      <c r="L217" s="20"/>
      <c r="M217" s="6"/>
      <c r="N217" s="20"/>
    </row>
    <row r="218" customFormat="false" ht="15" hidden="false" customHeight="false" outlineLevel="0" collapsed="false">
      <c r="A218" s="5" t="n">
        <f aca="false">IF(B218&lt;&gt;"", COUNTA($B$2:B218), "")</f>
        <v>217</v>
      </c>
      <c r="B218" s="7" t="s">
        <v>98</v>
      </c>
      <c r="C218" s="8" t="s">
        <v>99</v>
      </c>
      <c r="D218" s="71"/>
      <c r="E218" s="17" t="n">
        <v>2011</v>
      </c>
      <c r="F218" s="20"/>
      <c r="G218" s="20"/>
      <c r="H218" s="5" t="s">
        <v>543</v>
      </c>
      <c r="I218" s="5" t="s">
        <v>911</v>
      </c>
      <c r="J218" s="5" t="s">
        <v>32</v>
      </c>
      <c r="K218" s="5" t="n">
        <v>2012</v>
      </c>
      <c r="L218" s="20"/>
      <c r="M218" s="6"/>
      <c r="N218" s="20"/>
    </row>
    <row r="219" customFormat="false" ht="15" hidden="false" customHeight="false" outlineLevel="0" collapsed="false">
      <c r="A219" s="5" t="n">
        <f aca="false">IF(B219&lt;&gt;"", COUNTA($B$2:B219), "")</f>
        <v>218</v>
      </c>
      <c r="B219" s="7" t="s">
        <v>98</v>
      </c>
      <c r="C219" s="8" t="s">
        <v>99</v>
      </c>
      <c r="D219" s="71"/>
      <c r="E219" s="17" t="n">
        <v>2011</v>
      </c>
      <c r="F219" s="20"/>
      <c r="G219" s="20"/>
      <c r="H219" s="5" t="s">
        <v>545</v>
      </c>
      <c r="I219" s="5" t="s">
        <v>911</v>
      </c>
      <c r="J219" s="5" t="s">
        <v>32</v>
      </c>
      <c r="K219" s="5" t="n">
        <v>2012</v>
      </c>
      <c r="L219" s="20"/>
      <c r="N219" s="20"/>
    </row>
    <row r="220" customFormat="false" ht="15" hidden="false" customHeight="false" outlineLevel="0" collapsed="false">
      <c r="A220" s="5" t="n">
        <f aca="false">IF(B220&lt;&gt;"", COUNTA($B$2:B220), "")</f>
        <v>219</v>
      </c>
      <c r="B220" s="7" t="s">
        <v>98</v>
      </c>
      <c r="C220" s="8" t="s">
        <v>99</v>
      </c>
      <c r="D220" s="71"/>
      <c r="E220" s="17" t="n">
        <v>2011</v>
      </c>
      <c r="F220" s="20"/>
      <c r="G220" s="20"/>
      <c r="H220" s="5" t="s">
        <v>547</v>
      </c>
      <c r="I220" s="5" t="s">
        <v>911</v>
      </c>
      <c r="J220" s="5" t="s">
        <v>32</v>
      </c>
      <c r="K220" s="5" t="n">
        <v>2012</v>
      </c>
      <c r="L220" s="20"/>
      <c r="N220" s="20"/>
    </row>
    <row r="221" customFormat="false" ht="22.5" hidden="false" customHeight="false" outlineLevel="0" collapsed="false">
      <c r="A221" s="5" t="n">
        <f aca="false">IF(B221&lt;&gt;"", COUNTA($B$2:B221), "")</f>
        <v>220</v>
      </c>
      <c r="B221" s="6" t="s">
        <v>64</v>
      </c>
      <c r="C221" s="19" t="s">
        <v>65</v>
      </c>
      <c r="D221" s="6" t="s">
        <v>1013</v>
      </c>
      <c r="E221" s="19"/>
      <c r="F221" s="19" t="s">
        <v>67</v>
      </c>
      <c r="G221" s="19" t="s">
        <v>68</v>
      </c>
      <c r="H221" s="19" t="s">
        <v>549</v>
      </c>
      <c r="I221" s="5" t="s">
        <v>911</v>
      </c>
      <c r="J221" s="5" t="s">
        <v>32</v>
      </c>
      <c r="K221" s="5"/>
      <c r="L221" s="5"/>
      <c r="N221" s="8"/>
    </row>
    <row r="222" customFormat="false" ht="22.5" hidden="false" customHeight="false" outlineLevel="0" collapsed="false">
      <c r="A222" s="5" t="n">
        <f aca="false">IF(B222&lt;&gt;"", COUNTA($B$2:B222), "")</f>
        <v>221</v>
      </c>
      <c r="B222" s="18" t="s">
        <v>550</v>
      </c>
      <c r="C222" s="8" t="s">
        <v>551</v>
      </c>
      <c r="D222" s="19" t="s">
        <v>1014</v>
      </c>
      <c r="E222" s="17" t="n">
        <v>2011</v>
      </c>
      <c r="F222" s="19" t="s">
        <v>553</v>
      </c>
      <c r="G222" s="12" t="s">
        <v>554</v>
      </c>
      <c r="H222" s="5" t="s">
        <v>555</v>
      </c>
      <c r="I222" s="5" t="s">
        <v>911</v>
      </c>
      <c r="J222" s="5" t="s">
        <v>32</v>
      </c>
      <c r="K222" s="5" t="n">
        <v>2012</v>
      </c>
      <c r="L222" s="12" t="n">
        <v>24</v>
      </c>
      <c r="N222" s="8"/>
    </row>
    <row r="223" customFormat="false" ht="15" hidden="false" customHeight="false" outlineLevel="0" collapsed="false">
      <c r="A223" s="5" t="n">
        <f aca="false">IF(B223&lt;&gt;"", COUNTA($B$2:B223), "")</f>
        <v>222</v>
      </c>
      <c r="B223" s="18" t="s">
        <v>1015</v>
      </c>
      <c r="C223" s="10" t="s">
        <v>557</v>
      </c>
      <c r="D223" s="19" t="s">
        <v>1016</v>
      </c>
      <c r="E223" s="17" t="n">
        <v>2011</v>
      </c>
      <c r="F223" s="19" t="s">
        <v>559</v>
      </c>
      <c r="G223" s="32" t="n">
        <v>0.1</v>
      </c>
      <c r="H223" s="12" t="s">
        <v>560</v>
      </c>
      <c r="I223" s="8" t="s">
        <v>911</v>
      </c>
      <c r="J223" s="5" t="s">
        <v>32</v>
      </c>
      <c r="K223" s="5" t="n">
        <v>2020</v>
      </c>
      <c r="L223" s="12" t="n">
        <v>12</v>
      </c>
      <c r="M223" s="4" t="s">
        <v>1017</v>
      </c>
      <c r="N223" s="8" t="s">
        <v>38</v>
      </c>
    </row>
    <row r="224" customFormat="false" ht="15" hidden="false" customHeight="false" outlineLevel="0" collapsed="false">
      <c r="A224" s="5" t="n">
        <f aca="false">IF(B224&lt;&gt;"", COUNTA($B$2:B224), "")</f>
        <v>223</v>
      </c>
      <c r="B224" s="7" t="s">
        <v>27</v>
      </c>
      <c r="C224" s="8" t="s">
        <v>562</v>
      </c>
      <c r="D224" s="15" t="s">
        <v>1018</v>
      </c>
      <c r="E224" s="8" t="n">
        <v>2011</v>
      </c>
      <c r="F224" s="8" t="s">
        <v>29</v>
      </c>
      <c r="G224" s="8" t="n">
        <v>1</v>
      </c>
      <c r="H224" s="5" t="s">
        <v>564</v>
      </c>
      <c r="I224" s="8" t="s">
        <v>911</v>
      </c>
      <c r="J224" s="5" t="s">
        <v>32</v>
      </c>
      <c r="K224" s="5" t="n">
        <v>2019</v>
      </c>
      <c r="L224" s="5" t="n">
        <v>12</v>
      </c>
      <c r="M224" s="6" t="s">
        <v>33</v>
      </c>
      <c r="N224" s="8" t="s">
        <v>1</v>
      </c>
    </row>
    <row r="225" customFormat="false" ht="15" hidden="false" customHeight="false" outlineLevel="0" collapsed="false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</row>
    <row r="226" customFormat="false" ht="15" hidden="false" customHeight="false" outlineLevel="0" collapsed="false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</row>
  </sheetData>
  <conditionalFormatting sqref="M1:M1048576">
    <cfRule type="expression" priority="2" aboveAverage="0" equalAverage="0" bottom="0" percent="0" rank="0" text="" dxfId="4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26.42"/>
    <col collapsed="false" customWidth="true" hidden="false" outlineLevel="0" max="3" min="3" style="4" width="20.86"/>
    <col collapsed="false" customWidth="true" hidden="false" outlineLevel="0" max="4" min="4" style="4" width="12.71"/>
    <col collapsed="false" customWidth="true" hidden="false" outlineLevel="0" max="5" min="5" style="4" width="6.57"/>
    <col collapsed="false" customWidth="true" hidden="false" outlineLevel="0" max="6" min="6" style="4" width="10.42"/>
    <col collapsed="false" customWidth="true" hidden="false" outlineLevel="0" max="7" min="7" style="4" width="7.42"/>
    <col collapsed="false" customWidth="true" hidden="false" outlineLevel="0" max="8" min="8" style="4" width="20.99"/>
    <col collapsed="false" customWidth="true" hidden="false" outlineLevel="0" max="9" min="9" style="4" width="7.71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true" hidden="false" outlineLevel="0" max="15" min="15" style="4" width="19.71"/>
    <col collapsed="false" customWidth="false" hidden="false" outlineLevel="0" max="1024" min="16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22.5" hidden="false" customHeight="false" outlineLevel="0" collapsed="false">
      <c r="A2" s="5" t="n">
        <f aca="false">IF(B2&lt;&gt;"", COUNTA($B$2:B2), "")</f>
        <v>1</v>
      </c>
      <c r="B2" s="6" t="s">
        <v>64</v>
      </c>
      <c r="C2" s="19" t="s">
        <v>1020</v>
      </c>
      <c r="D2" s="6" t="s">
        <v>1021</v>
      </c>
      <c r="E2" s="16" t="s">
        <v>425</v>
      </c>
      <c r="F2" s="19" t="s">
        <v>1022</v>
      </c>
      <c r="G2" s="19" t="s">
        <v>426</v>
      </c>
      <c r="H2" s="19" t="s">
        <v>1023</v>
      </c>
      <c r="I2" s="5" t="s">
        <v>1024</v>
      </c>
      <c r="J2" s="5" t="s">
        <v>32</v>
      </c>
      <c r="K2" s="5" t="n">
        <v>2012</v>
      </c>
      <c r="L2" s="12" t="n">
        <v>60</v>
      </c>
      <c r="M2" s="6"/>
      <c r="N2" s="8"/>
    </row>
    <row r="3" customFormat="false" ht="22.5" hidden="false" customHeight="false" outlineLevel="0" collapsed="false">
      <c r="A3" s="5" t="n">
        <f aca="false">IF(B3&lt;&gt;"", COUNTA($B$2:B3), "")</f>
        <v>2</v>
      </c>
      <c r="B3" s="6" t="s">
        <v>64</v>
      </c>
      <c r="C3" s="19" t="s">
        <v>1020</v>
      </c>
      <c r="D3" s="6" t="s">
        <v>1025</v>
      </c>
      <c r="E3" s="16" t="s">
        <v>425</v>
      </c>
      <c r="F3" s="19" t="s">
        <v>1022</v>
      </c>
      <c r="G3" s="19" t="s">
        <v>426</v>
      </c>
      <c r="H3" s="19" t="s">
        <v>1023</v>
      </c>
      <c r="I3" s="5" t="s">
        <v>1024</v>
      </c>
      <c r="J3" s="5" t="s">
        <v>32</v>
      </c>
      <c r="K3" s="5" t="n">
        <v>2012</v>
      </c>
      <c r="L3" s="12" t="n">
        <v>60</v>
      </c>
      <c r="M3" s="6"/>
      <c r="N3" s="8"/>
    </row>
    <row r="4" customFormat="false" ht="22.5" hidden="false" customHeight="false" outlineLevel="0" collapsed="false">
      <c r="A4" s="5" t="n">
        <f aca="false">IF(B4&lt;&gt;"", COUNTA($B$2:B4), "")</f>
        <v>3</v>
      </c>
      <c r="B4" s="6" t="s">
        <v>64</v>
      </c>
      <c r="C4" s="19" t="s">
        <v>1020</v>
      </c>
      <c r="D4" s="6" t="s">
        <v>1026</v>
      </c>
      <c r="E4" s="16" t="s">
        <v>425</v>
      </c>
      <c r="F4" s="19" t="s">
        <v>1022</v>
      </c>
      <c r="G4" s="19" t="s">
        <v>426</v>
      </c>
      <c r="H4" s="19" t="s">
        <v>1027</v>
      </c>
      <c r="I4" s="5" t="s">
        <v>1024</v>
      </c>
      <c r="J4" s="5" t="s">
        <v>32</v>
      </c>
      <c r="K4" s="5" t="n">
        <v>2012</v>
      </c>
      <c r="L4" s="12" t="n">
        <v>60</v>
      </c>
      <c r="M4" s="6"/>
      <c r="N4" s="8"/>
    </row>
    <row r="5" customFormat="false" ht="22.5" hidden="false" customHeight="false" outlineLevel="0" collapsed="false">
      <c r="A5" s="5" t="n">
        <f aca="false">IF(B5&lt;&gt;"", COUNTA($B$2:B5), "")</f>
        <v>4</v>
      </c>
      <c r="B5" s="6" t="s">
        <v>64</v>
      </c>
      <c r="C5" s="19" t="s">
        <v>1020</v>
      </c>
      <c r="D5" s="6" t="s">
        <v>1028</v>
      </c>
      <c r="E5" s="16" t="s">
        <v>425</v>
      </c>
      <c r="F5" s="19" t="s">
        <v>1022</v>
      </c>
      <c r="G5" s="19" t="s">
        <v>426</v>
      </c>
      <c r="H5" s="19" t="s">
        <v>1027</v>
      </c>
      <c r="I5" s="5" t="s">
        <v>1024</v>
      </c>
      <c r="J5" s="5" t="s">
        <v>32</v>
      </c>
      <c r="K5" s="5" t="n">
        <v>2012</v>
      </c>
      <c r="L5" s="12" t="n">
        <v>60</v>
      </c>
      <c r="M5" s="6"/>
      <c r="N5" s="8"/>
    </row>
    <row r="6" customFormat="false" ht="22.5" hidden="false" customHeight="false" outlineLevel="0" collapsed="false">
      <c r="A6" s="5" t="n">
        <f aca="false">IF(B6&lt;&gt;"", COUNTA($B$2:B6), "")</f>
        <v>5</v>
      </c>
      <c r="B6" s="18" t="s">
        <v>57</v>
      </c>
      <c r="C6" s="5" t="s">
        <v>1029</v>
      </c>
      <c r="D6" s="5" t="s">
        <v>1030</v>
      </c>
      <c r="E6" s="16" t="s">
        <v>425</v>
      </c>
      <c r="F6" s="12" t="s">
        <v>1031</v>
      </c>
      <c r="G6" s="31" t="n">
        <v>0.001</v>
      </c>
      <c r="H6" s="5" t="s">
        <v>1032</v>
      </c>
      <c r="I6" s="5" t="s">
        <v>1024</v>
      </c>
      <c r="J6" s="5" t="s">
        <v>32</v>
      </c>
      <c r="K6" s="5" t="n">
        <v>2012</v>
      </c>
      <c r="L6" s="12" t="n">
        <v>60</v>
      </c>
      <c r="M6" s="6"/>
      <c r="N6" s="8"/>
    </row>
    <row r="7" customFormat="false" ht="22.5" hidden="false" customHeight="false" outlineLevel="0" collapsed="false">
      <c r="A7" s="5" t="n">
        <f aca="false">IF(B7&lt;&gt;"", COUNTA($B$2:B7), "")</f>
        <v>6</v>
      </c>
      <c r="B7" s="18" t="s">
        <v>57</v>
      </c>
      <c r="C7" s="5" t="s">
        <v>1029</v>
      </c>
      <c r="D7" s="5" t="s">
        <v>1033</v>
      </c>
      <c r="E7" s="16" t="s">
        <v>425</v>
      </c>
      <c r="F7" s="12" t="s">
        <v>1031</v>
      </c>
      <c r="G7" s="31" t="n">
        <v>0.001</v>
      </c>
      <c r="H7" s="5" t="s">
        <v>1032</v>
      </c>
      <c r="I7" s="5" t="s">
        <v>1024</v>
      </c>
      <c r="J7" s="5" t="s">
        <v>32</v>
      </c>
      <c r="K7" s="5" t="n">
        <v>2012</v>
      </c>
      <c r="L7" s="12" t="n">
        <v>60</v>
      </c>
      <c r="M7" s="6"/>
      <c r="N7" s="8"/>
    </row>
    <row r="8" customFormat="false" ht="22.5" hidden="false" customHeight="false" outlineLevel="0" collapsed="false">
      <c r="A8" s="5" t="n">
        <f aca="false">IF(B8&lt;&gt;"", COUNTA($B$2:B8), "")</f>
        <v>7</v>
      </c>
      <c r="B8" s="18" t="s">
        <v>57</v>
      </c>
      <c r="C8" s="5" t="s">
        <v>1029</v>
      </c>
      <c r="D8" s="5" t="s">
        <v>1034</v>
      </c>
      <c r="E8" s="16" t="s">
        <v>425</v>
      </c>
      <c r="F8" s="12" t="s">
        <v>1035</v>
      </c>
      <c r="G8" s="31" t="n">
        <v>0.001</v>
      </c>
      <c r="H8" s="5" t="s">
        <v>1036</v>
      </c>
      <c r="I8" s="5" t="s">
        <v>1024</v>
      </c>
      <c r="J8" s="5" t="s">
        <v>32</v>
      </c>
      <c r="K8" s="5" t="n">
        <v>2012</v>
      </c>
      <c r="L8" s="12" t="n">
        <v>60</v>
      </c>
      <c r="M8" s="6"/>
      <c r="N8" s="8"/>
    </row>
    <row r="9" customFormat="false" ht="22.5" hidden="false" customHeight="false" outlineLevel="0" collapsed="false">
      <c r="A9" s="5" t="n">
        <f aca="false">IF(B9&lt;&gt;"", COUNTA($B$2:B9), "")</f>
        <v>8</v>
      </c>
      <c r="B9" s="18" t="s">
        <v>57</v>
      </c>
      <c r="C9" s="5" t="s">
        <v>1029</v>
      </c>
      <c r="D9" s="5" t="s">
        <v>1037</v>
      </c>
      <c r="E9" s="16" t="s">
        <v>425</v>
      </c>
      <c r="F9" s="12" t="s">
        <v>1035</v>
      </c>
      <c r="G9" s="31" t="n">
        <v>0.001</v>
      </c>
      <c r="H9" s="5" t="s">
        <v>1036</v>
      </c>
      <c r="I9" s="5" t="s">
        <v>1024</v>
      </c>
      <c r="J9" s="5" t="s">
        <v>32</v>
      </c>
      <c r="K9" s="5" t="n">
        <v>2012</v>
      </c>
      <c r="L9" s="12" t="n">
        <v>60</v>
      </c>
      <c r="M9" s="6"/>
      <c r="N9" s="8"/>
    </row>
    <row r="10" customFormat="false" ht="22.5" hidden="false" customHeight="false" outlineLevel="0" collapsed="false">
      <c r="A10" s="5" t="n">
        <f aca="false">IF(B10&lt;&gt;"", COUNTA($B$2:B10), "")</f>
        <v>9</v>
      </c>
      <c r="B10" s="18" t="s">
        <v>57</v>
      </c>
      <c r="C10" s="5" t="s">
        <v>1029</v>
      </c>
      <c r="D10" s="5" t="s">
        <v>1038</v>
      </c>
      <c r="E10" s="16" t="s">
        <v>425</v>
      </c>
      <c r="F10" s="12" t="s">
        <v>1031</v>
      </c>
      <c r="G10" s="31" t="n">
        <v>0.001</v>
      </c>
      <c r="H10" s="5" t="s">
        <v>1039</v>
      </c>
      <c r="I10" s="5" t="s">
        <v>1024</v>
      </c>
      <c r="J10" s="5" t="s">
        <v>32</v>
      </c>
      <c r="K10" s="5" t="n">
        <v>2012</v>
      </c>
      <c r="L10" s="12" t="n">
        <v>60</v>
      </c>
      <c r="M10" s="6"/>
      <c r="N10" s="8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18" t="s">
        <v>57</v>
      </c>
      <c r="C11" s="5" t="s">
        <v>1029</v>
      </c>
      <c r="D11" s="5" t="s">
        <v>1040</v>
      </c>
      <c r="E11" s="16" t="s">
        <v>425</v>
      </c>
      <c r="F11" s="12" t="s">
        <v>1031</v>
      </c>
      <c r="G11" s="31" t="n">
        <v>0.001</v>
      </c>
      <c r="H11" s="5" t="s">
        <v>1041</v>
      </c>
      <c r="I11" s="5" t="s">
        <v>1024</v>
      </c>
      <c r="J11" s="5" t="s">
        <v>32</v>
      </c>
      <c r="K11" s="5" t="n">
        <v>2012</v>
      </c>
      <c r="L11" s="12" t="n">
        <v>60</v>
      </c>
      <c r="M11" s="6"/>
      <c r="N11" s="8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18" t="s">
        <v>57</v>
      </c>
      <c r="C12" s="5" t="s">
        <v>1042</v>
      </c>
      <c r="D12" s="5" t="s">
        <v>1043</v>
      </c>
      <c r="E12" s="16" t="n">
        <v>2012</v>
      </c>
      <c r="F12" s="12" t="s">
        <v>1044</v>
      </c>
      <c r="G12" s="31" t="n">
        <v>0.0004</v>
      </c>
      <c r="H12" s="5" t="s">
        <v>1045</v>
      </c>
      <c r="I12" s="5" t="s">
        <v>1024</v>
      </c>
      <c r="J12" s="5" t="s">
        <v>32</v>
      </c>
      <c r="K12" s="5" t="n">
        <v>2012</v>
      </c>
      <c r="L12" s="12" t="n">
        <v>60</v>
      </c>
      <c r="M12" s="6"/>
      <c r="N12" s="8"/>
    </row>
    <row r="13" customFormat="false" ht="22.5" hidden="false" customHeight="false" outlineLevel="0" collapsed="false">
      <c r="A13" s="5" t="n">
        <f aca="false">IF(B13&lt;&gt;"", COUNTA($B$2:B13), "")</f>
        <v>12</v>
      </c>
      <c r="B13" s="18" t="s">
        <v>57</v>
      </c>
      <c r="C13" s="5" t="s">
        <v>1042</v>
      </c>
      <c r="D13" s="5" t="s">
        <v>1046</v>
      </c>
      <c r="E13" s="16" t="n">
        <v>2012</v>
      </c>
      <c r="F13" s="12" t="s">
        <v>1047</v>
      </c>
      <c r="G13" s="31" t="n">
        <v>0.0004</v>
      </c>
      <c r="H13" s="5" t="s">
        <v>1048</v>
      </c>
      <c r="I13" s="5" t="s">
        <v>1024</v>
      </c>
      <c r="J13" s="5" t="s">
        <v>32</v>
      </c>
      <c r="K13" s="5" t="n">
        <v>2012</v>
      </c>
      <c r="L13" s="12" t="n">
        <v>60</v>
      </c>
      <c r="M13" s="6"/>
      <c r="N13" s="8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18" t="s">
        <v>57</v>
      </c>
      <c r="C14" s="5" t="s">
        <v>1042</v>
      </c>
      <c r="D14" s="5" t="s">
        <v>1049</v>
      </c>
      <c r="E14" s="16" t="n">
        <v>2012</v>
      </c>
      <c r="F14" s="12" t="s">
        <v>1047</v>
      </c>
      <c r="G14" s="31" t="n">
        <v>0.0004</v>
      </c>
      <c r="H14" s="5" t="s">
        <v>1050</v>
      </c>
      <c r="I14" s="5" t="s">
        <v>1024</v>
      </c>
      <c r="J14" s="5" t="s">
        <v>32</v>
      </c>
      <c r="K14" s="5" t="n">
        <v>2012</v>
      </c>
      <c r="L14" s="12" t="n">
        <v>60</v>
      </c>
      <c r="M14" s="6"/>
      <c r="N14" s="8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6" t="s">
        <v>221</v>
      </c>
      <c r="C15" s="5" t="s">
        <v>1051</v>
      </c>
      <c r="D15" s="5" t="n">
        <v>30725</v>
      </c>
      <c r="E15" s="16" t="n">
        <v>2010</v>
      </c>
      <c r="F15" s="12" t="s">
        <v>1052</v>
      </c>
      <c r="G15" s="31" t="n">
        <v>0.02</v>
      </c>
      <c r="H15" s="5" t="s">
        <v>1053</v>
      </c>
      <c r="I15" s="5" t="s">
        <v>1024</v>
      </c>
      <c r="J15" s="5" t="s">
        <v>32</v>
      </c>
      <c r="K15" s="5" t="n">
        <v>2012</v>
      </c>
      <c r="L15" s="12" t="n">
        <v>48</v>
      </c>
      <c r="M15" s="6"/>
      <c r="N15" s="8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18" t="s">
        <v>57</v>
      </c>
      <c r="C16" s="5" t="s">
        <v>1054</v>
      </c>
      <c r="D16" s="5" t="n">
        <v>121955</v>
      </c>
      <c r="E16" s="17" t="n">
        <v>2011</v>
      </c>
      <c r="F16" s="5" t="s">
        <v>1055</v>
      </c>
      <c r="G16" s="31" t="n">
        <v>0.0015</v>
      </c>
      <c r="H16" s="5" t="s">
        <v>1056</v>
      </c>
      <c r="I16" s="5" t="s">
        <v>1024</v>
      </c>
      <c r="J16" s="5" t="s">
        <v>32</v>
      </c>
      <c r="K16" s="5" t="n">
        <v>2012</v>
      </c>
      <c r="L16" s="12" t="n">
        <v>24</v>
      </c>
      <c r="M16" s="6"/>
      <c r="N16" s="8"/>
    </row>
    <row r="17" s="28" customFormat="true" ht="22.5" hidden="false" customHeight="false" outlineLevel="0" collapsed="false">
      <c r="A17" s="5" t="n">
        <f aca="false">IF(B17&lt;&gt;"", COUNTA($B$2:B17), "")</f>
        <v>16</v>
      </c>
      <c r="B17" s="73" t="s">
        <v>57</v>
      </c>
      <c r="C17" s="74" t="s">
        <v>1057</v>
      </c>
      <c r="D17" s="74" t="n">
        <v>409</v>
      </c>
      <c r="E17" s="75" t="n">
        <v>2011</v>
      </c>
      <c r="F17" s="76" t="s">
        <v>1058</v>
      </c>
      <c r="G17" s="77" t="n">
        <v>0.005</v>
      </c>
      <c r="H17" s="74" t="s">
        <v>1059</v>
      </c>
      <c r="I17" s="74" t="s">
        <v>1024</v>
      </c>
      <c r="J17" s="74" t="s">
        <v>32</v>
      </c>
      <c r="K17" s="74" t="n">
        <v>2013</v>
      </c>
      <c r="L17" s="76" t="n">
        <v>24</v>
      </c>
      <c r="M17" s="13"/>
      <c r="N17" s="62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6" t="s">
        <v>64</v>
      </c>
      <c r="C18" s="12" t="s">
        <v>1060</v>
      </c>
      <c r="D18" s="12" t="n">
        <v>448</v>
      </c>
      <c r="E18" s="17" t="n">
        <v>2012</v>
      </c>
      <c r="F18" s="19" t="s">
        <v>1061</v>
      </c>
      <c r="G18" s="19" t="s">
        <v>68</v>
      </c>
      <c r="H18" s="5" t="s">
        <v>1062</v>
      </c>
      <c r="I18" s="5" t="s">
        <v>1063</v>
      </c>
      <c r="J18" s="5" t="s">
        <v>32</v>
      </c>
      <c r="K18" s="5" t="n">
        <v>2012</v>
      </c>
      <c r="L18" s="12" t="n">
        <v>36</v>
      </c>
      <c r="M18" s="6"/>
      <c r="N18" s="8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1064</v>
      </c>
      <c r="C19" s="12" t="s">
        <v>1065</v>
      </c>
      <c r="D19" s="78" t="s">
        <v>1066</v>
      </c>
      <c r="E19" s="8" t="n">
        <v>2012</v>
      </c>
      <c r="F19" s="30"/>
      <c r="G19" s="30"/>
      <c r="H19" s="5" t="s">
        <v>1067</v>
      </c>
      <c r="I19" s="5" t="s">
        <v>1068</v>
      </c>
      <c r="J19" s="5" t="s">
        <v>32</v>
      </c>
      <c r="K19" s="30"/>
      <c r="L19" s="30"/>
      <c r="M19" s="30"/>
      <c r="N19" s="30"/>
    </row>
    <row r="20" customFormat="false" ht="15" hidden="false" customHeight="false" outlineLevel="0" collapsed="false">
      <c r="A20" s="5" t="n">
        <f aca="false">IF(B20&lt;&gt;"", COUNTA($B$2:B20), "")</f>
        <v>19</v>
      </c>
      <c r="B20" s="7" t="s">
        <v>27</v>
      </c>
      <c r="C20" s="12" t="s">
        <v>28</v>
      </c>
      <c r="D20" s="78" t="s">
        <v>1069</v>
      </c>
      <c r="E20" s="8" t="n">
        <v>2012</v>
      </c>
      <c r="F20" s="15" t="s">
        <v>1070</v>
      </c>
      <c r="G20" s="10" t="n">
        <v>1.5</v>
      </c>
      <c r="H20" s="5" t="s">
        <v>1071</v>
      </c>
      <c r="I20" s="5" t="s">
        <v>1068</v>
      </c>
      <c r="J20" s="5" t="s">
        <v>32</v>
      </c>
      <c r="K20" s="5" t="n">
        <v>2012</v>
      </c>
      <c r="L20" s="5" t="n">
        <v>12</v>
      </c>
      <c r="M20" s="6" t="s">
        <v>33</v>
      </c>
      <c r="N20" s="8" t="s">
        <v>1</v>
      </c>
    </row>
  </sheetData>
  <conditionalFormatting sqref="M1:M1048576">
    <cfRule type="expression" priority="2" aboveAverage="0" equalAverage="0" bottom="0" percent="0" rank="0" text="" dxfId="5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8" activePane="bottomLeft" state="frozen"/>
      <selection pane="topLeft" activeCell="A1" activeCellId="0" sqref="A1"/>
      <selection pane="bottomLeft" activeCell="A8" activeCellId="0" sqref="A8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19.85"/>
    <col collapsed="false" customWidth="true" hidden="false" outlineLevel="0" max="3" min="3" style="4" width="23.57"/>
    <col collapsed="false" customWidth="true" hidden="false" outlineLevel="0" max="4" min="4" style="4" width="12.71"/>
    <col collapsed="false" customWidth="true" hidden="false" outlineLevel="0" max="5" min="5" style="4" width="6.57"/>
    <col collapsed="false" customWidth="true" hidden="false" outlineLevel="0" max="6" min="6" style="4" width="10.99"/>
    <col collapsed="false" customWidth="true" hidden="false" outlineLevel="0" max="7" min="7" style="4" width="7.42"/>
    <col collapsed="false" customWidth="true" hidden="false" outlineLevel="0" max="8" min="8" style="4" width="27"/>
    <col collapsed="false" customWidth="true" hidden="false" outlineLevel="0" max="9" min="9" style="4" width="13.7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858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6" t="s">
        <v>64</v>
      </c>
      <c r="C2" s="19" t="s">
        <v>1020</v>
      </c>
      <c r="D2" s="6" t="n">
        <v>26</v>
      </c>
      <c r="E2" s="16" t="s">
        <v>425</v>
      </c>
      <c r="F2" s="19" t="s">
        <v>1022</v>
      </c>
      <c r="G2" s="19" t="s">
        <v>426</v>
      </c>
      <c r="H2" s="19" t="s">
        <v>1072</v>
      </c>
      <c r="I2" s="5" t="s">
        <v>1073</v>
      </c>
      <c r="J2" s="5" t="s">
        <v>32</v>
      </c>
      <c r="K2" s="5" t="n">
        <v>2012</v>
      </c>
      <c r="L2" s="12" t="n">
        <v>60</v>
      </c>
      <c r="M2" s="6"/>
      <c r="N2" s="8"/>
    </row>
    <row r="3" customFormat="false" ht="15" hidden="false" customHeight="false" outlineLevel="0" collapsed="false">
      <c r="A3" s="5" t="n">
        <f aca="false">IF(B3&lt;&gt;"", COUNTA($B$2:B3), "")</f>
        <v>2</v>
      </c>
      <c r="B3" s="6" t="s">
        <v>64</v>
      </c>
      <c r="C3" s="19" t="s">
        <v>1020</v>
      </c>
      <c r="D3" s="6" t="s">
        <v>626</v>
      </c>
      <c r="E3" s="16" t="s">
        <v>425</v>
      </c>
      <c r="F3" s="19" t="s">
        <v>1022</v>
      </c>
      <c r="G3" s="19" t="s">
        <v>426</v>
      </c>
      <c r="H3" s="19" t="s">
        <v>1027</v>
      </c>
      <c r="I3" s="5" t="s">
        <v>1073</v>
      </c>
      <c r="J3" s="5" t="s">
        <v>32</v>
      </c>
      <c r="K3" s="5" t="n">
        <v>2012</v>
      </c>
      <c r="L3" s="12" t="n">
        <v>60</v>
      </c>
      <c r="M3" s="6"/>
      <c r="N3" s="8"/>
    </row>
    <row r="4" customFormat="false" ht="15" hidden="false" customHeight="false" outlineLevel="0" collapsed="false">
      <c r="A4" s="5" t="n">
        <f aca="false">IF(B4&lt;&gt;"", COUNTA($B$2:B4), "")</f>
        <v>3</v>
      </c>
      <c r="B4" s="6" t="s">
        <v>64</v>
      </c>
      <c r="C4" s="8" t="s">
        <v>1074</v>
      </c>
      <c r="D4" s="12" t="n">
        <v>379</v>
      </c>
      <c r="E4" s="17" t="n">
        <v>2011</v>
      </c>
      <c r="F4" s="19" t="s">
        <v>1022</v>
      </c>
      <c r="G4" s="12" t="n">
        <v>0.5</v>
      </c>
      <c r="H4" s="5" t="s">
        <v>1075</v>
      </c>
      <c r="I4" s="5" t="s">
        <v>1073</v>
      </c>
      <c r="J4" s="5" t="s">
        <v>32</v>
      </c>
      <c r="K4" s="5" t="n">
        <v>2011</v>
      </c>
      <c r="L4" s="12" t="n">
        <v>24</v>
      </c>
      <c r="M4" s="6"/>
      <c r="N4" s="8"/>
    </row>
    <row r="5" customFormat="false" ht="22.5" hidden="false" customHeight="false" outlineLevel="0" collapsed="false">
      <c r="A5" s="5" t="n">
        <f aca="false">IF(B5&lt;&gt;"", COUNTA($B$2:B5), "")</f>
        <v>4</v>
      </c>
      <c r="B5" s="18" t="s">
        <v>57</v>
      </c>
      <c r="C5" s="5" t="s">
        <v>1076</v>
      </c>
      <c r="D5" s="5" t="s">
        <v>1077</v>
      </c>
      <c r="E5" s="16" t="s">
        <v>425</v>
      </c>
      <c r="F5" s="12" t="s">
        <v>1035</v>
      </c>
      <c r="G5" s="79" t="n">
        <v>0.1</v>
      </c>
      <c r="H5" s="5" t="s">
        <v>1078</v>
      </c>
      <c r="I5" s="5" t="s">
        <v>1073</v>
      </c>
      <c r="J5" s="5" t="s">
        <v>32</v>
      </c>
      <c r="K5" s="5" t="n">
        <v>2012</v>
      </c>
      <c r="L5" s="12" t="n">
        <v>60</v>
      </c>
      <c r="M5" s="6"/>
      <c r="N5" s="8"/>
    </row>
    <row r="6" customFormat="false" ht="22.5" hidden="false" customHeight="false" outlineLevel="0" collapsed="false">
      <c r="A6" s="5" t="n">
        <f aca="false">IF(B6&lt;&gt;"", COUNTA($B$2:B6), "")</f>
        <v>5</v>
      </c>
      <c r="B6" s="18" t="s">
        <v>57</v>
      </c>
      <c r="C6" s="5" t="s">
        <v>1076</v>
      </c>
      <c r="D6" s="5" t="s">
        <v>1079</v>
      </c>
      <c r="E6" s="16" t="s">
        <v>425</v>
      </c>
      <c r="F6" s="12" t="s">
        <v>1035</v>
      </c>
      <c r="G6" s="79" t="n">
        <v>0.1</v>
      </c>
      <c r="H6" s="5" t="s">
        <v>1080</v>
      </c>
      <c r="I6" s="5" t="s">
        <v>1073</v>
      </c>
      <c r="J6" s="5" t="s">
        <v>32</v>
      </c>
      <c r="K6" s="5" t="n">
        <v>2012</v>
      </c>
      <c r="L6" s="12" t="n">
        <v>60</v>
      </c>
      <c r="M6" s="6"/>
      <c r="N6" s="8"/>
    </row>
    <row r="7" customFormat="false" ht="22.5" hidden="false" customHeight="false" outlineLevel="0" collapsed="false">
      <c r="A7" s="5" t="n">
        <f aca="false">IF(B7&lt;&gt;"", COUNTA($B$2:B7), "")</f>
        <v>6</v>
      </c>
      <c r="B7" s="18" t="s">
        <v>57</v>
      </c>
      <c r="C7" s="5" t="s">
        <v>1076</v>
      </c>
      <c r="D7" s="5" t="s">
        <v>1081</v>
      </c>
      <c r="E7" s="16" t="s">
        <v>425</v>
      </c>
      <c r="F7" s="12" t="s">
        <v>1035</v>
      </c>
      <c r="G7" s="79" t="n">
        <v>0.1</v>
      </c>
      <c r="H7" s="5" t="s">
        <v>1082</v>
      </c>
      <c r="I7" s="5" t="s">
        <v>1073</v>
      </c>
      <c r="J7" s="5" t="s">
        <v>32</v>
      </c>
      <c r="K7" s="5" t="n">
        <v>2012</v>
      </c>
      <c r="L7" s="12" t="n">
        <v>60</v>
      </c>
      <c r="M7" s="6"/>
      <c r="N7" s="8"/>
    </row>
    <row r="8" customFormat="false" ht="22.5" hidden="false" customHeight="false" outlineLevel="0" collapsed="false">
      <c r="A8" s="5" t="n">
        <f aca="false">IF(B8&lt;&gt;"", COUNTA($B$2:B8), "")</f>
        <v>7</v>
      </c>
      <c r="B8" s="18" t="s">
        <v>57</v>
      </c>
      <c r="C8" s="5" t="s">
        <v>1076</v>
      </c>
      <c r="D8" s="5" t="s">
        <v>1083</v>
      </c>
      <c r="E8" s="16" t="s">
        <v>425</v>
      </c>
      <c r="F8" s="12" t="s">
        <v>1035</v>
      </c>
      <c r="G8" s="79" t="n">
        <v>0.1</v>
      </c>
      <c r="H8" s="5" t="s">
        <v>1084</v>
      </c>
      <c r="I8" s="5" t="s">
        <v>1073</v>
      </c>
      <c r="J8" s="5" t="s">
        <v>32</v>
      </c>
      <c r="K8" s="5" t="n">
        <v>2012</v>
      </c>
      <c r="L8" s="12" t="n">
        <v>60</v>
      </c>
      <c r="M8" s="6"/>
      <c r="N8" s="8"/>
    </row>
    <row r="9" customFormat="false" ht="22.5" hidden="false" customHeight="false" outlineLevel="0" collapsed="false">
      <c r="A9" s="5" t="n">
        <f aca="false">IF(B9&lt;&gt;"", COUNTA($B$2:B9), "")</f>
        <v>8</v>
      </c>
      <c r="B9" s="18" t="s">
        <v>57</v>
      </c>
      <c r="C9" s="5" t="s">
        <v>1076</v>
      </c>
      <c r="D9" s="5" t="s">
        <v>1085</v>
      </c>
      <c r="E9" s="16" t="s">
        <v>425</v>
      </c>
      <c r="F9" s="12" t="s">
        <v>1035</v>
      </c>
      <c r="G9" s="79" t="n">
        <v>0.1</v>
      </c>
      <c r="H9" s="5" t="s">
        <v>1086</v>
      </c>
      <c r="I9" s="5" t="s">
        <v>1073</v>
      </c>
      <c r="J9" s="5" t="s">
        <v>32</v>
      </c>
      <c r="K9" s="5" t="n">
        <v>2012</v>
      </c>
      <c r="L9" s="12" t="n">
        <v>60</v>
      </c>
      <c r="M9" s="6"/>
      <c r="N9" s="8"/>
    </row>
    <row r="10" customFormat="false" ht="22.5" hidden="false" customHeight="false" outlineLevel="0" collapsed="false">
      <c r="A10" s="5" t="n">
        <f aca="false">IF(B10&lt;&gt;"", COUNTA($B$2:B10), "")</f>
        <v>9</v>
      </c>
      <c r="B10" s="18" t="s">
        <v>57</v>
      </c>
      <c r="C10" s="5" t="s">
        <v>1087</v>
      </c>
      <c r="D10" s="5" t="s">
        <v>1088</v>
      </c>
      <c r="E10" s="16" t="n">
        <v>2011</v>
      </c>
      <c r="F10" s="12" t="s">
        <v>1035</v>
      </c>
      <c r="G10" s="79" t="n">
        <v>0.1</v>
      </c>
      <c r="H10" s="5" t="s">
        <v>1089</v>
      </c>
      <c r="I10" s="5" t="s">
        <v>1073</v>
      </c>
      <c r="J10" s="5" t="s">
        <v>32</v>
      </c>
      <c r="K10" s="5" t="n">
        <v>2011</v>
      </c>
      <c r="L10" s="12" t="n">
        <v>60</v>
      </c>
      <c r="M10" s="6"/>
      <c r="N10" s="8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18" t="s">
        <v>57</v>
      </c>
      <c r="C11" s="5" t="s">
        <v>1090</v>
      </c>
      <c r="D11" s="5" t="s">
        <v>1091</v>
      </c>
      <c r="E11" s="16" t="s">
        <v>425</v>
      </c>
      <c r="F11" s="12" t="s">
        <v>1092</v>
      </c>
      <c r="G11" s="79" t="n">
        <v>0.1</v>
      </c>
      <c r="H11" s="5" t="s">
        <v>1093</v>
      </c>
      <c r="I11" s="5" t="s">
        <v>1073</v>
      </c>
      <c r="J11" s="5" t="s">
        <v>32</v>
      </c>
      <c r="K11" s="5" t="n">
        <v>2011</v>
      </c>
      <c r="L11" s="12" t="n">
        <v>60</v>
      </c>
      <c r="M11" s="6"/>
      <c r="N11" s="8"/>
    </row>
    <row r="12" customFormat="false" ht="15" hidden="false" customHeight="false" outlineLevel="0" collapsed="false">
      <c r="A12" s="5" t="n">
        <f aca="false">IF(B12&lt;&gt;"", COUNTA($B$2:B12), "")</f>
        <v>11</v>
      </c>
      <c r="B12" s="6" t="s">
        <v>64</v>
      </c>
      <c r="C12" s="19" t="s">
        <v>1094</v>
      </c>
      <c r="D12" s="6" t="s">
        <v>1095</v>
      </c>
      <c r="E12" s="16" t="n">
        <v>2011</v>
      </c>
      <c r="F12" s="19" t="s">
        <v>1096</v>
      </c>
      <c r="G12" s="19" t="s">
        <v>426</v>
      </c>
      <c r="H12" s="19" t="s">
        <v>1097</v>
      </c>
      <c r="I12" s="5" t="s">
        <v>1073</v>
      </c>
      <c r="J12" s="5" t="s">
        <v>32</v>
      </c>
      <c r="K12" s="5" t="n">
        <v>2012</v>
      </c>
      <c r="L12" s="12" t="n">
        <v>60</v>
      </c>
      <c r="M12" s="6"/>
      <c r="N12" s="8"/>
    </row>
    <row r="13" customFormat="false" ht="15" hidden="false" customHeight="false" outlineLevel="0" collapsed="false">
      <c r="A13" s="5" t="n">
        <f aca="false">IF(B13&lt;&gt;"", COUNTA($B$2:B13), "")</f>
        <v>12</v>
      </c>
      <c r="B13" s="6" t="s">
        <v>64</v>
      </c>
      <c r="C13" s="8" t="s">
        <v>1098</v>
      </c>
      <c r="D13" s="12" t="n">
        <v>110</v>
      </c>
      <c r="E13" s="16" t="s">
        <v>425</v>
      </c>
      <c r="F13" s="19" t="s">
        <v>1096</v>
      </c>
      <c r="G13" s="12" t="s">
        <v>68</v>
      </c>
      <c r="H13" s="5" t="s">
        <v>1075</v>
      </c>
      <c r="I13" s="5" t="s">
        <v>1073</v>
      </c>
      <c r="J13" s="5" t="s">
        <v>32</v>
      </c>
      <c r="K13" s="5" t="n">
        <v>2011</v>
      </c>
      <c r="L13" s="12" t="n">
        <v>36</v>
      </c>
      <c r="M13" s="6"/>
      <c r="N13" s="8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7" t="s">
        <v>207</v>
      </c>
      <c r="C14" s="8" t="s">
        <v>1099</v>
      </c>
      <c r="D14" s="10" t="n">
        <v>226706</v>
      </c>
      <c r="E14" s="8" t="n">
        <v>2012</v>
      </c>
      <c r="F14" s="16" t="s">
        <v>1100</v>
      </c>
      <c r="G14" s="8"/>
      <c r="H14" s="5" t="s">
        <v>1101</v>
      </c>
      <c r="I14" s="5" t="s">
        <v>1073</v>
      </c>
      <c r="J14" s="5" t="s">
        <v>32</v>
      </c>
      <c r="K14" s="5" t="n">
        <v>2012</v>
      </c>
      <c r="L14" s="5"/>
      <c r="M14" s="6"/>
      <c r="N14" s="8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7" t="s">
        <v>207</v>
      </c>
      <c r="C15" s="8" t="s">
        <v>1099</v>
      </c>
      <c r="D15" s="12" t="n">
        <v>257610</v>
      </c>
      <c r="E15" s="8" t="n">
        <v>2015</v>
      </c>
      <c r="F15" s="16" t="s">
        <v>1100</v>
      </c>
      <c r="G15" s="12"/>
      <c r="H15" s="5" t="s">
        <v>1102</v>
      </c>
      <c r="I15" s="5" t="s">
        <v>1073</v>
      </c>
      <c r="J15" s="5" t="s">
        <v>32</v>
      </c>
      <c r="K15" s="5" t="n">
        <v>2012</v>
      </c>
      <c r="L15" s="12"/>
      <c r="M15" s="6"/>
      <c r="N15" s="8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7" t="s">
        <v>207</v>
      </c>
      <c r="C16" s="8" t="s">
        <v>1099</v>
      </c>
      <c r="D16" s="12" t="n">
        <v>226189</v>
      </c>
      <c r="E16" s="8" t="n">
        <v>2012</v>
      </c>
      <c r="F16" s="16" t="s">
        <v>1100</v>
      </c>
      <c r="G16" s="12"/>
      <c r="H16" s="5" t="s">
        <v>1103</v>
      </c>
      <c r="I16" s="5" t="s">
        <v>1073</v>
      </c>
      <c r="J16" s="5" t="s">
        <v>32</v>
      </c>
      <c r="K16" s="5" t="n">
        <v>2012</v>
      </c>
      <c r="L16" s="12"/>
      <c r="M16" s="6"/>
      <c r="N16" s="8"/>
    </row>
    <row r="17" customFormat="false" ht="22.5" hidden="false" customHeight="false" outlineLevel="0" collapsed="false">
      <c r="A17" s="5" t="n">
        <f aca="false">IF(B17&lt;&gt;"", COUNTA($B$2:B17), "")</f>
        <v>16</v>
      </c>
      <c r="B17" s="7" t="s">
        <v>207</v>
      </c>
      <c r="C17" s="8" t="s">
        <v>1099</v>
      </c>
      <c r="D17" s="12" t="n">
        <v>247112</v>
      </c>
      <c r="E17" s="8" t="n">
        <v>2014</v>
      </c>
      <c r="F17" s="16" t="s">
        <v>1100</v>
      </c>
      <c r="G17" s="12"/>
      <c r="H17" s="5" t="s">
        <v>1104</v>
      </c>
      <c r="I17" s="5" t="s">
        <v>1073</v>
      </c>
      <c r="J17" s="5" t="s">
        <v>32</v>
      </c>
      <c r="K17" s="5" t="n">
        <v>2012</v>
      </c>
      <c r="L17" s="12"/>
      <c r="M17" s="6"/>
      <c r="N17" s="8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7" t="s">
        <v>207</v>
      </c>
      <c r="C18" s="8" t="s">
        <v>1099</v>
      </c>
      <c r="D18" s="12" t="n">
        <v>226704</v>
      </c>
      <c r="E18" s="8" t="n">
        <v>2012</v>
      </c>
      <c r="F18" s="16" t="s">
        <v>1100</v>
      </c>
      <c r="G18" s="12"/>
      <c r="H18" s="5" t="s">
        <v>1105</v>
      </c>
      <c r="I18" s="5" t="s">
        <v>1073</v>
      </c>
      <c r="J18" s="5" t="s">
        <v>32</v>
      </c>
      <c r="K18" s="5" t="n">
        <v>2012</v>
      </c>
      <c r="L18" s="12"/>
      <c r="M18" s="6"/>
      <c r="N18" s="7"/>
      <c r="O18" s="5"/>
      <c r="P18" s="5"/>
      <c r="Q18" s="8"/>
      <c r="R18" s="5"/>
      <c r="S18" s="5"/>
      <c r="T18" s="5"/>
      <c r="U18" s="5"/>
      <c r="V18" s="5"/>
      <c r="W18" s="5"/>
      <c r="X18" s="5"/>
      <c r="Y18" s="6"/>
      <c r="Z18" s="8"/>
    </row>
    <row r="19" customFormat="false" ht="15" hidden="false" customHeight="false" outlineLevel="0" collapsed="false">
      <c r="A19" s="5" t="n">
        <f aca="false">IF(B19&lt;&gt;"", COUNTA($B$2:B19), "")</f>
        <v>18</v>
      </c>
      <c r="B19" s="7" t="s">
        <v>27</v>
      </c>
      <c r="C19" s="5" t="s">
        <v>28</v>
      </c>
      <c r="D19" s="5" t="n">
        <v>15602</v>
      </c>
      <c r="E19" s="8" t="n">
        <v>2010</v>
      </c>
      <c r="F19" s="5" t="s">
        <v>1106</v>
      </c>
      <c r="G19" s="5" t="n">
        <v>1.5</v>
      </c>
      <c r="H19" s="5" t="s">
        <v>1107</v>
      </c>
      <c r="I19" s="5" t="s">
        <v>1073</v>
      </c>
      <c r="J19" s="5" t="s">
        <v>32</v>
      </c>
      <c r="K19" s="5" t="n">
        <v>2012</v>
      </c>
      <c r="L19" s="5" t="n">
        <v>12</v>
      </c>
      <c r="M19" s="6" t="s">
        <v>41</v>
      </c>
      <c r="N19" s="8" t="s">
        <v>1</v>
      </c>
    </row>
    <row r="20" customFormat="false" ht="15" hidden="false" customHeight="false" outlineLevel="0" collapsed="false">
      <c r="A20" s="5" t="n">
        <f aca="false">IF(B20&lt;&gt;"", COUNTA($B$2:B20), "")</f>
        <v>19</v>
      </c>
      <c r="B20" s="7" t="s">
        <v>27</v>
      </c>
      <c r="C20" s="5" t="s">
        <v>28</v>
      </c>
      <c r="D20" s="5" t="n">
        <v>30397</v>
      </c>
      <c r="E20" s="8" t="n">
        <v>2010</v>
      </c>
      <c r="F20" s="5" t="s">
        <v>1106</v>
      </c>
      <c r="G20" s="5" t="n">
        <v>1.5</v>
      </c>
      <c r="H20" s="5" t="s">
        <v>1108</v>
      </c>
      <c r="I20" s="5" t="s">
        <v>1073</v>
      </c>
      <c r="J20" s="5" t="s">
        <v>32</v>
      </c>
      <c r="K20" s="5" t="n">
        <v>2012</v>
      </c>
      <c r="L20" s="5" t="n">
        <v>12</v>
      </c>
      <c r="M20" s="6" t="s">
        <v>41</v>
      </c>
      <c r="N20" s="8" t="s">
        <v>1</v>
      </c>
    </row>
    <row r="21" customFormat="false" ht="15" hidden="false" customHeight="false" outlineLevel="0" collapsed="false">
      <c r="A21" s="5" t="n">
        <f aca="false">IF(B21&lt;&gt;"", COUNTA($B$2:B21), "")</f>
        <v>20</v>
      </c>
      <c r="B21" s="7" t="s">
        <v>27</v>
      </c>
      <c r="C21" s="5" t="s">
        <v>28</v>
      </c>
      <c r="D21" s="5" t="n">
        <v>30366</v>
      </c>
      <c r="E21" s="8" t="n">
        <v>2010</v>
      </c>
      <c r="F21" s="5" t="s">
        <v>1106</v>
      </c>
      <c r="G21" s="5" t="n">
        <v>1.5</v>
      </c>
      <c r="H21" s="5" t="s">
        <v>1109</v>
      </c>
      <c r="I21" s="5" t="s">
        <v>1073</v>
      </c>
      <c r="J21" s="5" t="s">
        <v>32</v>
      </c>
      <c r="K21" s="5" t="n">
        <v>2012</v>
      </c>
      <c r="L21" s="5" t="n">
        <v>12</v>
      </c>
      <c r="M21" s="6" t="s">
        <v>41</v>
      </c>
      <c r="N21" s="8" t="s">
        <v>1</v>
      </c>
    </row>
    <row r="22" customFormat="false" ht="15" hidden="false" customHeight="false" outlineLevel="0" collapsed="false">
      <c r="A22" s="5" t="n">
        <f aca="false">IF(B22&lt;&gt;"", COUNTA($B$2:B22), "")</f>
        <v>21</v>
      </c>
      <c r="B22" s="7" t="s">
        <v>27</v>
      </c>
      <c r="C22" s="5" t="s">
        <v>28</v>
      </c>
      <c r="D22" s="5" t="n">
        <v>15368</v>
      </c>
      <c r="E22" s="8" t="n">
        <v>2010</v>
      </c>
      <c r="F22" s="5" t="s">
        <v>1106</v>
      </c>
      <c r="G22" s="5" t="n">
        <v>1.5</v>
      </c>
      <c r="H22" s="5" t="s">
        <v>1110</v>
      </c>
      <c r="I22" s="5" t="s">
        <v>1073</v>
      </c>
      <c r="J22" s="5" t="s">
        <v>32</v>
      </c>
      <c r="K22" s="5" t="n">
        <v>2012</v>
      </c>
      <c r="L22" s="5" t="n">
        <v>12</v>
      </c>
      <c r="M22" s="6" t="s">
        <v>41</v>
      </c>
      <c r="N22" s="8" t="s">
        <v>1</v>
      </c>
    </row>
    <row r="23" customFormat="false" ht="15" hidden="false" customHeight="false" outlineLevel="0" collapsed="false">
      <c r="A23" s="5" t="n">
        <f aca="false">IF(B23&lt;&gt;"", COUNTA($B$2:B23), "")</f>
        <v>22</v>
      </c>
      <c r="B23" s="7" t="s">
        <v>27</v>
      </c>
      <c r="C23" s="5" t="s">
        <v>28</v>
      </c>
      <c r="D23" s="5" t="n">
        <v>15362</v>
      </c>
      <c r="E23" s="8" t="n">
        <v>2010</v>
      </c>
      <c r="F23" s="5" t="s">
        <v>1106</v>
      </c>
      <c r="G23" s="5" t="n">
        <v>1</v>
      </c>
      <c r="H23" s="5" t="s">
        <v>1111</v>
      </c>
      <c r="I23" s="5" t="s">
        <v>1073</v>
      </c>
      <c r="J23" s="5" t="s">
        <v>32</v>
      </c>
      <c r="K23" s="5" t="n">
        <v>2012</v>
      </c>
      <c r="L23" s="5" t="n">
        <v>12</v>
      </c>
      <c r="M23" s="6" t="s">
        <v>41</v>
      </c>
      <c r="N23" s="8" t="s">
        <v>1</v>
      </c>
    </row>
    <row r="24" customFormat="false" ht="15" hidden="false" customHeight="false" outlineLevel="0" collapsed="false">
      <c r="A24" s="5" t="n">
        <f aca="false">IF(B24&lt;&gt;"", COUNTA($B$2:B24), "")</f>
        <v>23</v>
      </c>
      <c r="B24" s="7" t="s">
        <v>27</v>
      </c>
      <c r="C24" s="5" t="s">
        <v>1112</v>
      </c>
      <c r="D24" s="5" t="n">
        <v>15225</v>
      </c>
      <c r="E24" s="8" t="n">
        <v>2010</v>
      </c>
      <c r="F24" s="5" t="s">
        <v>1106</v>
      </c>
      <c r="G24" s="5" t="n">
        <v>1.5</v>
      </c>
      <c r="H24" s="5" t="s">
        <v>1113</v>
      </c>
      <c r="I24" s="5" t="s">
        <v>1073</v>
      </c>
      <c r="J24" s="5" t="s">
        <v>32</v>
      </c>
      <c r="K24" s="5" t="n">
        <v>2012</v>
      </c>
      <c r="L24" s="5" t="n">
        <v>12</v>
      </c>
      <c r="M24" s="6" t="s">
        <v>41</v>
      </c>
      <c r="N24" s="8" t="s">
        <v>1</v>
      </c>
    </row>
    <row r="25" customFormat="false" ht="15" hidden="false" customHeight="false" outlineLevel="0" collapsed="false">
      <c r="A25" s="5" t="n">
        <f aca="false">IF(B25&lt;&gt;"", COUNTA($B$2:B25), "")</f>
        <v>24</v>
      </c>
      <c r="B25" s="7" t="s">
        <v>27</v>
      </c>
      <c r="C25" s="5" t="s">
        <v>1112</v>
      </c>
      <c r="D25" s="5" t="n">
        <v>15413</v>
      </c>
      <c r="E25" s="8" t="n">
        <v>2010</v>
      </c>
      <c r="F25" s="5" t="s">
        <v>1106</v>
      </c>
      <c r="G25" s="5" t="n">
        <v>1.5</v>
      </c>
      <c r="H25" s="5" t="s">
        <v>1114</v>
      </c>
      <c r="I25" s="5" t="s">
        <v>1073</v>
      </c>
      <c r="J25" s="5" t="s">
        <v>32</v>
      </c>
      <c r="K25" s="5" t="n">
        <v>2012</v>
      </c>
      <c r="L25" s="5" t="n">
        <v>12</v>
      </c>
      <c r="M25" s="6" t="s">
        <v>41</v>
      </c>
      <c r="N25" s="8" t="s">
        <v>1</v>
      </c>
    </row>
    <row r="26" customFormat="false" ht="15" hidden="false" customHeight="false" outlineLevel="0" collapsed="false">
      <c r="A26" s="5" t="n">
        <f aca="false">IF(B26&lt;&gt;"", COUNTA($B$2:B26), "")</f>
        <v>25</v>
      </c>
      <c r="B26" s="7" t="s">
        <v>27</v>
      </c>
      <c r="C26" s="5" t="s">
        <v>1115</v>
      </c>
      <c r="D26" s="5" t="n">
        <v>1064845</v>
      </c>
      <c r="E26" s="8" t="n">
        <v>2010</v>
      </c>
      <c r="F26" s="5" t="s">
        <v>1106</v>
      </c>
      <c r="G26" s="5" t="n">
        <v>1.5</v>
      </c>
      <c r="H26" s="5" t="s">
        <v>1116</v>
      </c>
      <c r="I26" s="5" t="s">
        <v>1073</v>
      </c>
      <c r="J26" s="5" t="s">
        <v>32</v>
      </c>
      <c r="K26" s="5" t="n">
        <v>2012</v>
      </c>
      <c r="L26" s="5" t="n">
        <v>12</v>
      </c>
      <c r="M26" s="6" t="s">
        <v>41</v>
      </c>
      <c r="N26" s="8" t="s">
        <v>1</v>
      </c>
    </row>
    <row r="27" customFormat="false" ht="15" hidden="false" customHeight="false" outlineLevel="0" collapsed="false">
      <c r="A27" s="5" t="n">
        <f aca="false">IF(B27&lt;&gt;"", COUNTA($B$2:B27), "")</f>
        <v>26</v>
      </c>
      <c r="B27" s="7" t="s">
        <v>27</v>
      </c>
      <c r="C27" s="5" t="s">
        <v>28</v>
      </c>
      <c r="D27" s="5" t="n">
        <v>15389</v>
      </c>
      <c r="E27" s="8" t="n">
        <v>2010</v>
      </c>
      <c r="F27" s="5" t="s">
        <v>1106</v>
      </c>
      <c r="G27" s="5" t="n">
        <v>1.5</v>
      </c>
      <c r="H27" s="5" t="s">
        <v>1117</v>
      </c>
      <c r="I27" s="5" t="s">
        <v>1073</v>
      </c>
      <c r="J27" s="5" t="s">
        <v>32</v>
      </c>
      <c r="K27" s="5" t="n">
        <v>2012</v>
      </c>
      <c r="L27" s="5" t="n">
        <v>12</v>
      </c>
      <c r="M27" s="6" t="s">
        <v>41</v>
      </c>
      <c r="N27" s="8" t="s">
        <v>1</v>
      </c>
    </row>
    <row r="28" customFormat="false" ht="15" hidden="false" customHeight="false" outlineLevel="0" collapsed="false">
      <c r="A28" s="5" t="n">
        <f aca="false">IF(B28&lt;&gt;"", COUNTA($B$2:B28), "")</f>
        <v>27</v>
      </c>
      <c r="B28" s="7" t="s">
        <v>27</v>
      </c>
      <c r="C28" s="5" t="s">
        <v>28</v>
      </c>
      <c r="D28" s="5" t="n">
        <v>15546</v>
      </c>
      <c r="E28" s="8" t="n">
        <v>2010</v>
      </c>
      <c r="F28" s="5" t="s">
        <v>1106</v>
      </c>
      <c r="G28" s="5" t="n">
        <v>1.5</v>
      </c>
      <c r="H28" s="5" t="s">
        <v>1118</v>
      </c>
      <c r="I28" s="5" t="s">
        <v>1073</v>
      </c>
      <c r="J28" s="5" t="s">
        <v>32</v>
      </c>
      <c r="K28" s="5" t="n">
        <v>2012</v>
      </c>
      <c r="L28" s="5" t="n">
        <v>12</v>
      </c>
      <c r="M28" s="6" t="s">
        <v>41</v>
      </c>
      <c r="N28" s="8" t="s">
        <v>1</v>
      </c>
    </row>
    <row r="29" customFormat="false" ht="15" hidden="false" customHeight="false" outlineLevel="0" collapsed="false">
      <c r="A29" s="5" t="n">
        <f aca="false">IF(B29&lt;&gt;"", COUNTA($B$2:B29), "")</f>
        <v>28</v>
      </c>
      <c r="B29" s="7" t="s">
        <v>27</v>
      </c>
      <c r="C29" s="5" t="s">
        <v>28</v>
      </c>
      <c r="D29" s="5" t="n">
        <v>30392</v>
      </c>
      <c r="E29" s="8" t="n">
        <v>2010</v>
      </c>
      <c r="F29" s="5" t="s">
        <v>1106</v>
      </c>
      <c r="G29" s="5" t="n">
        <v>1.5</v>
      </c>
      <c r="H29" s="5" t="s">
        <v>1119</v>
      </c>
      <c r="I29" s="5" t="s">
        <v>1073</v>
      </c>
      <c r="J29" s="5" t="s">
        <v>32</v>
      </c>
      <c r="K29" s="5" t="n">
        <v>2012</v>
      </c>
      <c r="L29" s="5" t="n">
        <v>12</v>
      </c>
      <c r="M29" s="6" t="s">
        <v>41</v>
      </c>
      <c r="N29" s="8" t="s">
        <v>1</v>
      </c>
    </row>
    <row r="30" customFormat="false" ht="15" hidden="false" customHeight="false" outlineLevel="0" collapsed="false">
      <c r="A30" s="5" t="n">
        <f aca="false">IF(B30&lt;&gt;"", COUNTA($B$2:B30), "")</f>
        <v>29</v>
      </c>
      <c r="B30" s="7" t="s">
        <v>27</v>
      </c>
      <c r="C30" s="5" t="s">
        <v>28</v>
      </c>
      <c r="D30" s="5" t="n">
        <v>15383</v>
      </c>
      <c r="E30" s="8" t="n">
        <v>2010</v>
      </c>
      <c r="F30" s="5" t="s">
        <v>1106</v>
      </c>
      <c r="G30" s="5" t="n">
        <v>1.5</v>
      </c>
      <c r="H30" s="5" t="s">
        <v>1120</v>
      </c>
      <c r="I30" s="5" t="s">
        <v>1073</v>
      </c>
      <c r="J30" s="5" t="s">
        <v>32</v>
      </c>
      <c r="K30" s="5" t="n">
        <v>2012</v>
      </c>
      <c r="L30" s="5" t="n">
        <v>12</v>
      </c>
      <c r="M30" s="6" t="s">
        <v>41</v>
      </c>
      <c r="N30" s="8" t="s">
        <v>1</v>
      </c>
    </row>
    <row r="31" customFormat="false" ht="15" hidden="false" customHeight="false" outlineLevel="0" collapsed="false">
      <c r="A31" s="5" t="n">
        <f aca="false">IF(B31&lt;&gt;"", COUNTA($B$2:B31), "")</f>
        <v>30</v>
      </c>
      <c r="B31" s="7" t="s">
        <v>27</v>
      </c>
      <c r="C31" s="5" t="s">
        <v>28</v>
      </c>
      <c r="D31" s="5" t="n">
        <v>15514</v>
      </c>
      <c r="E31" s="8" t="n">
        <v>2010</v>
      </c>
      <c r="F31" s="5" t="s">
        <v>1106</v>
      </c>
      <c r="G31" s="5" t="n">
        <v>1.5</v>
      </c>
      <c r="H31" s="5" t="s">
        <v>1121</v>
      </c>
      <c r="I31" s="5" t="s">
        <v>1073</v>
      </c>
      <c r="J31" s="5" t="s">
        <v>32</v>
      </c>
      <c r="K31" s="5" t="n">
        <v>2012</v>
      </c>
      <c r="L31" s="5" t="n">
        <v>12</v>
      </c>
      <c r="M31" s="6" t="s">
        <v>41</v>
      </c>
      <c r="N31" s="8" t="s">
        <v>1</v>
      </c>
    </row>
    <row r="32" customFormat="false" ht="15" hidden="false" customHeight="false" outlineLevel="0" collapsed="false">
      <c r="A32" s="5" t="n">
        <f aca="false">IF(B32&lt;&gt;"", COUNTA($B$2:B32), "")</f>
        <v>31</v>
      </c>
      <c r="B32" s="7" t="s">
        <v>27</v>
      </c>
      <c r="C32" s="5" t="s">
        <v>28</v>
      </c>
      <c r="D32" s="5" t="n">
        <v>15399</v>
      </c>
      <c r="E32" s="8" t="n">
        <v>2010</v>
      </c>
      <c r="F32" s="5" t="s">
        <v>1106</v>
      </c>
      <c r="G32" s="5" t="n">
        <v>1</v>
      </c>
      <c r="H32" s="5" t="s">
        <v>1122</v>
      </c>
      <c r="I32" s="5" t="s">
        <v>1073</v>
      </c>
      <c r="J32" s="5" t="s">
        <v>32</v>
      </c>
      <c r="K32" s="5" t="n">
        <v>2012</v>
      </c>
      <c r="L32" s="5" t="n">
        <v>12</v>
      </c>
      <c r="M32" s="6" t="s">
        <v>41</v>
      </c>
      <c r="N32" s="8" t="s">
        <v>1</v>
      </c>
    </row>
    <row r="33" customFormat="false" ht="15" hidden="false" customHeight="false" outlineLevel="0" collapsed="false">
      <c r="A33" s="5" t="n">
        <f aca="false">IF(B33&lt;&gt;"", COUNTA($B$2:B33), "")</f>
        <v>32</v>
      </c>
      <c r="B33" s="7" t="s">
        <v>27</v>
      </c>
      <c r="C33" s="5" t="s">
        <v>28</v>
      </c>
      <c r="D33" s="5" t="n">
        <v>15327</v>
      </c>
      <c r="E33" s="8" t="n">
        <v>2010</v>
      </c>
      <c r="F33" s="5" t="s">
        <v>1106</v>
      </c>
      <c r="G33" s="5" t="n">
        <v>1.5</v>
      </c>
      <c r="H33" s="5" t="s">
        <v>1123</v>
      </c>
      <c r="I33" s="5" t="s">
        <v>1073</v>
      </c>
      <c r="J33" s="5" t="s">
        <v>32</v>
      </c>
      <c r="K33" s="5" t="n">
        <v>2012</v>
      </c>
      <c r="L33" s="5" t="n">
        <v>12</v>
      </c>
      <c r="M33" s="6" t="s">
        <v>41</v>
      </c>
      <c r="N33" s="8" t="s">
        <v>1</v>
      </c>
    </row>
    <row r="34" customFormat="false" ht="15" hidden="false" customHeight="false" outlineLevel="0" collapsed="false">
      <c r="A34" s="5" t="n">
        <f aca="false">IF(B34&lt;&gt;"", COUNTA($B$2:B34), "")</f>
        <v>33</v>
      </c>
      <c r="B34" s="7" t="s">
        <v>27</v>
      </c>
      <c r="C34" s="5" t="s">
        <v>28</v>
      </c>
      <c r="D34" s="5" t="n">
        <v>30396</v>
      </c>
      <c r="E34" s="8" t="n">
        <v>2010</v>
      </c>
      <c r="F34" s="5" t="s">
        <v>1106</v>
      </c>
      <c r="G34" s="5" t="n">
        <v>1.5</v>
      </c>
      <c r="H34" s="5" t="s">
        <v>1124</v>
      </c>
      <c r="I34" s="5" t="s">
        <v>1073</v>
      </c>
      <c r="J34" s="5" t="s">
        <v>32</v>
      </c>
      <c r="K34" s="5" t="n">
        <v>2012</v>
      </c>
      <c r="L34" s="5" t="n">
        <v>12</v>
      </c>
      <c r="M34" s="6" t="s">
        <v>41</v>
      </c>
      <c r="N34" s="8" t="s">
        <v>1</v>
      </c>
    </row>
    <row r="35" customFormat="false" ht="15" hidden="false" customHeight="false" outlineLevel="0" collapsed="false">
      <c r="A35" s="5" t="n">
        <f aca="false">IF(B35&lt;&gt;"", COUNTA($B$2:B35), "")</f>
        <v>34</v>
      </c>
      <c r="B35" s="7" t="s">
        <v>27</v>
      </c>
      <c r="C35" s="5" t="s">
        <v>28</v>
      </c>
      <c r="D35" s="5" t="n">
        <v>15508</v>
      </c>
      <c r="E35" s="8" t="n">
        <v>2010</v>
      </c>
      <c r="F35" s="5" t="s">
        <v>1106</v>
      </c>
      <c r="G35" s="5" t="n">
        <v>1</v>
      </c>
      <c r="H35" s="5" t="s">
        <v>1125</v>
      </c>
      <c r="I35" s="5" t="s">
        <v>1073</v>
      </c>
      <c r="J35" s="5" t="s">
        <v>32</v>
      </c>
      <c r="K35" s="5" t="n">
        <v>2012</v>
      </c>
      <c r="L35" s="5" t="n">
        <v>12</v>
      </c>
      <c r="M35" s="6" t="s">
        <v>41</v>
      </c>
      <c r="N35" s="8" t="s">
        <v>1</v>
      </c>
    </row>
    <row r="36" customFormat="false" ht="1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5" t="s">
        <v>28</v>
      </c>
      <c r="D36" s="5" t="n">
        <v>30390</v>
      </c>
      <c r="E36" s="8" t="n">
        <v>2010</v>
      </c>
      <c r="F36" s="5" t="s">
        <v>1106</v>
      </c>
      <c r="G36" s="5" t="n">
        <v>1.5</v>
      </c>
      <c r="H36" s="5" t="s">
        <v>1126</v>
      </c>
      <c r="I36" s="5" t="s">
        <v>1073</v>
      </c>
      <c r="J36" s="5" t="s">
        <v>32</v>
      </c>
      <c r="K36" s="5" t="n">
        <v>2012</v>
      </c>
      <c r="L36" s="5" t="n">
        <v>12</v>
      </c>
      <c r="M36" s="6" t="s">
        <v>41</v>
      </c>
      <c r="N36" s="8" t="s">
        <v>1</v>
      </c>
    </row>
    <row r="37" customFormat="false" ht="1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5" t="s">
        <v>28</v>
      </c>
      <c r="D37" s="5" t="n">
        <v>15397</v>
      </c>
      <c r="E37" s="8" t="n">
        <v>2010</v>
      </c>
      <c r="F37" s="5" t="s">
        <v>1106</v>
      </c>
      <c r="G37" s="5" t="n">
        <v>1</v>
      </c>
      <c r="H37" s="5" t="s">
        <v>1127</v>
      </c>
      <c r="I37" s="5" t="s">
        <v>1073</v>
      </c>
      <c r="J37" s="5" t="s">
        <v>32</v>
      </c>
      <c r="K37" s="5" t="n">
        <v>2012</v>
      </c>
      <c r="L37" s="5" t="n">
        <v>12</v>
      </c>
      <c r="M37" s="6" t="s">
        <v>41</v>
      </c>
      <c r="N37" s="8" t="s">
        <v>1</v>
      </c>
    </row>
    <row r="38" customFormat="false" ht="15" hidden="false" customHeight="false" outlineLevel="0" collapsed="false">
      <c r="A38" s="5" t="n">
        <f aca="false">IF(B38&lt;&gt;"", COUNTA($B$2:B38), "")</f>
        <v>37</v>
      </c>
      <c r="B38" s="7" t="s">
        <v>27</v>
      </c>
      <c r="C38" s="5" t="s">
        <v>28</v>
      </c>
      <c r="D38" s="5" t="n">
        <v>30395</v>
      </c>
      <c r="E38" s="8" t="n">
        <v>2010</v>
      </c>
      <c r="F38" s="5" t="s">
        <v>1106</v>
      </c>
      <c r="G38" s="5" t="n">
        <v>1.5</v>
      </c>
      <c r="H38" s="5" t="s">
        <v>1128</v>
      </c>
      <c r="I38" s="5" t="s">
        <v>1073</v>
      </c>
      <c r="J38" s="5" t="s">
        <v>32</v>
      </c>
      <c r="K38" s="5" t="n">
        <v>2012</v>
      </c>
      <c r="L38" s="5" t="n">
        <v>12</v>
      </c>
      <c r="M38" s="6" t="s">
        <v>41</v>
      </c>
      <c r="N38" s="8" t="s">
        <v>1</v>
      </c>
    </row>
    <row r="39" customFormat="false" ht="15" hidden="false" customHeight="false" outlineLevel="0" collapsed="false">
      <c r="A39" s="5" t="n">
        <f aca="false">IF(B39&lt;&gt;"", COUNTA($B$2:B39), "")</f>
        <v>38</v>
      </c>
      <c r="B39" s="7" t="s">
        <v>27</v>
      </c>
      <c r="C39" s="5" t="s">
        <v>28</v>
      </c>
      <c r="D39" s="5" t="n">
        <v>15503</v>
      </c>
      <c r="E39" s="8" t="n">
        <v>2010</v>
      </c>
      <c r="F39" s="5" t="s">
        <v>1106</v>
      </c>
      <c r="G39" s="5" t="n">
        <v>1.5</v>
      </c>
      <c r="H39" s="5" t="s">
        <v>1129</v>
      </c>
      <c r="I39" s="5" t="s">
        <v>1073</v>
      </c>
      <c r="J39" s="5" t="s">
        <v>32</v>
      </c>
      <c r="K39" s="5" t="n">
        <v>2012</v>
      </c>
      <c r="L39" s="5" t="n">
        <v>12</v>
      </c>
      <c r="M39" s="6" t="s">
        <v>41</v>
      </c>
      <c r="N39" s="8" t="s">
        <v>1</v>
      </c>
    </row>
    <row r="40" customFormat="false" ht="15" hidden="false" customHeight="false" outlineLevel="0" collapsed="false">
      <c r="A40" s="5" t="n">
        <f aca="false">IF(B40&lt;&gt;"", COUNTA($B$2:B40), "")</f>
        <v>39</v>
      </c>
      <c r="B40" s="7" t="s">
        <v>27</v>
      </c>
      <c r="C40" s="5" t="s">
        <v>28</v>
      </c>
      <c r="D40" s="5" t="n">
        <v>15335</v>
      </c>
      <c r="E40" s="8" t="n">
        <v>2010</v>
      </c>
      <c r="F40" s="5" t="s">
        <v>1106</v>
      </c>
      <c r="G40" s="5" t="n">
        <v>1.5</v>
      </c>
      <c r="H40" s="5" t="s">
        <v>1130</v>
      </c>
      <c r="I40" s="5" t="s">
        <v>1073</v>
      </c>
      <c r="J40" s="5" t="s">
        <v>32</v>
      </c>
      <c r="K40" s="5" t="n">
        <v>2012</v>
      </c>
      <c r="L40" s="5" t="n">
        <v>12</v>
      </c>
      <c r="M40" s="6" t="s">
        <v>41</v>
      </c>
      <c r="N40" s="8" t="s">
        <v>1</v>
      </c>
    </row>
    <row r="41" customFormat="false" ht="15" hidden="false" customHeight="false" outlineLevel="0" collapsed="false">
      <c r="A41" s="5" t="n">
        <f aca="false">IF(B41&lt;&gt;"", COUNTA($B$2:B41), "")</f>
        <v>40</v>
      </c>
      <c r="B41" s="7" t="s">
        <v>27</v>
      </c>
      <c r="C41" s="5" t="s">
        <v>28</v>
      </c>
      <c r="D41" s="5" t="n">
        <v>20174</v>
      </c>
      <c r="E41" s="8" t="n">
        <v>2010</v>
      </c>
      <c r="F41" s="5" t="s">
        <v>1106</v>
      </c>
      <c r="G41" s="5" t="n">
        <v>1.5</v>
      </c>
      <c r="H41" s="5" t="s">
        <v>1131</v>
      </c>
      <c r="I41" s="5" t="s">
        <v>1073</v>
      </c>
      <c r="J41" s="5" t="s">
        <v>32</v>
      </c>
      <c r="K41" s="5" t="n">
        <v>2012</v>
      </c>
      <c r="L41" s="5" t="n">
        <v>12</v>
      </c>
      <c r="M41" s="6" t="s">
        <v>41</v>
      </c>
      <c r="N41" s="8" t="s">
        <v>1</v>
      </c>
    </row>
    <row r="42" customFormat="false" ht="15" hidden="false" customHeight="false" outlineLevel="0" collapsed="false">
      <c r="A42" s="5" t="n">
        <f aca="false">IF(B42&lt;&gt;"", COUNTA($B$2:B42), "")</f>
        <v>41</v>
      </c>
      <c r="B42" s="7" t="s">
        <v>27</v>
      </c>
      <c r="C42" s="5" t="s">
        <v>28</v>
      </c>
      <c r="D42" s="5" t="n">
        <v>15381</v>
      </c>
      <c r="E42" s="8" t="n">
        <v>2010</v>
      </c>
      <c r="F42" s="5" t="s">
        <v>1106</v>
      </c>
      <c r="G42" s="5" t="n">
        <v>1</v>
      </c>
      <c r="H42" s="5" t="s">
        <v>1132</v>
      </c>
      <c r="I42" s="5" t="s">
        <v>1073</v>
      </c>
      <c r="J42" s="5" t="s">
        <v>32</v>
      </c>
      <c r="K42" s="5" t="n">
        <v>2012</v>
      </c>
      <c r="L42" s="5" t="n">
        <v>12</v>
      </c>
      <c r="M42" s="6" t="s">
        <v>41</v>
      </c>
      <c r="N42" s="8" t="s">
        <v>1</v>
      </c>
    </row>
    <row r="43" customFormat="false" ht="15" hidden="false" customHeight="false" outlineLevel="0" collapsed="false">
      <c r="A43" s="5" t="n">
        <f aca="false">IF(B43&lt;&gt;"", COUNTA($B$2:B43), "")</f>
        <v>42</v>
      </c>
      <c r="B43" s="7" t="s">
        <v>27</v>
      </c>
      <c r="C43" s="5" t="s">
        <v>28</v>
      </c>
      <c r="D43" s="5" t="n">
        <v>30398</v>
      </c>
      <c r="E43" s="8" t="n">
        <v>2010</v>
      </c>
      <c r="F43" s="5" t="s">
        <v>1106</v>
      </c>
      <c r="G43" s="5" t="n">
        <v>1.5</v>
      </c>
      <c r="H43" s="5" t="s">
        <v>1133</v>
      </c>
      <c r="I43" s="5" t="s">
        <v>1073</v>
      </c>
      <c r="J43" s="5" t="s">
        <v>32</v>
      </c>
      <c r="K43" s="5" t="n">
        <v>2012</v>
      </c>
      <c r="L43" s="5" t="n">
        <v>12</v>
      </c>
      <c r="M43" s="6" t="s">
        <v>41</v>
      </c>
      <c r="N43" s="8" t="s">
        <v>1</v>
      </c>
    </row>
    <row r="44" customFormat="false" ht="15" hidden="false" customHeight="false" outlineLevel="0" collapsed="false">
      <c r="A44" s="5" t="n">
        <f aca="false">IF(B44&lt;&gt;"", COUNTA($B$2:B44), "")</f>
        <v>43</v>
      </c>
      <c r="B44" s="7" t="s">
        <v>27</v>
      </c>
      <c r="C44" s="5" t="s">
        <v>28</v>
      </c>
      <c r="D44" s="5" t="n">
        <v>15515</v>
      </c>
      <c r="E44" s="8" t="n">
        <v>2010</v>
      </c>
      <c r="F44" s="5" t="s">
        <v>1106</v>
      </c>
      <c r="G44" s="5" t="n">
        <v>1.5</v>
      </c>
      <c r="H44" s="5" t="s">
        <v>1134</v>
      </c>
      <c r="I44" s="5" t="s">
        <v>1073</v>
      </c>
      <c r="J44" s="5" t="s">
        <v>32</v>
      </c>
      <c r="K44" s="5" t="n">
        <v>2012</v>
      </c>
      <c r="L44" s="5" t="n">
        <v>12</v>
      </c>
      <c r="M44" s="6" t="s">
        <v>41</v>
      </c>
      <c r="N44" s="8" t="s">
        <v>1</v>
      </c>
    </row>
    <row r="45" customFormat="false" ht="15" hidden="false" customHeight="false" outlineLevel="0" collapsed="false">
      <c r="A45" s="5" t="n">
        <f aca="false">IF(B45&lt;&gt;"", COUNTA($B$2:B45), "")</f>
        <v>44</v>
      </c>
      <c r="B45" s="7" t="s">
        <v>27</v>
      </c>
      <c r="C45" s="5" t="s">
        <v>28</v>
      </c>
      <c r="D45" s="5" t="n">
        <v>15236</v>
      </c>
      <c r="E45" s="8" t="n">
        <v>2010</v>
      </c>
      <c r="F45" s="5" t="s">
        <v>1106</v>
      </c>
      <c r="G45" s="5" t="n">
        <v>1.5</v>
      </c>
      <c r="H45" s="5" t="s">
        <v>1135</v>
      </c>
      <c r="I45" s="5" t="s">
        <v>1073</v>
      </c>
      <c r="J45" s="5" t="s">
        <v>32</v>
      </c>
      <c r="K45" s="5" t="n">
        <v>2012</v>
      </c>
      <c r="L45" s="5" t="n">
        <v>12</v>
      </c>
      <c r="M45" s="6" t="s">
        <v>41</v>
      </c>
      <c r="N45" s="8" t="s">
        <v>1</v>
      </c>
    </row>
    <row r="46" customFormat="false" ht="1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5" t="s">
        <v>28</v>
      </c>
      <c r="D46" s="5" t="n">
        <v>80839</v>
      </c>
      <c r="E46" s="8" t="n">
        <v>2010</v>
      </c>
      <c r="F46" s="5" t="s">
        <v>1106</v>
      </c>
      <c r="G46" s="5" t="n">
        <v>1.5</v>
      </c>
      <c r="H46" s="5" t="s">
        <v>1136</v>
      </c>
      <c r="I46" s="5" t="s">
        <v>1073</v>
      </c>
      <c r="J46" s="5" t="s">
        <v>32</v>
      </c>
      <c r="K46" s="5" t="n">
        <v>2012</v>
      </c>
      <c r="L46" s="5" t="n">
        <v>12</v>
      </c>
      <c r="M46" s="6" t="s">
        <v>41</v>
      </c>
      <c r="N46" s="8" t="s">
        <v>1</v>
      </c>
    </row>
    <row r="47" customFormat="false" ht="1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5" t="s">
        <v>28</v>
      </c>
      <c r="D47" s="5" t="n">
        <v>8065</v>
      </c>
      <c r="E47" s="8" t="n">
        <v>2010</v>
      </c>
      <c r="F47" s="5" t="s">
        <v>1106</v>
      </c>
      <c r="G47" s="5" t="n">
        <v>1</v>
      </c>
      <c r="H47" s="5" t="s">
        <v>1137</v>
      </c>
      <c r="I47" s="5" t="s">
        <v>1073</v>
      </c>
      <c r="J47" s="5" t="s">
        <v>32</v>
      </c>
      <c r="K47" s="5" t="n">
        <v>2012</v>
      </c>
      <c r="L47" s="5" t="n">
        <v>12</v>
      </c>
      <c r="M47" s="6" t="s">
        <v>41</v>
      </c>
      <c r="N47" s="8" t="s">
        <v>1</v>
      </c>
    </row>
    <row r="48" customFormat="false" ht="1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5" t="s">
        <v>28</v>
      </c>
      <c r="D48" s="5" t="n">
        <v>30394</v>
      </c>
      <c r="E48" s="8" t="n">
        <v>2010</v>
      </c>
      <c r="F48" s="5" t="s">
        <v>1106</v>
      </c>
      <c r="G48" s="5" t="n">
        <v>1.5</v>
      </c>
      <c r="H48" s="5" t="s">
        <v>1138</v>
      </c>
      <c r="I48" s="5" t="s">
        <v>1073</v>
      </c>
      <c r="J48" s="5" t="s">
        <v>32</v>
      </c>
      <c r="K48" s="5" t="n">
        <v>2012</v>
      </c>
      <c r="L48" s="5" t="n">
        <v>12</v>
      </c>
      <c r="M48" s="6" t="s">
        <v>41</v>
      </c>
      <c r="N48" s="8" t="s">
        <v>1</v>
      </c>
    </row>
    <row r="49" customFormat="false" ht="1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5" t="s">
        <v>28</v>
      </c>
      <c r="D49" s="5" t="n">
        <v>50336</v>
      </c>
      <c r="E49" s="8" t="n">
        <v>2010</v>
      </c>
      <c r="F49" s="5" t="s">
        <v>1106</v>
      </c>
      <c r="G49" s="5" t="n">
        <v>1.5</v>
      </c>
      <c r="H49" s="5" t="s">
        <v>1139</v>
      </c>
      <c r="I49" s="5" t="s">
        <v>1073</v>
      </c>
      <c r="J49" s="5" t="s">
        <v>32</v>
      </c>
      <c r="K49" s="5" t="n">
        <v>2012</v>
      </c>
      <c r="L49" s="5" t="n">
        <v>12</v>
      </c>
      <c r="M49" s="6" t="s">
        <v>41</v>
      </c>
      <c r="N49" s="8" t="s">
        <v>1</v>
      </c>
    </row>
    <row r="50" customFormat="false" ht="1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5" t="s">
        <v>28</v>
      </c>
      <c r="D50" s="5" t="n">
        <v>15531</v>
      </c>
      <c r="E50" s="8" t="n">
        <v>2010</v>
      </c>
      <c r="F50" s="5" t="s">
        <v>1106</v>
      </c>
      <c r="G50" s="5" t="n">
        <v>1</v>
      </c>
      <c r="H50" s="5" t="s">
        <v>1140</v>
      </c>
      <c r="I50" s="5" t="s">
        <v>1073</v>
      </c>
      <c r="J50" s="5" t="s">
        <v>32</v>
      </c>
      <c r="K50" s="5" t="n">
        <v>2012</v>
      </c>
      <c r="L50" s="5" t="n">
        <v>12</v>
      </c>
      <c r="M50" s="6" t="s">
        <v>41</v>
      </c>
      <c r="N50" s="8" t="s">
        <v>1</v>
      </c>
    </row>
    <row r="51" customFormat="false" ht="1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5" t="s">
        <v>28</v>
      </c>
      <c r="D51" s="5" t="n">
        <v>15373</v>
      </c>
      <c r="E51" s="8" t="n">
        <v>2010</v>
      </c>
      <c r="F51" s="5" t="s">
        <v>1106</v>
      </c>
      <c r="G51" s="5" t="n">
        <v>1</v>
      </c>
      <c r="H51" s="5" t="s">
        <v>1141</v>
      </c>
      <c r="I51" s="5" t="s">
        <v>1073</v>
      </c>
      <c r="J51" s="5" t="s">
        <v>32</v>
      </c>
      <c r="K51" s="5" t="n">
        <v>2012</v>
      </c>
      <c r="L51" s="5" t="n">
        <v>12</v>
      </c>
      <c r="M51" s="6" t="s">
        <v>41</v>
      </c>
      <c r="N51" s="8" t="s">
        <v>1</v>
      </c>
    </row>
    <row r="52" customFormat="false" ht="1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5" t="s">
        <v>28</v>
      </c>
      <c r="D52" s="5" t="n">
        <v>700023</v>
      </c>
      <c r="E52" s="8" t="n">
        <v>2010</v>
      </c>
      <c r="F52" s="12" t="s">
        <v>1142</v>
      </c>
      <c r="G52" s="5" t="n">
        <v>1</v>
      </c>
      <c r="H52" s="5" t="s">
        <v>1143</v>
      </c>
      <c r="I52" s="5" t="s">
        <v>1073</v>
      </c>
      <c r="J52" s="5" t="s">
        <v>32</v>
      </c>
      <c r="K52" s="5" t="n">
        <v>2012</v>
      </c>
      <c r="L52" s="5" t="n">
        <v>12</v>
      </c>
      <c r="M52" s="6" t="s">
        <v>41</v>
      </c>
      <c r="N52" s="8" t="s">
        <v>1</v>
      </c>
    </row>
    <row r="53" customFormat="false" ht="1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5" t="s">
        <v>28</v>
      </c>
      <c r="D53" s="5" t="n">
        <v>212032729</v>
      </c>
      <c r="E53" s="8" t="n">
        <v>2010</v>
      </c>
      <c r="F53" s="12" t="s">
        <v>1142</v>
      </c>
      <c r="G53" s="5" t="n">
        <v>1.5</v>
      </c>
      <c r="H53" s="5" t="s">
        <v>1144</v>
      </c>
      <c r="I53" s="5" t="s">
        <v>1073</v>
      </c>
      <c r="J53" s="5" t="s">
        <v>32</v>
      </c>
      <c r="K53" s="5" t="n">
        <v>2012</v>
      </c>
      <c r="L53" s="5" t="n">
        <v>12</v>
      </c>
      <c r="M53" s="6" t="s">
        <v>41</v>
      </c>
      <c r="N53" s="8" t="s">
        <v>1</v>
      </c>
    </row>
    <row r="54" customFormat="false" ht="15" hidden="false" customHeight="false" outlineLevel="0" collapsed="false">
      <c r="A54" s="5" t="n">
        <f aca="false">IF(B54&lt;&gt;"", COUNTA($B$2:B54), "")</f>
        <v>53</v>
      </c>
      <c r="B54" s="7" t="s">
        <v>27</v>
      </c>
      <c r="C54" s="5" t="s">
        <v>28</v>
      </c>
      <c r="D54" s="5" t="s">
        <v>1145</v>
      </c>
      <c r="E54" s="8" t="n">
        <v>2010</v>
      </c>
      <c r="F54" s="5" t="s">
        <v>1106</v>
      </c>
      <c r="G54" s="5" t="n">
        <v>1.5</v>
      </c>
      <c r="H54" s="5" t="s">
        <v>1146</v>
      </c>
      <c r="I54" s="5" t="s">
        <v>1073</v>
      </c>
      <c r="J54" s="5" t="s">
        <v>32</v>
      </c>
      <c r="K54" s="5" t="n">
        <v>2012</v>
      </c>
      <c r="L54" s="5" t="n">
        <v>12</v>
      </c>
      <c r="M54" s="6" t="s">
        <v>41</v>
      </c>
      <c r="N54" s="8" t="s">
        <v>1</v>
      </c>
    </row>
    <row r="55" customFormat="false" ht="15" hidden="false" customHeight="false" outlineLevel="0" collapsed="false">
      <c r="A55" s="5" t="n">
        <f aca="false">IF(B55&lt;&gt;"", COUNTA($B$2:B55), "")</f>
        <v>54</v>
      </c>
      <c r="B55" s="7" t="s">
        <v>27</v>
      </c>
      <c r="C55" s="5" t="s">
        <v>28</v>
      </c>
      <c r="D55" s="5" t="n">
        <v>30391</v>
      </c>
      <c r="E55" s="8" t="n">
        <v>2010</v>
      </c>
      <c r="F55" s="5" t="s">
        <v>1106</v>
      </c>
      <c r="G55" s="5" t="n">
        <v>1.5</v>
      </c>
      <c r="H55" s="5" t="s">
        <v>1147</v>
      </c>
      <c r="I55" s="5" t="s">
        <v>1073</v>
      </c>
      <c r="J55" s="5" t="s">
        <v>32</v>
      </c>
      <c r="K55" s="5" t="n">
        <v>2012</v>
      </c>
      <c r="L55" s="5" t="n">
        <v>12</v>
      </c>
      <c r="M55" s="6" t="s">
        <v>41</v>
      </c>
      <c r="N55" s="8" t="s">
        <v>1</v>
      </c>
    </row>
    <row r="56" customFormat="false" ht="15" hidden="false" customHeight="false" outlineLevel="0" collapsed="false">
      <c r="A56" s="5" t="n">
        <f aca="false">IF(B56&lt;&gt;"", COUNTA($B$2:B56), "")</f>
        <v>55</v>
      </c>
      <c r="B56" s="7" t="s">
        <v>27</v>
      </c>
      <c r="C56" s="5" t="s">
        <v>28</v>
      </c>
      <c r="D56" s="5" t="n">
        <v>30365</v>
      </c>
      <c r="E56" s="8" t="n">
        <v>2010</v>
      </c>
      <c r="F56" s="5" t="s">
        <v>1106</v>
      </c>
      <c r="G56" s="5" t="n">
        <v>1.5</v>
      </c>
      <c r="H56" s="5" t="s">
        <v>1148</v>
      </c>
      <c r="I56" s="5" t="s">
        <v>1073</v>
      </c>
      <c r="J56" s="5" t="s">
        <v>32</v>
      </c>
      <c r="K56" s="5" t="n">
        <v>2012</v>
      </c>
      <c r="L56" s="5" t="n">
        <v>12</v>
      </c>
      <c r="M56" s="6" t="s">
        <v>41</v>
      </c>
      <c r="N56" s="8" t="s">
        <v>1</v>
      </c>
    </row>
    <row r="57" customFormat="false" ht="15" hidden="false" customHeight="false" outlineLevel="0" collapsed="false">
      <c r="A57" s="5" t="n">
        <f aca="false">IF(B57&lt;&gt;"", COUNTA($B$2:B57), "")</f>
        <v>56</v>
      </c>
      <c r="B57" s="7" t="s">
        <v>27</v>
      </c>
      <c r="C57" s="5" t="s">
        <v>28</v>
      </c>
      <c r="D57" s="5" t="n">
        <v>15364</v>
      </c>
      <c r="E57" s="8" t="n">
        <v>2010</v>
      </c>
      <c r="F57" s="5" t="s">
        <v>1106</v>
      </c>
      <c r="G57" s="5" t="n">
        <v>1</v>
      </c>
      <c r="H57" s="5" t="s">
        <v>1149</v>
      </c>
      <c r="I57" s="5" t="s">
        <v>1073</v>
      </c>
      <c r="J57" s="5" t="s">
        <v>32</v>
      </c>
      <c r="K57" s="5" t="n">
        <v>2012</v>
      </c>
      <c r="L57" s="5" t="n">
        <v>12</v>
      </c>
      <c r="M57" s="6" t="s">
        <v>41</v>
      </c>
      <c r="N57" s="8" t="s">
        <v>1</v>
      </c>
    </row>
    <row r="58" customFormat="false" ht="15" hidden="false" customHeight="false" outlineLevel="0" collapsed="false">
      <c r="A58" s="5" t="n">
        <f aca="false">IF(B58&lt;&gt;"", COUNTA($B$2:B58), "")</f>
        <v>57</v>
      </c>
      <c r="B58" s="7" t="s">
        <v>27</v>
      </c>
      <c r="C58" s="5" t="s">
        <v>28</v>
      </c>
      <c r="D58" s="5" t="n">
        <v>15235</v>
      </c>
      <c r="E58" s="8" t="n">
        <v>2010</v>
      </c>
      <c r="F58" s="5" t="s">
        <v>1106</v>
      </c>
      <c r="G58" s="5" t="n">
        <v>1.5</v>
      </c>
      <c r="H58" s="5" t="s">
        <v>1150</v>
      </c>
      <c r="I58" s="5" t="s">
        <v>1073</v>
      </c>
      <c r="J58" s="5" t="s">
        <v>32</v>
      </c>
      <c r="K58" s="5" t="n">
        <v>2012</v>
      </c>
      <c r="L58" s="5" t="n">
        <v>12</v>
      </c>
      <c r="M58" s="6" t="s">
        <v>41</v>
      </c>
      <c r="N58" s="8" t="s">
        <v>1</v>
      </c>
    </row>
    <row r="59" customFormat="false" ht="15" hidden="false" customHeight="false" outlineLevel="0" collapsed="false">
      <c r="A59" s="5" t="n">
        <f aca="false">IF(B59&lt;&gt;"", COUNTA($B$2:B59), "")</f>
        <v>58</v>
      </c>
      <c r="B59" s="7" t="s">
        <v>27</v>
      </c>
      <c r="C59" s="5" t="s">
        <v>28</v>
      </c>
      <c r="D59" s="5" t="n">
        <v>15484</v>
      </c>
      <c r="E59" s="8" t="n">
        <v>2010</v>
      </c>
      <c r="F59" s="5" t="s">
        <v>1106</v>
      </c>
      <c r="G59" s="5" t="n">
        <v>1</v>
      </c>
      <c r="H59" s="5" t="s">
        <v>1151</v>
      </c>
      <c r="I59" s="5" t="s">
        <v>1073</v>
      </c>
      <c r="J59" s="5" t="s">
        <v>32</v>
      </c>
      <c r="K59" s="5" t="n">
        <v>2012</v>
      </c>
      <c r="L59" s="5" t="n">
        <v>12</v>
      </c>
      <c r="M59" s="6" t="s">
        <v>41</v>
      </c>
      <c r="N59" s="8" t="s">
        <v>1</v>
      </c>
    </row>
    <row r="60" customFormat="false" ht="15" hidden="false" customHeight="false" outlineLevel="0" collapsed="false">
      <c r="A60" s="5" t="n">
        <f aca="false">IF(B60&lt;&gt;"", COUNTA($B$2:B60), "")</f>
        <v>59</v>
      </c>
      <c r="B60" s="7" t="s">
        <v>27</v>
      </c>
      <c r="C60" s="5" t="s">
        <v>28</v>
      </c>
      <c r="D60" s="5" t="n">
        <v>15199</v>
      </c>
      <c r="E60" s="8" t="n">
        <v>2010</v>
      </c>
      <c r="F60" s="5" t="s">
        <v>1106</v>
      </c>
      <c r="G60" s="5" t="n">
        <v>1.5</v>
      </c>
      <c r="H60" s="5" t="s">
        <v>1152</v>
      </c>
      <c r="I60" s="5" t="s">
        <v>1073</v>
      </c>
      <c r="J60" s="5" t="s">
        <v>32</v>
      </c>
      <c r="K60" s="5" t="n">
        <v>2012</v>
      </c>
      <c r="L60" s="5" t="n">
        <v>12</v>
      </c>
      <c r="M60" s="6" t="s">
        <v>41</v>
      </c>
      <c r="N60" s="8" t="s">
        <v>1</v>
      </c>
    </row>
    <row r="61" customFormat="false" ht="15" hidden="false" customHeight="false" outlineLevel="0" collapsed="false">
      <c r="A61" s="5" t="n">
        <f aca="false">IF(B61&lt;&gt;"", COUNTA($B$2:B61), "")</f>
        <v>60</v>
      </c>
      <c r="B61" s="7" t="s">
        <v>27</v>
      </c>
      <c r="C61" s="5" t="s">
        <v>28</v>
      </c>
      <c r="D61" s="5" t="n">
        <v>232015798</v>
      </c>
      <c r="E61" s="8" t="n">
        <v>2010</v>
      </c>
      <c r="F61" s="5" t="s">
        <v>1106</v>
      </c>
      <c r="G61" s="5" t="n">
        <v>1</v>
      </c>
      <c r="H61" s="5" t="s">
        <v>1153</v>
      </c>
      <c r="I61" s="5" t="s">
        <v>1073</v>
      </c>
      <c r="J61" s="5" t="s">
        <v>32</v>
      </c>
      <c r="K61" s="5" t="n">
        <v>2012</v>
      </c>
      <c r="L61" s="5" t="n">
        <v>12</v>
      </c>
      <c r="M61" s="6" t="s">
        <v>41</v>
      </c>
      <c r="N61" s="8" t="s">
        <v>1</v>
      </c>
    </row>
    <row r="62" customFormat="false" ht="15" hidden="false" customHeight="false" outlineLevel="0" collapsed="false">
      <c r="A62" s="5" t="n">
        <f aca="false">IF(B62&lt;&gt;"", COUNTA($B$2:B62), "")</f>
        <v>61</v>
      </c>
      <c r="B62" s="7" t="s">
        <v>27</v>
      </c>
      <c r="C62" s="5" t="s">
        <v>28</v>
      </c>
      <c r="D62" s="5" t="n">
        <v>80258</v>
      </c>
      <c r="E62" s="8" t="n">
        <v>2010</v>
      </c>
      <c r="F62" s="5" t="s">
        <v>1106</v>
      </c>
      <c r="G62" s="5" t="n">
        <v>1</v>
      </c>
      <c r="H62" s="5" t="s">
        <v>1154</v>
      </c>
      <c r="I62" s="5" t="s">
        <v>1073</v>
      </c>
      <c r="J62" s="5" t="s">
        <v>32</v>
      </c>
      <c r="K62" s="5" t="n">
        <v>2012</v>
      </c>
      <c r="L62" s="5" t="n">
        <v>12</v>
      </c>
      <c r="M62" s="6" t="s">
        <v>41</v>
      </c>
      <c r="N62" s="8" t="s">
        <v>1</v>
      </c>
    </row>
    <row r="63" customFormat="false" ht="15" hidden="false" customHeight="false" outlineLevel="0" collapsed="false">
      <c r="A63" s="5" t="n">
        <f aca="false">IF(B63&lt;&gt;"", COUNTA($B$2:B63), "")</f>
        <v>62</v>
      </c>
      <c r="B63" s="7" t="s">
        <v>27</v>
      </c>
      <c r="C63" s="5" t="s">
        <v>28</v>
      </c>
      <c r="D63" s="5" t="n">
        <v>80357</v>
      </c>
      <c r="E63" s="8" t="n">
        <v>2010</v>
      </c>
      <c r="F63" s="5" t="s">
        <v>1106</v>
      </c>
      <c r="G63" s="5" t="n">
        <v>1</v>
      </c>
      <c r="H63" s="5" t="s">
        <v>1155</v>
      </c>
      <c r="I63" s="5" t="s">
        <v>1073</v>
      </c>
      <c r="J63" s="5" t="s">
        <v>32</v>
      </c>
      <c r="K63" s="5" t="n">
        <v>2012</v>
      </c>
      <c r="L63" s="5" t="n">
        <v>12</v>
      </c>
      <c r="M63" s="6" t="s">
        <v>41</v>
      </c>
      <c r="N63" s="8" t="s">
        <v>1</v>
      </c>
    </row>
    <row r="64" customFormat="false" ht="15" hidden="false" customHeight="false" outlineLevel="0" collapsed="false">
      <c r="A64" s="5" t="n">
        <f aca="false">IF(B64&lt;&gt;"", COUNTA($B$2:B64), "")</f>
        <v>63</v>
      </c>
      <c r="B64" s="7" t="s">
        <v>27</v>
      </c>
      <c r="C64" s="12" t="s">
        <v>1156</v>
      </c>
      <c r="D64" s="12" t="n">
        <v>308915</v>
      </c>
      <c r="E64" s="8" t="n">
        <v>2010</v>
      </c>
      <c r="F64" s="12" t="s">
        <v>1142</v>
      </c>
      <c r="G64" s="12" t="n">
        <v>1</v>
      </c>
      <c r="H64" s="12" t="s">
        <v>1157</v>
      </c>
      <c r="I64" s="5" t="s">
        <v>1073</v>
      </c>
      <c r="J64" s="5" t="s">
        <v>32</v>
      </c>
      <c r="K64" s="5" t="n">
        <v>2012</v>
      </c>
      <c r="L64" s="5" t="n">
        <v>12</v>
      </c>
      <c r="M64" s="6" t="s">
        <v>41</v>
      </c>
      <c r="N64" s="8" t="s">
        <v>1</v>
      </c>
    </row>
    <row r="65" customFormat="false" ht="15" hidden="false" customHeight="false" outlineLevel="0" collapsed="false">
      <c r="A65" s="5" t="n">
        <f aca="false">IF(B65&lt;&gt;"", COUNTA($B$2:B65), "")</f>
        <v>64</v>
      </c>
      <c r="B65" s="7" t="s">
        <v>27</v>
      </c>
      <c r="C65" s="5" t="s">
        <v>28</v>
      </c>
      <c r="D65" s="5" t="n">
        <v>15198</v>
      </c>
      <c r="E65" s="8" t="n">
        <v>2010</v>
      </c>
      <c r="F65" s="5" t="s">
        <v>1106</v>
      </c>
      <c r="G65" s="5" t="n">
        <v>1.5</v>
      </c>
      <c r="H65" s="5" t="s">
        <v>1158</v>
      </c>
      <c r="I65" s="5" t="s">
        <v>1073</v>
      </c>
      <c r="J65" s="5" t="s">
        <v>32</v>
      </c>
      <c r="K65" s="5" t="n">
        <v>2012</v>
      </c>
      <c r="L65" s="5" t="n">
        <v>12</v>
      </c>
      <c r="M65" s="6" t="s">
        <v>41</v>
      </c>
      <c r="N65" s="8" t="s">
        <v>1</v>
      </c>
    </row>
    <row r="66" customFormat="false" ht="15" hidden="false" customHeight="false" outlineLevel="0" collapsed="false">
      <c r="A66" s="5" t="n">
        <f aca="false">IF(B66&lt;&gt;"", COUNTA($B$2:B66), "")</f>
        <v>65</v>
      </c>
      <c r="B66" s="7" t="s">
        <v>27</v>
      </c>
      <c r="C66" s="5" t="s">
        <v>28</v>
      </c>
      <c r="D66" s="5" t="n">
        <v>15473</v>
      </c>
      <c r="E66" s="8" t="n">
        <v>2010</v>
      </c>
      <c r="F66" s="5" t="s">
        <v>1106</v>
      </c>
      <c r="G66" s="5" t="n">
        <v>1.5</v>
      </c>
      <c r="H66" s="5" t="s">
        <v>1159</v>
      </c>
      <c r="I66" s="5" t="s">
        <v>1073</v>
      </c>
      <c r="J66" s="5" t="s">
        <v>32</v>
      </c>
      <c r="K66" s="5" t="n">
        <v>2012</v>
      </c>
      <c r="L66" s="5" t="n">
        <v>12</v>
      </c>
      <c r="M66" s="6" t="s">
        <v>41</v>
      </c>
      <c r="N66" s="8" t="s">
        <v>1</v>
      </c>
    </row>
    <row r="67" customFormat="false" ht="15" hidden="false" customHeight="false" outlineLevel="0" collapsed="false">
      <c r="A67" s="5" t="n">
        <f aca="false">IF(B67&lt;&gt;"", COUNTA($B$2:B67), "")</f>
        <v>66</v>
      </c>
      <c r="B67" s="7" t="s">
        <v>27</v>
      </c>
      <c r="C67" s="5" t="s">
        <v>28</v>
      </c>
      <c r="D67" s="5" t="s">
        <v>1160</v>
      </c>
      <c r="E67" s="8" t="n">
        <v>2010</v>
      </c>
      <c r="F67" s="5" t="s">
        <v>1106</v>
      </c>
      <c r="G67" s="5" t="n">
        <v>1.5</v>
      </c>
      <c r="H67" s="5" t="s">
        <v>1161</v>
      </c>
      <c r="I67" s="5" t="s">
        <v>1073</v>
      </c>
      <c r="J67" s="5" t="s">
        <v>32</v>
      </c>
      <c r="K67" s="5" t="n">
        <v>2012</v>
      </c>
      <c r="L67" s="5" t="n">
        <v>12</v>
      </c>
      <c r="M67" s="6" t="s">
        <v>41</v>
      </c>
      <c r="N67" s="8" t="s">
        <v>1</v>
      </c>
    </row>
    <row r="68" customFormat="false" ht="22.5" hidden="false" customHeight="false" outlineLevel="0" collapsed="false">
      <c r="A68" s="5" t="n">
        <f aca="false">IF(B68&lt;&gt;"", COUNTA($B$2:B68), "")</f>
        <v>67</v>
      </c>
      <c r="B68" s="7" t="s">
        <v>27</v>
      </c>
      <c r="C68" s="5" t="s">
        <v>1112</v>
      </c>
      <c r="D68" s="5" t="n">
        <v>15401</v>
      </c>
      <c r="E68" s="8" t="n">
        <v>2010</v>
      </c>
      <c r="F68" s="5" t="s">
        <v>1162</v>
      </c>
      <c r="G68" s="5" t="n">
        <v>1.5</v>
      </c>
      <c r="H68" s="5" t="s">
        <v>1163</v>
      </c>
      <c r="I68" s="5" t="s">
        <v>1073</v>
      </c>
      <c r="J68" s="5" t="s">
        <v>32</v>
      </c>
      <c r="K68" s="5" t="n">
        <v>2012</v>
      </c>
      <c r="L68" s="5" t="n">
        <v>12</v>
      </c>
      <c r="M68" s="6" t="s">
        <v>41</v>
      </c>
      <c r="N68" s="8" t="s">
        <v>1</v>
      </c>
    </row>
    <row r="69" customFormat="false" ht="15" hidden="false" customHeight="false" outlineLevel="0" collapsed="false">
      <c r="A69" s="5" t="n">
        <f aca="false">IF(B69&lt;&gt;"", COUNTA($B$2:B69), "")</f>
        <v>68</v>
      </c>
      <c r="B69" s="7" t="s">
        <v>27</v>
      </c>
      <c r="C69" s="5" t="s">
        <v>1115</v>
      </c>
      <c r="D69" s="5" t="n">
        <v>2296</v>
      </c>
      <c r="E69" s="8" t="n">
        <v>2010</v>
      </c>
      <c r="F69" s="5" t="s">
        <v>1162</v>
      </c>
      <c r="G69" s="5" t="n">
        <v>1</v>
      </c>
      <c r="H69" s="5" t="s">
        <v>1164</v>
      </c>
      <c r="I69" s="5" t="s">
        <v>1073</v>
      </c>
      <c r="J69" s="5" t="s">
        <v>32</v>
      </c>
      <c r="K69" s="5" t="n">
        <v>2012</v>
      </c>
      <c r="L69" s="5" t="n">
        <v>12</v>
      </c>
      <c r="M69" s="6" t="s">
        <v>41</v>
      </c>
      <c r="N69" s="8" t="s">
        <v>1</v>
      </c>
    </row>
    <row r="70" customFormat="false" ht="15" hidden="false" customHeight="false" outlineLevel="0" collapsed="false">
      <c r="A70" s="5" t="n">
        <f aca="false">IF(B70&lt;&gt;"", COUNTA($B$2:B70), "")</f>
        <v>69</v>
      </c>
      <c r="B70" s="7" t="s">
        <v>27</v>
      </c>
      <c r="C70" s="5" t="s">
        <v>28</v>
      </c>
      <c r="D70" s="8" t="n">
        <v>15196</v>
      </c>
      <c r="E70" s="8" t="n">
        <v>2010</v>
      </c>
      <c r="F70" s="5" t="s">
        <v>1106</v>
      </c>
      <c r="G70" s="5" t="n">
        <v>1.5</v>
      </c>
      <c r="H70" s="5" t="s">
        <v>1165</v>
      </c>
      <c r="I70" s="5" t="s">
        <v>1073</v>
      </c>
      <c r="J70" s="5" t="s">
        <v>32</v>
      </c>
      <c r="K70" s="5" t="n">
        <v>2012</v>
      </c>
      <c r="L70" s="5" t="n">
        <v>12</v>
      </c>
      <c r="M70" s="6" t="s">
        <v>37</v>
      </c>
      <c r="N70" s="8" t="s">
        <v>38</v>
      </c>
    </row>
    <row r="71" customFormat="false" ht="15" hidden="false" customHeight="false" outlineLevel="0" collapsed="false">
      <c r="A71" s="5" t="n">
        <f aca="false">IF(B71&lt;&gt;"", COUNTA($B$2:B71), "")</f>
        <v>70</v>
      </c>
      <c r="B71" s="7" t="s">
        <v>27</v>
      </c>
      <c r="C71" s="5" t="s">
        <v>28</v>
      </c>
      <c r="D71" s="8" t="n">
        <v>15181</v>
      </c>
      <c r="E71" s="8" t="n">
        <v>2006</v>
      </c>
      <c r="F71" s="5" t="s">
        <v>1106</v>
      </c>
      <c r="G71" s="5" t="n">
        <v>1.5</v>
      </c>
      <c r="H71" s="5" t="s">
        <v>1166</v>
      </c>
      <c r="I71" s="5" t="s">
        <v>1073</v>
      </c>
      <c r="J71" s="5" t="s">
        <v>32</v>
      </c>
      <c r="K71" s="5" t="n">
        <v>2012</v>
      </c>
      <c r="L71" s="5" t="n">
        <v>12</v>
      </c>
      <c r="M71" s="6" t="s">
        <v>37</v>
      </c>
      <c r="N71" s="8" t="s">
        <v>38</v>
      </c>
    </row>
  </sheetData>
  <conditionalFormatting sqref="M1:M1048576">
    <cfRule type="expression" priority="2" aboveAverage="0" equalAverage="0" bottom="0" percent="0" rank="0" text="" dxfId="6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590277777777778" right="0.196527777777778" top="0.196527777777778" bottom="0.747916666666667" header="0.511805555555555" footer="0.51180555555555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3" activePane="bottomLeft" state="frozen"/>
      <selection pane="topLeft" activeCell="A1" activeCellId="0" sqref="A1"/>
      <selection pane="bottomLeft" activeCell="M26" activeCellId="0" sqref="M26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22.57"/>
    <col collapsed="false" customWidth="true" hidden="false" outlineLevel="0" max="3" min="3" style="4" width="20.14"/>
    <col collapsed="false" customWidth="true" hidden="false" outlineLevel="0" max="4" min="4" style="4" width="15.29"/>
    <col collapsed="false" customWidth="true" hidden="false" outlineLevel="0" max="5" min="5" style="4" width="6.57"/>
    <col collapsed="false" customWidth="true" hidden="false" outlineLevel="0" max="6" min="6" style="4" width="8.86"/>
    <col collapsed="false" customWidth="true" hidden="false" outlineLevel="0" max="7" min="7" style="4" width="7.42"/>
    <col collapsed="false" customWidth="true" hidden="false" outlineLevel="0" max="8" min="8" style="4" width="20.29"/>
    <col collapsed="false" customWidth="true" hidden="false" outlineLevel="0" max="9" min="9" style="4" width="8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1167</v>
      </c>
      <c r="E1" s="6" t="s">
        <v>858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22.5" hidden="false" customHeight="false" outlineLevel="0" collapsed="false">
      <c r="A2" s="5" t="n">
        <f aca="false">IF(B2&lt;&gt;"", COUNTA($B$2:B2), "")</f>
        <v>1</v>
      </c>
      <c r="B2" s="6" t="s">
        <v>64</v>
      </c>
      <c r="C2" s="5" t="s">
        <v>1074</v>
      </c>
      <c r="D2" s="5" t="n">
        <v>376</v>
      </c>
      <c r="E2" s="17" t="n">
        <v>2011</v>
      </c>
      <c r="F2" s="19" t="s">
        <v>1022</v>
      </c>
      <c r="G2" s="31" t="n">
        <v>0.005</v>
      </c>
      <c r="H2" s="5" t="s">
        <v>1168</v>
      </c>
      <c r="I2" s="5" t="s">
        <v>1169</v>
      </c>
      <c r="J2" s="5" t="s">
        <v>32</v>
      </c>
      <c r="K2" s="5" t="n">
        <v>2013</v>
      </c>
      <c r="L2" s="12" t="n">
        <v>24</v>
      </c>
      <c r="M2" s="6"/>
      <c r="N2" s="8"/>
    </row>
    <row r="3" customFormat="false" ht="22.5" hidden="false" customHeight="false" outlineLevel="0" collapsed="false">
      <c r="A3" s="5" t="n">
        <f aca="false">IF(B3&lt;&gt;"", COUNTA($B$2:B3), "")</f>
        <v>2</v>
      </c>
      <c r="B3" s="6" t="s">
        <v>64</v>
      </c>
      <c r="C3" s="5" t="s">
        <v>1170</v>
      </c>
      <c r="D3" s="5" t="n">
        <v>74</v>
      </c>
      <c r="E3" s="17" t="n">
        <v>2011</v>
      </c>
      <c r="F3" s="19" t="s">
        <v>1171</v>
      </c>
      <c r="G3" s="31" t="n">
        <v>0.005</v>
      </c>
      <c r="H3" s="5" t="s">
        <v>1172</v>
      </c>
      <c r="I3" s="5" t="s">
        <v>1169</v>
      </c>
      <c r="J3" s="5" t="s">
        <v>32</v>
      </c>
      <c r="K3" s="5" t="n">
        <v>2012</v>
      </c>
      <c r="L3" s="12" t="n">
        <v>24</v>
      </c>
      <c r="M3" s="6"/>
      <c r="N3" s="8"/>
    </row>
    <row r="4" customFormat="false" ht="22.5" hidden="false" customHeight="false" outlineLevel="0" collapsed="false">
      <c r="A4" s="5" t="n">
        <f aca="false">IF(B4&lt;&gt;"", COUNTA($B$2:B4), "")</f>
        <v>3</v>
      </c>
      <c r="B4" s="6" t="s">
        <v>64</v>
      </c>
      <c r="C4" s="5" t="s">
        <v>1170</v>
      </c>
      <c r="D4" s="5" t="n">
        <v>87</v>
      </c>
      <c r="E4" s="17" t="n">
        <v>2011</v>
      </c>
      <c r="F4" s="19" t="s">
        <v>1171</v>
      </c>
      <c r="G4" s="31" t="n">
        <v>0.005</v>
      </c>
      <c r="H4" s="5" t="s">
        <v>1173</v>
      </c>
      <c r="I4" s="5" t="s">
        <v>1169</v>
      </c>
      <c r="J4" s="5" t="s">
        <v>32</v>
      </c>
      <c r="K4" s="5" t="n">
        <v>2012</v>
      </c>
      <c r="L4" s="12" t="n">
        <v>24</v>
      </c>
      <c r="M4" s="6"/>
      <c r="N4" s="8"/>
    </row>
    <row r="5" customFormat="false" ht="33.75" hidden="false" customHeight="false" outlineLevel="0" collapsed="false">
      <c r="A5" s="5" t="n">
        <f aca="false">IF(B5&lt;&gt;"", COUNTA($B$2:B5), "")</f>
        <v>4</v>
      </c>
      <c r="B5" s="6" t="s">
        <v>64</v>
      </c>
      <c r="C5" s="5" t="s">
        <v>1174</v>
      </c>
      <c r="D5" s="5" t="n">
        <v>2</v>
      </c>
      <c r="E5" s="17" t="n">
        <v>2011</v>
      </c>
      <c r="F5" s="19" t="s">
        <v>1175</v>
      </c>
      <c r="G5" s="31" t="n">
        <v>0.005</v>
      </c>
      <c r="H5" s="5" t="s">
        <v>1176</v>
      </c>
      <c r="I5" s="5" t="s">
        <v>1169</v>
      </c>
      <c r="J5" s="5" t="s">
        <v>32</v>
      </c>
      <c r="K5" s="5" t="n">
        <v>2012</v>
      </c>
      <c r="L5" s="12" t="n">
        <v>24</v>
      </c>
      <c r="M5" s="6"/>
      <c r="N5" s="8"/>
    </row>
    <row r="6" customFormat="false" ht="33.75" hidden="false" customHeight="false" outlineLevel="0" collapsed="false">
      <c r="A6" s="5" t="n">
        <f aca="false">IF(B6&lt;&gt;"", COUNTA($B$2:B6), "")</f>
        <v>5</v>
      </c>
      <c r="B6" s="6" t="s">
        <v>64</v>
      </c>
      <c r="C6" s="5" t="s">
        <v>1174</v>
      </c>
      <c r="D6" s="5" t="n">
        <v>1</v>
      </c>
      <c r="E6" s="17" t="n">
        <v>2011</v>
      </c>
      <c r="F6" s="19" t="s">
        <v>1175</v>
      </c>
      <c r="G6" s="31" t="n">
        <v>0.005</v>
      </c>
      <c r="H6" s="5" t="s">
        <v>1177</v>
      </c>
      <c r="I6" s="5" t="s">
        <v>1169</v>
      </c>
      <c r="J6" s="5" t="s">
        <v>32</v>
      </c>
      <c r="K6" s="5" t="n">
        <v>2012</v>
      </c>
      <c r="L6" s="12" t="n">
        <v>24</v>
      </c>
      <c r="M6" s="6"/>
      <c r="N6" s="8"/>
    </row>
    <row r="7" customFormat="false" ht="22.5" hidden="false" customHeight="false" outlineLevel="0" collapsed="false">
      <c r="A7" s="5" t="n">
        <f aca="false">IF(B7&lt;&gt;"", COUNTA($B$2:B7), "")</f>
        <v>6</v>
      </c>
      <c r="B7" s="18" t="s">
        <v>57</v>
      </c>
      <c r="C7" s="5" t="s">
        <v>58</v>
      </c>
      <c r="D7" s="5" t="s">
        <v>1178</v>
      </c>
      <c r="E7" s="17" t="n">
        <v>2011</v>
      </c>
      <c r="F7" s="12" t="s">
        <v>1179</v>
      </c>
      <c r="G7" s="12" t="n">
        <v>0.075</v>
      </c>
      <c r="H7" s="5" t="s">
        <v>1180</v>
      </c>
      <c r="I7" s="5" t="s">
        <v>1169</v>
      </c>
      <c r="J7" s="5" t="s">
        <v>32</v>
      </c>
      <c r="K7" s="5" t="n">
        <v>2012</v>
      </c>
      <c r="L7" s="12" t="n">
        <v>36</v>
      </c>
      <c r="M7" s="6"/>
      <c r="N7" s="8"/>
    </row>
    <row r="8" customFormat="false" ht="22.5" hidden="false" customHeight="false" outlineLevel="0" collapsed="false">
      <c r="A8" s="5" t="n">
        <f aca="false">IF(B8&lt;&gt;"", COUNTA($B$2:B8), "")</f>
        <v>7</v>
      </c>
      <c r="B8" s="18" t="s">
        <v>57</v>
      </c>
      <c r="C8" s="5" t="s">
        <v>58</v>
      </c>
      <c r="D8" s="5" t="s">
        <v>1181</v>
      </c>
      <c r="E8" s="17" t="n">
        <v>2011</v>
      </c>
      <c r="F8" s="12" t="s">
        <v>1179</v>
      </c>
      <c r="G8" s="12" t="n">
        <v>0.075</v>
      </c>
      <c r="H8" s="5" t="s">
        <v>1182</v>
      </c>
      <c r="I8" s="5" t="s">
        <v>1169</v>
      </c>
      <c r="J8" s="5" t="s">
        <v>32</v>
      </c>
      <c r="K8" s="5" t="n">
        <v>2012</v>
      </c>
      <c r="L8" s="12" t="n">
        <v>36</v>
      </c>
      <c r="M8" s="6"/>
      <c r="N8" s="8"/>
    </row>
    <row r="9" customFormat="false" ht="22.5" hidden="false" customHeight="false" outlineLevel="0" collapsed="false">
      <c r="A9" s="5" t="n">
        <f aca="false">IF(B9&lt;&gt;"", COUNTA($B$2:B9), "")</f>
        <v>8</v>
      </c>
      <c r="B9" s="18" t="s">
        <v>57</v>
      </c>
      <c r="C9" s="5" t="s">
        <v>273</v>
      </c>
      <c r="D9" s="5" t="s">
        <v>1183</v>
      </c>
      <c r="E9" s="17" t="n">
        <v>2011</v>
      </c>
      <c r="F9" s="12" t="s">
        <v>1184</v>
      </c>
      <c r="G9" s="12" t="n">
        <v>0.075</v>
      </c>
      <c r="H9" s="5" t="s">
        <v>1185</v>
      </c>
      <c r="I9" s="5" t="s">
        <v>1169</v>
      </c>
      <c r="J9" s="5" t="s">
        <v>32</v>
      </c>
      <c r="K9" s="5" t="n">
        <v>2012</v>
      </c>
      <c r="L9" s="12" t="n">
        <v>36</v>
      </c>
      <c r="M9" s="6"/>
      <c r="N9" s="8"/>
    </row>
    <row r="10" customFormat="false" ht="22.5" hidden="false" customHeight="false" outlineLevel="0" collapsed="false">
      <c r="A10" s="5" t="n">
        <f aca="false">IF(B10&lt;&gt;"", COUNTA($B$2:B10), "")</f>
        <v>9</v>
      </c>
      <c r="B10" s="18" t="s">
        <v>57</v>
      </c>
      <c r="C10" s="5" t="s">
        <v>285</v>
      </c>
      <c r="D10" s="5" t="s">
        <v>1186</v>
      </c>
      <c r="E10" s="17" t="n">
        <v>2011</v>
      </c>
      <c r="F10" s="12" t="s">
        <v>1187</v>
      </c>
      <c r="G10" s="12" t="n">
        <v>0.075</v>
      </c>
      <c r="H10" s="5" t="s">
        <v>1188</v>
      </c>
      <c r="I10" s="5" t="s">
        <v>1169</v>
      </c>
      <c r="J10" s="5" t="s">
        <v>32</v>
      </c>
      <c r="K10" s="5" t="n">
        <v>2012</v>
      </c>
      <c r="L10" s="12" t="n">
        <v>36</v>
      </c>
      <c r="M10" s="6"/>
      <c r="N10" s="8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18" t="s">
        <v>57</v>
      </c>
      <c r="C11" s="5" t="s">
        <v>285</v>
      </c>
      <c r="D11" s="5" t="s">
        <v>1189</v>
      </c>
      <c r="E11" s="17" t="n">
        <v>2011</v>
      </c>
      <c r="F11" s="12" t="s">
        <v>1187</v>
      </c>
      <c r="G11" s="12" t="n">
        <v>0.075</v>
      </c>
      <c r="H11" s="5" t="s">
        <v>1190</v>
      </c>
      <c r="I11" s="5" t="s">
        <v>1169</v>
      </c>
      <c r="J11" s="5" t="s">
        <v>32</v>
      </c>
      <c r="K11" s="5" t="n">
        <v>2012</v>
      </c>
      <c r="L11" s="12" t="n">
        <v>36</v>
      </c>
      <c r="M11" s="6"/>
      <c r="N11" s="8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12" t="s">
        <v>1191</v>
      </c>
      <c r="C12" s="5" t="s">
        <v>1192</v>
      </c>
      <c r="D12" s="5" t="s">
        <v>1193</v>
      </c>
      <c r="E12" s="17" t="n">
        <v>2011</v>
      </c>
      <c r="F12" s="12" t="s">
        <v>1194</v>
      </c>
      <c r="G12" s="31" t="s">
        <v>1195</v>
      </c>
      <c r="H12" s="5" t="s">
        <v>1196</v>
      </c>
      <c r="I12" s="5" t="s">
        <v>1169</v>
      </c>
      <c r="J12" s="5" t="s">
        <v>32</v>
      </c>
      <c r="K12" s="5" t="n">
        <v>2012</v>
      </c>
      <c r="L12" s="5" t="n">
        <v>12</v>
      </c>
      <c r="M12" s="6"/>
      <c r="N12" s="8"/>
    </row>
    <row r="13" customFormat="false" ht="33.75" hidden="false" customHeight="false" outlineLevel="0" collapsed="false">
      <c r="A13" s="5" t="n">
        <f aca="false">IF(B13&lt;&gt;"", COUNTA($B$2:B13), "")</f>
        <v>12</v>
      </c>
      <c r="B13" s="12" t="s">
        <v>1191</v>
      </c>
      <c r="C13" s="5" t="s">
        <v>1192</v>
      </c>
      <c r="D13" s="5" t="s">
        <v>1197</v>
      </c>
      <c r="E13" s="17" t="n">
        <v>2011</v>
      </c>
      <c r="F13" s="12" t="s">
        <v>1194</v>
      </c>
      <c r="G13" s="31" t="s">
        <v>1195</v>
      </c>
      <c r="H13" s="5" t="s">
        <v>1198</v>
      </c>
      <c r="I13" s="5" t="s">
        <v>1169</v>
      </c>
      <c r="J13" s="5" t="s">
        <v>32</v>
      </c>
      <c r="K13" s="5" t="n">
        <v>2012</v>
      </c>
      <c r="L13" s="5" t="n">
        <v>12</v>
      </c>
      <c r="M13" s="6"/>
      <c r="N13" s="8"/>
    </row>
    <row r="14" customFormat="false" ht="33.75" hidden="false" customHeight="false" outlineLevel="0" collapsed="false">
      <c r="A14" s="5" t="n">
        <f aca="false">IF(B14&lt;&gt;"", COUNTA($B$2:B14), "")</f>
        <v>13</v>
      </c>
      <c r="B14" s="6" t="s">
        <v>221</v>
      </c>
      <c r="C14" s="12" t="s">
        <v>1199</v>
      </c>
      <c r="D14" s="12" t="s">
        <v>1200</v>
      </c>
      <c r="E14" s="17" t="n">
        <v>2011</v>
      </c>
      <c r="F14" s="12" t="s">
        <v>1201</v>
      </c>
      <c r="G14" s="12" t="s">
        <v>385</v>
      </c>
      <c r="H14" s="5" t="s">
        <v>1202</v>
      </c>
      <c r="I14" s="5" t="s">
        <v>1169</v>
      </c>
      <c r="J14" s="5" t="s">
        <v>32</v>
      </c>
      <c r="K14" s="5" t="n">
        <v>2012</v>
      </c>
      <c r="L14" s="12" t="n">
        <v>48</v>
      </c>
      <c r="M14" s="6"/>
      <c r="N14" s="8"/>
    </row>
    <row r="15" customFormat="false" ht="33.75" hidden="false" customHeight="false" outlineLevel="0" collapsed="false">
      <c r="A15" s="5" t="n">
        <f aca="false">IF(B15&lt;&gt;"", COUNTA($B$2:B15), "")</f>
        <v>14</v>
      </c>
      <c r="B15" s="6" t="s">
        <v>221</v>
      </c>
      <c r="C15" s="12" t="s">
        <v>1199</v>
      </c>
      <c r="D15" s="12" t="s">
        <v>1203</v>
      </c>
      <c r="E15" s="17" t="n">
        <v>2011</v>
      </c>
      <c r="F15" s="12" t="s">
        <v>1201</v>
      </c>
      <c r="G15" s="12" t="s">
        <v>385</v>
      </c>
      <c r="H15" s="5" t="s">
        <v>1204</v>
      </c>
      <c r="I15" s="5" t="s">
        <v>1169</v>
      </c>
      <c r="J15" s="5" t="s">
        <v>32</v>
      </c>
      <c r="K15" s="5" t="n">
        <v>2012</v>
      </c>
      <c r="L15" s="12" t="n">
        <v>48</v>
      </c>
      <c r="M15" s="6"/>
      <c r="N15" s="8"/>
    </row>
    <row r="16" customFormat="false" ht="33.75" hidden="false" customHeight="false" outlineLevel="0" collapsed="false">
      <c r="A16" s="5" t="n">
        <f aca="false">IF(B16&lt;&gt;"", COUNTA($B$2:B16), "")</f>
        <v>15</v>
      </c>
      <c r="B16" s="6" t="s">
        <v>221</v>
      </c>
      <c r="C16" s="12" t="s">
        <v>1199</v>
      </c>
      <c r="D16" s="12" t="s">
        <v>1205</v>
      </c>
      <c r="E16" s="17" t="n">
        <v>2011</v>
      </c>
      <c r="F16" s="12" t="s">
        <v>1201</v>
      </c>
      <c r="G16" s="12" t="s">
        <v>385</v>
      </c>
      <c r="H16" s="5" t="s">
        <v>1206</v>
      </c>
      <c r="I16" s="5" t="s">
        <v>1169</v>
      </c>
      <c r="J16" s="5" t="s">
        <v>32</v>
      </c>
      <c r="K16" s="5" t="n">
        <v>2012</v>
      </c>
      <c r="L16" s="12" t="n">
        <v>48</v>
      </c>
      <c r="M16" s="6"/>
      <c r="N16" s="8"/>
    </row>
    <row r="17" customFormat="false" ht="22.5" hidden="false" customHeight="false" outlineLevel="0" collapsed="false">
      <c r="A17" s="5" t="n">
        <f aca="false">IF(B17&lt;&gt;"", COUNTA($B$2:B17), "")</f>
        <v>16</v>
      </c>
      <c r="B17" s="6" t="s">
        <v>64</v>
      </c>
      <c r="C17" s="5" t="s">
        <v>1207</v>
      </c>
      <c r="D17" s="5" t="n">
        <v>587</v>
      </c>
      <c r="E17" s="19" t="s">
        <v>902</v>
      </c>
      <c r="F17" s="19" t="s">
        <v>1208</v>
      </c>
      <c r="G17" s="31" t="n">
        <v>0.005</v>
      </c>
      <c r="H17" s="5" t="s">
        <v>1209</v>
      </c>
      <c r="I17" s="5" t="s">
        <v>1169</v>
      </c>
      <c r="J17" s="5" t="s">
        <v>32</v>
      </c>
      <c r="K17" s="5"/>
      <c r="L17" s="12"/>
      <c r="M17" s="6"/>
      <c r="N17" s="8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6" t="s">
        <v>64</v>
      </c>
      <c r="C18" s="5" t="s">
        <v>1170</v>
      </c>
      <c r="D18" s="5" t="n">
        <v>73</v>
      </c>
      <c r="E18" s="19" t="s">
        <v>200</v>
      </c>
      <c r="F18" s="19" t="s">
        <v>1210</v>
      </c>
      <c r="G18" s="31" t="n">
        <v>0.005</v>
      </c>
      <c r="H18" s="5" t="s">
        <v>1211</v>
      </c>
      <c r="I18" s="5" t="s">
        <v>1169</v>
      </c>
      <c r="J18" s="5" t="s">
        <v>32</v>
      </c>
      <c r="K18" s="5"/>
      <c r="L18" s="12"/>
      <c r="M18" s="6"/>
      <c r="N18" s="8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6" t="s">
        <v>64</v>
      </c>
      <c r="C19" s="5" t="s">
        <v>1207</v>
      </c>
      <c r="D19" s="5" t="n">
        <v>590</v>
      </c>
      <c r="E19" s="19" t="s">
        <v>902</v>
      </c>
      <c r="F19" s="19" t="s">
        <v>1208</v>
      </c>
      <c r="G19" s="31" t="n">
        <v>0.005</v>
      </c>
      <c r="H19" s="5" t="s">
        <v>1212</v>
      </c>
      <c r="I19" s="5" t="s">
        <v>1169</v>
      </c>
      <c r="J19" s="5" t="s">
        <v>32</v>
      </c>
      <c r="K19" s="5"/>
      <c r="L19" s="12"/>
      <c r="M19" s="6"/>
      <c r="N19" s="8"/>
    </row>
    <row r="20" customFormat="false" ht="33.75" hidden="false" customHeight="false" outlineLevel="0" collapsed="false">
      <c r="A20" s="5" t="n">
        <f aca="false">IF(B20&lt;&gt;"", COUNTA($B$2:B20), "")</f>
        <v>19</v>
      </c>
      <c r="B20" s="6" t="s">
        <v>64</v>
      </c>
      <c r="C20" s="5" t="s">
        <v>1170</v>
      </c>
      <c r="D20" s="5" t="n">
        <v>81</v>
      </c>
      <c r="E20" s="19" t="s">
        <v>200</v>
      </c>
      <c r="F20" s="19" t="s">
        <v>1213</v>
      </c>
      <c r="G20" s="31" t="n">
        <v>0.005</v>
      </c>
      <c r="H20" s="5" t="s">
        <v>1214</v>
      </c>
      <c r="I20" s="5" t="s">
        <v>1169</v>
      </c>
      <c r="J20" s="5" t="s">
        <v>32</v>
      </c>
      <c r="K20" s="5"/>
      <c r="L20" s="12"/>
      <c r="M20" s="6"/>
      <c r="N20" s="8"/>
    </row>
    <row r="21" customFormat="false" ht="22.5" hidden="false" customHeight="false" outlineLevel="0" collapsed="false">
      <c r="A21" s="5" t="n">
        <f aca="false">IF(B21&lt;&gt;"", COUNTA($B$2:B21), "")</f>
        <v>20</v>
      </c>
      <c r="B21" s="6" t="s">
        <v>64</v>
      </c>
      <c r="C21" s="5" t="s">
        <v>1170</v>
      </c>
      <c r="D21" s="5" t="n">
        <v>84</v>
      </c>
      <c r="E21" s="19" t="s">
        <v>200</v>
      </c>
      <c r="F21" s="19" t="s">
        <v>1213</v>
      </c>
      <c r="G21" s="31" t="n">
        <v>0.005</v>
      </c>
      <c r="H21" s="5" t="s">
        <v>1215</v>
      </c>
      <c r="I21" s="5" t="s">
        <v>1169</v>
      </c>
      <c r="J21" s="5" t="s">
        <v>32</v>
      </c>
      <c r="K21" s="5"/>
      <c r="L21" s="12"/>
      <c r="M21" s="6"/>
      <c r="N21" s="8"/>
    </row>
    <row r="22" customFormat="false" ht="22.5" hidden="false" customHeight="false" outlineLevel="0" collapsed="false">
      <c r="A22" s="5" t="n">
        <f aca="false">IF(B22&lt;&gt;"", COUNTA($B$2:B22), "")</f>
        <v>21</v>
      </c>
      <c r="B22" s="6" t="s">
        <v>64</v>
      </c>
      <c r="C22" s="5" t="s">
        <v>1170</v>
      </c>
      <c r="D22" s="5" t="n">
        <v>88</v>
      </c>
      <c r="E22" s="19" t="s">
        <v>200</v>
      </c>
      <c r="F22" s="19" t="s">
        <v>1210</v>
      </c>
      <c r="G22" s="31" t="n">
        <v>0.005</v>
      </c>
      <c r="H22" s="5" t="s">
        <v>1216</v>
      </c>
      <c r="I22" s="5" t="s">
        <v>1169</v>
      </c>
      <c r="J22" s="5" t="s">
        <v>32</v>
      </c>
      <c r="K22" s="5"/>
      <c r="L22" s="12"/>
      <c r="M22" s="6"/>
      <c r="N22" s="8"/>
    </row>
    <row r="23" customFormat="false" ht="22.5" hidden="false" customHeight="false" outlineLevel="0" collapsed="false">
      <c r="A23" s="5" t="n">
        <f aca="false">IF(B23&lt;&gt;"", COUNTA($B$2:B23), "")</f>
        <v>22</v>
      </c>
      <c r="B23" s="6" t="s">
        <v>64</v>
      </c>
      <c r="C23" s="5" t="s">
        <v>1170</v>
      </c>
      <c r="D23" s="5" t="n">
        <v>70</v>
      </c>
      <c r="E23" s="19" t="s">
        <v>200</v>
      </c>
      <c r="F23" s="19" t="s">
        <v>1213</v>
      </c>
      <c r="G23" s="31" t="n">
        <v>0.005</v>
      </c>
      <c r="H23" s="5" t="s">
        <v>1217</v>
      </c>
      <c r="I23" s="5" t="s">
        <v>1169</v>
      </c>
      <c r="J23" s="5" t="s">
        <v>32</v>
      </c>
      <c r="K23" s="5"/>
      <c r="L23" s="12"/>
      <c r="M23" s="6"/>
      <c r="N23" s="8"/>
    </row>
    <row r="24" customFormat="false" ht="15" hidden="false" customHeight="false" outlineLevel="0" collapsed="false">
      <c r="A24" s="5" t="n">
        <f aca="false">IF(B24&lt;&gt;"", COUNTA($B$2:B24), "")</f>
        <v>23</v>
      </c>
      <c r="B24" s="7" t="s">
        <v>1218</v>
      </c>
      <c r="C24" s="10" t="s">
        <v>1219</v>
      </c>
      <c r="D24" s="10" t="n">
        <v>111777</v>
      </c>
      <c r="E24" s="8" t="n">
        <v>2010</v>
      </c>
      <c r="F24" s="5" t="s">
        <v>1220</v>
      </c>
      <c r="G24" s="8" t="n">
        <v>1.5</v>
      </c>
      <c r="H24" s="12" t="s">
        <v>1221</v>
      </c>
      <c r="I24" s="5" t="s">
        <v>1169</v>
      </c>
      <c r="J24" s="5" t="s">
        <v>32</v>
      </c>
      <c r="K24" s="5" t="n">
        <v>2012</v>
      </c>
      <c r="L24" s="5" t="n">
        <v>12</v>
      </c>
      <c r="M24" s="6" t="s">
        <v>158</v>
      </c>
      <c r="N24" s="8" t="s">
        <v>1</v>
      </c>
    </row>
    <row r="25" customFormat="false" ht="22.5" hidden="false" customHeight="false" outlineLevel="0" collapsed="false">
      <c r="A25" s="5" t="n">
        <f aca="false">IF(B25&lt;&gt;"", COUNTA($B$2:B25), "")</f>
        <v>24</v>
      </c>
      <c r="B25" s="7" t="s">
        <v>27</v>
      </c>
      <c r="C25" s="5" t="s">
        <v>28</v>
      </c>
      <c r="D25" s="5" t="n">
        <v>15109</v>
      </c>
      <c r="E25" s="8" t="n">
        <v>2010</v>
      </c>
      <c r="F25" s="5" t="s">
        <v>1106</v>
      </c>
      <c r="G25" s="5" t="n">
        <v>1.5</v>
      </c>
      <c r="H25" s="5" t="s">
        <v>1222</v>
      </c>
      <c r="I25" s="80" t="s">
        <v>1169</v>
      </c>
      <c r="J25" s="5" t="s">
        <v>32</v>
      </c>
      <c r="K25" s="5" t="n">
        <v>2012</v>
      </c>
      <c r="L25" s="5" t="n">
        <v>12</v>
      </c>
      <c r="M25" s="6" t="s">
        <v>158</v>
      </c>
      <c r="N25" s="8" t="s">
        <v>1</v>
      </c>
    </row>
    <row r="26" customFormat="false" ht="22.5" hidden="false" customHeight="false" outlineLevel="0" collapsed="false">
      <c r="A26" s="5" t="n">
        <f aca="false">IF(B26&lt;&gt;"", COUNTA($B$2:B26), "")</f>
        <v>25</v>
      </c>
      <c r="B26" s="7" t="s">
        <v>27</v>
      </c>
      <c r="C26" s="12" t="s">
        <v>28</v>
      </c>
      <c r="D26" s="12" t="n">
        <v>15543</v>
      </c>
      <c r="E26" s="8" t="n">
        <v>2010</v>
      </c>
      <c r="F26" s="5" t="s">
        <v>1106</v>
      </c>
      <c r="G26" s="12" t="n">
        <v>1.5</v>
      </c>
      <c r="H26" s="12" t="s">
        <v>1223</v>
      </c>
      <c r="I26" s="80" t="s">
        <v>1169</v>
      </c>
      <c r="J26" s="5" t="s">
        <v>32</v>
      </c>
      <c r="K26" s="5" t="n">
        <v>2012</v>
      </c>
      <c r="L26" s="5" t="n">
        <v>12</v>
      </c>
      <c r="M26" s="13" t="s">
        <v>37</v>
      </c>
      <c r="N26" s="8" t="s">
        <v>38</v>
      </c>
    </row>
    <row r="27" customFormat="false" ht="22.5" hidden="false" customHeight="false" outlineLevel="0" collapsed="false">
      <c r="A27" s="5" t="n">
        <f aca="false">IF(B27&lt;&gt;"", COUNTA($B$2:B27), "")</f>
        <v>26</v>
      </c>
      <c r="B27" s="7" t="s">
        <v>27</v>
      </c>
      <c r="C27" s="12" t="s">
        <v>28</v>
      </c>
      <c r="D27" s="12" t="n">
        <v>15540</v>
      </c>
      <c r="E27" s="8" t="n">
        <v>2010</v>
      </c>
      <c r="F27" s="5" t="s">
        <v>1106</v>
      </c>
      <c r="G27" s="12" t="n">
        <v>1.5</v>
      </c>
      <c r="H27" s="12" t="s">
        <v>1224</v>
      </c>
      <c r="I27" s="80" t="s">
        <v>1169</v>
      </c>
      <c r="J27" s="5" t="s">
        <v>32</v>
      </c>
      <c r="K27" s="5" t="n">
        <v>2012</v>
      </c>
      <c r="L27" s="5" t="n">
        <v>12</v>
      </c>
      <c r="M27" s="13" t="s">
        <v>37</v>
      </c>
      <c r="N27" s="8" t="s">
        <v>38</v>
      </c>
    </row>
    <row r="28" customFormat="false" ht="15" hidden="false" customHeight="false" outlineLevel="0" collapsed="false">
      <c r="A28" s="5" t="n">
        <f aca="false">IF(B28&lt;&gt;"", COUNTA($B$2:B28), "")</f>
        <v>27</v>
      </c>
      <c r="B28" s="7" t="s">
        <v>27</v>
      </c>
      <c r="C28" s="12" t="s">
        <v>1000</v>
      </c>
      <c r="D28" s="12" t="n">
        <v>1322112</v>
      </c>
      <c r="E28" s="8" t="n">
        <v>2010</v>
      </c>
      <c r="F28" s="5" t="s">
        <v>1162</v>
      </c>
      <c r="G28" s="5" t="n">
        <v>1.5</v>
      </c>
      <c r="H28" s="5" t="s">
        <v>1225</v>
      </c>
      <c r="I28" s="80" t="s">
        <v>1169</v>
      </c>
      <c r="J28" s="5" t="s">
        <v>32</v>
      </c>
      <c r="K28" s="5" t="n">
        <v>2012</v>
      </c>
      <c r="L28" s="5" t="n">
        <v>12</v>
      </c>
      <c r="M28" s="6" t="s">
        <v>158</v>
      </c>
      <c r="N28" s="8" t="s">
        <v>1</v>
      </c>
    </row>
    <row r="29" customFormat="false" ht="15" hidden="false" customHeight="false" outlineLevel="0" collapsed="false">
      <c r="A29" s="5" t="n">
        <f aca="false">IF(B29&lt;&gt;"", COUNTA($B$2:B29), "")</f>
        <v>28</v>
      </c>
      <c r="B29" s="7" t="s">
        <v>27</v>
      </c>
      <c r="C29" s="74" t="s">
        <v>121</v>
      </c>
      <c r="D29" s="5" t="n">
        <v>50251</v>
      </c>
      <c r="E29" s="8" t="n">
        <v>2010</v>
      </c>
      <c r="F29" s="5" t="s">
        <v>1162</v>
      </c>
      <c r="G29" s="5" t="n">
        <v>1.5</v>
      </c>
      <c r="H29" s="5" t="s">
        <v>1226</v>
      </c>
      <c r="I29" s="80" t="s">
        <v>1169</v>
      </c>
      <c r="J29" s="5" t="s">
        <v>32</v>
      </c>
      <c r="K29" s="5" t="n">
        <v>2012</v>
      </c>
      <c r="L29" s="5" t="n">
        <v>12</v>
      </c>
      <c r="M29" s="6" t="s">
        <v>158</v>
      </c>
      <c r="N29" s="8" t="s">
        <v>1</v>
      </c>
    </row>
    <row r="30" customFormat="false" ht="22.5" hidden="false" customHeight="false" outlineLevel="0" collapsed="false">
      <c r="A30" s="5" t="n">
        <f aca="false">IF(B30&lt;&gt;"", COUNTA($B$2:B30), "")</f>
        <v>29</v>
      </c>
      <c r="B30" s="7" t="s">
        <v>27</v>
      </c>
      <c r="C30" s="5" t="s">
        <v>28</v>
      </c>
      <c r="D30" s="17" t="n">
        <v>15278</v>
      </c>
      <c r="E30" s="8" t="n">
        <v>2010</v>
      </c>
      <c r="F30" s="5" t="s">
        <v>1162</v>
      </c>
      <c r="G30" s="5" t="n">
        <v>1.5</v>
      </c>
      <c r="H30" s="5" t="s">
        <v>1227</v>
      </c>
      <c r="I30" s="80" t="s">
        <v>1169</v>
      </c>
      <c r="J30" s="5" t="s">
        <v>32</v>
      </c>
      <c r="K30" s="5" t="n">
        <v>2012</v>
      </c>
      <c r="L30" s="5" t="n">
        <v>12</v>
      </c>
      <c r="M30" s="6" t="s">
        <v>158</v>
      </c>
      <c r="N30" s="8" t="s">
        <v>1</v>
      </c>
    </row>
    <row r="31" customFormat="false" ht="15" hidden="false" customHeight="false" outlineLevel="0" collapsed="false">
      <c r="A31" s="5" t="n">
        <f aca="false">IF(B31&lt;&gt;"", COUNTA($B$2:B31), "")</f>
        <v>30</v>
      </c>
      <c r="B31" s="7" t="s">
        <v>27</v>
      </c>
      <c r="C31" s="5" t="s">
        <v>1115</v>
      </c>
      <c r="D31" s="5" t="n">
        <v>2293</v>
      </c>
      <c r="E31" s="8" t="n">
        <v>2010</v>
      </c>
      <c r="F31" s="5" t="s">
        <v>1162</v>
      </c>
      <c r="G31" s="5" t="n">
        <v>1.5</v>
      </c>
      <c r="H31" s="5" t="s">
        <v>1228</v>
      </c>
      <c r="I31" s="80" t="s">
        <v>1169</v>
      </c>
      <c r="J31" s="5" t="s">
        <v>32</v>
      </c>
      <c r="K31" s="5" t="n">
        <v>2012</v>
      </c>
      <c r="L31" s="5" t="n">
        <v>12</v>
      </c>
      <c r="M31" s="6" t="s">
        <v>158</v>
      </c>
      <c r="N31" s="8" t="s">
        <v>1</v>
      </c>
    </row>
    <row r="32" customFormat="false" ht="22.5" hidden="false" customHeight="false" outlineLevel="0" collapsed="false">
      <c r="A32" s="5" t="n">
        <f aca="false">IF(B32&lt;&gt;"", COUNTA($B$2:B32), "")</f>
        <v>31</v>
      </c>
      <c r="B32" s="7" t="s">
        <v>27</v>
      </c>
      <c r="C32" s="5" t="s">
        <v>28</v>
      </c>
      <c r="D32" s="5" t="n">
        <v>80341</v>
      </c>
      <c r="E32" s="8" t="n">
        <v>2010</v>
      </c>
      <c r="F32" s="5" t="s">
        <v>1106</v>
      </c>
      <c r="G32" s="5" t="n">
        <v>1</v>
      </c>
      <c r="H32" s="5" t="s">
        <v>1229</v>
      </c>
      <c r="I32" s="80" t="s">
        <v>1169</v>
      </c>
      <c r="J32" s="5" t="s">
        <v>32</v>
      </c>
      <c r="K32" s="5" t="n">
        <v>2012</v>
      </c>
      <c r="L32" s="5" t="n">
        <v>12</v>
      </c>
      <c r="M32" s="6" t="s">
        <v>158</v>
      </c>
      <c r="N32" s="8" t="s">
        <v>1</v>
      </c>
    </row>
    <row r="33" customFormat="false" ht="22.5" hidden="false" customHeight="false" outlineLevel="0" collapsed="false">
      <c r="A33" s="5" t="n">
        <f aca="false">IF(B33&lt;&gt;"", COUNTA($B$2:B33), "")</f>
        <v>32</v>
      </c>
      <c r="B33" s="7" t="s">
        <v>27</v>
      </c>
      <c r="C33" s="5" t="s">
        <v>28</v>
      </c>
      <c r="D33" s="5" t="n">
        <v>15312</v>
      </c>
      <c r="E33" s="8" t="n">
        <v>2010</v>
      </c>
      <c r="F33" s="5" t="s">
        <v>1106</v>
      </c>
      <c r="G33" s="5" t="n">
        <v>1.5</v>
      </c>
      <c r="H33" s="5" t="s">
        <v>1230</v>
      </c>
      <c r="I33" s="80" t="s">
        <v>1169</v>
      </c>
      <c r="J33" s="5" t="s">
        <v>32</v>
      </c>
      <c r="K33" s="5" t="n">
        <v>2012</v>
      </c>
      <c r="L33" s="5" t="n">
        <v>12</v>
      </c>
      <c r="M33" s="6" t="s">
        <v>158</v>
      </c>
      <c r="N33" s="8" t="s">
        <v>1</v>
      </c>
    </row>
    <row r="34" customFormat="false" ht="22.5" hidden="false" customHeight="false" outlineLevel="0" collapsed="false">
      <c r="A34" s="5" t="n">
        <f aca="false">IF(B34&lt;&gt;"", COUNTA($B$2:B34), "")</f>
        <v>33</v>
      </c>
      <c r="B34" s="7" t="s">
        <v>27</v>
      </c>
      <c r="C34" s="5" t="s">
        <v>28</v>
      </c>
      <c r="D34" s="5" t="n">
        <v>15542</v>
      </c>
      <c r="E34" s="8" t="n">
        <v>2010</v>
      </c>
      <c r="F34" s="5" t="s">
        <v>1106</v>
      </c>
      <c r="G34" s="5" t="n">
        <v>1.5</v>
      </c>
      <c r="H34" s="5" t="s">
        <v>1231</v>
      </c>
      <c r="I34" s="80" t="s">
        <v>1169</v>
      </c>
      <c r="J34" s="5" t="s">
        <v>32</v>
      </c>
      <c r="K34" s="5" t="n">
        <v>2012</v>
      </c>
      <c r="L34" s="5" t="n">
        <v>12</v>
      </c>
      <c r="M34" s="6" t="s">
        <v>158</v>
      </c>
      <c r="N34" s="8" t="s">
        <v>1</v>
      </c>
    </row>
    <row r="35" customFormat="false" ht="22.5" hidden="false" customHeight="false" outlineLevel="0" collapsed="false">
      <c r="A35" s="5" t="n">
        <f aca="false">IF(B35&lt;&gt;"", COUNTA($B$2:B35), "")</f>
        <v>34</v>
      </c>
      <c r="B35" s="7" t="s">
        <v>27</v>
      </c>
      <c r="C35" s="5" t="s">
        <v>28</v>
      </c>
      <c r="D35" s="5" t="n">
        <v>15406</v>
      </c>
      <c r="E35" s="8" t="n">
        <v>2010</v>
      </c>
      <c r="F35" s="5" t="s">
        <v>1106</v>
      </c>
      <c r="G35" s="5" t="n">
        <v>1.5</v>
      </c>
      <c r="H35" s="5" t="s">
        <v>1232</v>
      </c>
      <c r="I35" s="80" t="s">
        <v>1169</v>
      </c>
      <c r="J35" s="5" t="s">
        <v>32</v>
      </c>
      <c r="K35" s="5" t="n">
        <v>2012</v>
      </c>
      <c r="L35" s="5" t="n">
        <v>12</v>
      </c>
      <c r="M35" s="13" t="s">
        <v>37</v>
      </c>
      <c r="N35" s="8" t="s">
        <v>38</v>
      </c>
    </row>
    <row r="36" customFormat="false" ht="22.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5" t="s">
        <v>28</v>
      </c>
      <c r="D36" s="5" t="n">
        <v>15547</v>
      </c>
      <c r="E36" s="8" t="n">
        <v>2010</v>
      </c>
      <c r="F36" s="5" t="s">
        <v>1106</v>
      </c>
      <c r="G36" s="5" t="n">
        <v>1.5</v>
      </c>
      <c r="H36" s="5" t="s">
        <v>1233</v>
      </c>
      <c r="I36" s="80" t="s">
        <v>1169</v>
      </c>
      <c r="J36" s="5" t="s">
        <v>32</v>
      </c>
      <c r="K36" s="5" t="n">
        <v>2012</v>
      </c>
      <c r="L36" s="5" t="n">
        <v>12</v>
      </c>
      <c r="M36" s="13" t="s">
        <v>37</v>
      </c>
      <c r="N36" s="8" t="s">
        <v>38</v>
      </c>
    </row>
    <row r="37" customFormat="false" ht="22.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5" t="s">
        <v>28</v>
      </c>
      <c r="D37" s="5" t="n">
        <v>15244</v>
      </c>
      <c r="E37" s="8" t="n">
        <v>2010</v>
      </c>
      <c r="F37" s="5" t="s">
        <v>1106</v>
      </c>
      <c r="G37" s="5" t="n">
        <v>1</v>
      </c>
      <c r="H37" s="5" t="s">
        <v>1234</v>
      </c>
      <c r="I37" s="80" t="s">
        <v>1169</v>
      </c>
      <c r="J37" s="5" t="s">
        <v>32</v>
      </c>
      <c r="K37" s="5" t="n">
        <v>2012</v>
      </c>
      <c r="L37" s="5" t="n">
        <v>12</v>
      </c>
      <c r="M37" s="13" t="s">
        <v>37</v>
      </c>
      <c r="N37" s="8" t="s">
        <v>38</v>
      </c>
    </row>
    <row r="38" customFormat="false" ht="22.5" hidden="false" customHeight="false" outlineLevel="0" collapsed="false">
      <c r="A38" s="5" t="n">
        <f aca="false">IF(B38&lt;&gt;"", COUNTA($B$2:B38), "")</f>
        <v>37</v>
      </c>
      <c r="B38" s="7" t="s">
        <v>27</v>
      </c>
      <c r="C38" s="5" t="s">
        <v>28</v>
      </c>
      <c r="D38" s="5" t="n">
        <v>15177</v>
      </c>
      <c r="E38" s="8" t="n">
        <v>2010</v>
      </c>
      <c r="F38" s="5" t="s">
        <v>1106</v>
      </c>
      <c r="G38" s="5" t="n">
        <v>1.5</v>
      </c>
      <c r="H38" s="5" t="s">
        <v>1235</v>
      </c>
      <c r="I38" s="80" t="s">
        <v>1169</v>
      </c>
      <c r="J38" s="5" t="s">
        <v>32</v>
      </c>
      <c r="K38" s="5" t="n">
        <v>2012</v>
      </c>
      <c r="L38" s="5" t="n">
        <v>12</v>
      </c>
      <c r="M38" s="13" t="s">
        <v>37</v>
      </c>
      <c r="N38" s="8" t="s">
        <v>38</v>
      </c>
    </row>
    <row r="39" customFormat="false" ht="22.5" hidden="false" customHeight="false" outlineLevel="0" collapsed="false">
      <c r="A39" s="5" t="n">
        <f aca="false">IF(B39&lt;&gt;"", COUNTA($B$2:B39), "")</f>
        <v>38</v>
      </c>
      <c r="B39" s="7" t="s">
        <v>27</v>
      </c>
      <c r="C39" s="5" t="s">
        <v>28</v>
      </c>
      <c r="D39" s="8" t="n">
        <v>15337</v>
      </c>
      <c r="E39" s="8" t="n">
        <v>2010</v>
      </c>
      <c r="F39" s="5" t="s">
        <v>1106</v>
      </c>
      <c r="G39" s="5" t="n">
        <v>1.5</v>
      </c>
      <c r="H39" s="5" t="s">
        <v>1236</v>
      </c>
      <c r="I39" s="80" t="s">
        <v>1169</v>
      </c>
      <c r="J39" s="5" t="s">
        <v>32</v>
      </c>
      <c r="K39" s="5" t="n">
        <v>2012</v>
      </c>
      <c r="L39" s="5" t="n">
        <v>12</v>
      </c>
      <c r="M39" s="13" t="s">
        <v>37</v>
      </c>
      <c r="N39" s="8" t="s">
        <v>38</v>
      </c>
    </row>
    <row r="40" customFormat="false" ht="22.5" hidden="false" customHeight="false" outlineLevel="0" collapsed="false">
      <c r="A40" s="5" t="n">
        <f aca="false">IF(B40&lt;&gt;"", COUNTA($B$2:B40), "")</f>
        <v>39</v>
      </c>
      <c r="B40" s="7" t="s">
        <v>27</v>
      </c>
      <c r="C40" s="5" t="s">
        <v>28</v>
      </c>
      <c r="D40" s="8" t="n">
        <v>15405</v>
      </c>
      <c r="E40" s="8" t="n">
        <v>2010</v>
      </c>
      <c r="F40" s="5" t="s">
        <v>1106</v>
      </c>
      <c r="G40" s="5" t="n">
        <v>1</v>
      </c>
      <c r="H40" s="5" t="s">
        <v>1237</v>
      </c>
      <c r="I40" s="80" t="s">
        <v>1169</v>
      </c>
      <c r="J40" s="5" t="s">
        <v>32</v>
      </c>
      <c r="K40" s="5" t="n">
        <v>2012</v>
      </c>
      <c r="L40" s="5" t="n">
        <v>12</v>
      </c>
      <c r="M40" s="13" t="s">
        <v>37</v>
      </c>
      <c r="N40" s="8" t="s">
        <v>38</v>
      </c>
    </row>
    <row r="41" customFormat="false" ht="22.5" hidden="false" customHeight="false" outlineLevel="0" collapsed="false">
      <c r="A41" s="5" t="n">
        <f aca="false">IF(B41&lt;&gt;"", COUNTA($B$2:B41), "")</f>
        <v>40</v>
      </c>
      <c r="B41" s="7" t="s">
        <v>27</v>
      </c>
      <c r="C41" s="5" t="s">
        <v>28</v>
      </c>
      <c r="D41" s="8" t="n">
        <v>15172</v>
      </c>
      <c r="E41" s="8" t="n">
        <v>2010</v>
      </c>
      <c r="F41" s="5" t="s">
        <v>1106</v>
      </c>
      <c r="G41" s="5" t="n">
        <v>1.5</v>
      </c>
      <c r="H41" s="5" t="s">
        <v>1238</v>
      </c>
      <c r="I41" s="80" t="s">
        <v>1169</v>
      </c>
      <c r="J41" s="5" t="s">
        <v>32</v>
      </c>
      <c r="K41" s="5" t="n">
        <v>2012</v>
      </c>
      <c r="L41" s="5" t="n">
        <v>12</v>
      </c>
      <c r="M41" s="6" t="s">
        <v>158</v>
      </c>
      <c r="N41" s="8" t="s">
        <v>1</v>
      </c>
    </row>
    <row r="42" customFormat="false" ht="22.5" hidden="false" customHeight="false" outlineLevel="0" collapsed="false">
      <c r="A42" s="5" t="n">
        <f aca="false">IF(B42&lt;&gt;"", COUNTA($B$2:B42), "")</f>
        <v>41</v>
      </c>
      <c r="B42" s="7" t="s">
        <v>27</v>
      </c>
      <c r="C42" s="5" t="s">
        <v>28</v>
      </c>
      <c r="D42" s="8" t="n">
        <v>15372</v>
      </c>
      <c r="E42" s="8" t="n">
        <v>2010</v>
      </c>
      <c r="F42" s="5" t="s">
        <v>1106</v>
      </c>
      <c r="G42" s="5" t="n">
        <v>1.5</v>
      </c>
      <c r="H42" s="5" t="s">
        <v>1239</v>
      </c>
      <c r="I42" s="80" t="s">
        <v>1169</v>
      </c>
      <c r="J42" s="5" t="s">
        <v>32</v>
      </c>
      <c r="K42" s="5" t="n">
        <v>2012</v>
      </c>
      <c r="L42" s="5" t="n">
        <v>12</v>
      </c>
      <c r="M42" s="6" t="s">
        <v>158</v>
      </c>
      <c r="N42" s="8" t="s">
        <v>1</v>
      </c>
    </row>
    <row r="43" customFormat="false" ht="22.5" hidden="false" customHeight="false" outlineLevel="0" collapsed="false">
      <c r="A43" s="5" t="n">
        <f aca="false">IF(B43&lt;&gt;"", COUNTA($B$2:B43), "")</f>
        <v>42</v>
      </c>
      <c r="B43" s="7" t="s">
        <v>27</v>
      </c>
      <c r="C43" s="12" t="s">
        <v>28</v>
      </c>
      <c r="D43" s="12" t="n">
        <v>15536</v>
      </c>
      <c r="E43" s="8" t="n">
        <v>2010</v>
      </c>
      <c r="F43" s="5" t="s">
        <v>1106</v>
      </c>
      <c r="G43" s="12" t="n">
        <v>1.5</v>
      </c>
      <c r="H43" s="12" t="s">
        <v>1240</v>
      </c>
      <c r="I43" s="80" t="s">
        <v>1169</v>
      </c>
      <c r="J43" s="5" t="s">
        <v>32</v>
      </c>
      <c r="K43" s="5" t="n">
        <v>2012</v>
      </c>
      <c r="L43" s="5" t="n">
        <v>12</v>
      </c>
      <c r="M43" s="13" t="s">
        <v>37</v>
      </c>
      <c r="N43" s="8" t="s">
        <v>38</v>
      </c>
    </row>
    <row r="44" customFormat="false" ht="22.5" hidden="false" customHeight="false" outlineLevel="0" collapsed="false">
      <c r="A44" s="5" t="n">
        <f aca="false">IF(B44&lt;&gt;"", COUNTA($B$2:B44), "")</f>
        <v>43</v>
      </c>
      <c r="B44" s="7" t="s">
        <v>27</v>
      </c>
      <c r="C44" s="5" t="s">
        <v>28</v>
      </c>
      <c r="D44" s="5" t="n">
        <v>15402</v>
      </c>
      <c r="E44" s="8" t="n">
        <v>2010</v>
      </c>
      <c r="F44" s="5" t="s">
        <v>1106</v>
      </c>
      <c r="G44" s="12" t="n">
        <v>1</v>
      </c>
      <c r="H44" s="5" t="s">
        <v>1241</v>
      </c>
      <c r="I44" s="80" t="s">
        <v>1169</v>
      </c>
      <c r="J44" s="5" t="s">
        <v>32</v>
      </c>
      <c r="K44" s="5" t="n">
        <v>2012</v>
      </c>
      <c r="L44" s="5" t="n">
        <v>12</v>
      </c>
      <c r="M44" s="6" t="s">
        <v>158</v>
      </c>
      <c r="N44" s="8" t="s">
        <v>1</v>
      </c>
    </row>
    <row r="45" customFormat="false" ht="15" hidden="false" customHeight="false" outlineLevel="0" collapsed="false">
      <c r="A45" s="5" t="n">
        <f aca="false">IF(B45&lt;&gt;"", COUNTA($B$2:B45), "")</f>
        <v>44</v>
      </c>
      <c r="B45" s="12" t="s">
        <v>46</v>
      </c>
      <c r="C45" s="8" t="s">
        <v>1242</v>
      </c>
      <c r="D45" s="8" t="n">
        <v>6562</v>
      </c>
      <c r="E45" s="8" t="n">
        <v>2010</v>
      </c>
      <c r="F45" s="15" t="s">
        <v>1243</v>
      </c>
      <c r="G45" s="8" t="n">
        <v>1.5</v>
      </c>
      <c r="H45" s="5" t="s">
        <v>1244</v>
      </c>
      <c r="I45" s="80" t="s">
        <v>1169</v>
      </c>
      <c r="J45" s="5" t="s">
        <v>32</v>
      </c>
      <c r="K45" s="5" t="n">
        <v>2012</v>
      </c>
      <c r="L45" s="5" t="n">
        <v>24</v>
      </c>
      <c r="M45" s="6" t="s">
        <v>507</v>
      </c>
      <c r="N45" s="8" t="s">
        <v>1</v>
      </c>
    </row>
    <row r="46" customFormat="false" ht="22.5" hidden="false" customHeight="false" outlineLevel="0" collapsed="false">
      <c r="A46" s="5" t="n">
        <f aca="false">IF(B46&lt;&gt;"", COUNTA($B$2:B46), "")</f>
        <v>45</v>
      </c>
      <c r="B46" s="12" t="s">
        <v>46</v>
      </c>
      <c r="C46" s="8" t="s">
        <v>1245</v>
      </c>
      <c r="D46" s="8" t="n">
        <v>4001</v>
      </c>
      <c r="E46" s="8" t="n">
        <v>2010</v>
      </c>
      <c r="F46" s="15" t="s">
        <v>1246</v>
      </c>
      <c r="G46" s="8" t="n">
        <v>1.5</v>
      </c>
      <c r="H46" s="5" t="s">
        <v>1247</v>
      </c>
      <c r="I46" s="80" t="s">
        <v>1169</v>
      </c>
      <c r="J46" s="5" t="s">
        <v>32</v>
      </c>
      <c r="K46" s="5" t="n">
        <v>2012</v>
      </c>
      <c r="L46" s="5" t="n">
        <v>24</v>
      </c>
      <c r="M46" s="6" t="s">
        <v>507</v>
      </c>
      <c r="N46" s="8" t="s">
        <v>1</v>
      </c>
    </row>
    <row r="47" customFormat="false" ht="15" hidden="false" customHeight="false" outlineLevel="0" collapsed="false">
      <c r="A47" s="5" t="n">
        <f aca="false">IF(B47&lt;&gt;"", COUNTA($B$2:B47), "")</f>
        <v>46</v>
      </c>
      <c r="B47" s="12" t="s">
        <v>46</v>
      </c>
      <c r="C47" s="8" t="s">
        <v>1245</v>
      </c>
      <c r="D47" s="8" t="n">
        <v>3565</v>
      </c>
      <c r="E47" s="8" t="n">
        <v>2010</v>
      </c>
      <c r="F47" s="15" t="s">
        <v>1246</v>
      </c>
      <c r="G47" s="8" t="n">
        <v>1.5</v>
      </c>
      <c r="H47" s="5" t="s">
        <v>1248</v>
      </c>
      <c r="I47" s="80" t="s">
        <v>1169</v>
      </c>
      <c r="J47" s="5" t="s">
        <v>32</v>
      </c>
      <c r="K47" s="5" t="n">
        <v>2012</v>
      </c>
      <c r="L47" s="5" t="n">
        <v>24</v>
      </c>
      <c r="M47" s="6" t="s">
        <v>507</v>
      </c>
      <c r="N47" s="8" t="s">
        <v>1</v>
      </c>
    </row>
    <row r="48" customFormat="false" ht="15" hidden="false" customHeight="false" outlineLevel="0" collapsed="false">
      <c r="A48" s="5" t="n">
        <f aca="false">IF(B48&lt;&gt;"", COUNTA($B$2:B48), "")</f>
        <v>47</v>
      </c>
      <c r="B48" s="12" t="s">
        <v>46</v>
      </c>
      <c r="C48" s="8" t="s">
        <v>1245</v>
      </c>
      <c r="D48" s="8" t="n">
        <v>3575</v>
      </c>
      <c r="E48" s="8" t="n">
        <v>2010</v>
      </c>
      <c r="F48" s="15" t="s">
        <v>1246</v>
      </c>
      <c r="G48" s="8" t="n">
        <v>1</v>
      </c>
      <c r="H48" s="5" t="s">
        <v>1249</v>
      </c>
      <c r="I48" s="80" t="s">
        <v>1169</v>
      </c>
      <c r="J48" s="5" t="s">
        <v>32</v>
      </c>
      <c r="K48" s="5" t="n">
        <v>2012</v>
      </c>
      <c r="L48" s="5" t="n">
        <v>24</v>
      </c>
      <c r="M48" s="6" t="s">
        <v>507</v>
      </c>
      <c r="N48" s="8" t="s">
        <v>1</v>
      </c>
    </row>
    <row r="49" customFormat="false" ht="22.5" hidden="false" customHeight="false" outlineLevel="0" collapsed="false">
      <c r="A49" s="5" t="n">
        <f aca="false">IF(B49&lt;&gt;"", COUNTA($B$2:B49), "")</f>
        <v>48</v>
      </c>
      <c r="B49" s="12" t="s">
        <v>46</v>
      </c>
      <c r="C49" s="8" t="s">
        <v>1245</v>
      </c>
      <c r="D49" s="8" t="n">
        <v>3580</v>
      </c>
      <c r="E49" s="8" t="n">
        <v>2010</v>
      </c>
      <c r="F49" s="15" t="s">
        <v>1246</v>
      </c>
      <c r="G49" s="8" t="n">
        <v>1</v>
      </c>
      <c r="H49" s="5" t="s">
        <v>1250</v>
      </c>
      <c r="I49" s="80" t="s">
        <v>1169</v>
      </c>
      <c r="J49" s="5" t="s">
        <v>32</v>
      </c>
      <c r="K49" s="5" t="n">
        <v>2012</v>
      </c>
      <c r="L49" s="5" t="n">
        <v>24</v>
      </c>
      <c r="M49" s="6" t="s">
        <v>507</v>
      </c>
      <c r="N49" s="8" t="s">
        <v>1</v>
      </c>
    </row>
    <row r="50" customFormat="false" ht="22.5" hidden="false" customHeight="false" outlineLevel="0" collapsed="false">
      <c r="A50" s="5" t="n">
        <f aca="false">IF(B50&lt;&gt;"", COUNTA($B$2:B50), "")</f>
        <v>49</v>
      </c>
      <c r="B50" s="12" t="s">
        <v>46</v>
      </c>
      <c r="C50" s="8" t="s">
        <v>1245</v>
      </c>
      <c r="D50" s="8" t="n">
        <v>5281</v>
      </c>
      <c r="E50" s="8" t="n">
        <v>2010</v>
      </c>
      <c r="F50" s="15" t="s">
        <v>1251</v>
      </c>
      <c r="G50" s="8" t="n">
        <v>1</v>
      </c>
      <c r="H50" s="5" t="s">
        <v>1252</v>
      </c>
      <c r="I50" s="80" t="s">
        <v>1169</v>
      </c>
      <c r="J50" s="5" t="s">
        <v>32</v>
      </c>
      <c r="K50" s="5" t="n">
        <v>2012</v>
      </c>
      <c r="L50" s="5" t="n">
        <v>24</v>
      </c>
      <c r="M50" s="6" t="s">
        <v>507</v>
      </c>
      <c r="N50" s="8" t="s">
        <v>1</v>
      </c>
    </row>
    <row r="51" customFormat="false" ht="15" hidden="false" customHeight="false" outlineLevel="0" collapsed="false">
      <c r="A51" s="5" t="n">
        <f aca="false">IF(B51&lt;&gt;"", COUNTA($B$2:B51), "")</f>
        <v>50</v>
      </c>
      <c r="B51" s="7" t="s">
        <v>98</v>
      </c>
      <c r="C51" s="8" t="s">
        <v>1253</v>
      </c>
      <c r="D51" s="15" t="s">
        <v>1254</v>
      </c>
      <c r="E51" s="17" t="n">
        <v>2011</v>
      </c>
      <c r="F51" s="20"/>
      <c r="G51" s="20"/>
      <c r="H51" s="5" t="s">
        <v>1255</v>
      </c>
      <c r="I51" s="80" t="s">
        <v>1169</v>
      </c>
      <c r="J51" s="5" t="s">
        <v>32</v>
      </c>
      <c r="K51" s="5" t="n">
        <v>2012</v>
      </c>
      <c r="L51" s="20"/>
      <c r="M51" s="6"/>
      <c r="N51" s="20"/>
    </row>
    <row r="52" customFormat="false" ht="15" hidden="false" customHeight="false" outlineLevel="0" collapsed="false">
      <c r="A52" s="5" t="n">
        <f aca="false">IF(B52&lt;&gt;"", COUNTA($B$2:B52), "")</f>
        <v>51</v>
      </c>
      <c r="B52" s="7" t="s">
        <v>98</v>
      </c>
      <c r="C52" s="8" t="s">
        <v>1256</v>
      </c>
      <c r="D52" s="15" t="s">
        <v>1257</v>
      </c>
      <c r="E52" s="17" t="n">
        <v>2011</v>
      </c>
      <c r="F52" s="20"/>
      <c r="G52" s="20"/>
      <c r="H52" s="5" t="s">
        <v>1255</v>
      </c>
      <c r="I52" s="80" t="s">
        <v>1169</v>
      </c>
      <c r="J52" s="5" t="s">
        <v>32</v>
      </c>
      <c r="K52" s="5" t="n">
        <v>2012</v>
      </c>
      <c r="L52" s="20"/>
      <c r="M52" s="6"/>
      <c r="N52" s="20"/>
    </row>
    <row r="53" customFormat="false" ht="15" hidden="false" customHeight="false" outlineLevel="0" collapsed="false">
      <c r="A53" s="5" t="n">
        <f aca="false">IF(B53&lt;&gt;"", COUNTA($B$2:B53), "")</f>
        <v>52</v>
      </c>
      <c r="B53" s="7" t="s">
        <v>98</v>
      </c>
      <c r="C53" s="8" t="s">
        <v>1258</v>
      </c>
      <c r="D53" s="15" t="s">
        <v>1259</v>
      </c>
      <c r="E53" s="17" t="n">
        <v>2011</v>
      </c>
      <c r="F53" s="20"/>
      <c r="G53" s="20"/>
      <c r="H53" s="5" t="s">
        <v>1255</v>
      </c>
      <c r="I53" s="80" t="s">
        <v>1169</v>
      </c>
      <c r="J53" s="5" t="s">
        <v>32</v>
      </c>
      <c r="K53" s="5" t="n">
        <v>2012</v>
      </c>
      <c r="L53" s="20"/>
      <c r="M53" s="6"/>
      <c r="N53" s="20"/>
    </row>
    <row r="54" customFormat="false" ht="15" hidden="false" customHeight="false" outlineLevel="0" collapsed="false">
      <c r="A54" s="5" t="n">
        <f aca="false">IF(B54&lt;&gt;"", COUNTA($B$2:B54), "")</f>
        <v>53</v>
      </c>
      <c r="B54" s="7" t="s">
        <v>98</v>
      </c>
      <c r="C54" s="8" t="s">
        <v>1260</v>
      </c>
      <c r="D54" s="15" t="s">
        <v>1261</v>
      </c>
      <c r="E54" s="17" t="n">
        <v>2011</v>
      </c>
      <c r="F54" s="20"/>
      <c r="G54" s="20"/>
      <c r="H54" s="5" t="s">
        <v>1255</v>
      </c>
      <c r="I54" s="80" t="s">
        <v>1169</v>
      </c>
      <c r="J54" s="5" t="s">
        <v>32</v>
      </c>
      <c r="K54" s="5" t="n">
        <v>2012</v>
      </c>
      <c r="L54" s="20"/>
      <c r="M54" s="6"/>
      <c r="N54" s="20"/>
    </row>
    <row r="55" s="34" customFormat="true" ht="15" hidden="false" customHeight="false" outlineLevel="0" collapsed="false">
      <c r="A55" s="5" t="n">
        <f aca="false">IF(B55&lt;&gt;"", COUNTA($B$2:B55), "")</f>
        <v>54</v>
      </c>
      <c r="B55" s="7" t="s">
        <v>93</v>
      </c>
      <c r="C55" s="8" t="s">
        <v>94</v>
      </c>
      <c r="D55" s="8" t="n">
        <v>1105084</v>
      </c>
      <c r="E55" s="17" t="n">
        <v>2011</v>
      </c>
      <c r="F55" s="20"/>
      <c r="G55" s="20"/>
      <c r="H55" s="5" t="s">
        <v>1255</v>
      </c>
      <c r="I55" s="80" t="s">
        <v>1169</v>
      </c>
      <c r="J55" s="5" t="s">
        <v>32</v>
      </c>
      <c r="K55" s="5" t="n">
        <v>2012</v>
      </c>
      <c r="L55" s="12"/>
      <c r="M55" s="6"/>
      <c r="N55" s="20"/>
    </row>
    <row r="56" customFormat="false" ht="15" hidden="false" customHeight="false" outlineLevel="0" collapsed="false">
      <c r="A56" s="5" t="n">
        <f aca="false">IF(B56&lt;&gt;"", COUNTA($B$2:B56), "")</f>
        <v>55</v>
      </c>
      <c r="B56" s="7" t="s">
        <v>93</v>
      </c>
      <c r="C56" s="8" t="s">
        <v>94</v>
      </c>
      <c r="D56" s="8" t="n">
        <v>1105094</v>
      </c>
      <c r="E56" s="17" t="n">
        <v>2011</v>
      </c>
      <c r="F56" s="20"/>
      <c r="G56" s="20"/>
      <c r="H56" s="5" t="s">
        <v>1255</v>
      </c>
      <c r="I56" s="80" t="s">
        <v>1169</v>
      </c>
      <c r="J56" s="5" t="s">
        <v>32</v>
      </c>
      <c r="K56" s="5" t="n">
        <v>2012</v>
      </c>
      <c r="L56" s="12"/>
      <c r="M56" s="6"/>
      <c r="N56" s="20"/>
    </row>
    <row r="57" s="72" customFormat="true" ht="11.25" hidden="false" customHeight="false" outlineLevel="0" collapsed="false">
      <c r="A57" s="5" t="n">
        <f aca="false">IF(B57&lt;&gt;"", COUNTA($B$2:B57), "")</f>
        <v>56</v>
      </c>
      <c r="B57" s="7" t="s">
        <v>51</v>
      </c>
      <c r="C57" s="10" t="s">
        <v>1262</v>
      </c>
      <c r="D57" s="8" t="s">
        <v>1263</v>
      </c>
      <c r="E57" s="8" t="n">
        <v>2011</v>
      </c>
      <c r="F57" s="8"/>
      <c r="G57" s="8"/>
      <c r="H57" s="12" t="s">
        <v>1264</v>
      </c>
      <c r="I57" s="80" t="s">
        <v>1169</v>
      </c>
      <c r="J57" s="5" t="s">
        <v>32</v>
      </c>
      <c r="K57" s="5"/>
      <c r="L57" s="5"/>
      <c r="M57" s="6"/>
      <c r="N57" s="8"/>
    </row>
    <row r="58" customFormat="false" ht="15" hidden="false" customHeight="false" outlineLevel="0" collapsed="false">
      <c r="A58" s="5" t="n">
        <f aca="false">IF(B58&lt;&gt;"", COUNTA($B$2:B58), "")</f>
        <v>57</v>
      </c>
      <c r="B58" s="7" t="s">
        <v>51</v>
      </c>
      <c r="C58" s="10" t="s">
        <v>1262</v>
      </c>
      <c r="D58" s="8" t="s">
        <v>1265</v>
      </c>
      <c r="E58" s="8" t="n">
        <v>2011</v>
      </c>
      <c r="F58" s="8"/>
      <c r="G58" s="8"/>
      <c r="H58" s="12" t="s">
        <v>1266</v>
      </c>
      <c r="I58" s="80" t="s">
        <v>1169</v>
      </c>
      <c r="J58" s="5" t="s">
        <v>32</v>
      </c>
      <c r="K58" s="5"/>
      <c r="L58" s="5"/>
      <c r="M58" s="6"/>
      <c r="N58" s="8"/>
    </row>
    <row r="59" customFormat="false" ht="15" hidden="false" customHeight="false" outlineLevel="0" collapsed="false">
      <c r="A59" s="5" t="n">
        <f aca="false">IF(B59&lt;&gt;"", COUNTA($B$2:B59), "")</f>
        <v>58</v>
      </c>
      <c r="B59" s="7" t="s">
        <v>51</v>
      </c>
      <c r="C59" s="10" t="s">
        <v>1262</v>
      </c>
      <c r="D59" s="8" t="s">
        <v>1267</v>
      </c>
      <c r="E59" s="8" t="n">
        <v>2011</v>
      </c>
      <c r="F59" s="8"/>
      <c r="G59" s="8"/>
      <c r="H59" s="12" t="s">
        <v>1268</v>
      </c>
      <c r="I59" s="80" t="s">
        <v>1169</v>
      </c>
      <c r="J59" s="5" t="s">
        <v>32</v>
      </c>
      <c r="K59" s="5"/>
      <c r="L59" s="5"/>
      <c r="M59" s="6"/>
      <c r="N59" s="8"/>
    </row>
    <row r="60" customFormat="false" ht="15" hidden="false" customHeight="false" outlineLevel="0" collapsed="false">
      <c r="A60" s="5" t="n">
        <f aca="false">IF(B60&lt;&gt;"", COUNTA($B$2:B60), "")</f>
        <v>59</v>
      </c>
      <c r="B60" s="7" t="s">
        <v>51</v>
      </c>
      <c r="C60" s="10" t="s">
        <v>1262</v>
      </c>
      <c r="D60" s="8" t="s">
        <v>1269</v>
      </c>
      <c r="E60" s="8" t="n">
        <v>2011</v>
      </c>
      <c r="F60" s="8"/>
      <c r="G60" s="8"/>
      <c r="H60" s="12" t="s">
        <v>1270</v>
      </c>
      <c r="I60" s="80" t="s">
        <v>1169</v>
      </c>
      <c r="J60" s="5" t="s">
        <v>32</v>
      </c>
      <c r="K60" s="5"/>
      <c r="L60" s="5"/>
      <c r="M60" s="6"/>
      <c r="N60" s="8"/>
    </row>
    <row r="61" customFormat="false" ht="15" hidden="false" customHeight="false" outlineLevel="0" collapsed="false">
      <c r="A61" s="5" t="n">
        <f aca="false">IF(B61&lt;&gt;"", COUNTA($B$2:B61), "")</f>
        <v>60</v>
      </c>
      <c r="B61" s="7" t="s">
        <v>51</v>
      </c>
      <c r="C61" s="10" t="s">
        <v>1262</v>
      </c>
      <c r="D61" s="8" t="s">
        <v>1271</v>
      </c>
      <c r="E61" s="8" t="n">
        <v>2011</v>
      </c>
      <c r="F61" s="8"/>
      <c r="G61" s="8"/>
      <c r="H61" s="12" t="s">
        <v>1272</v>
      </c>
      <c r="I61" s="80" t="s">
        <v>1169</v>
      </c>
      <c r="J61" s="5" t="s">
        <v>32</v>
      </c>
      <c r="K61" s="5"/>
      <c r="L61" s="5"/>
      <c r="M61" s="6"/>
      <c r="N61" s="8"/>
    </row>
  </sheetData>
  <conditionalFormatting sqref="M1:M1048576">
    <cfRule type="expression" priority="2" aboveAverage="0" equalAverage="0" bottom="0" percent="0" rank="0" text="" dxfId="7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M16" activeCellId="0" sqref="M16"/>
    </sheetView>
  </sheetViews>
  <sheetFormatPr defaultColWidth="9.15625" defaultRowHeight="11.25" zeroHeight="false" outlineLevelRow="0" outlineLevelCol="0"/>
  <cols>
    <col collapsed="false" customWidth="true" hidden="false" outlineLevel="0" max="1" min="1" style="72" width="3.14"/>
    <col collapsed="false" customWidth="true" hidden="false" outlineLevel="0" max="2" min="2" style="72" width="17.58"/>
    <col collapsed="false" customWidth="true" hidden="false" outlineLevel="0" max="3" min="3" style="72" width="12.29"/>
    <col collapsed="false" customWidth="true" hidden="false" outlineLevel="0" max="4" min="4" style="72" width="15.29"/>
    <col collapsed="false" customWidth="true" hidden="false" outlineLevel="0" max="5" min="5" style="72" width="6.57"/>
    <col collapsed="false" customWidth="true" hidden="false" outlineLevel="0" max="6" min="6" style="72" width="10.58"/>
    <col collapsed="false" customWidth="true" hidden="false" outlineLevel="0" max="7" min="7" style="72" width="7.42"/>
    <col collapsed="false" customWidth="true" hidden="false" outlineLevel="0" max="8" min="8" style="72" width="19.85"/>
    <col collapsed="false" customWidth="true" hidden="false" outlineLevel="0" max="9" min="9" style="72" width="17.58"/>
    <col collapsed="false" customWidth="true" hidden="false" outlineLevel="0" max="10" min="10" style="72" width="17.42"/>
    <col collapsed="false" customWidth="true" hidden="false" outlineLevel="0" max="11" min="11" style="72" width="8"/>
    <col collapsed="false" customWidth="true" hidden="false" outlineLevel="0" max="12" min="12" style="72" width="9"/>
    <col collapsed="false" customWidth="true" hidden="false" outlineLevel="0" max="13" min="13" style="81" width="8.86"/>
    <col collapsed="false" customWidth="true" hidden="false" outlineLevel="0" max="14" min="14" style="72" width="9"/>
    <col collapsed="false" customWidth="false" hidden="false" outlineLevel="0" max="1024" min="15" style="72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1167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1.25" hidden="false" customHeight="false" outlineLevel="0" collapsed="false">
      <c r="A2" s="5" t="n">
        <f aca="false">IF(B2&lt;&gt;"", COUNTA($B$2:B2), "")</f>
        <v>1</v>
      </c>
      <c r="B2" s="7" t="s">
        <v>27</v>
      </c>
      <c r="C2" s="8" t="s">
        <v>28</v>
      </c>
      <c r="D2" s="8" t="n">
        <v>15614</v>
      </c>
      <c r="E2" s="8" t="n">
        <v>2010</v>
      </c>
      <c r="F2" s="5" t="s">
        <v>1106</v>
      </c>
      <c r="G2" s="8" t="n">
        <v>1.5</v>
      </c>
      <c r="H2" s="5" t="s">
        <v>1273</v>
      </c>
      <c r="I2" s="5" t="s">
        <v>1274</v>
      </c>
      <c r="J2" s="5" t="s">
        <v>32</v>
      </c>
      <c r="K2" s="5" t="n">
        <v>2012</v>
      </c>
      <c r="L2" s="5" t="n">
        <v>12</v>
      </c>
      <c r="M2" s="6" t="s">
        <v>37</v>
      </c>
      <c r="N2" s="8" t="s">
        <v>38</v>
      </c>
    </row>
    <row r="3" customFormat="false" ht="11.25" hidden="false" customHeight="false" outlineLevel="0" collapsed="false">
      <c r="A3" s="5" t="n">
        <f aca="false">IF(B3&lt;&gt;"", COUNTA($B$2:B3), "")</f>
        <v>2</v>
      </c>
      <c r="B3" s="7" t="s">
        <v>27</v>
      </c>
      <c r="C3" s="8" t="s">
        <v>28</v>
      </c>
      <c r="D3" s="8" t="n">
        <v>15345</v>
      </c>
      <c r="E3" s="8" t="n">
        <v>2010</v>
      </c>
      <c r="F3" s="5" t="s">
        <v>1106</v>
      </c>
      <c r="G3" s="8" t="n">
        <v>1.5</v>
      </c>
      <c r="H3" s="5" t="s">
        <v>1275</v>
      </c>
      <c r="I3" s="5" t="s">
        <v>1274</v>
      </c>
      <c r="J3" s="5" t="s">
        <v>32</v>
      </c>
      <c r="K3" s="5" t="n">
        <v>2012</v>
      </c>
      <c r="L3" s="5" t="n">
        <v>12</v>
      </c>
      <c r="M3" s="6" t="s">
        <v>37</v>
      </c>
      <c r="N3" s="8" t="s">
        <v>38</v>
      </c>
    </row>
    <row r="4" customFormat="false" ht="11.25" hidden="false" customHeight="false" outlineLevel="0" collapsed="false">
      <c r="A4" s="5" t="n">
        <f aca="false">IF(B4&lt;&gt;"", COUNTA($B$2:B4), "")</f>
        <v>3</v>
      </c>
      <c r="B4" s="7" t="s">
        <v>27</v>
      </c>
      <c r="C4" s="8" t="s">
        <v>28</v>
      </c>
      <c r="D4" s="8" t="n">
        <v>15076</v>
      </c>
      <c r="E4" s="8" t="n">
        <v>2010</v>
      </c>
      <c r="F4" s="5" t="s">
        <v>1106</v>
      </c>
      <c r="G4" s="8" t="n">
        <v>1.5</v>
      </c>
      <c r="H4" s="5" t="s">
        <v>1276</v>
      </c>
      <c r="I4" s="5" t="s">
        <v>1274</v>
      </c>
      <c r="J4" s="5" t="s">
        <v>32</v>
      </c>
      <c r="K4" s="5" t="n">
        <v>2012</v>
      </c>
      <c r="L4" s="5" t="n">
        <v>12</v>
      </c>
      <c r="M4" s="6" t="s">
        <v>37</v>
      </c>
      <c r="N4" s="8" t="s">
        <v>38</v>
      </c>
    </row>
    <row r="5" customFormat="false" ht="11.25" hidden="false" customHeight="false" outlineLevel="0" collapsed="false">
      <c r="A5" s="5" t="n">
        <f aca="false">IF(B5&lt;&gt;"", COUNTA($B$2:B5), "")</f>
        <v>4</v>
      </c>
      <c r="B5" s="7" t="s">
        <v>27</v>
      </c>
      <c r="C5" s="8" t="s">
        <v>28</v>
      </c>
      <c r="D5" s="8" t="n">
        <v>15322</v>
      </c>
      <c r="E5" s="8" t="n">
        <v>2010</v>
      </c>
      <c r="F5" s="5" t="s">
        <v>1106</v>
      </c>
      <c r="G5" s="8" t="n">
        <v>1.5</v>
      </c>
      <c r="H5" s="5" t="s">
        <v>1277</v>
      </c>
      <c r="I5" s="5" t="s">
        <v>1274</v>
      </c>
      <c r="J5" s="5" t="s">
        <v>32</v>
      </c>
      <c r="K5" s="5" t="n">
        <v>2012</v>
      </c>
      <c r="L5" s="5" t="n">
        <v>12</v>
      </c>
      <c r="M5" s="6" t="s">
        <v>37</v>
      </c>
      <c r="N5" s="8" t="s">
        <v>38</v>
      </c>
    </row>
    <row r="6" customFormat="false" ht="11.25" hidden="false" customHeight="false" outlineLevel="0" collapsed="false">
      <c r="A6" s="5" t="n">
        <f aca="false">IF(B6&lt;&gt;"", COUNTA($B$2:B6), "")</f>
        <v>5</v>
      </c>
      <c r="B6" s="7" t="s">
        <v>27</v>
      </c>
      <c r="C6" s="8" t="s">
        <v>28</v>
      </c>
      <c r="D6" s="8" t="n">
        <v>15351</v>
      </c>
      <c r="E6" s="8" t="n">
        <v>2010</v>
      </c>
      <c r="F6" s="5" t="s">
        <v>1106</v>
      </c>
      <c r="G6" s="8" t="n">
        <v>1.5</v>
      </c>
      <c r="H6" s="5" t="s">
        <v>1278</v>
      </c>
      <c r="I6" s="5" t="s">
        <v>1274</v>
      </c>
      <c r="J6" s="5" t="s">
        <v>32</v>
      </c>
      <c r="K6" s="5" t="n">
        <v>2012</v>
      </c>
      <c r="L6" s="5" t="n">
        <v>12</v>
      </c>
      <c r="M6" s="6" t="s">
        <v>37</v>
      </c>
      <c r="N6" s="8" t="s">
        <v>38</v>
      </c>
    </row>
    <row r="7" customFormat="false" ht="11.25" hidden="false" customHeight="false" outlineLevel="0" collapsed="false">
      <c r="A7" s="5" t="n">
        <f aca="false">IF(B7&lt;&gt;"", COUNTA($B$2:B7), "")</f>
        <v>6</v>
      </c>
      <c r="B7" s="7" t="s">
        <v>27</v>
      </c>
      <c r="C7" s="8" t="s">
        <v>28</v>
      </c>
      <c r="D7" s="8" t="n">
        <v>15331</v>
      </c>
      <c r="E7" s="8" t="n">
        <v>2010</v>
      </c>
      <c r="F7" s="5" t="s">
        <v>1106</v>
      </c>
      <c r="G7" s="8" t="n">
        <v>1.5</v>
      </c>
      <c r="H7" s="5" t="s">
        <v>1279</v>
      </c>
      <c r="I7" s="5" t="s">
        <v>1274</v>
      </c>
      <c r="J7" s="5" t="s">
        <v>32</v>
      </c>
      <c r="K7" s="5" t="n">
        <v>2012</v>
      </c>
      <c r="L7" s="5" t="n">
        <v>12</v>
      </c>
      <c r="M7" s="6" t="s">
        <v>37</v>
      </c>
      <c r="N7" s="8" t="s">
        <v>38</v>
      </c>
    </row>
    <row r="8" customFormat="false" ht="11.25" hidden="false" customHeight="false" outlineLevel="0" collapsed="false">
      <c r="A8" s="5" t="n">
        <f aca="false">IF(B8&lt;&gt;"", COUNTA($B$2:B8), "")</f>
        <v>7</v>
      </c>
      <c r="B8" s="7" t="s">
        <v>27</v>
      </c>
      <c r="C8" s="8" t="s">
        <v>28</v>
      </c>
      <c r="D8" s="8" t="n">
        <v>15081</v>
      </c>
      <c r="E8" s="8" t="n">
        <v>2010</v>
      </c>
      <c r="F8" s="5" t="s">
        <v>1106</v>
      </c>
      <c r="G8" s="8" t="n">
        <v>1.5</v>
      </c>
      <c r="H8" s="5" t="s">
        <v>1280</v>
      </c>
      <c r="I8" s="5" t="s">
        <v>1274</v>
      </c>
      <c r="J8" s="5" t="s">
        <v>32</v>
      </c>
      <c r="K8" s="5" t="n">
        <v>2012</v>
      </c>
      <c r="L8" s="5" t="n">
        <v>12</v>
      </c>
      <c r="M8" s="6" t="s">
        <v>37</v>
      </c>
      <c r="N8" s="8" t="s">
        <v>38</v>
      </c>
    </row>
    <row r="9" customFormat="false" ht="11.25" hidden="false" customHeight="false" outlineLevel="0" collapsed="false">
      <c r="A9" s="5" t="n">
        <f aca="false">IF(B9&lt;&gt;"", COUNTA($B$2:B9), "")</f>
        <v>8</v>
      </c>
      <c r="B9" s="7" t="s">
        <v>27</v>
      </c>
      <c r="C9" s="8" t="s">
        <v>28</v>
      </c>
      <c r="D9" s="8" t="n">
        <v>15333</v>
      </c>
      <c r="E9" s="8" t="n">
        <v>2010</v>
      </c>
      <c r="F9" s="5" t="s">
        <v>1106</v>
      </c>
      <c r="G9" s="8" t="n">
        <v>1.5</v>
      </c>
      <c r="H9" s="5" t="s">
        <v>1281</v>
      </c>
      <c r="I9" s="5" t="s">
        <v>1274</v>
      </c>
      <c r="J9" s="5" t="s">
        <v>32</v>
      </c>
      <c r="K9" s="5" t="n">
        <v>2012</v>
      </c>
      <c r="L9" s="5" t="n">
        <v>12</v>
      </c>
      <c r="M9" s="6" t="s">
        <v>37</v>
      </c>
      <c r="N9" s="8" t="s">
        <v>38</v>
      </c>
    </row>
    <row r="10" customFormat="false" ht="11.25" hidden="false" customHeight="false" outlineLevel="0" collapsed="false">
      <c r="A10" s="5" t="n">
        <f aca="false">IF(B10&lt;&gt;"", COUNTA($B$2:B10), "")</f>
        <v>9</v>
      </c>
      <c r="B10" s="7" t="s">
        <v>27</v>
      </c>
      <c r="C10" s="8" t="s">
        <v>28</v>
      </c>
      <c r="D10" s="8" t="n">
        <v>15072</v>
      </c>
      <c r="E10" s="8" t="n">
        <v>2010</v>
      </c>
      <c r="F10" s="5" t="s">
        <v>1106</v>
      </c>
      <c r="G10" s="8" t="n">
        <v>1.5</v>
      </c>
      <c r="H10" s="5" t="s">
        <v>1282</v>
      </c>
      <c r="I10" s="5" t="s">
        <v>1274</v>
      </c>
      <c r="J10" s="5" t="s">
        <v>32</v>
      </c>
      <c r="K10" s="5" t="n">
        <v>2012</v>
      </c>
      <c r="L10" s="5" t="n">
        <v>12</v>
      </c>
      <c r="M10" s="6" t="s">
        <v>37</v>
      </c>
      <c r="N10" s="8" t="s">
        <v>38</v>
      </c>
    </row>
    <row r="11" customFormat="false" ht="11.25" hidden="false" customHeight="false" outlineLevel="0" collapsed="false">
      <c r="A11" s="5" t="n">
        <f aca="false">IF(B11&lt;&gt;"", COUNTA($B$2:B11), "")</f>
        <v>10</v>
      </c>
      <c r="B11" s="7" t="s">
        <v>27</v>
      </c>
      <c r="C11" s="8" t="s">
        <v>28</v>
      </c>
      <c r="D11" s="8" t="n">
        <v>15087</v>
      </c>
      <c r="E11" s="8" t="n">
        <v>2010</v>
      </c>
      <c r="F11" s="5" t="s">
        <v>1106</v>
      </c>
      <c r="G11" s="8" t="n">
        <v>1.5</v>
      </c>
      <c r="H11" s="5" t="s">
        <v>1283</v>
      </c>
      <c r="I11" s="5" t="s">
        <v>1274</v>
      </c>
      <c r="J11" s="5" t="s">
        <v>32</v>
      </c>
      <c r="K11" s="5" t="n">
        <v>2012</v>
      </c>
      <c r="L11" s="5" t="n">
        <v>12</v>
      </c>
      <c r="M11" s="6" t="s">
        <v>37</v>
      </c>
      <c r="N11" s="8" t="s">
        <v>38</v>
      </c>
    </row>
    <row r="12" customFormat="false" ht="11.25" hidden="false" customHeight="false" outlineLevel="0" collapsed="false">
      <c r="A12" s="5" t="n">
        <f aca="false">IF(B12&lt;&gt;"", COUNTA($B$2:B12), "")</f>
        <v>11</v>
      </c>
      <c r="B12" s="7" t="s">
        <v>27</v>
      </c>
      <c r="C12" s="8" t="s">
        <v>28</v>
      </c>
      <c r="D12" s="8" t="n">
        <v>15349</v>
      </c>
      <c r="E12" s="8" t="n">
        <v>2010</v>
      </c>
      <c r="F12" s="5" t="s">
        <v>1106</v>
      </c>
      <c r="G12" s="8" t="n">
        <v>1.5</v>
      </c>
      <c r="H12" s="5" t="s">
        <v>1284</v>
      </c>
      <c r="I12" s="5" t="s">
        <v>1274</v>
      </c>
      <c r="J12" s="5" t="s">
        <v>32</v>
      </c>
      <c r="K12" s="5" t="n">
        <v>2012</v>
      </c>
      <c r="L12" s="5" t="n">
        <v>12</v>
      </c>
      <c r="M12" s="6" t="s">
        <v>37</v>
      </c>
      <c r="N12" s="8" t="s">
        <v>38</v>
      </c>
    </row>
    <row r="13" customFormat="false" ht="11.25" hidden="false" customHeight="false" outlineLevel="0" collapsed="false">
      <c r="A13" s="5" t="n">
        <f aca="false">IF(B13&lt;&gt;"", COUNTA($B$2:B13), "")</f>
        <v>12</v>
      </c>
      <c r="B13" s="7" t="s">
        <v>27</v>
      </c>
      <c r="C13" s="8" t="s">
        <v>28</v>
      </c>
      <c r="D13" s="8" t="n">
        <v>15334</v>
      </c>
      <c r="E13" s="8" t="n">
        <v>2010</v>
      </c>
      <c r="F13" s="5" t="s">
        <v>1106</v>
      </c>
      <c r="G13" s="8" t="n">
        <v>1.5</v>
      </c>
      <c r="H13" s="5" t="s">
        <v>1285</v>
      </c>
      <c r="I13" s="5" t="s">
        <v>1274</v>
      </c>
      <c r="J13" s="5" t="s">
        <v>32</v>
      </c>
      <c r="K13" s="5" t="n">
        <v>2012</v>
      </c>
      <c r="L13" s="5" t="n">
        <v>12</v>
      </c>
      <c r="M13" s="6" t="s">
        <v>37</v>
      </c>
      <c r="N13" s="8" t="s">
        <v>38</v>
      </c>
    </row>
    <row r="14" customFormat="false" ht="11.25" hidden="false" customHeight="false" outlineLevel="0" collapsed="false">
      <c r="A14" s="5" t="n">
        <f aca="false">IF(B14&lt;&gt;"", COUNTA($B$2:B14), "")</f>
        <v>13</v>
      </c>
      <c r="B14" s="7" t="s">
        <v>27</v>
      </c>
      <c r="C14" s="8" t="s">
        <v>28</v>
      </c>
      <c r="D14" s="15" t="s">
        <v>1286</v>
      </c>
      <c r="E14" s="8" t="n">
        <v>2010</v>
      </c>
      <c r="F14" s="5" t="s">
        <v>1106</v>
      </c>
      <c r="G14" s="8" t="n">
        <v>1.5</v>
      </c>
      <c r="H14" s="5" t="s">
        <v>1287</v>
      </c>
      <c r="I14" s="5" t="s">
        <v>1274</v>
      </c>
      <c r="J14" s="5" t="s">
        <v>32</v>
      </c>
      <c r="K14" s="5" t="n">
        <v>2012</v>
      </c>
      <c r="L14" s="5" t="n">
        <v>12</v>
      </c>
      <c r="M14" s="6" t="s">
        <v>33</v>
      </c>
      <c r="N14" s="8" t="s">
        <v>1</v>
      </c>
    </row>
    <row r="15" customFormat="false" ht="11.25" hidden="false" customHeight="false" outlineLevel="0" collapsed="false">
      <c r="A15" s="5" t="n">
        <f aca="false">IF(B15&lt;&gt;"", COUNTA($B$2:B15), "")</f>
        <v>14</v>
      </c>
      <c r="B15" s="7" t="s">
        <v>27</v>
      </c>
      <c r="C15" s="8" t="s">
        <v>28</v>
      </c>
      <c r="D15" s="8" t="n">
        <v>24</v>
      </c>
      <c r="E15" s="8" t="n">
        <v>2010</v>
      </c>
      <c r="F15" s="5" t="s">
        <v>1106</v>
      </c>
      <c r="G15" s="8" t="n">
        <v>1.5</v>
      </c>
      <c r="H15" s="5" t="s">
        <v>1288</v>
      </c>
      <c r="I15" s="5" t="s">
        <v>1274</v>
      </c>
      <c r="J15" s="5" t="s">
        <v>32</v>
      </c>
      <c r="K15" s="5" t="n">
        <v>2012</v>
      </c>
      <c r="L15" s="5" t="n">
        <v>12</v>
      </c>
      <c r="M15" s="6" t="s">
        <v>33</v>
      </c>
      <c r="N15" s="8" t="s">
        <v>1</v>
      </c>
    </row>
    <row r="16" customFormat="false" ht="22.5" hidden="false" customHeight="false" outlineLevel="0" collapsed="false">
      <c r="A16" s="5" t="n">
        <f aca="false">IF(B16&lt;&gt;"", COUNTA($B$2:B16), "")</f>
        <v>15</v>
      </c>
      <c r="B16" s="7" t="s">
        <v>27</v>
      </c>
      <c r="C16" s="8" t="s">
        <v>28</v>
      </c>
      <c r="D16" s="8"/>
      <c r="E16" s="8" t="n">
        <v>2013</v>
      </c>
      <c r="F16" s="5" t="s">
        <v>1289</v>
      </c>
      <c r="G16" s="8" t="n">
        <v>1.5</v>
      </c>
      <c r="H16" s="5" t="s">
        <v>1290</v>
      </c>
      <c r="I16" s="5" t="s">
        <v>1274</v>
      </c>
      <c r="J16" s="5" t="s">
        <v>32</v>
      </c>
      <c r="K16" s="5" t="n">
        <v>2012</v>
      </c>
      <c r="L16" s="5" t="n">
        <v>12</v>
      </c>
      <c r="M16" s="13" t="s">
        <v>1291</v>
      </c>
      <c r="N16" s="8" t="s">
        <v>38</v>
      </c>
    </row>
    <row r="17" customFormat="false" ht="22.5" hidden="false" customHeight="false" outlineLevel="0" collapsed="false">
      <c r="A17" s="5" t="n">
        <f aca="false">IF(B17&lt;&gt;"", COUNTA($B$2:B17), "")</f>
        <v>16</v>
      </c>
      <c r="B17" s="7" t="s">
        <v>46</v>
      </c>
      <c r="C17" s="10" t="s">
        <v>47</v>
      </c>
      <c r="D17" s="10" t="n">
        <v>2021</v>
      </c>
      <c r="E17" s="8" t="n">
        <v>2010</v>
      </c>
      <c r="F17" s="8" t="s">
        <v>1292</v>
      </c>
      <c r="G17" s="8" t="n">
        <v>1</v>
      </c>
      <c r="H17" s="12" t="s">
        <v>1293</v>
      </c>
      <c r="I17" s="5" t="s">
        <v>1274</v>
      </c>
      <c r="J17" s="5" t="s">
        <v>32</v>
      </c>
      <c r="K17" s="5" t="n">
        <v>2012</v>
      </c>
      <c r="L17" s="5" t="n">
        <v>24</v>
      </c>
      <c r="M17" s="6" t="s">
        <v>41</v>
      </c>
      <c r="N17" s="8" t="s">
        <v>1</v>
      </c>
    </row>
    <row r="18" customFormat="false" ht="22.5" hidden="false" customHeight="false" outlineLevel="0" collapsed="false">
      <c r="A18" s="5" t="n">
        <f aca="false">IF(B18&lt;&gt;"", COUNTA($B$2:B18), "")</f>
        <v>17</v>
      </c>
      <c r="B18" s="7" t="s">
        <v>46</v>
      </c>
      <c r="C18" s="10" t="s">
        <v>47</v>
      </c>
      <c r="D18" s="10" t="n">
        <v>9128</v>
      </c>
      <c r="E18" s="8" t="n">
        <v>2010</v>
      </c>
      <c r="F18" s="8" t="s">
        <v>1292</v>
      </c>
      <c r="G18" s="8" t="n">
        <v>1</v>
      </c>
      <c r="H18" s="12" t="s">
        <v>1294</v>
      </c>
      <c r="I18" s="5" t="s">
        <v>1274</v>
      </c>
      <c r="J18" s="5" t="s">
        <v>32</v>
      </c>
      <c r="K18" s="5" t="n">
        <v>2012</v>
      </c>
      <c r="L18" s="5" t="n">
        <v>24</v>
      </c>
      <c r="M18" s="6" t="s">
        <v>41</v>
      </c>
      <c r="N18" s="8" t="s">
        <v>1</v>
      </c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46</v>
      </c>
      <c r="C19" s="10" t="s">
        <v>47</v>
      </c>
      <c r="D19" s="10" t="n">
        <v>8763</v>
      </c>
      <c r="E19" s="8" t="n">
        <v>2010</v>
      </c>
      <c r="F19" s="8" t="s">
        <v>1292</v>
      </c>
      <c r="G19" s="8" t="n">
        <v>1</v>
      </c>
      <c r="H19" s="12" t="s">
        <v>1295</v>
      </c>
      <c r="I19" s="5" t="s">
        <v>1274</v>
      </c>
      <c r="J19" s="5" t="s">
        <v>32</v>
      </c>
      <c r="K19" s="5" t="n">
        <v>2012</v>
      </c>
      <c r="L19" s="5" t="n">
        <v>24</v>
      </c>
      <c r="M19" s="6" t="s">
        <v>41</v>
      </c>
      <c r="N19" s="8" t="s">
        <v>1</v>
      </c>
    </row>
    <row r="20" customFormat="false" ht="22.5" hidden="false" customHeight="false" outlineLevel="0" collapsed="false">
      <c r="A20" s="5" t="n">
        <f aca="false">IF(B20&lt;&gt;"", COUNTA($B$2:B20), "")</f>
        <v>19</v>
      </c>
      <c r="B20" s="7" t="s">
        <v>46</v>
      </c>
      <c r="C20" s="10" t="s">
        <v>47</v>
      </c>
      <c r="D20" s="10" t="n">
        <v>1479</v>
      </c>
      <c r="E20" s="8" t="n">
        <v>2010</v>
      </c>
      <c r="F20" s="8" t="s">
        <v>1292</v>
      </c>
      <c r="G20" s="8" t="n">
        <v>1</v>
      </c>
      <c r="H20" s="12" t="s">
        <v>1296</v>
      </c>
      <c r="I20" s="5" t="s">
        <v>1274</v>
      </c>
      <c r="J20" s="5" t="s">
        <v>32</v>
      </c>
      <c r="K20" s="5" t="n">
        <v>2012</v>
      </c>
      <c r="L20" s="5" t="n">
        <v>24</v>
      </c>
      <c r="M20" s="6" t="s">
        <v>41</v>
      </c>
      <c r="N20" s="8" t="s">
        <v>1</v>
      </c>
    </row>
    <row r="21" customFormat="false" ht="22.5" hidden="false" customHeight="false" outlineLevel="0" collapsed="false">
      <c r="A21" s="5" t="n">
        <f aca="false">IF(B21&lt;&gt;"", COUNTA($B$2:B21), "")</f>
        <v>20</v>
      </c>
      <c r="B21" s="7" t="s">
        <v>46</v>
      </c>
      <c r="C21" s="10" t="s">
        <v>47</v>
      </c>
      <c r="D21" s="10" t="n">
        <v>7703</v>
      </c>
      <c r="E21" s="8" t="n">
        <v>2010</v>
      </c>
      <c r="F21" s="8" t="s">
        <v>1292</v>
      </c>
      <c r="G21" s="8" t="n">
        <v>1</v>
      </c>
      <c r="H21" s="12" t="s">
        <v>1297</v>
      </c>
      <c r="I21" s="5" t="s">
        <v>1274</v>
      </c>
      <c r="J21" s="5" t="s">
        <v>32</v>
      </c>
      <c r="K21" s="5" t="n">
        <v>2012</v>
      </c>
      <c r="L21" s="5" t="n">
        <v>24</v>
      </c>
      <c r="M21" s="6" t="s">
        <v>41</v>
      </c>
      <c r="N21" s="8" t="s">
        <v>1</v>
      </c>
    </row>
    <row r="22" customFormat="false" ht="22.5" hidden="false" customHeight="false" outlineLevel="0" collapsed="false">
      <c r="A22" s="5" t="n">
        <f aca="false">IF(B22&lt;&gt;"", COUNTA($B$2:B22), "")</f>
        <v>21</v>
      </c>
      <c r="B22" s="7" t="s">
        <v>46</v>
      </c>
      <c r="C22" s="10" t="s">
        <v>47</v>
      </c>
      <c r="D22" s="10" t="n">
        <v>7712</v>
      </c>
      <c r="E22" s="8" t="n">
        <v>2010</v>
      </c>
      <c r="F22" s="8" t="s">
        <v>1292</v>
      </c>
      <c r="G22" s="8" t="n">
        <v>1</v>
      </c>
      <c r="H22" s="12" t="s">
        <v>1298</v>
      </c>
      <c r="I22" s="5" t="s">
        <v>1274</v>
      </c>
      <c r="J22" s="5" t="s">
        <v>32</v>
      </c>
      <c r="K22" s="5" t="n">
        <v>2012</v>
      </c>
      <c r="L22" s="5" t="n">
        <v>24</v>
      </c>
      <c r="M22" s="6" t="s">
        <v>41</v>
      </c>
      <c r="N22" s="8" t="s">
        <v>1</v>
      </c>
    </row>
    <row r="23" customFormat="false" ht="11.25" hidden="false" customHeight="false" outlineLevel="0" collapsed="false">
      <c r="A23" s="5" t="n">
        <f aca="false">IF(B23&lt;&gt;"", COUNTA($B$2:B23), "")</f>
        <v>22</v>
      </c>
      <c r="B23" s="7" t="s">
        <v>51</v>
      </c>
      <c r="C23" s="10" t="s">
        <v>1262</v>
      </c>
      <c r="D23" s="8" t="s">
        <v>1299</v>
      </c>
      <c r="E23" s="8" t="n">
        <v>2011</v>
      </c>
      <c r="F23" s="8"/>
      <c r="G23" s="8"/>
      <c r="H23" s="12" t="s">
        <v>1300</v>
      </c>
      <c r="I23" s="5" t="s">
        <v>1274</v>
      </c>
      <c r="J23" s="5" t="s">
        <v>32</v>
      </c>
      <c r="K23" s="5"/>
      <c r="L23" s="5"/>
      <c r="M23" s="6"/>
      <c r="N23" s="8"/>
    </row>
    <row r="24" customFormat="false" ht="11.25" hidden="false" customHeight="false" outlineLevel="0" collapsed="false">
      <c r="A24" s="5" t="n">
        <f aca="false">IF(B24&lt;&gt;"", COUNTA($B$2:B24), "")</f>
        <v>23</v>
      </c>
      <c r="B24" s="7" t="s">
        <v>51</v>
      </c>
      <c r="C24" s="10" t="s">
        <v>1262</v>
      </c>
      <c r="D24" s="8" t="s">
        <v>1301</v>
      </c>
      <c r="E24" s="8" t="n">
        <v>2011</v>
      </c>
      <c r="F24" s="8"/>
      <c r="G24" s="8"/>
      <c r="H24" s="12" t="s">
        <v>1302</v>
      </c>
      <c r="I24" s="5" t="s">
        <v>1274</v>
      </c>
      <c r="J24" s="5" t="s">
        <v>32</v>
      </c>
      <c r="K24" s="5"/>
      <c r="L24" s="5"/>
      <c r="M24" s="6"/>
      <c r="N24" s="8"/>
    </row>
    <row r="25" customFormat="false" ht="11.25" hidden="false" customHeight="false" outlineLevel="0" collapsed="false">
      <c r="A25" s="5" t="n">
        <f aca="false">IF(B25&lt;&gt;"", COUNTA($B$2:B25), "")</f>
        <v>24</v>
      </c>
      <c r="B25" s="7" t="s">
        <v>51</v>
      </c>
      <c r="C25" s="10" t="s">
        <v>1262</v>
      </c>
      <c r="D25" s="8" t="s">
        <v>1303</v>
      </c>
      <c r="E25" s="8" t="n">
        <v>2011</v>
      </c>
      <c r="F25" s="8"/>
      <c r="G25" s="8"/>
      <c r="H25" s="12" t="s">
        <v>1304</v>
      </c>
      <c r="I25" s="5" t="s">
        <v>1274</v>
      </c>
      <c r="J25" s="5" t="s">
        <v>32</v>
      </c>
      <c r="K25" s="5"/>
      <c r="L25" s="5"/>
      <c r="M25" s="6"/>
      <c r="N25" s="8"/>
    </row>
    <row r="26" customFormat="false" ht="11.25" hidden="false" customHeight="false" outlineLevel="0" collapsed="false">
      <c r="A26" s="5" t="n">
        <f aca="false">IF(B26&lt;&gt;"", COUNTA($B$2:B26), "")</f>
        <v>25</v>
      </c>
      <c r="B26" s="7" t="s">
        <v>51</v>
      </c>
      <c r="C26" s="10" t="s">
        <v>1262</v>
      </c>
      <c r="D26" s="8" t="s">
        <v>1305</v>
      </c>
      <c r="E26" s="8" t="n">
        <v>2011</v>
      </c>
      <c r="F26" s="8"/>
      <c r="G26" s="8"/>
      <c r="H26" s="12" t="s">
        <v>1306</v>
      </c>
      <c r="I26" s="5" t="s">
        <v>1274</v>
      </c>
      <c r="J26" s="5" t="s">
        <v>32</v>
      </c>
      <c r="K26" s="5"/>
      <c r="L26" s="5"/>
      <c r="M26" s="6"/>
      <c r="N26" s="8"/>
    </row>
    <row r="27" customFormat="false" ht="11.25" hidden="false" customHeight="false" outlineLevel="0" collapsed="false">
      <c r="A27" s="5" t="n">
        <f aca="false">IF(B27&lt;&gt;"", COUNTA($B$2:B27), "")</f>
        <v>26</v>
      </c>
      <c r="B27" s="7" t="s">
        <v>51</v>
      </c>
      <c r="C27" s="10" t="s">
        <v>1262</v>
      </c>
      <c r="D27" s="8" t="s">
        <v>1307</v>
      </c>
      <c r="E27" s="8" t="n">
        <v>2011</v>
      </c>
      <c r="F27" s="8"/>
      <c r="G27" s="8"/>
      <c r="H27" s="12" t="s">
        <v>1308</v>
      </c>
      <c r="I27" s="5" t="s">
        <v>1274</v>
      </c>
      <c r="J27" s="5" t="s">
        <v>32</v>
      </c>
      <c r="K27" s="5"/>
      <c r="L27" s="5"/>
      <c r="M27" s="6"/>
      <c r="N27" s="8"/>
    </row>
    <row r="28" customFormat="false" ht="11.25" hidden="false" customHeight="false" outlineLevel="0" collapsed="false">
      <c r="A28" s="5" t="n">
        <f aca="false">IF(B28&lt;&gt;"", COUNTA($B$2:B28), "")</f>
        <v>27</v>
      </c>
      <c r="B28" s="7" t="s">
        <v>51</v>
      </c>
      <c r="C28" s="10" t="s">
        <v>1262</v>
      </c>
      <c r="D28" s="8" t="s">
        <v>1309</v>
      </c>
      <c r="E28" s="8" t="n">
        <v>2011</v>
      </c>
      <c r="F28" s="8"/>
      <c r="G28" s="8"/>
      <c r="H28" s="12" t="s">
        <v>1310</v>
      </c>
      <c r="I28" s="5" t="s">
        <v>1274</v>
      </c>
      <c r="J28" s="5" t="s">
        <v>32</v>
      </c>
      <c r="K28" s="5"/>
      <c r="L28" s="5"/>
      <c r="M28" s="6"/>
      <c r="N28" s="8"/>
    </row>
  </sheetData>
  <conditionalFormatting sqref="M1:M1048576">
    <cfRule type="expression" priority="2" aboveAverage="0" equalAverage="0" bottom="0" percent="0" rank="0" text="" dxfId="8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9" activePane="bottomLeft" state="frozen"/>
      <selection pane="topLeft" activeCell="A1" activeCellId="0" sqref="A1"/>
      <selection pane="bottomLeft" activeCell="M118" activeCellId="0" sqref="M118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57"/>
    <col collapsed="false" customWidth="true" hidden="false" outlineLevel="0" max="2" min="2" style="4" width="23.01"/>
    <col collapsed="false" customWidth="true" hidden="false" outlineLevel="0" max="3" min="3" style="4" width="28.29"/>
    <col collapsed="false" customWidth="true" hidden="false" outlineLevel="0" max="4" min="4" style="4" width="9.29"/>
    <col collapsed="false" customWidth="true" hidden="false" outlineLevel="0" max="5" min="5" style="4" width="6.57"/>
    <col collapsed="false" customWidth="true" hidden="false" outlineLevel="0" max="6" min="6" style="4" width="14.01"/>
    <col collapsed="false" customWidth="true" hidden="false" outlineLevel="0" max="7" min="7" style="4" width="7.42"/>
    <col collapsed="false" customWidth="true" hidden="false" outlineLevel="0" max="8" min="8" style="4" width="26.71"/>
    <col collapsed="false" customWidth="true" hidden="false" outlineLevel="0" max="9" min="9" style="4" width="8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1311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7" t="s">
        <v>27</v>
      </c>
      <c r="C2" s="8" t="s">
        <v>1312</v>
      </c>
      <c r="D2" s="8" t="n">
        <v>15006</v>
      </c>
      <c r="E2" s="8" t="n">
        <v>2010</v>
      </c>
      <c r="F2" s="16" t="s">
        <v>1313</v>
      </c>
      <c r="G2" s="5" t="n">
        <v>1.5</v>
      </c>
      <c r="H2" s="5" t="s">
        <v>1314</v>
      </c>
      <c r="I2" s="5" t="s">
        <v>1315</v>
      </c>
      <c r="J2" s="5" t="s">
        <v>32</v>
      </c>
      <c r="K2" s="5" t="n">
        <v>2012</v>
      </c>
      <c r="L2" s="5" t="n">
        <v>12</v>
      </c>
      <c r="M2" s="6" t="s">
        <v>37</v>
      </c>
      <c r="N2" s="8" t="s">
        <v>38</v>
      </c>
    </row>
    <row r="3" customFormat="false" ht="15" hidden="false" customHeight="false" outlineLevel="0" collapsed="false">
      <c r="A3" s="5" t="n">
        <f aca="false">IF(B3&lt;&gt;"", COUNTA($B$2:B3), "")</f>
        <v>2</v>
      </c>
      <c r="B3" s="7" t="s">
        <v>27</v>
      </c>
      <c r="C3" s="8" t="s">
        <v>1312</v>
      </c>
      <c r="D3" s="8" t="n">
        <v>15010</v>
      </c>
      <c r="E3" s="8" t="n">
        <v>2010</v>
      </c>
      <c r="F3" s="16" t="s">
        <v>1313</v>
      </c>
      <c r="G3" s="5" t="n">
        <v>1.5</v>
      </c>
      <c r="H3" s="5" t="s">
        <v>1316</v>
      </c>
      <c r="I3" s="5" t="s">
        <v>1315</v>
      </c>
      <c r="J3" s="5" t="s">
        <v>32</v>
      </c>
      <c r="K3" s="5" t="n">
        <v>2012</v>
      </c>
      <c r="L3" s="5" t="n">
        <v>12</v>
      </c>
      <c r="M3" s="6" t="s">
        <v>37</v>
      </c>
      <c r="N3" s="8" t="s">
        <v>38</v>
      </c>
    </row>
    <row r="4" customFormat="false" ht="15" hidden="false" customHeight="false" outlineLevel="0" collapsed="false">
      <c r="A4" s="5" t="n">
        <f aca="false">IF(B4&lt;&gt;"", COUNTA($B$2:B4), "")</f>
        <v>3</v>
      </c>
      <c r="B4" s="7" t="s">
        <v>27</v>
      </c>
      <c r="C4" s="8" t="s">
        <v>1317</v>
      </c>
      <c r="D4" s="8" t="n">
        <v>4334</v>
      </c>
      <c r="E4" s="8" t="n">
        <v>2003</v>
      </c>
      <c r="F4" s="5" t="s">
        <v>1162</v>
      </c>
      <c r="G4" s="5" t="n">
        <v>0.6</v>
      </c>
      <c r="H4" s="5" t="s">
        <v>1318</v>
      </c>
      <c r="I4" s="5" t="s">
        <v>1315</v>
      </c>
      <c r="J4" s="5" t="s">
        <v>32</v>
      </c>
      <c r="K4" s="5" t="n">
        <v>2012</v>
      </c>
      <c r="L4" s="5" t="n">
        <v>12</v>
      </c>
      <c r="M4" s="6" t="s">
        <v>37</v>
      </c>
      <c r="N4" s="8" t="s">
        <v>38</v>
      </c>
    </row>
    <row r="5" customFormat="false" ht="15" hidden="false" customHeight="false" outlineLevel="0" collapsed="false">
      <c r="A5" s="5" t="n">
        <f aca="false">IF(B5&lt;&gt;"", COUNTA($B$2:B5), "")</f>
        <v>4</v>
      </c>
      <c r="B5" s="7" t="s">
        <v>27</v>
      </c>
      <c r="C5" s="8" t="s">
        <v>1112</v>
      </c>
      <c r="D5" s="8" t="n">
        <v>5103</v>
      </c>
      <c r="E5" s="8" t="n">
        <v>2010</v>
      </c>
      <c r="F5" s="5" t="s">
        <v>1162</v>
      </c>
      <c r="G5" s="5" t="n">
        <v>1.5</v>
      </c>
      <c r="H5" s="5" t="s">
        <v>1319</v>
      </c>
      <c r="I5" s="5" t="s">
        <v>1315</v>
      </c>
      <c r="J5" s="5" t="s">
        <v>32</v>
      </c>
      <c r="K5" s="5" t="n">
        <v>2012</v>
      </c>
      <c r="L5" s="5" t="n">
        <v>12</v>
      </c>
      <c r="M5" s="6" t="s">
        <v>37</v>
      </c>
      <c r="N5" s="8" t="s">
        <v>38</v>
      </c>
    </row>
    <row r="6" customFormat="false" ht="15" hidden="false" customHeight="false" outlineLevel="0" collapsed="false">
      <c r="A6" s="5" t="n">
        <f aca="false">IF(B6&lt;&gt;"", COUNTA($B$2:B6), "")</f>
        <v>5</v>
      </c>
      <c r="B6" s="7" t="s">
        <v>27</v>
      </c>
      <c r="C6" s="8" t="s">
        <v>1312</v>
      </c>
      <c r="D6" s="8" t="n">
        <v>15008</v>
      </c>
      <c r="E6" s="8" t="n">
        <v>2010</v>
      </c>
      <c r="F6" s="16" t="s">
        <v>1313</v>
      </c>
      <c r="G6" s="5" t="n">
        <v>1.5</v>
      </c>
      <c r="H6" s="5" t="s">
        <v>1320</v>
      </c>
      <c r="I6" s="5" t="s">
        <v>1315</v>
      </c>
      <c r="J6" s="5" t="s">
        <v>32</v>
      </c>
      <c r="K6" s="5" t="n">
        <v>2012</v>
      </c>
      <c r="L6" s="5" t="n">
        <v>12</v>
      </c>
      <c r="M6" s="6" t="s">
        <v>37</v>
      </c>
      <c r="N6" s="8" t="s">
        <v>38</v>
      </c>
    </row>
    <row r="7" customFormat="false" ht="15" hidden="false" customHeight="false" outlineLevel="0" collapsed="false">
      <c r="A7" s="5" t="n">
        <f aca="false">IF(B7&lt;&gt;"", COUNTA($B$2:B7), "")</f>
        <v>6</v>
      </c>
      <c r="B7" s="7" t="s">
        <v>27</v>
      </c>
      <c r="C7" s="8" t="s">
        <v>1321</v>
      </c>
      <c r="D7" s="8" t="n">
        <v>15011</v>
      </c>
      <c r="E7" s="8" t="n">
        <v>2010</v>
      </c>
      <c r="F7" s="16" t="s">
        <v>1322</v>
      </c>
      <c r="G7" s="5" t="n">
        <v>1.5</v>
      </c>
      <c r="H7" s="5" t="s">
        <v>1323</v>
      </c>
      <c r="I7" s="5" t="s">
        <v>1315</v>
      </c>
      <c r="J7" s="5" t="s">
        <v>32</v>
      </c>
      <c r="K7" s="5" t="n">
        <v>2012</v>
      </c>
      <c r="L7" s="5" t="n">
        <v>12</v>
      </c>
      <c r="M7" s="6" t="s">
        <v>37</v>
      </c>
      <c r="N7" s="8" t="s">
        <v>38</v>
      </c>
    </row>
    <row r="8" customFormat="false" ht="15" hidden="false" customHeight="false" outlineLevel="0" collapsed="false">
      <c r="A8" s="5" t="n">
        <f aca="false">IF(B8&lt;&gt;"", COUNTA($B$2:B8), "")</f>
        <v>7</v>
      </c>
      <c r="B8" s="7" t="s">
        <v>27</v>
      </c>
      <c r="C8" s="8" t="s">
        <v>1324</v>
      </c>
      <c r="D8" s="8" t="n">
        <v>15023</v>
      </c>
      <c r="E8" s="8" t="n">
        <v>2010</v>
      </c>
      <c r="F8" s="5" t="s">
        <v>1220</v>
      </c>
      <c r="G8" s="5" t="n">
        <v>1.5</v>
      </c>
      <c r="H8" s="5" t="s">
        <v>1325</v>
      </c>
      <c r="I8" s="5" t="s">
        <v>1315</v>
      </c>
      <c r="J8" s="5" t="s">
        <v>32</v>
      </c>
      <c r="K8" s="5" t="n">
        <v>2012</v>
      </c>
      <c r="L8" s="5" t="n">
        <v>12</v>
      </c>
      <c r="M8" s="6" t="s">
        <v>37</v>
      </c>
      <c r="N8" s="8" t="s">
        <v>38</v>
      </c>
    </row>
    <row r="9" customFormat="false" ht="15" hidden="false" customHeight="false" outlineLevel="0" collapsed="false">
      <c r="A9" s="5" t="n">
        <f aca="false">IF(B9&lt;&gt;"", COUNTA($B$2:B9), "")</f>
        <v>8</v>
      </c>
      <c r="B9" s="7" t="s">
        <v>27</v>
      </c>
      <c r="C9" s="8" t="s">
        <v>1324</v>
      </c>
      <c r="D9" s="8" t="n">
        <v>15048</v>
      </c>
      <c r="E9" s="8" t="n">
        <v>2010</v>
      </c>
      <c r="F9" s="5" t="s">
        <v>1220</v>
      </c>
      <c r="G9" s="5" t="n">
        <v>1.5</v>
      </c>
      <c r="H9" s="5" t="s">
        <v>1326</v>
      </c>
      <c r="I9" s="5" t="s">
        <v>1315</v>
      </c>
      <c r="J9" s="5" t="s">
        <v>32</v>
      </c>
      <c r="K9" s="5" t="n">
        <v>2012</v>
      </c>
      <c r="L9" s="5" t="n">
        <v>12</v>
      </c>
      <c r="M9" s="6" t="s">
        <v>37</v>
      </c>
      <c r="N9" s="8" t="s">
        <v>38</v>
      </c>
    </row>
    <row r="10" customFormat="false" ht="15" hidden="false" customHeight="false" outlineLevel="0" collapsed="false">
      <c r="A10" s="5" t="n">
        <f aca="false">IF(B10&lt;&gt;"", COUNTA($B$2:B10), "")</f>
        <v>9</v>
      </c>
      <c r="B10" s="7" t="s">
        <v>27</v>
      </c>
      <c r="C10" s="8" t="s">
        <v>1324</v>
      </c>
      <c r="D10" s="8" t="n">
        <v>15058</v>
      </c>
      <c r="E10" s="8" t="n">
        <v>2010</v>
      </c>
      <c r="F10" s="5" t="s">
        <v>1220</v>
      </c>
      <c r="G10" s="5" t="n">
        <v>1.5</v>
      </c>
      <c r="H10" s="5" t="s">
        <v>1327</v>
      </c>
      <c r="I10" s="5" t="s">
        <v>1315</v>
      </c>
      <c r="J10" s="5" t="s">
        <v>32</v>
      </c>
      <c r="K10" s="5" t="n">
        <v>2012</v>
      </c>
      <c r="L10" s="5" t="n">
        <v>12</v>
      </c>
      <c r="M10" s="6" t="s">
        <v>37</v>
      </c>
      <c r="N10" s="8" t="s">
        <v>38</v>
      </c>
    </row>
    <row r="11" customFormat="false" ht="15" hidden="false" customHeight="false" outlineLevel="0" collapsed="false">
      <c r="A11" s="5" t="n">
        <f aca="false">IF(B11&lt;&gt;"", COUNTA($B$2:B11), "")</f>
        <v>10</v>
      </c>
      <c r="B11" s="7" t="s">
        <v>27</v>
      </c>
      <c r="C11" s="8" t="s">
        <v>1324</v>
      </c>
      <c r="D11" s="8" t="n">
        <v>15069</v>
      </c>
      <c r="E11" s="8" t="n">
        <v>2010</v>
      </c>
      <c r="F11" s="5" t="s">
        <v>1162</v>
      </c>
      <c r="G11" s="5" t="n">
        <v>1.5</v>
      </c>
      <c r="H11" s="5" t="s">
        <v>1328</v>
      </c>
      <c r="I11" s="5" t="s">
        <v>1315</v>
      </c>
      <c r="J11" s="5" t="s">
        <v>32</v>
      </c>
      <c r="K11" s="5" t="n">
        <v>2012</v>
      </c>
      <c r="L11" s="5" t="n">
        <v>12</v>
      </c>
      <c r="M11" s="6" t="s">
        <v>37</v>
      </c>
      <c r="N11" s="8" t="s">
        <v>38</v>
      </c>
    </row>
    <row r="12" customFormat="false" ht="15" hidden="false" customHeight="false" outlineLevel="0" collapsed="false">
      <c r="A12" s="5" t="n">
        <f aca="false">IF(B12&lt;&gt;"", COUNTA($B$2:B12), "")</f>
        <v>11</v>
      </c>
      <c r="B12" s="7" t="s">
        <v>27</v>
      </c>
      <c r="C12" s="8" t="s">
        <v>1312</v>
      </c>
      <c r="D12" s="8" t="n">
        <v>15007</v>
      </c>
      <c r="E12" s="8" t="n">
        <v>2010</v>
      </c>
      <c r="F12" s="16" t="s">
        <v>1313</v>
      </c>
      <c r="G12" s="5" t="n">
        <v>1.5</v>
      </c>
      <c r="H12" s="5" t="s">
        <v>1329</v>
      </c>
      <c r="I12" s="5" t="s">
        <v>1315</v>
      </c>
      <c r="J12" s="5" t="s">
        <v>32</v>
      </c>
      <c r="K12" s="5" t="n">
        <v>2012</v>
      </c>
      <c r="L12" s="5" t="n">
        <v>12</v>
      </c>
      <c r="M12" s="6" t="s">
        <v>37</v>
      </c>
      <c r="N12" s="8" t="s">
        <v>38</v>
      </c>
    </row>
    <row r="13" customFormat="false" ht="15" hidden="false" customHeight="false" outlineLevel="0" collapsed="false">
      <c r="A13" s="5" t="n">
        <f aca="false">IF(B13&lt;&gt;"", COUNTA($B$2:B13), "")</f>
        <v>12</v>
      </c>
      <c r="B13" s="7" t="s">
        <v>27</v>
      </c>
      <c r="C13" s="8" t="s">
        <v>1321</v>
      </c>
      <c r="D13" s="8" t="n">
        <v>15012</v>
      </c>
      <c r="E13" s="8" t="n">
        <v>2010</v>
      </c>
      <c r="F13" s="16" t="s">
        <v>1322</v>
      </c>
      <c r="G13" s="5" t="n">
        <v>1.5</v>
      </c>
      <c r="H13" s="5" t="s">
        <v>1330</v>
      </c>
      <c r="I13" s="5" t="s">
        <v>1315</v>
      </c>
      <c r="J13" s="5" t="s">
        <v>32</v>
      </c>
      <c r="K13" s="5" t="n">
        <v>2012</v>
      </c>
      <c r="L13" s="5" t="n">
        <v>12</v>
      </c>
      <c r="M13" s="6" t="s">
        <v>37</v>
      </c>
      <c r="N13" s="8" t="s">
        <v>38</v>
      </c>
    </row>
    <row r="14" customFormat="false" ht="15" hidden="false" customHeight="false" outlineLevel="0" collapsed="false">
      <c r="A14" s="5" t="n">
        <f aca="false">IF(B14&lt;&gt;"", COUNTA($B$2:B14), "")</f>
        <v>13</v>
      </c>
      <c r="B14" s="7" t="s">
        <v>27</v>
      </c>
      <c r="C14" s="8" t="s">
        <v>1324</v>
      </c>
      <c r="D14" s="8" t="n">
        <v>15052</v>
      </c>
      <c r="E14" s="8" t="n">
        <v>2010</v>
      </c>
      <c r="F14" s="5" t="s">
        <v>1220</v>
      </c>
      <c r="G14" s="5" t="n">
        <v>1.5</v>
      </c>
      <c r="H14" s="5" t="s">
        <v>1331</v>
      </c>
      <c r="I14" s="5" t="s">
        <v>1315</v>
      </c>
      <c r="J14" s="5" t="s">
        <v>32</v>
      </c>
      <c r="K14" s="5" t="n">
        <v>2012</v>
      </c>
      <c r="L14" s="5" t="n">
        <v>12</v>
      </c>
      <c r="M14" s="6" t="s">
        <v>37</v>
      </c>
      <c r="N14" s="8" t="s">
        <v>38</v>
      </c>
    </row>
    <row r="15" customFormat="false" ht="15" hidden="false" customHeight="false" outlineLevel="0" collapsed="false">
      <c r="A15" s="5" t="n">
        <f aca="false">IF(B15&lt;&gt;"", COUNTA($B$2:B15), "")</f>
        <v>14</v>
      </c>
      <c r="B15" s="7" t="s">
        <v>27</v>
      </c>
      <c r="C15" s="8" t="s">
        <v>1324</v>
      </c>
      <c r="D15" s="8" t="n">
        <v>15061</v>
      </c>
      <c r="E15" s="8" t="n">
        <v>2010</v>
      </c>
      <c r="F15" s="5" t="s">
        <v>1220</v>
      </c>
      <c r="G15" s="5" t="n">
        <v>1.5</v>
      </c>
      <c r="H15" s="5" t="s">
        <v>1332</v>
      </c>
      <c r="I15" s="5" t="s">
        <v>1315</v>
      </c>
      <c r="J15" s="5" t="s">
        <v>32</v>
      </c>
      <c r="K15" s="5" t="n">
        <v>2012</v>
      </c>
      <c r="L15" s="5" t="n">
        <v>12</v>
      </c>
      <c r="M15" s="6" t="s">
        <v>37</v>
      </c>
      <c r="N15" s="8" t="s">
        <v>38</v>
      </c>
    </row>
    <row r="16" customFormat="false" ht="15" hidden="false" customHeight="false" outlineLevel="0" collapsed="false">
      <c r="A16" s="5" t="n">
        <f aca="false">IF(B16&lt;&gt;"", COUNTA($B$2:B16), "")</f>
        <v>15</v>
      </c>
      <c r="B16" s="7" t="s">
        <v>27</v>
      </c>
      <c r="C16" s="8" t="s">
        <v>1324</v>
      </c>
      <c r="D16" s="8" t="n">
        <v>15054</v>
      </c>
      <c r="E16" s="8" t="n">
        <v>2010</v>
      </c>
      <c r="F16" s="5" t="s">
        <v>1220</v>
      </c>
      <c r="G16" s="5" t="n">
        <v>1.5</v>
      </c>
      <c r="H16" s="5" t="s">
        <v>1333</v>
      </c>
      <c r="I16" s="5" t="s">
        <v>1315</v>
      </c>
      <c r="J16" s="5" t="s">
        <v>32</v>
      </c>
      <c r="K16" s="5" t="n">
        <v>2012</v>
      </c>
      <c r="L16" s="5" t="n">
        <v>12</v>
      </c>
      <c r="M16" s="6" t="s">
        <v>37</v>
      </c>
      <c r="N16" s="8" t="s">
        <v>38</v>
      </c>
    </row>
    <row r="17" customFormat="false" ht="15" hidden="false" customHeight="false" outlineLevel="0" collapsed="false">
      <c r="A17" s="5" t="n">
        <f aca="false">IF(B17&lt;&gt;"", COUNTA($B$2:B17), "")</f>
        <v>16</v>
      </c>
      <c r="B17" s="7" t="s">
        <v>27</v>
      </c>
      <c r="C17" s="8" t="s">
        <v>1000</v>
      </c>
      <c r="D17" s="8" t="n">
        <v>1322111</v>
      </c>
      <c r="E17" s="8" t="n">
        <v>2010</v>
      </c>
      <c r="F17" s="5" t="s">
        <v>1162</v>
      </c>
      <c r="G17" s="5" t="n">
        <v>1.5</v>
      </c>
      <c r="H17" s="5" t="s">
        <v>1334</v>
      </c>
      <c r="I17" s="5" t="s">
        <v>1315</v>
      </c>
      <c r="J17" s="5" t="s">
        <v>32</v>
      </c>
      <c r="K17" s="5" t="n">
        <v>2012</v>
      </c>
      <c r="L17" s="5" t="n">
        <v>12</v>
      </c>
      <c r="M17" s="6" t="s">
        <v>37</v>
      </c>
      <c r="N17" s="8" t="s">
        <v>38</v>
      </c>
    </row>
    <row r="18" customFormat="false" ht="15" hidden="false" customHeight="false" outlineLevel="0" collapsed="false">
      <c r="A18" s="5" t="n">
        <f aca="false">IF(B18&lt;&gt;"", COUNTA($B$2:B18), "")</f>
        <v>17</v>
      </c>
      <c r="B18" s="7" t="s">
        <v>27</v>
      </c>
      <c r="C18" s="8" t="s">
        <v>1312</v>
      </c>
      <c r="D18" s="8" t="n">
        <v>15009</v>
      </c>
      <c r="E18" s="8" t="n">
        <v>2010</v>
      </c>
      <c r="F18" s="16" t="s">
        <v>1313</v>
      </c>
      <c r="G18" s="5" t="n">
        <v>1.5</v>
      </c>
      <c r="H18" s="5" t="s">
        <v>1335</v>
      </c>
      <c r="I18" s="5" t="s">
        <v>1315</v>
      </c>
      <c r="J18" s="5" t="s">
        <v>32</v>
      </c>
      <c r="K18" s="5" t="n">
        <v>2012</v>
      </c>
      <c r="L18" s="5" t="n">
        <v>12</v>
      </c>
      <c r="M18" s="6" t="s">
        <v>37</v>
      </c>
      <c r="N18" s="8" t="s">
        <v>38</v>
      </c>
    </row>
    <row r="19" customFormat="false" ht="15" hidden="false" customHeight="false" outlineLevel="0" collapsed="false">
      <c r="A19" s="5" t="n">
        <f aca="false">IF(B19&lt;&gt;"", COUNTA($B$2:B19), "")</f>
        <v>18</v>
      </c>
      <c r="B19" s="7" t="s">
        <v>27</v>
      </c>
      <c r="C19" s="8" t="s">
        <v>1321</v>
      </c>
      <c r="D19" s="8" t="n">
        <v>15013</v>
      </c>
      <c r="E19" s="8" t="n">
        <v>2010</v>
      </c>
      <c r="F19" s="16" t="s">
        <v>1322</v>
      </c>
      <c r="G19" s="5" t="n">
        <v>1.5</v>
      </c>
      <c r="H19" s="5" t="s">
        <v>1336</v>
      </c>
      <c r="I19" s="5" t="s">
        <v>1315</v>
      </c>
      <c r="J19" s="5" t="s">
        <v>32</v>
      </c>
      <c r="K19" s="5" t="n">
        <v>2012</v>
      </c>
      <c r="L19" s="5" t="n">
        <v>12</v>
      </c>
      <c r="M19" s="6" t="s">
        <v>37</v>
      </c>
      <c r="N19" s="8" t="s">
        <v>38</v>
      </c>
    </row>
    <row r="20" customFormat="false" ht="15" hidden="false" customHeight="false" outlineLevel="0" collapsed="false">
      <c r="A20" s="5" t="n">
        <f aca="false">IF(B20&lt;&gt;"", COUNTA($B$2:B20), "")</f>
        <v>19</v>
      </c>
      <c r="B20" s="7" t="s">
        <v>27</v>
      </c>
      <c r="C20" s="8" t="s">
        <v>1324</v>
      </c>
      <c r="D20" s="8" t="n">
        <v>15059</v>
      </c>
      <c r="E20" s="8" t="n">
        <v>2010</v>
      </c>
      <c r="F20" s="5" t="s">
        <v>1220</v>
      </c>
      <c r="G20" s="5" t="n">
        <v>1.5</v>
      </c>
      <c r="H20" s="5" t="s">
        <v>1337</v>
      </c>
      <c r="I20" s="5" t="s">
        <v>1315</v>
      </c>
      <c r="J20" s="5" t="s">
        <v>32</v>
      </c>
      <c r="K20" s="5" t="n">
        <v>2012</v>
      </c>
      <c r="L20" s="5" t="n">
        <v>12</v>
      </c>
      <c r="M20" s="6" t="s">
        <v>37</v>
      </c>
      <c r="N20" s="8" t="s">
        <v>38</v>
      </c>
    </row>
    <row r="21" customFormat="false" ht="15" hidden="false" customHeight="false" outlineLevel="0" collapsed="false">
      <c r="A21" s="5" t="n">
        <f aca="false">IF(B21&lt;&gt;"", COUNTA($B$2:B21), "")</f>
        <v>20</v>
      </c>
      <c r="B21" s="7" t="s">
        <v>27</v>
      </c>
      <c r="C21" s="8" t="s">
        <v>1324</v>
      </c>
      <c r="D21" s="8" t="n">
        <v>15028</v>
      </c>
      <c r="E21" s="8" t="n">
        <v>2010</v>
      </c>
      <c r="F21" s="5" t="s">
        <v>1220</v>
      </c>
      <c r="G21" s="5" t="n">
        <v>1.5</v>
      </c>
      <c r="H21" s="5" t="s">
        <v>1338</v>
      </c>
      <c r="I21" s="5" t="s">
        <v>1315</v>
      </c>
      <c r="J21" s="5" t="s">
        <v>32</v>
      </c>
      <c r="K21" s="5" t="n">
        <v>2012</v>
      </c>
      <c r="L21" s="5" t="n">
        <v>12</v>
      </c>
      <c r="M21" s="6" t="s">
        <v>37</v>
      </c>
      <c r="N21" s="8" t="s">
        <v>38</v>
      </c>
    </row>
    <row r="22" customFormat="false" ht="15" hidden="false" customHeight="false" outlineLevel="0" collapsed="false">
      <c r="A22" s="5" t="n">
        <f aca="false">IF(B22&lt;&gt;"", COUNTA($B$2:B22), "")</f>
        <v>21</v>
      </c>
      <c r="B22" s="7" t="s">
        <v>27</v>
      </c>
      <c r="C22" s="8" t="s">
        <v>1000</v>
      </c>
      <c r="D22" s="8" t="n">
        <v>1426119</v>
      </c>
      <c r="E22" s="8" t="n">
        <v>2010</v>
      </c>
      <c r="F22" s="5" t="s">
        <v>1220</v>
      </c>
      <c r="G22" s="5" t="n">
        <v>1.5</v>
      </c>
      <c r="H22" s="5" t="s">
        <v>1339</v>
      </c>
      <c r="I22" s="5" t="s">
        <v>1315</v>
      </c>
      <c r="J22" s="5" t="s">
        <v>32</v>
      </c>
      <c r="K22" s="5" t="n">
        <v>2012</v>
      </c>
      <c r="L22" s="5" t="n">
        <v>12</v>
      </c>
      <c r="M22" s="6" t="s">
        <v>37</v>
      </c>
      <c r="N22" s="8" t="s">
        <v>38</v>
      </c>
    </row>
    <row r="23" customFormat="false" ht="15" hidden="false" customHeight="false" outlineLevel="0" collapsed="false">
      <c r="A23" s="5" t="n">
        <f aca="false">IF(B23&lt;&gt;"", COUNTA($B$2:B23), "")</f>
        <v>22</v>
      </c>
      <c r="B23" s="7" t="s">
        <v>27</v>
      </c>
      <c r="C23" s="8" t="s">
        <v>1324</v>
      </c>
      <c r="D23" s="8" t="n">
        <v>15024</v>
      </c>
      <c r="E23" s="8" t="n">
        <v>2010</v>
      </c>
      <c r="F23" s="5" t="s">
        <v>1162</v>
      </c>
      <c r="G23" s="5" t="n">
        <v>1.5</v>
      </c>
      <c r="H23" s="5" t="s">
        <v>1340</v>
      </c>
      <c r="I23" s="5" t="s">
        <v>1315</v>
      </c>
      <c r="J23" s="5" t="s">
        <v>32</v>
      </c>
      <c r="K23" s="5" t="n">
        <v>2012</v>
      </c>
      <c r="L23" s="5" t="n">
        <v>12</v>
      </c>
      <c r="M23" s="6" t="s">
        <v>37</v>
      </c>
      <c r="N23" s="8" t="s">
        <v>38</v>
      </c>
    </row>
    <row r="24" customFormat="false" ht="15" hidden="false" customHeight="false" outlineLevel="0" collapsed="false">
      <c r="A24" s="5" t="n">
        <f aca="false">IF(B24&lt;&gt;"", COUNTA($B$2:B24), "")</f>
        <v>23</v>
      </c>
      <c r="B24" s="7" t="s">
        <v>27</v>
      </c>
      <c r="C24" s="8" t="s">
        <v>28</v>
      </c>
      <c r="D24" s="8" t="n">
        <v>15052</v>
      </c>
      <c r="E24" s="8" t="n">
        <v>2010</v>
      </c>
      <c r="F24" s="5" t="s">
        <v>1220</v>
      </c>
      <c r="G24" s="5" t="n">
        <v>1.5</v>
      </c>
      <c r="H24" s="5" t="s">
        <v>1341</v>
      </c>
      <c r="I24" s="5" t="s">
        <v>1315</v>
      </c>
      <c r="J24" s="5" t="s">
        <v>32</v>
      </c>
      <c r="K24" s="5" t="n">
        <v>2012</v>
      </c>
      <c r="L24" s="5" t="n">
        <v>12</v>
      </c>
      <c r="M24" s="6" t="s">
        <v>37</v>
      </c>
      <c r="N24" s="8" t="s">
        <v>38</v>
      </c>
    </row>
    <row r="25" customFormat="false" ht="15" hidden="false" customHeight="false" outlineLevel="0" collapsed="false">
      <c r="A25" s="5" t="n">
        <f aca="false">IF(B25&lt;&gt;"", COUNTA($B$2:B25), "")</f>
        <v>24</v>
      </c>
      <c r="B25" s="7" t="s">
        <v>27</v>
      </c>
      <c r="C25" s="8" t="s">
        <v>500</v>
      </c>
      <c r="D25" s="8" t="n">
        <v>15521</v>
      </c>
      <c r="E25" s="8" t="n">
        <v>2010</v>
      </c>
      <c r="F25" s="5" t="s">
        <v>1220</v>
      </c>
      <c r="G25" s="5" t="n">
        <v>1.5</v>
      </c>
      <c r="H25" s="5" t="s">
        <v>1342</v>
      </c>
      <c r="I25" s="5" t="s">
        <v>1315</v>
      </c>
      <c r="J25" s="5" t="s">
        <v>32</v>
      </c>
      <c r="K25" s="5" t="n">
        <v>2012</v>
      </c>
      <c r="L25" s="5" t="n">
        <v>12</v>
      </c>
      <c r="M25" s="6" t="s">
        <v>37</v>
      </c>
      <c r="N25" s="8" t="s">
        <v>38</v>
      </c>
    </row>
    <row r="26" customFormat="false" ht="15" hidden="false" customHeight="false" outlineLevel="0" collapsed="false">
      <c r="A26" s="5" t="n">
        <f aca="false">IF(B26&lt;&gt;"", COUNTA($B$2:B26), "")</f>
        <v>25</v>
      </c>
      <c r="B26" s="7" t="s">
        <v>27</v>
      </c>
      <c r="C26" s="8" t="s">
        <v>1000</v>
      </c>
      <c r="D26" s="8" t="n">
        <v>1426129</v>
      </c>
      <c r="E26" s="8" t="n">
        <v>2010</v>
      </c>
      <c r="F26" s="5" t="s">
        <v>1162</v>
      </c>
      <c r="G26" s="5" t="n">
        <v>1</v>
      </c>
      <c r="H26" s="5" t="s">
        <v>1343</v>
      </c>
      <c r="I26" s="5" t="s">
        <v>1315</v>
      </c>
      <c r="J26" s="5" t="s">
        <v>32</v>
      </c>
      <c r="K26" s="5" t="n">
        <v>2012</v>
      </c>
      <c r="L26" s="5" t="n">
        <v>12</v>
      </c>
      <c r="M26" s="6" t="s">
        <v>37</v>
      </c>
      <c r="N26" s="8" t="s">
        <v>38</v>
      </c>
    </row>
    <row r="27" customFormat="false" ht="15" hidden="false" customHeight="false" outlineLevel="0" collapsed="false">
      <c r="A27" s="5" t="n">
        <f aca="false">IF(B27&lt;&gt;"", COUNTA($B$2:B27), "")</f>
        <v>26</v>
      </c>
      <c r="B27" s="7" t="s">
        <v>27</v>
      </c>
      <c r="C27" s="8" t="s">
        <v>1000</v>
      </c>
      <c r="D27" s="8" t="n">
        <v>146275</v>
      </c>
      <c r="E27" s="8" t="n">
        <v>2010</v>
      </c>
      <c r="F27" s="5" t="s">
        <v>1162</v>
      </c>
      <c r="G27" s="5" t="n">
        <v>1</v>
      </c>
      <c r="H27" s="5" t="s">
        <v>1344</v>
      </c>
      <c r="I27" s="5" t="s">
        <v>1315</v>
      </c>
      <c r="J27" s="5" t="s">
        <v>32</v>
      </c>
      <c r="K27" s="5" t="n">
        <v>2012</v>
      </c>
      <c r="L27" s="5" t="n">
        <v>12</v>
      </c>
      <c r="M27" s="6" t="s">
        <v>37</v>
      </c>
      <c r="N27" s="8" t="s">
        <v>38</v>
      </c>
    </row>
    <row r="28" customFormat="false" ht="15" hidden="false" customHeight="false" outlineLevel="0" collapsed="false">
      <c r="A28" s="5" t="n">
        <f aca="false">IF(B28&lt;&gt;"", COUNTA($B$2:B28), "")</f>
        <v>27</v>
      </c>
      <c r="B28" s="7" t="s">
        <v>27</v>
      </c>
      <c r="C28" s="8" t="s">
        <v>1345</v>
      </c>
      <c r="D28" s="8" t="n">
        <v>15628</v>
      </c>
      <c r="E28" s="8" t="n">
        <v>2010</v>
      </c>
      <c r="F28" s="5" t="s">
        <v>1162</v>
      </c>
      <c r="G28" s="5" t="n">
        <v>1.5</v>
      </c>
      <c r="H28" s="5" t="s">
        <v>1346</v>
      </c>
      <c r="I28" s="5" t="s">
        <v>1315</v>
      </c>
      <c r="J28" s="5" t="s">
        <v>32</v>
      </c>
      <c r="K28" s="5" t="n">
        <v>2012</v>
      </c>
      <c r="L28" s="5" t="n">
        <v>12</v>
      </c>
      <c r="M28" s="6" t="s">
        <v>37</v>
      </c>
      <c r="N28" s="8" t="s">
        <v>38</v>
      </c>
    </row>
    <row r="29" customFormat="false" ht="15" hidden="false" customHeight="false" outlineLevel="0" collapsed="false">
      <c r="A29" s="5" t="n">
        <f aca="false">IF(B29&lt;&gt;"", COUNTA($B$2:B29), "")</f>
        <v>28</v>
      </c>
      <c r="B29" s="7" t="s">
        <v>27</v>
      </c>
      <c r="C29" s="8" t="s">
        <v>1345</v>
      </c>
      <c r="D29" s="8" t="n">
        <v>51752</v>
      </c>
      <c r="E29" s="8" t="n">
        <v>2010</v>
      </c>
      <c r="F29" s="5" t="s">
        <v>1162</v>
      </c>
      <c r="G29" s="5" t="n">
        <v>1.5</v>
      </c>
      <c r="H29" s="5" t="s">
        <v>1347</v>
      </c>
      <c r="I29" s="5" t="s">
        <v>1315</v>
      </c>
      <c r="J29" s="5" t="s">
        <v>32</v>
      </c>
      <c r="K29" s="5" t="n">
        <v>2012</v>
      </c>
      <c r="L29" s="5" t="n">
        <v>12</v>
      </c>
      <c r="M29" s="6" t="s">
        <v>37</v>
      </c>
      <c r="N29" s="8" t="s">
        <v>38</v>
      </c>
    </row>
    <row r="30" customFormat="false" ht="22.5" hidden="false" customHeight="false" outlineLevel="0" collapsed="false">
      <c r="A30" s="5" t="n">
        <f aca="false">IF(B30&lt;&gt;"", COUNTA($B$2:B30), "")</f>
        <v>29</v>
      </c>
      <c r="B30" s="7" t="s">
        <v>27</v>
      </c>
      <c r="C30" s="8" t="s">
        <v>1324</v>
      </c>
      <c r="D30" s="8" t="n">
        <v>15025</v>
      </c>
      <c r="E30" s="8" t="n">
        <v>2010</v>
      </c>
      <c r="F30" s="5" t="s">
        <v>1220</v>
      </c>
      <c r="G30" s="5" t="n">
        <v>1.5</v>
      </c>
      <c r="H30" s="5" t="s">
        <v>1348</v>
      </c>
      <c r="I30" s="5" t="s">
        <v>1315</v>
      </c>
      <c r="J30" s="5" t="s">
        <v>32</v>
      </c>
      <c r="K30" s="5" t="n">
        <v>2012</v>
      </c>
      <c r="L30" s="5" t="n">
        <v>12</v>
      </c>
      <c r="M30" s="6" t="s">
        <v>37</v>
      </c>
      <c r="N30" s="8" t="s">
        <v>38</v>
      </c>
    </row>
    <row r="31" customFormat="false" ht="33.75" hidden="false" customHeight="false" outlineLevel="0" collapsed="false">
      <c r="A31" s="5" t="n">
        <f aca="false">IF(B31&lt;&gt;"", COUNTA($B$2:B31), "")</f>
        <v>30</v>
      </c>
      <c r="B31" s="7" t="s">
        <v>27</v>
      </c>
      <c r="C31" s="8" t="s">
        <v>1000</v>
      </c>
      <c r="D31" s="8" t="n">
        <v>1426130</v>
      </c>
      <c r="E31" s="8" t="n">
        <v>2010</v>
      </c>
      <c r="F31" s="5" t="s">
        <v>1162</v>
      </c>
      <c r="G31" s="5" t="n">
        <v>1</v>
      </c>
      <c r="H31" s="5" t="s">
        <v>1349</v>
      </c>
      <c r="I31" s="5" t="s">
        <v>1315</v>
      </c>
      <c r="J31" s="5" t="s">
        <v>32</v>
      </c>
      <c r="K31" s="5" t="n">
        <v>2012</v>
      </c>
      <c r="L31" s="5" t="n">
        <v>12</v>
      </c>
      <c r="M31" s="6" t="s">
        <v>37</v>
      </c>
      <c r="N31" s="8" t="s">
        <v>38</v>
      </c>
    </row>
    <row r="32" customFormat="false" ht="22.5" hidden="false" customHeight="false" outlineLevel="0" collapsed="false">
      <c r="A32" s="5" t="n">
        <f aca="false">IF(B32&lt;&gt;"", COUNTA($B$2:B32), "")</f>
        <v>31</v>
      </c>
      <c r="B32" s="7" t="s">
        <v>27</v>
      </c>
      <c r="C32" s="8" t="s">
        <v>1324</v>
      </c>
      <c r="D32" s="8" t="n">
        <v>15065</v>
      </c>
      <c r="E32" s="8" t="n">
        <v>2010</v>
      </c>
      <c r="F32" s="5" t="s">
        <v>1162</v>
      </c>
      <c r="G32" s="5" t="n">
        <v>1.5</v>
      </c>
      <c r="H32" s="5" t="s">
        <v>1350</v>
      </c>
      <c r="I32" s="5" t="s">
        <v>1315</v>
      </c>
      <c r="J32" s="5" t="s">
        <v>32</v>
      </c>
      <c r="K32" s="5" t="n">
        <v>2012</v>
      </c>
      <c r="L32" s="5" t="n">
        <v>12</v>
      </c>
      <c r="M32" s="6" t="s">
        <v>37</v>
      </c>
      <c r="N32" s="8" t="s">
        <v>38</v>
      </c>
    </row>
    <row r="33" customFormat="false" ht="22.5" hidden="false" customHeight="false" outlineLevel="0" collapsed="false">
      <c r="A33" s="5" t="n">
        <f aca="false">IF(B33&lt;&gt;"", COUNTA($B$2:B33), "")</f>
        <v>32</v>
      </c>
      <c r="B33" s="7" t="s">
        <v>27</v>
      </c>
      <c r="C33" s="8" t="s">
        <v>1324</v>
      </c>
      <c r="D33" s="8" t="n">
        <v>15050</v>
      </c>
      <c r="E33" s="8" t="n">
        <v>2010</v>
      </c>
      <c r="F33" s="5" t="s">
        <v>1220</v>
      </c>
      <c r="G33" s="5" t="n">
        <v>1.5</v>
      </c>
      <c r="H33" s="5" t="s">
        <v>1351</v>
      </c>
      <c r="I33" s="5" t="s">
        <v>1315</v>
      </c>
      <c r="J33" s="5" t="s">
        <v>32</v>
      </c>
      <c r="K33" s="5" t="n">
        <v>2012</v>
      </c>
      <c r="L33" s="5" t="n">
        <v>12</v>
      </c>
      <c r="M33" s="6" t="s">
        <v>37</v>
      </c>
      <c r="N33" s="8" t="s">
        <v>38</v>
      </c>
    </row>
    <row r="34" customFormat="false" ht="22.5" hidden="false" customHeight="false" outlineLevel="0" collapsed="false">
      <c r="A34" s="5" t="n">
        <f aca="false">IF(B34&lt;&gt;"", COUNTA($B$2:B34), "")</f>
        <v>33</v>
      </c>
      <c r="B34" s="7" t="s">
        <v>27</v>
      </c>
      <c r="C34" s="8" t="s">
        <v>1324</v>
      </c>
      <c r="D34" s="8" t="n">
        <v>15064</v>
      </c>
      <c r="E34" s="8" t="n">
        <v>2010</v>
      </c>
      <c r="F34" s="5" t="s">
        <v>1162</v>
      </c>
      <c r="G34" s="5" t="n">
        <v>1.5</v>
      </c>
      <c r="H34" s="5" t="s">
        <v>1352</v>
      </c>
      <c r="I34" s="5" t="s">
        <v>1315</v>
      </c>
      <c r="J34" s="5" t="s">
        <v>32</v>
      </c>
      <c r="K34" s="5" t="n">
        <v>2012</v>
      </c>
      <c r="L34" s="5" t="n">
        <v>12</v>
      </c>
      <c r="M34" s="6" t="s">
        <v>37</v>
      </c>
      <c r="N34" s="8" t="s">
        <v>38</v>
      </c>
    </row>
    <row r="35" customFormat="false" ht="15" hidden="false" customHeight="false" outlineLevel="0" collapsed="false">
      <c r="A35" s="5" t="n">
        <f aca="false">IF(B35&lt;&gt;"", COUNTA($B$2:B35), "")</f>
        <v>34</v>
      </c>
      <c r="B35" s="7" t="s">
        <v>27</v>
      </c>
      <c r="C35" s="8" t="s">
        <v>1324</v>
      </c>
      <c r="D35" s="8" t="n">
        <v>15051</v>
      </c>
      <c r="E35" s="8" t="n">
        <v>2010</v>
      </c>
      <c r="F35" s="5" t="s">
        <v>1220</v>
      </c>
      <c r="G35" s="5" t="n">
        <v>1.5</v>
      </c>
      <c r="H35" s="5" t="s">
        <v>1353</v>
      </c>
      <c r="I35" s="5" t="s">
        <v>1315</v>
      </c>
      <c r="J35" s="5" t="s">
        <v>32</v>
      </c>
      <c r="K35" s="5" t="n">
        <v>2012</v>
      </c>
      <c r="L35" s="5" t="n">
        <v>12</v>
      </c>
      <c r="M35" s="6" t="s">
        <v>37</v>
      </c>
      <c r="N35" s="8" t="s">
        <v>38</v>
      </c>
    </row>
    <row r="36" customFormat="false" ht="1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8" t="s">
        <v>1324</v>
      </c>
      <c r="D36" s="8" t="n">
        <v>15056</v>
      </c>
      <c r="E36" s="8" t="n">
        <v>2010</v>
      </c>
      <c r="F36" s="5" t="s">
        <v>1220</v>
      </c>
      <c r="G36" s="5" t="n">
        <v>1.5</v>
      </c>
      <c r="H36" s="5" t="s">
        <v>1354</v>
      </c>
      <c r="I36" s="5" t="s">
        <v>1315</v>
      </c>
      <c r="J36" s="5" t="s">
        <v>32</v>
      </c>
      <c r="K36" s="5" t="n">
        <v>2012</v>
      </c>
      <c r="L36" s="5" t="n">
        <v>12</v>
      </c>
      <c r="M36" s="6" t="s">
        <v>37</v>
      </c>
      <c r="N36" s="8" t="s">
        <v>38</v>
      </c>
    </row>
    <row r="37" customFormat="false" ht="1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8" t="s">
        <v>1324</v>
      </c>
      <c r="D37" s="8" t="n">
        <v>15053</v>
      </c>
      <c r="E37" s="8" t="n">
        <v>2010</v>
      </c>
      <c r="F37" s="5" t="s">
        <v>1220</v>
      </c>
      <c r="G37" s="5" t="n">
        <v>1.5</v>
      </c>
      <c r="H37" s="5" t="s">
        <v>1355</v>
      </c>
      <c r="I37" s="5" t="s">
        <v>1315</v>
      </c>
      <c r="J37" s="5" t="s">
        <v>32</v>
      </c>
      <c r="K37" s="5" t="n">
        <v>2012</v>
      </c>
      <c r="L37" s="5" t="n">
        <v>12</v>
      </c>
      <c r="M37" s="6" t="s">
        <v>37</v>
      </c>
      <c r="N37" s="8" t="s">
        <v>38</v>
      </c>
    </row>
    <row r="38" customFormat="false" ht="15" hidden="false" customHeight="false" outlineLevel="0" collapsed="false">
      <c r="A38" s="5" t="n">
        <f aca="false">IF(B38&lt;&gt;"", COUNTA($B$2:B38), "")</f>
        <v>37</v>
      </c>
      <c r="B38" s="7" t="s">
        <v>27</v>
      </c>
      <c r="C38" s="8" t="s">
        <v>121</v>
      </c>
      <c r="D38" s="8" t="n">
        <v>15161</v>
      </c>
      <c r="E38" s="8" t="n">
        <v>2010</v>
      </c>
      <c r="F38" s="5" t="s">
        <v>1356</v>
      </c>
      <c r="G38" s="5" t="n">
        <v>1.5</v>
      </c>
      <c r="H38" s="5" t="s">
        <v>1357</v>
      </c>
      <c r="I38" s="5" t="s">
        <v>1315</v>
      </c>
      <c r="J38" s="5" t="s">
        <v>32</v>
      </c>
      <c r="K38" s="5" t="n">
        <v>2012</v>
      </c>
      <c r="L38" s="5" t="n">
        <v>12</v>
      </c>
      <c r="M38" s="6" t="s">
        <v>37</v>
      </c>
      <c r="N38" s="8" t="s">
        <v>38</v>
      </c>
    </row>
    <row r="39" customFormat="false" ht="15" hidden="false" customHeight="false" outlineLevel="0" collapsed="false">
      <c r="A39" s="5" t="n">
        <f aca="false">IF(B39&lt;&gt;"", COUNTA($B$2:B39), "")</f>
        <v>38</v>
      </c>
      <c r="B39" s="7" t="s">
        <v>27</v>
      </c>
      <c r="C39" s="8" t="s">
        <v>500</v>
      </c>
      <c r="D39" s="8" t="n">
        <v>600488</v>
      </c>
      <c r="E39" s="8" t="n">
        <v>2010</v>
      </c>
      <c r="F39" s="5" t="s">
        <v>1162</v>
      </c>
      <c r="G39" s="5" t="n">
        <v>1.5</v>
      </c>
      <c r="H39" s="5" t="s">
        <v>1358</v>
      </c>
      <c r="I39" s="5" t="s">
        <v>1315</v>
      </c>
      <c r="J39" s="5" t="s">
        <v>32</v>
      </c>
      <c r="K39" s="5" t="n">
        <v>2012</v>
      </c>
      <c r="L39" s="5" t="n">
        <v>12</v>
      </c>
      <c r="M39" s="6" t="s">
        <v>37</v>
      </c>
      <c r="N39" s="8" t="s">
        <v>38</v>
      </c>
    </row>
    <row r="40" customFormat="false" ht="15" hidden="false" customHeight="false" outlineLevel="0" collapsed="false">
      <c r="A40" s="5" t="n">
        <f aca="false">IF(B40&lt;&gt;"", COUNTA($B$2:B40), "")</f>
        <v>39</v>
      </c>
      <c r="B40" s="7" t="s">
        <v>27</v>
      </c>
      <c r="C40" s="8" t="s">
        <v>1324</v>
      </c>
      <c r="D40" s="8" t="n">
        <v>15067</v>
      </c>
      <c r="E40" s="8" t="n">
        <v>2010</v>
      </c>
      <c r="F40" s="5" t="s">
        <v>1162</v>
      </c>
      <c r="G40" s="5" t="n">
        <v>1.5</v>
      </c>
      <c r="H40" s="5" t="s">
        <v>1359</v>
      </c>
      <c r="I40" s="5" t="s">
        <v>1315</v>
      </c>
      <c r="J40" s="5" t="s">
        <v>32</v>
      </c>
      <c r="K40" s="5" t="n">
        <v>2012</v>
      </c>
      <c r="L40" s="5" t="n">
        <v>12</v>
      </c>
      <c r="M40" s="6" t="s">
        <v>37</v>
      </c>
      <c r="N40" s="8" t="s">
        <v>38</v>
      </c>
    </row>
    <row r="41" customFormat="false" ht="15" hidden="false" customHeight="false" outlineLevel="0" collapsed="false">
      <c r="A41" s="5" t="n">
        <f aca="false">IF(B41&lt;&gt;"", COUNTA($B$2:B41), "")</f>
        <v>40</v>
      </c>
      <c r="B41" s="7" t="s">
        <v>27</v>
      </c>
      <c r="C41" s="8" t="s">
        <v>1324</v>
      </c>
      <c r="D41" s="8" t="n">
        <v>15068</v>
      </c>
      <c r="E41" s="8" t="n">
        <v>2010</v>
      </c>
      <c r="F41" s="5" t="s">
        <v>1162</v>
      </c>
      <c r="G41" s="5" t="n">
        <v>1.5</v>
      </c>
      <c r="H41" s="5" t="s">
        <v>1360</v>
      </c>
      <c r="I41" s="5" t="s">
        <v>1315</v>
      </c>
      <c r="J41" s="5" t="s">
        <v>32</v>
      </c>
      <c r="K41" s="5" t="n">
        <v>2012</v>
      </c>
      <c r="L41" s="5" t="n">
        <v>12</v>
      </c>
      <c r="M41" s="6" t="s">
        <v>37</v>
      </c>
      <c r="N41" s="8" t="s">
        <v>38</v>
      </c>
    </row>
    <row r="42" customFormat="false" ht="15" hidden="false" customHeight="false" outlineLevel="0" collapsed="false">
      <c r="A42" s="5" t="n">
        <f aca="false">IF(B42&lt;&gt;"", COUNTA($B$2:B42), "")</f>
        <v>41</v>
      </c>
      <c r="B42" s="7" t="s">
        <v>27</v>
      </c>
      <c r="C42" s="8" t="s">
        <v>1000</v>
      </c>
      <c r="D42" s="8" t="n">
        <v>1322110</v>
      </c>
      <c r="E42" s="8" t="n">
        <v>2010</v>
      </c>
      <c r="F42" s="5" t="s">
        <v>1162</v>
      </c>
      <c r="G42" s="5" t="n">
        <v>1.5</v>
      </c>
      <c r="H42" s="5" t="s">
        <v>1361</v>
      </c>
      <c r="I42" s="5" t="s">
        <v>1315</v>
      </c>
      <c r="J42" s="5" t="s">
        <v>32</v>
      </c>
      <c r="K42" s="5" t="n">
        <v>2012</v>
      </c>
      <c r="L42" s="5" t="n">
        <v>12</v>
      </c>
      <c r="M42" s="6" t="s">
        <v>37</v>
      </c>
      <c r="N42" s="8" t="s">
        <v>38</v>
      </c>
    </row>
    <row r="43" customFormat="false" ht="15" hidden="false" customHeight="false" outlineLevel="0" collapsed="false">
      <c r="A43" s="5" t="n">
        <f aca="false">IF(B43&lt;&gt;"", COUNTA($B$2:B43), "")</f>
        <v>42</v>
      </c>
      <c r="B43" s="7" t="s">
        <v>27</v>
      </c>
      <c r="C43" s="8" t="s">
        <v>1000</v>
      </c>
      <c r="D43" s="8" t="n">
        <v>1426125</v>
      </c>
      <c r="E43" s="8" t="n">
        <v>2010</v>
      </c>
      <c r="F43" s="5" t="s">
        <v>1162</v>
      </c>
      <c r="G43" s="5" t="n">
        <v>1</v>
      </c>
      <c r="H43" s="5" t="s">
        <v>1362</v>
      </c>
      <c r="I43" s="5" t="s">
        <v>1315</v>
      </c>
      <c r="J43" s="5" t="s">
        <v>32</v>
      </c>
      <c r="K43" s="5" t="n">
        <v>2012</v>
      </c>
      <c r="L43" s="5" t="n">
        <v>12</v>
      </c>
      <c r="M43" s="6" t="s">
        <v>37</v>
      </c>
      <c r="N43" s="8" t="s">
        <v>38</v>
      </c>
    </row>
    <row r="44" customFormat="false" ht="15" hidden="false" customHeight="false" outlineLevel="0" collapsed="false">
      <c r="A44" s="5" t="n">
        <f aca="false">IF(B44&lt;&gt;"", COUNTA($B$2:B44), "")</f>
        <v>43</v>
      </c>
      <c r="B44" s="7" t="s">
        <v>27</v>
      </c>
      <c r="C44" s="8" t="s">
        <v>1324</v>
      </c>
      <c r="D44" s="8" t="n">
        <v>15060</v>
      </c>
      <c r="E44" s="8" t="n">
        <v>2010</v>
      </c>
      <c r="F44" s="5" t="s">
        <v>1220</v>
      </c>
      <c r="G44" s="5" t="n">
        <v>1.5</v>
      </c>
      <c r="H44" s="5" t="s">
        <v>1363</v>
      </c>
      <c r="I44" s="5" t="s">
        <v>1315</v>
      </c>
      <c r="J44" s="5" t="s">
        <v>32</v>
      </c>
      <c r="K44" s="5" t="n">
        <v>2012</v>
      </c>
      <c r="L44" s="5" t="n">
        <v>12</v>
      </c>
      <c r="M44" s="6" t="s">
        <v>37</v>
      </c>
      <c r="N44" s="8" t="s">
        <v>38</v>
      </c>
    </row>
    <row r="45" customFormat="false" ht="15" hidden="false" customHeight="false" outlineLevel="0" collapsed="false">
      <c r="A45" s="5" t="n">
        <f aca="false">IF(B45&lt;&gt;"", COUNTA($B$2:B45), "")</f>
        <v>44</v>
      </c>
      <c r="B45" s="7" t="s">
        <v>27</v>
      </c>
      <c r="C45" s="8" t="s">
        <v>1324</v>
      </c>
      <c r="D45" s="8" t="n">
        <v>15057</v>
      </c>
      <c r="E45" s="8" t="n">
        <v>2010</v>
      </c>
      <c r="F45" s="5" t="s">
        <v>1220</v>
      </c>
      <c r="G45" s="5" t="n">
        <v>1.5</v>
      </c>
      <c r="H45" s="5" t="s">
        <v>1364</v>
      </c>
      <c r="I45" s="5" t="s">
        <v>1315</v>
      </c>
      <c r="J45" s="5" t="s">
        <v>32</v>
      </c>
      <c r="K45" s="5" t="n">
        <v>2012</v>
      </c>
      <c r="L45" s="5" t="n">
        <v>12</v>
      </c>
      <c r="M45" s="6" t="s">
        <v>37</v>
      </c>
      <c r="N45" s="8" t="s">
        <v>38</v>
      </c>
    </row>
    <row r="46" customFormat="false" ht="1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8" t="s">
        <v>1321</v>
      </c>
      <c r="D46" s="8" t="n">
        <v>14550</v>
      </c>
      <c r="E46" s="8" t="n">
        <v>2010</v>
      </c>
      <c r="F46" s="5" t="s">
        <v>1289</v>
      </c>
      <c r="G46" s="5" t="n">
        <v>1</v>
      </c>
      <c r="H46" s="5" t="s">
        <v>1365</v>
      </c>
      <c r="I46" s="5" t="s">
        <v>1315</v>
      </c>
      <c r="J46" s="5" t="s">
        <v>32</v>
      </c>
      <c r="K46" s="5" t="n">
        <v>2012</v>
      </c>
      <c r="L46" s="5" t="n">
        <v>12</v>
      </c>
      <c r="M46" s="6" t="s">
        <v>37</v>
      </c>
      <c r="N46" s="8" t="s">
        <v>38</v>
      </c>
    </row>
    <row r="47" customFormat="false" ht="1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8" t="s">
        <v>1321</v>
      </c>
      <c r="D47" s="8" t="n">
        <v>14549</v>
      </c>
      <c r="E47" s="8" t="n">
        <v>2010</v>
      </c>
      <c r="F47" s="5" t="s">
        <v>1289</v>
      </c>
      <c r="G47" s="5" t="n">
        <v>1</v>
      </c>
      <c r="H47" s="5" t="s">
        <v>1366</v>
      </c>
      <c r="I47" s="5" t="s">
        <v>1315</v>
      </c>
      <c r="J47" s="5" t="s">
        <v>32</v>
      </c>
      <c r="K47" s="5" t="n">
        <v>2012</v>
      </c>
      <c r="L47" s="5" t="n">
        <v>12</v>
      </c>
      <c r="M47" s="6" t="s">
        <v>37</v>
      </c>
      <c r="N47" s="8" t="s">
        <v>38</v>
      </c>
    </row>
    <row r="48" customFormat="false" ht="1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8" t="s">
        <v>1345</v>
      </c>
      <c r="D48" s="8" t="n">
        <v>50290</v>
      </c>
      <c r="E48" s="8" t="n">
        <v>2010</v>
      </c>
      <c r="F48" s="5" t="s">
        <v>1162</v>
      </c>
      <c r="G48" s="5" t="n">
        <v>1.5</v>
      </c>
      <c r="H48" s="5" t="s">
        <v>1367</v>
      </c>
      <c r="I48" s="5" t="s">
        <v>1315</v>
      </c>
      <c r="J48" s="5" t="s">
        <v>32</v>
      </c>
      <c r="K48" s="5" t="n">
        <v>2012</v>
      </c>
      <c r="L48" s="5" t="n">
        <v>12</v>
      </c>
      <c r="M48" s="6" t="s">
        <v>37</v>
      </c>
      <c r="N48" s="8" t="s">
        <v>38</v>
      </c>
      <c r="O48" s="82"/>
    </row>
    <row r="49" customFormat="false" ht="1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8" t="s">
        <v>1324</v>
      </c>
      <c r="D49" s="8" t="n">
        <v>15590</v>
      </c>
      <c r="E49" s="8" t="n">
        <v>2010</v>
      </c>
      <c r="F49" s="5" t="s">
        <v>1162</v>
      </c>
      <c r="G49" s="5" t="n">
        <v>1.5</v>
      </c>
      <c r="H49" s="5" t="s">
        <v>1368</v>
      </c>
      <c r="I49" s="5" t="s">
        <v>1315</v>
      </c>
      <c r="J49" s="5" t="s">
        <v>32</v>
      </c>
      <c r="K49" s="5" t="n">
        <v>2012</v>
      </c>
      <c r="L49" s="5" t="n">
        <v>12</v>
      </c>
      <c r="M49" s="6" t="s">
        <v>37</v>
      </c>
      <c r="N49" s="8" t="s">
        <v>38</v>
      </c>
    </row>
    <row r="50" customFormat="false" ht="1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8" t="s">
        <v>1000</v>
      </c>
      <c r="D50" s="8" t="n">
        <v>600489</v>
      </c>
      <c r="E50" s="8" t="n">
        <v>2010</v>
      </c>
      <c r="F50" s="5" t="s">
        <v>1162</v>
      </c>
      <c r="G50" s="5" t="n">
        <v>1.5</v>
      </c>
      <c r="H50" s="5" t="s">
        <v>1369</v>
      </c>
      <c r="I50" s="5" t="s">
        <v>1315</v>
      </c>
      <c r="J50" s="5" t="s">
        <v>32</v>
      </c>
      <c r="K50" s="5" t="n">
        <v>2012</v>
      </c>
      <c r="L50" s="5" t="n">
        <v>12</v>
      </c>
      <c r="M50" s="6" t="s">
        <v>37</v>
      </c>
      <c r="N50" s="8" t="s">
        <v>38</v>
      </c>
    </row>
    <row r="51" customFormat="false" ht="1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8" t="s">
        <v>1370</v>
      </c>
      <c r="D51" s="8" t="n">
        <v>15183</v>
      </c>
      <c r="E51" s="8" t="n">
        <v>2010</v>
      </c>
      <c r="F51" s="5" t="s">
        <v>1371</v>
      </c>
      <c r="G51" s="5" t="n">
        <v>1.5</v>
      </c>
      <c r="H51" s="5" t="s">
        <v>1372</v>
      </c>
      <c r="I51" s="5" t="s">
        <v>1315</v>
      </c>
      <c r="J51" s="5" t="s">
        <v>32</v>
      </c>
      <c r="K51" s="5" t="n">
        <v>2012</v>
      </c>
      <c r="L51" s="5" t="n">
        <v>12</v>
      </c>
      <c r="M51" s="6" t="s">
        <v>37</v>
      </c>
      <c r="N51" s="8" t="s">
        <v>38</v>
      </c>
    </row>
    <row r="52" customFormat="false" ht="15" hidden="false" customHeight="false" outlineLevel="0" collapsed="false">
      <c r="A52" s="5" t="n">
        <f aca="false">IF(B52&lt;&gt;"", COUNTA($B$2:B52), "")</f>
        <v>51</v>
      </c>
      <c r="B52" s="83" t="s">
        <v>1373</v>
      </c>
      <c r="C52" s="15" t="s">
        <v>1374</v>
      </c>
      <c r="D52" s="15" t="s">
        <v>1375</v>
      </c>
      <c r="E52" s="8" t="n">
        <v>2010</v>
      </c>
      <c r="F52" s="15" t="s">
        <v>1376</v>
      </c>
      <c r="G52" s="15"/>
      <c r="H52" s="6" t="s">
        <v>1377</v>
      </c>
      <c r="I52" s="15" t="s">
        <v>1315</v>
      </c>
      <c r="J52" s="6" t="s">
        <v>32</v>
      </c>
      <c r="K52" s="6" t="n">
        <v>2012</v>
      </c>
      <c r="L52" s="5" t="n">
        <v>12</v>
      </c>
      <c r="M52" s="6"/>
      <c r="N52" s="8"/>
    </row>
    <row r="53" customFormat="false" ht="15" hidden="false" customHeight="false" outlineLevel="0" collapsed="false">
      <c r="A53" s="5" t="n">
        <f aca="false">IF(B53&lt;&gt;"", COUNTA($B$2:B53), "")</f>
        <v>52</v>
      </c>
      <c r="B53" s="83" t="s">
        <v>1378</v>
      </c>
      <c r="C53" s="15" t="s">
        <v>1379</v>
      </c>
      <c r="D53" s="15" t="s">
        <v>1380</v>
      </c>
      <c r="E53" s="8" t="n">
        <v>2010</v>
      </c>
      <c r="F53" s="15" t="s">
        <v>1381</v>
      </c>
      <c r="G53" s="15"/>
      <c r="H53" s="6" t="s">
        <v>1382</v>
      </c>
      <c r="I53" s="15" t="s">
        <v>1315</v>
      </c>
      <c r="J53" s="6" t="s">
        <v>32</v>
      </c>
      <c r="K53" s="6" t="n">
        <v>2012</v>
      </c>
      <c r="L53" s="5" t="n">
        <v>12</v>
      </c>
      <c r="M53" s="6"/>
      <c r="N53" s="8"/>
    </row>
    <row r="54" customFormat="false" ht="15" hidden="false" customHeight="false" outlineLevel="0" collapsed="false">
      <c r="A54" s="5" t="n">
        <f aca="false">IF(B54&lt;&gt;"", COUNTA($B$2:B54), "")</f>
        <v>53</v>
      </c>
      <c r="B54" s="83" t="s">
        <v>1378</v>
      </c>
      <c r="C54" s="15" t="s">
        <v>1383</v>
      </c>
      <c r="D54" s="78" t="n">
        <v>137737</v>
      </c>
      <c r="E54" s="8" t="n">
        <v>2010</v>
      </c>
      <c r="F54" s="15" t="s">
        <v>1381</v>
      </c>
      <c r="G54" s="78"/>
      <c r="H54" s="6" t="s">
        <v>1384</v>
      </c>
      <c r="I54" s="15" t="s">
        <v>1315</v>
      </c>
      <c r="J54" s="6" t="s">
        <v>32</v>
      </c>
      <c r="K54" s="6" t="n">
        <v>2012</v>
      </c>
      <c r="L54" s="5" t="n">
        <v>12</v>
      </c>
      <c r="M54" s="6"/>
      <c r="N54" s="8"/>
    </row>
    <row r="55" customFormat="false" ht="15" hidden="false" customHeight="false" outlineLevel="0" collapsed="false">
      <c r="A55" s="5" t="n">
        <f aca="false">IF(B55&lt;&gt;"", COUNTA($B$2:B55), "")</f>
        <v>54</v>
      </c>
      <c r="B55" s="83" t="s">
        <v>1385</v>
      </c>
      <c r="C55" s="78" t="s">
        <v>1386</v>
      </c>
      <c r="D55" s="78" t="n">
        <v>12105934</v>
      </c>
      <c r="E55" s="8" t="n">
        <v>2010</v>
      </c>
      <c r="F55" s="15"/>
      <c r="G55" s="78"/>
      <c r="H55" s="19" t="s">
        <v>1387</v>
      </c>
      <c r="I55" s="15" t="s">
        <v>1315</v>
      </c>
      <c r="J55" s="6" t="s">
        <v>32</v>
      </c>
      <c r="K55" s="6" t="n">
        <v>2012</v>
      </c>
      <c r="L55" s="5" t="n">
        <v>12</v>
      </c>
      <c r="M55" s="6"/>
      <c r="N55" s="8"/>
    </row>
    <row r="56" customFormat="false" ht="22.5" hidden="false" customHeight="false" outlineLevel="0" collapsed="false">
      <c r="A56" s="5" t="n">
        <f aca="false">IF(B56&lt;&gt;"", COUNTA($B$2:B56), "")</f>
        <v>55</v>
      </c>
      <c r="B56" s="83" t="s">
        <v>1388</v>
      </c>
      <c r="C56" s="15" t="s">
        <v>1389</v>
      </c>
      <c r="D56" s="15" t="s">
        <v>1390</v>
      </c>
      <c r="E56" s="8" t="n">
        <v>2012</v>
      </c>
      <c r="F56" s="15" t="s">
        <v>501</v>
      </c>
      <c r="G56" s="15"/>
      <c r="H56" s="19" t="s">
        <v>1391</v>
      </c>
      <c r="I56" s="15" t="s">
        <v>1315</v>
      </c>
      <c r="J56" s="6" t="s">
        <v>32</v>
      </c>
      <c r="K56" s="6" t="n">
        <v>2012</v>
      </c>
      <c r="L56" s="5" t="n">
        <v>12</v>
      </c>
      <c r="M56" s="6"/>
      <c r="N56" s="8"/>
    </row>
    <row r="57" customFormat="false" ht="15" hidden="false" customHeight="false" outlineLevel="0" collapsed="false">
      <c r="A57" s="5" t="n">
        <f aca="false">IF(B57&lt;&gt;"", COUNTA($B$2:B57), "")</f>
        <v>56</v>
      </c>
      <c r="B57" s="83" t="s">
        <v>1392</v>
      </c>
      <c r="C57" s="15" t="s">
        <v>1393</v>
      </c>
      <c r="D57" s="15" t="s">
        <v>1394</v>
      </c>
      <c r="E57" s="8" t="n">
        <v>2010</v>
      </c>
      <c r="F57" s="15"/>
      <c r="G57" s="15"/>
      <c r="H57" s="6" t="s">
        <v>1395</v>
      </c>
      <c r="I57" s="15" t="s">
        <v>1315</v>
      </c>
      <c r="J57" s="6" t="s">
        <v>32</v>
      </c>
      <c r="K57" s="6" t="n">
        <v>2012</v>
      </c>
      <c r="L57" s="5" t="n">
        <v>12</v>
      </c>
      <c r="M57" s="6"/>
      <c r="N57" s="8"/>
    </row>
    <row r="58" customFormat="false" ht="15" hidden="false" customHeight="false" outlineLevel="0" collapsed="false">
      <c r="A58" s="5" t="n">
        <f aca="false">IF(B58&lt;&gt;"", COUNTA($B$2:B58), "")</f>
        <v>57</v>
      </c>
      <c r="B58" s="83" t="s">
        <v>1396</v>
      </c>
      <c r="C58" s="15" t="s">
        <v>1397</v>
      </c>
      <c r="D58" s="15" t="s">
        <v>1398</v>
      </c>
      <c r="E58" s="8" t="n">
        <v>2012</v>
      </c>
      <c r="F58" s="15" t="s">
        <v>1399</v>
      </c>
      <c r="G58" s="15"/>
      <c r="H58" s="6" t="s">
        <v>1400</v>
      </c>
      <c r="I58" s="15" t="s">
        <v>1315</v>
      </c>
      <c r="J58" s="6" t="s">
        <v>32</v>
      </c>
      <c r="K58" s="6" t="n">
        <v>2012</v>
      </c>
      <c r="L58" s="5" t="n">
        <v>12</v>
      </c>
      <c r="M58" s="6"/>
      <c r="N58" s="8"/>
    </row>
    <row r="59" customFormat="false" ht="15" hidden="false" customHeight="false" outlineLevel="0" collapsed="false">
      <c r="A59" s="5" t="n">
        <f aca="false">IF(B59&lt;&gt;"", COUNTA($B$2:B59), "")</f>
        <v>58</v>
      </c>
      <c r="B59" s="83" t="s">
        <v>1401</v>
      </c>
      <c r="C59" s="15" t="s">
        <v>1402</v>
      </c>
      <c r="D59" s="15" t="s">
        <v>1403</v>
      </c>
      <c r="E59" s="8" t="n">
        <v>2010</v>
      </c>
      <c r="F59" s="15" t="s">
        <v>1404</v>
      </c>
      <c r="G59" s="15"/>
      <c r="H59" s="6" t="s">
        <v>1405</v>
      </c>
      <c r="I59" s="15" t="s">
        <v>1315</v>
      </c>
      <c r="J59" s="6" t="s">
        <v>32</v>
      </c>
      <c r="K59" s="6" t="n">
        <v>2012</v>
      </c>
      <c r="L59" s="5" t="n">
        <v>12</v>
      </c>
      <c r="M59" s="6"/>
      <c r="N59" s="8"/>
    </row>
    <row r="60" customFormat="false" ht="15" hidden="false" customHeight="false" outlineLevel="0" collapsed="false">
      <c r="A60" s="5" t="n">
        <f aca="false">IF(B60&lt;&gt;"", COUNTA($B$2:B60), "")</f>
        <v>59</v>
      </c>
      <c r="B60" s="83" t="s">
        <v>1396</v>
      </c>
      <c r="C60" s="15" t="s">
        <v>1397</v>
      </c>
      <c r="D60" s="15" t="s">
        <v>1406</v>
      </c>
      <c r="E60" s="8" t="n">
        <v>2012</v>
      </c>
      <c r="F60" s="15" t="s">
        <v>1399</v>
      </c>
      <c r="G60" s="15"/>
      <c r="H60" s="6" t="s">
        <v>1407</v>
      </c>
      <c r="I60" s="15" t="s">
        <v>1315</v>
      </c>
      <c r="J60" s="6" t="s">
        <v>32</v>
      </c>
      <c r="K60" s="6" t="n">
        <v>2012</v>
      </c>
      <c r="L60" s="5" t="n">
        <v>12</v>
      </c>
      <c r="M60" s="6"/>
      <c r="N60" s="8"/>
    </row>
    <row r="61" customFormat="false" ht="15" hidden="false" customHeight="false" outlineLevel="0" collapsed="false">
      <c r="A61" s="5" t="n">
        <f aca="false">IF(B61&lt;&gt;"", COUNTA($B$2:B61), "")</f>
        <v>60</v>
      </c>
      <c r="B61" s="83" t="s">
        <v>1396</v>
      </c>
      <c r="C61" s="15" t="s">
        <v>1397</v>
      </c>
      <c r="D61" s="15" t="s">
        <v>1408</v>
      </c>
      <c r="E61" s="8" t="n">
        <v>2012</v>
      </c>
      <c r="F61" s="15" t="s">
        <v>1399</v>
      </c>
      <c r="G61" s="15"/>
      <c r="H61" s="6" t="s">
        <v>1407</v>
      </c>
      <c r="I61" s="15" t="s">
        <v>1315</v>
      </c>
      <c r="J61" s="6" t="s">
        <v>32</v>
      </c>
      <c r="K61" s="6" t="n">
        <v>2012</v>
      </c>
      <c r="L61" s="5" t="n">
        <v>12</v>
      </c>
      <c r="M61" s="6"/>
      <c r="N61" s="8"/>
    </row>
    <row r="62" customFormat="false" ht="15" hidden="false" customHeight="false" outlineLevel="0" collapsed="false">
      <c r="A62" s="5" t="n">
        <f aca="false">IF(B62&lt;&gt;"", COUNTA($B$2:B62), "")</f>
        <v>61</v>
      </c>
      <c r="B62" s="83" t="s">
        <v>1409</v>
      </c>
      <c r="C62" s="15" t="s">
        <v>1410</v>
      </c>
      <c r="D62" s="15" t="s">
        <v>1411</v>
      </c>
      <c r="E62" s="8" t="n">
        <v>2010</v>
      </c>
      <c r="F62" s="15"/>
      <c r="G62" s="15"/>
      <c r="H62" s="6" t="s">
        <v>1412</v>
      </c>
      <c r="I62" s="15" t="s">
        <v>1315</v>
      </c>
      <c r="J62" s="6" t="s">
        <v>32</v>
      </c>
      <c r="K62" s="6" t="n">
        <v>2012</v>
      </c>
      <c r="L62" s="5" t="n">
        <v>12</v>
      </c>
      <c r="M62" s="6"/>
      <c r="N62" s="8"/>
    </row>
    <row r="63" customFormat="false" ht="22.5" hidden="false" customHeight="false" outlineLevel="0" collapsed="false">
      <c r="A63" s="5" t="n">
        <f aca="false">IF(B63&lt;&gt;"", COUNTA($B$2:B63), "")</f>
        <v>62</v>
      </c>
      <c r="B63" s="83" t="s">
        <v>1409</v>
      </c>
      <c r="C63" s="15" t="s">
        <v>1410</v>
      </c>
      <c r="D63" s="15" t="s">
        <v>1413</v>
      </c>
      <c r="E63" s="8" t="n">
        <v>2010</v>
      </c>
      <c r="F63" s="15"/>
      <c r="G63" s="15"/>
      <c r="H63" s="6" t="s">
        <v>1414</v>
      </c>
      <c r="I63" s="15" t="s">
        <v>1315</v>
      </c>
      <c r="J63" s="6" t="s">
        <v>32</v>
      </c>
      <c r="K63" s="6" t="n">
        <v>2012</v>
      </c>
      <c r="L63" s="5" t="n">
        <v>12</v>
      </c>
      <c r="M63" s="6"/>
      <c r="N63" s="8"/>
    </row>
    <row r="64" customFormat="false" ht="15" hidden="false" customHeight="false" outlineLevel="0" collapsed="false">
      <c r="A64" s="5" t="n">
        <f aca="false">IF(B64&lt;&gt;"", COUNTA($B$2:B64), "")</f>
        <v>63</v>
      </c>
      <c r="B64" s="83" t="s">
        <v>1392</v>
      </c>
      <c r="C64" s="15" t="s">
        <v>1415</v>
      </c>
      <c r="D64" s="15" t="s">
        <v>1416</v>
      </c>
      <c r="E64" s="8" t="n">
        <v>2010</v>
      </c>
      <c r="F64" s="15"/>
      <c r="G64" s="15"/>
      <c r="H64" s="6" t="s">
        <v>1417</v>
      </c>
      <c r="I64" s="15" t="s">
        <v>1315</v>
      </c>
      <c r="J64" s="6" t="s">
        <v>32</v>
      </c>
      <c r="K64" s="6" t="n">
        <v>2012</v>
      </c>
      <c r="L64" s="5" t="n">
        <v>12</v>
      </c>
      <c r="M64" s="6"/>
      <c r="N64" s="8"/>
    </row>
    <row r="65" customFormat="false" ht="15" hidden="false" customHeight="false" outlineLevel="0" collapsed="false">
      <c r="A65" s="5" t="n">
        <f aca="false">IF(B65&lt;&gt;"", COUNTA($B$2:B65), "")</f>
        <v>64</v>
      </c>
      <c r="B65" s="83" t="s">
        <v>1392</v>
      </c>
      <c r="C65" s="15" t="s">
        <v>1415</v>
      </c>
      <c r="D65" s="15" t="s">
        <v>1418</v>
      </c>
      <c r="E65" s="8" t="n">
        <v>2010</v>
      </c>
      <c r="F65" s="15"/>
      <c r="G65" s="15"/>
      <c r="H65" s="6" t="s">
        <v>1419</v>
      </c>
      <c r="I65" s="15" t="s">
        <v>1315</v>
      </c>
      <c r="J65" s="6" t="s">
        <v>32</v>
      </c>
      <c r="K65" s="6" t="n">
        <v>2012</v>
      </c>
      <c r="L65" s="5" t="n">
        <v>12</v>
      </c>
      <c r="M65" s="6"/>
      <c r="N65" s="8"/>
    </row>
    <row r="66" customFormat="false" ht="15" hidden="false" customHeight="false" outlineLevel="0" collapsed="false">
      <c r="A66" s="5" t="n">
        <f aca="false">IF(B66&lt;&gt;"", COUNTA($B$2:B66), "")</f>
        <v>65</v>
      </c>
      <c r="B66" s="83" t="s">
        <v>1396</v>
      </c>
      <c r="C66" s="15" t="s">
        <v>1397</v>
      </c>
      <c r="D66" s="15" t="s">
        <v>1420</v>
      </c>
      <c r="E66" s="8" t="n">
        <v>2012</v>
      </c>
      <c r="F66" s="15" t="s">
        <v>1421</v>
      </c>
      <c r="G66" s="15"/>
      <c r="H66" s="6" t="s">
        <v>1422</v>
      </c>
      <c r="I66" s="15" t="s">
        <v>1315</v>
      </c>
      <c r="J66" s="6" t="s">
        <v>32</v>
      </c>
      <c r="K66" s="6" t="n">
        <v>2012</v>
      </c>
      <c r="L66" s="5" t="n">
        <v>12</v>
      </c>
      <c r="M66" s="6"/>
      <c r="N66" s="8"/>
    </row>
    <row r="67" customFormat="false" ht="15" hidden="false" customHeight="false" outlineLevel="0" collapsed="false">
      <c r="A67" s="5" t="n">
        <f aca="false">IF(B67&lt;&gt;"", COUNTA($B$2:B67), "")</f>
        <v>66</v>
      </c>
      <c r="B67" s="83" t="s">
        <v>1392</v>
      </c>
      <c r="C67" s="15" t="s">
        <v>1393</v>
      </c>
      <c r="D67" s="15" t="s">
        <v>1423</v>
      </c>
      <c r="E67" s="8" t="n">
        <v>2010</v>
      </c>
      <c r="F67" s="15"/>
      <c r="G67" s="15"/>
      <c r="H67" s="6" t="s">
        <v>1424</v>
      </c>
      <c r="I67" s="15" t="s">
        <v>1315</v>
      </c>
      <c r="J67" s="6" t="s">
        <v>32</v>
      </c>
      <c r="K67" s="6" t="n">
        <v>2012</v>
      </c>
      <c r="L67" s="5" t="n">
        <v>12</v>
      </c>
      <c r="M67" s="6"/>
      <c r="N67" s="8"/>
    </row>
    <row r="68" customFormat="false" ht="15" hidden="false" customHeight="false" outlineLevel="0" collapsed="false">
      <c r="A68" s="5" t="n">
        <f aca="false">IF(B68&lt;&gt;"", COUNTA($B$2:B68), "")</f>
        <v>67</v>
      </c>
      <c r="B68" s="83" t="s">
        <v>1396</v>
      </c>
      <c r="C68" s="15" t="s">
        <v>1397</v>
      </c>
      <c r="D68" s="15" t="s">
        <v>1425</v>
      </c>
      <c r="E68" s="8" t="n">
        <v>2012</v>
      </c>
      <c r="F68" s="15" t="s">
        <v>1399</v>
      </c>
      <c r="G68" s="15"/>
      <c r="H68" s="6" t="s">
        <v>1426</v>
      </c>
      <c r="I68" s="15" t="s">
        <v>1315</v>
      </c>
      <c r="J68" s="6" t="s">
        <v>32</v>
      </c>
      <c r="K68" s="6" t="n">
        <v>2012</v>
      </c>
      <c r="L68" s="5" t="n">
        <v>12</v>
      </c>
      <c r="M68" s="6"/>
      <c r="N68" s="8"/>
    </row>
    <row r="69" customFormat="false" ht="15" hidden="false" customHeight="false" outlineLevel="0" collapsed="false">
      <c r="A69" s="5" t="n">
        <f aca="false">IF(B69&lt;&gt;"", COUNTA($B$2:B69), "")</f>
        <v>68</v>
      </c>
      <c r="B69" s="83" t="s">
        <v>1401</v>
      </c>
      <c r="C69" s="15" t="s">
        <v>1402</v>
      </c>
      <c r="D69" s="15" t="s">
        <v>1427</v>
      </c>
      <c r="E69" s="8" t="n">
        <v>2010</v>
      </c>
      <c r="F69" s="15" t="s">
        <v>1404</v>
      </c>
      <c r="G69" s="15"/>
      <c r="H69" s="6" t="s">
        <v>1428</v>
      </c>
      <c r="I69" s="15" t="s">
        <v>1315</v>
      </c>
      <c r="J69" s="6" t="s">
        <v>32</v>
      </c>
      <c r="K69" s="6" t="n">
        <v>2012</v>
      </c>
      <c r="L69" s="5" t="n">
        <v>12</v>
      </c>
      <c r="M69" s="6"/>
      <c r="N69" s="8"/>
    </row>
    <row r="70" customFormat="false" ht="15" hidden="false" customHeight="false" outlineLevel="0" collapsed="false">
      <c r="A70" s="5" t="n">
        <f aca="false">IF(B70&lt;&gt;"", COUNTA($B$2:B70), "")</f>
        <v>69</v>
      </c>
      <c r="B70" s="83" t="s">
        <v>1396</v>
      </c>
      <c r="C70" s="15" t="s">
        <v>1397</v>
      </c>
      <c r="D70" s="15" t="s">
        <v>1429</v>
      </c>
      <c r="E70" s="8" t="n">
        <v>2012</v>
      </c>
      <c r="F70" s="15" t="s">
        <v>1399</v>
      </c>
      <c r="G70" s="15"/>
      <c r="H70" s="6" t="s">
        <v>1430</v>
      </c>
      <c r="I70" s="15" t="s">
        <v>1315</v>
      </c>
      <c r="J70" s="6" t="s">
        <v>32</v>
      </c>
      <c r="K70" s="6" t="n">
        <v>2012</v>
      </c>
      <c r="L70" s="5" t="n">
        <v>12</v>
      </c>
      <c r="M70" s="6"/>
      <c r="N70" s="8"/>
    </row>
    <row r="71" customFormat="false" ht="15" hidden="false" customHeight="false" outlineLevel="0" collapsed="false">
      <c r="A71" s="5" t="n">
        <f aca="false">IF(B71&lt;&gt;"", COUNTA($B$2:B71), "")</f>
        <v>70</v>
      </c>
      <c r="B71" s="83" t="s">
        <v>1396</v>
      </c>
      <c r="C71" s="15" t="s">
        <v>1397</v>
      </c>
      <c r="D71" s="15" t="s">
        <v>1431</v>
      </c>
      <c r="E71" s="8" t="n">
        <v>2012</v>
      </c>
      <c r="F71" s="15" t="s">
        <v>1399</v>
      </c>
      <c r="G71" s="15"/>
      <c r="H71" s="6" t="s">
        <v>1430</v>
      </c>
      <c r="I71" s="15" t="s">
        <v>1315</v>
      </c>
      <c r="J71" s="6" t="s">
        <v>32</v>
      </c>
      <c r="K71" s="6" t="n">
        <v>2012</v>
      </c>
      <c r="L71" s="5" t="n">
        <v>12</v>
      </c>
      <c r="M71" s="6"/>
      <c r="N71" s="8"/>
    </row>
    <row r="72" customFormat="false" ht="15" hidden="false" customHeight="false" outlineLevel="0" collapsed="false">
      <c r="A72" s="5" t="n">
        <f aca="false">IF(B72&lt;&gt;"", COUNTA($B$2:B72), "")</f>
        <v>71</v>
      </c>
      <c r="B72" s="83" t="s">
        <v>1409</v>
      </c>
      <c r="C72" s="15" t="s">
        <v>1410</v>
      </c>
      <c r="D72" s="15" t="s">
        <v>1432</v>
      </c>
      <c r="E72" s="8" t="n">
        <v>2010</v>
      </c>
      <c r="F72" s="15"/>
      <c r="G72" s="15"/>
      <c r="H72" s="6" t="s">
        <v>1433</v>
      </c>
      <c r="I72" s="15" t="s">
        <v>1315</v>
      </c>
      <c r="J72" s="6" t="s">
        <v>32</v>
      </c>
      <c r="K72" s="6" t="n">
        <v>2012</v>
      </c>
      <c r="L72" s="5" t="n">
        <v>12</v>
      </c>
      <c r="M72" s="6"/>
      <c r="N72" s="8"/>
    </row>
    <row r="73" customFormat="false" ht="22.5" hidden="false" customHeight="false" outlineLevel="0" collapsed="false">
      <c r="A73" s="5" t="n">
        <f aca="false">IF(B73&lt;&gt;"", COUNTA($B$2:B73), "")</f>
        <v>72</v>
      </c>
      <c r="B73" s="83" t="s">
        <v>1409</v>
      </c>
      <c r="C73" s="15" t="s">
        <v>1410</v>
      </c>
      <c r="D73" s="15" t="s">
        <v>1434</v>
      </c>
      <c r="E73" s="8" t="n">
        <v>2010</v>
      </c>
      <c r="F73" s="15"/>
      <c r="G73" s="15"/>
      <c r="H73" s="6" t="s">
        <v>1435</v>
      </c>
      <c r="I73" s="15" t="s">
        <v>1315</v>
      </c>
      <c r="J73" s="6" t="s">
        <v>32</v>
      </c>
      <c r="K73" s="6" t="n">
        <v>2012</v>
      </c>
      <c r="L73" s="5" t="n">
        <v>12</v>
      </c>
      <c r="M73" s="6"/>
      <c r="N73" s="8"/>
    </row>
    <row r="74" customFormat="false" ht="15" hidden="false" customHeight="false" outlineLevel="0" collapsed="false">
      <c r="A74" s="5" t="n">
        <f aca="false">IF(B74&lt;&gt;"", COUNTA($B$2:B74), "")</f>
        <v>73</v>
      </c>
      <c r="B74" s="83" t="s">
        <v>1392</v>
      </c>
      <c r="C74" s="15" t="s">
        <v>1415</v>
      </c>
      <c r="D74" s="15" t="s">
        <v>1436</v>
      </c>
      <c r="E74" s="8" t="n">
        <v>2010</v>
      </c>
      <c r="F74" s="15"/>
      <c r="G74" s="15"/>
      <c r="H74" s="6" t="s">
        <v>1437</v>
      </c>
      <c r="I74" s="15" t="s">
        <v>1315</v>
      </c>
      <c r="J74" s="6" t="s">
        <v>32</v>
      </c>
      <c r="K74" s="6" t="n">
        <v>2012</v>
      </c>
      <c r="L74" s="5" t="n">
        <v>12</v>
      </c>
      <c r="M74" s="6"/>
      <c r="N74" s="8"/>
    </row>
    <row r="75" customFormat="false" ht="15" hidden="false" customHeight="false" outlineLevel="0" collapsed="false">
      <c r="A75" s="5" t="n">
        <f aca="false">IF(B75&lt;&gt;"", COUNTA($B$2:B75), "")</f>
        <v>74</v>
      </c>
      <c r="B75" s="83" t="s">
        <v>1392</v>
      </c>
      <c r="C75" s="15" t="s">
        <v>1415</v>
      </c>
      <c r="D75" s="15" t="s">
        <v>1438</v>
      </c>
      <c r="E75" s="8" t="n">
        <v>2010</v>
      </c>
      <c r="F75" s="15"/>
      <c r="G75" s="15"/>
      <c r="H75" s="6" t="s">
        <v>1439</v>
      </c>
      <c r="I75" s="15" t="s">
        <v>1315</v>
      </c>
      <c r="J75" s="6" t="s">
        <v>32</v>
      </c>
      <c r="K75" s="6" t="n">
        <v>2012</v>
      </c>
      <c r="L75" s="5" t="n">
        <v>12</v>
      </c>
      <c r="M75" s="6"/>
      <c r="N75" s="8"/>
    </row>
    <row r="76" customFormat="false" ht="15" hidden="false" customHeight="false" outlineLevel="0" collapsed="false">
      <c r="A76" s="5" t="n">
        <f aca="false">IF(B76&lt;&gt;"", COUNTA($B$2:B76), "")</f>
        <v>75</v>
      </c>
      <c r="B76" s="83" t="s">
        <v>1396</v>
      </c>
      <c r="C76" s="15" t="s">
        <v>1397</v>
      </c>
      <c r="D76" s="15" t="s">
        <v>1440</v>
      </c>
      <c r="E76" s="8" t="n">
        <v>2012</v>
      </c>
      <c r="F76" s="15" t="s">
        <v>1421</v>
      </c>
      <c r="G76" s="15"/>
      <c r="H76" s="6" t="s">
        <v>1441</v>
      </c>
      <c r="I76" s="15" t="s">
        <v>1315</v>
      </c>
      <c r="J76" s="6" t="s">
        <v>32</v>
      </c>
      <c r="K76" s="6" t="n">
        <v>2012</v>
      </c>
      <c r="L76" s="5" t="n">
        <v>12</v>
      </c>
      <c r="M76" s="30"/>
      <c r="N76" s="8"/>
    </row>
    <row r="77" customFormat="false" ht="15" hidden="false" customHeight="false" outlineLevel="0" collapsed="false">
      <c r="A77" s="5" t="n">
        <f aca="false">IF(B77&lt;&gt;"", COUNTA($B$2:B77), "")</f>
        <v>76</v>
      </c>
      <c r="B77" s="83" t="s">
        <v>1392</v>
      </c>
      <c r="C77" s="15" t="s">
        <v>1393</v>
      </c>
      <c r="D77" s="15" t="s">
        <v>1442</v>
      </c>
      <c r="E77" s="8" t="n">
        <v>2010</v>
      </c>
      <c r="F77" s="15"/>
      <c r="G77" s="15"/>
      <c r="H77" s="6" t="s">
        <v>1443</v>
      </c>
      <c r="I77" s="15" t="s">
        <v>1315</v>
      </c>
      <c r="J77" s="6" t="s">
        <v>32</v>
      </c>
      <c r="K77" s="6" t="n">
        <v>2012</v>
      </c>
      <c r="L77" s="5" t="n">
        <v>12</v>
      </c>
      <c r="M77" s="30"/>
      <c r="N77" s="8"/>
    </row>
    <row r="78" customFormat="false" ht="15" hidden="false" customHeight="false" outlineLevel="0" collapsed="false">
      <c r="A78" s="5" t="n">
        <f aca="false">IF(B78&lt;&gt;"", COUNTA($B$2:B78), "")</f>
        <v>77</v>
      </c>
      <c r="B78" s="83" t="s">
        <v>1396</v>
      </c>
      <c r="C78" s="15" t="s">
        <v>1397</v>
      </c>
      <c r="D78" s="15" t="s">
        <v>1444</v>
      </c>
      <c r="E78" s="8" t="n">
        <v>2012</v>
      </c>
      <c r="F78" s="15" t="s">
        <v>1399</v>
      </c>
      <c r="G78" s="15"/>
      <c r="H78" s="6" t="s">
        <v>1445</v>
      </c>
      <c r="I78" s="15" t="s">
        <v>1315</v>
      </c>
      <c r="J78" s="6" t="s">
        <v>32</v>
      </c>
      <c r="K78" s="6" t="n">
        <v>2012</v>
      </c>
      <c r="L78" s="5" t="n">
        <v>12</v>
      </c>
      <c r="M78" s="30"/>
      <c r="N78" s="8"/>
    </row>
    <row r="79" customFormat="false" ht="15" hidden="false" customHeight="false" outlineLevel="0" collapsed="false">
      <c r="A79" s="5" t="n">
        <f aca="false">IF(B79&lt;&gt;"", COUNTA($B$2:B79), "")</f>
        <v>78</v>
      </c>
      <c r="B79" s="83" t="s">
        <v>1401</v>
      </c>
      <c r="C79" s="15" t="s">
        <v>1402</v>
      </c>
      <c r="D79" s="15" t="s">
        <v>1446</v>
      </c>
      <c r="E79" s="8" t="n">
        <v>2010</v>
      </c>
      <c r="F79" s="15" t="s">
        <v>1404</v>
      </c>
      <c r="G79" s="15"/>
      <c r="H79" s="6" t="s">
        <v>1447</v>
      </c>
      <c r="I79" s="15" t="s">
        <v>1315</v>
      </c>
      <c r="J79" s="6" t="s">
        <v>32</v>
      </c>
      <c r="K79" s="6" t="n">
        <v>2012</v>
      </c>
      <c r="L79" s="5" t="n">
        <v>12</v>
      </c>
      <c r="M79" s="30"/>
      <c r="N79" s="8"/>
    </row>
    <row r="80" customFormat="false" ht="15" hidden="false" customHeight="false" outlineLevel="0" collapsed="false">
      <c r="A80" s="5" t="n">
        <f aca="false">IF(B80&lt;&gt;"", COUNTA($B$2:B80), "")</f>
        <v>79</v>
      </c>
      <c r="B80" s="83" t="s">
        <v>1396</v>
      </c>
      <c r="C80" s="15" t="s">
        <v>1397</v>
      </c>
      <c r="D80" s="15" t="s">
        <v>1448</v>
      </c>
      <c r="E80" s="8" t="n">
        <v>2012</v>
      </c>
      <c r="F80" s="15" t="s">
        <v>1399</v>
      </c>
      <c r="G80" s="15"/>
      <c r="H80" s="6" t="s">
        <v>1449</v>
      </c>
      <c r="I80" s="15" t="s">
        <v>1315</v>
      </c>
      <c r="J80" s="6" t="s">
        <v>32</v>
      </c>
      <c r="K80" s="6" t="n">
        <v>2012</v>
      </c>
      <c r="L80" s="5" t="n">
        <v>12</v>
      </c>
      <c r="M80" s="30"/>
      <c r="N80" s="8"/>
    </row>
    <row r="81" customFormat="false" ht="15" hidden="false" customHeight="false" outlineLevel="0" collapsed="false">
      <c r="A81" s="5" t="n">
        <f aca="false">IF(B81&lt;&gt;"", COUNTA($B$2:B81), "")</f>
        <v>80</v>
      </c>
      <c r="B81" s="83" t="s">
        <v>1396</v>
      </c>
      <c r="C81" s="15" t="s">
        <v>1397</v>
      </c>
      <c r="D81" s="15" t="s">
        <v>1450</v>
      </c>
      <c r="E81" s="8" t="n">
        <v>2012</v>
      </c>
      <c r="F81" s="15" t="s">
        <v>1399</v>
      </c>
      <c r="G81" s="15"/>
      <c r="H81" s="6" t="s">
        <v>1449</v>
      </c>
      <c r="I81" s="15" t="s">
        <v>1315</v>
      </c>
      <c r="J81" s="6" t="s">
        <v>32</v>
      </c>
      <c r="K81" s="6" t="n">
        <v>2012</v>
      </c>
      <c r="L81" s="5" t="n">
        <v>12</v>
      </c>
      <c r="M81" s="30"/>
      <c r="N81" s="8"/>
    </row>
    <row r="82" customFormat="false" ht="15" hidden="false" customHeight="false" outlineLevel="0" collapsed="false">
      <c r="A82" s="5" t="n">
        <f aca="false">IF(B82&lt;&gt;"", COUNTA($B$2:B82), "")</f>
        <v>81</v>
      </c>
      <c r="B82" s="83" t="s">
        <v>1409</v>
      </c>
      <c r="C82" s="15" t="s">
        <v>1410</v>
      </c>
      <c r="D82" s="15" t="s">
        <v>1451</v>
      </c>
      <c r="E82" s="8" t="n">
        <v>2010</v>
      </c>
      <c r="F82" s="15"/>
      <c r="G82" s="15"/>
      <c r="H82" s="6" t="s">
        <v>1452</v>
      </c>
      <c r="I82" s="15" t="s">
        <v>1315</v>
      </c>
      <c r="J82" s="6" t="s">
        <v>32</v>
      </c>
      <c r="K82" s="6" t="n">
        <v>2012</v>
      </c>
      <c r="L82" s="5" t="n">
        <v>12</v>
      </c>
      <c r="M82" s="30"/>
      <c r="N82" s="8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83" t="s">
        <v>1409</v>
      </c>
      <c r="C83" s="15" t="s">
        <v>1410</v>
      </c>
      <c r="D83" s="15" t="s">
        <v>1453</v>
      </c>
      <c r="E83" s="8" t="n">
        <v>2010</v>
      </c>
      <c r="F83" s="15"/>
      <c r="G83" s="15"/>
      <c r="H83" s="6" t="s">
        <v>1454</v>
      </c>
      <c r="I83" s="15" t="s">
        <v>1315</v>
      </c>
      <c r="J83" s="6" t="s">
        <v>32</v>
      </c>
      <c r="K83" s="6" t="n">
        <v>2012</v>
      </c>
      <c r="L83" s="5" t="n">
        <v>12</v>
      </c>
      <c r="M83" s="30"/>
      <c r="N83" s="8"/>
    </row>
    <row r="84" customFormat="false" ht="15" hidden="false" customHeight="false" outlineLevel="0" collapsed="false">
      <c r="A84" s="5" t="n">
        <f aca="false">IF(B84&lt;&gt;"", COUNTA($B$2:B84), "")</f>
        <v>83</v>
      </c>
      <c r="B84" s="83" t="s">
        <v>1392</v>
      </c>
      <c r="C84" s="15" t="s">
        <v>1415</v>
      </c>
      <c r="D84" s="15" t="s">
        <v>1455</v>
      </c>
      <c r="E84" s="8" t="n">
        <v>2010</v>
      </c>
      <c r="F84" s="15"/>
      <c r="G84" s="15"/>
      <c r="H84" s="6" t="s">
        <v>1456</v>
      </c>
      <c r="I84" s="15" t="s">
        <v>1315</v>
      </c>
      <c r="J84" s="6" t="s">
        <v>32</v>
      </c>
      <c r="K84" s="6" t="n">
        <v>2012</v>
      </c>
      <c r="L84" s="5" t="n">
        <v>12</v>
      </c>
      <c r="M84" s="30"/>
      <c r="N84" s="8"/>
    </row>
    <row r="85" customFormat="false" ht="15" hidden="false" customHeight="false" outlineLevel="0" collapsed="false">
      <c r="A85" s="5" t="n">
        <f aca="false">IF(B85&lt;&gt;"", COUNTA($B$2:B85), "")</f>
        <v>84</v>
      </c>
      <c r="B85" s="83" t="s">
        <v>1392</v>
      </c>
      <c r="C85" s="15" t="s">
        <v>1415</v>
      </c>
      <c r="D85" s="15" t="s">
        <v>1457</v>
      </c>
      <c r="E85" s="8" t="n">
        <v>2010</v>
      </c>
      <c r="F85" s="15"/>
      <c r="G85" s="15"/>
      <c r="H85" s="6" t="s">
        <v>1458</v>
      </c>
      <c r="I85" s="15" t="s">
        <v>1315</v>
      </c>
      <c r="J85" s="6" t="s">
        <v>32</v>
      </c>
      <c r="K85" s="6" t="n">
        <v>2012</v>
      </c>
      <c r="L85" s="5" t="n">
        <v>12</v>
      </c>
      <c r="M85" s="30"/>
      <c r="N85" s="8"/>
    </row>
    <row r="86" customFormat="false" ht="15" hidden="false" customHeight="false" outlineLevel="0" collapsed="false">
      <c r="A86" s="5" t="n">
        <f aca="false">IF(B86&lt;&gt;"", COUNTA($B$2:B86), "")</f>
        <v>85</v>
      </c>
      <c r="B86" s="83" t="s">
        <v>1396</v>
      </c>
      <c r="C86" s="15" t="s">
        <v>1397</v>
      </c>
      <c r="D86" s="15" t="s">
        <v>1459</v>
      </c>
      <c r="E86" s="8" t="n">
        <v>2012</v>
      </c>
      <c r="F86" s="15" t="s">
        <v>1421</v>
      </c>
      <c r="G86" s="15"/>
      <c r="H86" s="6" t="s">
        <v>1460</v>
      </c>
      <c r="I86" s="15" t="s">
        <v>1315</v>
      </c>
      <c r="J86" s="6" t="s">
        <v>32</v>
      </c>
      <c r="K86" s="6" t="n">
        <v>2012</v>
      </c>
      <c r="L86" s="5" t="n">
        <v>12</v>
      </c>
      <c r="M86" s="30"/>
      <c r="N86" s="8"/>
    </row>
    <row r="87" customFormat="false" ht="22.5" hidden="false" customHeight="false" outlineLevel="0" collapsed="false">
      <c r="A87" s="5" t="n">
        <f aca="false">IF(B87&lt;&gt;"", COUNTA($B$2:B87), "")</f>
        <v>86</v>
      </c>
      <c r="B87" s="83" t="s">
        <v>1388</v>
      </c>
      <c r="C87" s="15" t="s">
        <v>1461</v>
      </c>
      <c r="D87" s="15" t="s">
        <v>1462</v>
      </c>
      <c r="E87" s="8" t="n">
        <v>2010</v>
      </c>
      <c r="F87" s="15" t="s">
        <v>1463</v>
      </c>
      <c r="G87" s="15"/>
      <c r="H87" s="6" t="s">
        <v>1464</v>
      </c>
      <c r="I87" s="15" t="s">
        <v>1315</v>
      </c>
      <c r="J87" s="6" t="s">
        <v>32</v>
      </c>
      <c r="K87" s="6" t="n">
        <v>2012</v>
      </c>
      <c r="L87" s="5" t="n">
        <v>12</v>
      </c>
      <c r="M87" s="30"/>
      <c r="N87" s="8"/>
    </row>
    <row r="88" customFormat="false" ht="22.5" hidden="false" customHeight="false" outlineLevel="0" collapsed="false">
      <c r="A88" s="5" t="n">
        <f aca="false">IF(B88&lt;&gt;"", COUNTA($B$2:B88), "")</f>
        <v>87</v>
      </c>
      <c r="B88" s="83" t="s">
        <v>1396</v>
      </c>
      <c r="C88" s="15" t="s">
        <v>1397</v>
      </c>
      <c r="D88" s="6" t="s">
        <v>1465</v>
      </c>
      <c r="E88" s="8" t="n">
        <v>2012</v>
      </c>
      <c r="F88" s="15" t="s">
        <v>1399</v>
      </c>
      <c r="G88" s="6"/>
      <c r="H88" s="6" t="s">
        <v>1466</v>
      </c>
      <c r="I88" s="15" t="s">
        <v>1315</v>
      </c>
      <c r="J88" s="6" t="s">
        <v>32</v>
      </c>
      <c r="K88" s="6" t="n">
        <v>2012</v>
      </c>
      <c r="L88" s="5" t="n">
        <v>12</v>
      </c>
      <c r="M88" s="30"/>
      <c r="N88" s="8"/>
    </row>
    <row r="89" customFormat="false" ht="15" hidden="false" customHeight="false" outlineLevel="0" collapsed="false">
      <c r="A89" s="5" t="n">
        <f aca="false">IF(B89&lt;&gt;"", COUNTA($B$2:B89), "")</f>
        <v>88</v>
      </c>
      <c r="B89" s="83" t="s">
        <v>1392</v>
      </c>
      <c r="C89" s="6" t="s">
        <v>138</v>
      </c>
      <c r="D89" s="6" t="s">
        <v>1467</v>
      </c>
      <c r="E89" s="8" t="n">
        <v>2010</v>
      </c>
      <c r="F89" s="6" t="s">
        <v>1468</v>
      </c>
      <c r="G89" s="6"/>
      <c r="H89" s="6" t="s">
        <v>1469</v>
      </c>
      <c r="I89" s="15" t="s">
        <v>1315</v>
      </c>
      <c r="J89" s="6" t="s">
        <v>32</v>
      </c>
      <c r="K89" s="6" t="n">
        <v>2012</v>
      </c>
      <c r="L89" s="5" t="n">
        <v>12</v>
      </c>
      <c r="M89" s="30"/>
      <c r="N89" s="8"/>
    </row>
    <row r="90" customFormat="false" ht="15" hidden="false" customHeight="false" outlineLevel="0" collapsed="false">
      <c r="A90" s="5" t="n">
        <f aca="false">IF(B90&lt;&gt;"", COUNTA($B$2:B90), "")</f>
        <v>89</v>
      </c>
      <c r="B90" s="83" t="s">
        <v>1392</v>
      </c>
      <c r="C90" s="15" t="s">
        <v>1470</v>
      </c>
      <c r="D90" s="15" t="s">
        <v>1471</v>
      </c>
      <c r="E90" s="8" t="n">
        <v>2012</v>
      </c>
      <c r="F90" s="6" t="s">
        <v>1472</v>
      </c>
      <c r="G90" s="15" t="s">
        <v>1473</v>
      </c>
      <c r="H90" s="6" t="s">
        <v>1474</v>
      </c>
      <c r="I90" s="15" t="s">
        <v>1315</v>
      </c>
      <c r="J90" s="6" t="s">
        <v>32</v>
      </c>
      <c r="K90" s="6" t="n">
        <v>2012</v>
      </c>
      <c r="L90" s="5" t="n">
        <v>12</v>
      </c>
      <c r="M90" s="30"/>
      <c r="N90" s="8"/>
    </row>
    <row r="91" customFormat="false" ht="22.5" hidden="false" customHeight="false" outlineLevel="0" collapsed="false">
      <c r="A91" s="5" t="n">
        <f aca="false">IF(B91&lt;&gt;"", COUNTA($B$2:B91), "")</f>
        <v>90</v>
      </c>
      <c r="B91" s="83" t="s">
        <v>1392</v>
      </c>
      <c r="C91" s="15" t="s">
        <v>1470</v>
      </c>
      <c r="D91" s="15" t="s">
        <v>1475</v>
      </c>
      <c r="E91" s="8" t="n">
        <v>2012</v>
      </c>
      <c r="F91" s="6" t="s">
        <v>1476</v>
      </c>
      <c r="G91" s="15" t="s">
        <v>1473</v>
      </c>
      <c r="H91" s="6" t="s">
        <v>1477</v>
      </c>
      <c r="I91" s="15" t="s">
        <v>1315</v>
      </c>
      <c r="J91" s="6" t="s">
        <v>32</v>
      </c>
      <c r="K91" s="6" t="n">
        <v>2012</v>
      </c>
      <c r="L91" s="5" t="n">
        <v>12</v>
      </c>
      <c r="M91" s="30"/>
      <c r="N91" s="8"/>
    </row>
    <row r="92" customFormat="false" ht="15" hidden="false" customHeight="false" outlineLevel="0" collapsed="false">
      <c r="A92" s="5" t="n">
        <f aca="false">IF(B92&lt;&gt;"", COUNTA($B$2:B92), "")</f>
        <v>91</v>
      </c>
      <c r="B92" s="83" t="s">
        <v>1396</v>
      </c>
      <c r="C92" s="15" t="s">
        <v>1397</v>
      </c>
      <c r="D92" s="15" t="s">
        <v>1478</v>
      </c>
      <c r="E92" s="8" t="n">
        <v>2010</v>
      </c>
      <c r="F92" s="15" t="s">
        <v>1399</v>
      </c>
      <c r="G92" s="15"/>
      <c r="H92" s="6" t="s">
        <v>1479</v>
      </c>
      <c r="I92" s="15" t="s">
        <v>1315</v>
      </c>
      <c r="J92" s="6" t="s">
        <v>32</v>
      </c>
      <c r="K92" s="6" t="n">
        <v>2012</v>
      </c>
      <c r="L92" s="5" t="n">
        <v>12</v>
      </c>
      <c r="M92" s="30"/>
      <c r="N92" s="8"/>
    </row>
    <row r="93" customFormat="false" ht="15" hidden="false" customHeight="false" outlineLevel="0" collapsed="false">
      <c r="A93" s="5" t="n">
        <f aca="false">IF(B93&lt;&gt;"", COUNTA($B$2:B93), "")</f>
        <v>92</v>
      </c>
      <c r="B93" s="83" t="s">
        <v>1392</v>
      </c>
      <c r="C93" s="15" t="s">
        <v>1480</v>
      </c>
      <c r="D93" s="15" t="s">
        <v>1481</v>
      </c>
      <c r="E93" s="8" t="n">
        <v>2010</v>
      </c>
      <c r="F93" s="15" t="s">
        <v>1482</v>
      </c>
      <c r="G93" s="15"/>
      <c r="H93" s="6" t="s">
        <v>1483</v>
      </c>
      <c r="I93" s="15" t="s">
        <v>1315</v>
      </c>
      <c r="J93" s="6" t="s">
        <v>32</v>
      </c>
      <c r="K93" s="6" t="n">
        <v>2012</v>
      </c>
      <c r="L93" s="5" t="n">
        <v>12</v>
      </c>
      <c r="M93" s="30"/>
      <c r="N93" s="8"/>
    </row>
    <row r="94" customFormat="false" ht="22.5" hidden="false" customHeight="false" outlineLevel="0" collapsed="false">
      <c r="A94" s="5" t="n">
        <f aca="false">IF(B94&lt;&gt;"", COUNTA($B$2:B94), "")</f>
        <v>93</v>
      </c>
      <c r="B94" s="83" t="s">
        <v>1392</v>
      </c>
      <c r="C94" s="15" t="s">
        <v>1470</v>
      </c>
      <c r="D94" s="15" t="s">
        <v>1484</v>
      </c>
      <c r="E94" s="8" t="n">
        <v>2012</v>
      </c>
      <c r="F94" s="6" t="s">
        <v>1485</v>
      </c>
      <c r="G94" s="15" t="s">
        <v>1473</v>
      </c>
      <c r="H94" s="6" t="s">
        <v>1486</v>
      </c>
      <c r="I94" s="15" t="s">
        <v>1315</v>
      </c>
      <c r="J94" s="6" t="s">
        <v>32</v>
      </c>
      <c r="K94" s="6" t="n">
        <v>2012</v>
      </c>
      <c r="L94" s="5" t="n">
        <v>12</v>
      </c>
      <c r="M94" s="30"/>
      <c r="N94" s="8"/>
    </row>
    <row r="95" customFormat="false" ht="15" hidden="false" customHeight="false" outlineLevel="0" collapsed="false">
      <c r="A95" s="5" t="n">
        <f aca="false">IF(B95&lt;&gt;"", COUNTA($B$2:B95), "")</f>
        <v>94</v>
      </c>
      <c r="B95" s="83" t="s">
        <v>1396</v>
      </c>
      <c r="C95" s="15" t="s">
        <v>1487</v>
      </c>
      <c r="D95" s="15" t="s">
        <v>1488</v>
      </c>
      <c r="E95" s="8" t="n">
        <v>2012</v>
      </c>
      <c r="F95" s="15" t="s">
        <v>1489</v>
      </c>
      <c r="G95" s="15"/>
      <c r="H95" s="6" t="s">
        <v>1490</v>
      </c>
      <c r="I95" s="15" t="s">
        <v>1315</v>
      </c>
      <c r="J95" s="6" t="s">
        <v>32</v>
      </c>
      <c r="K95" s="6" t="n">
        <v>2012</v>
      </c>
      <c r="L95" s="5" t="n">
        <v>12</v>
      </c>
      <c r="M95" s="30"/>
      <c r="N95" s="8"/>
    </row>
    <row r="96" customFormat="false" ht="15" hidden="false" customHeight="false" outlineLevel="0" collapsed="false">
      <c r="A96" s="5" t="n">
        <f aca="false">IF(B96&lt;&gt;"", COUNTA($B$2:B96), "")</f>
        <v>95</v>
      </c>
      <c r="B96" s="83" t="s">
        <v>1392</v>
      </c>
      <c r="C96" s="15" t="s">
        <v>1470</v>
      </c>
      <c r="D96" s="15" t="s">
        <v>1491</v>
      </c>
      <c r="E96" s="8" t="n">
        <v>2012</v>
      </c>
      <c r="F96" s="6" t="s">
        <v>1472</v>
      </c>
      <c r="G96" s="15" t="s">
        <v>1473</v>
      </c>
      <c r="H96" s="6" t="s">
        <v>1492</v>
      </c>
      <c r="I96" s="15" t="s">
        <v>1315</v>
      </c>
      <c r="J96" s="6" t="s">
        <v>32</v>
      </c>
      <c r="K96" s="6" t="n">
        <v>2012</v>
      </c>
      <c r="L96" s="5" t="n">
        <v>12</v>
      </c>
      <c r="M96" s="30"/>
      <c r="N96" s="8"/>
    </row>
    <row r="97" customFormat="false" ht="22.5" hidden="false" customHeight="false" outlineLevel="0" collapsed="false">
      <c r="A97" s="5" t="n">
        <f aca="false">IF(B97&lt;&gt;"", COUNTA($B$2:B97), "")</f>
        <v>96</v>
      </c>
      <c r="B97" s="83" t="s">
        <v>1392</v>
      </c>
      <c r="C97" s="15" t="s">
        <v>1470</v>
      </c>
      <c r="D97" s="15" t="s">
        <v>1493</v>
      </c>
      <c r="E97" s="8" t="n">
        <v>2012</v>
      </c>
      <c r="F97" s="6" t="s">
        <v>1485</v>
      </c>
      <c r="G97" s="15" t="s">
        <v>1494</v>
      </c>
      <c r="H97" s="6" t="s">
        <v>1495</v>
      </c>
      <c r="I97" s="15" t="s">
        <v>1315</v>
      </c>
      <c r="J97" s="5" t="s">
        <v>32</v>
      </c>
      <c r="K97" s="6" t="n">
        <v>2012</v>
      </c>
      <c r="L97" s="5" t="n">
        <v>12</v>
      </c>
      <c r="M97" s="30"/>
      <c r="N97" s="5"/>
    </row>
    <row r="98" customFormat="false" ht="22.5" hidden="false" customHeight="false" outlineLevel="0" collapsed="false">
      <c r="A98" s="5" t="n">
        <f aca="false">IF(B98&lt;&gt;"", COUNTA($B$2:B98), "")</f>
        <v>97</v>
      </c>
      <c r="B98" s="83" t="s">
        <v>1392</v>
      </c>
      <c r="C98" s="15" t="s">
        <v>1470</v>
      </c>
      <c r="D98" s="15" t="s">
        <v>1496</v>
      </c>
      <c r="E98" s="8" t="n">
        <v>2012</v>
      </c>
      <c r="F98" s="6" t="s">
        <v>1497</v>
      </c>
      <c r="G98" s="15" t="s">
        <v>426</v>
      </c>
      <c r="H98" s="6" t="s">
        <v>1498</v>
      </c>
      <c r="I98" s="15" t="s">
        <v>1315</v>
      </c>
      <c r="J98" s="5" t="s">
        <v>32</v>
      </c>
      <c r="K98" s="6" t="n">
        <v>2012</v>
      </c>
      <c r="L98" s="5" t="n">
        <v>12</v>
      </c>
      <c r="M98" s="30"/>
      <c r="N98" s="5"/>
    </row>
    <row r="99" customFormat="false" ht="15" hidden="false" customHeight="false" outlineLevel="0" collapsed="false">
      <c r="A99" s="5" t="n">
        <f aca="false">IF(B99&lt;&gt;"", COUNTA($B$2:B99), "")</f>
        <v>98</v>
      </c>
      <c r="B99" s="12" t="s">
        <v>46</v>
      </c>
      <c r="C99" s="15" t="s">
        <v>1499</v>
      </c>
      <c r="D99" s="8" t="n">
        <v>15045</v>
      </c>
      <c r="E99" s="8"/>
      <c r="F99" s="15" t="s">
        <v>1500</v>
      </c>
      <c r="G99" s="8" t="n">
        <v>1.5</v>
      </c>
      <c r="H99" s="6" t="s">
        <v>1501</v>
      </c>
      <c r="I99" s="15" t="s">
        <v>1315</v>
      </c>
      <c r="J99" s="5" t="s">
        <v>32</v>
      </c>
      <c r="K99" s="8"/>
      <c r="L99" s="8" t="n">
        <v>24</v>
      </c>
      <c r="M99" s="6" t="s">
        <v>1291</v>
      </c>
      <c r="N99" s="8" t="s">
        <v>38</v>
      </c>
    </row>
    <row r="100" customFormat="false" ht="15" hidden="false" customHeight="false" outlineLevel="0" collapsed="false">
      <c r="A100" s="5" t="n">
        <f aca="false">IF(B100&lt;&gt;"", COUNTA($B$2:B100), "")</f>
        <v>99</v>
      </c>
      <c r="B100" s="12" t="s">
        <v>46</v>
      </c>
      <c r="C100" s="15" t="s">
        <v>1499</v>
      </c>
      <c r="D100" s="8" t="n">
        <v>15040</v>
      </c>
      <c r="E100" s="8"/>
      <c r="F100" s="15" t="s">
        <v>1502</v>
      </c>
      <c r="G100" s="8" t="n">
        <v>1.5</v>
      </c>
      <c r="H100" s="6" t="s">
        <v>1407</v>
      </c>
      <c r="I100" s="15" t="s">
        <v>1315</v>
      </c>
      <c r="J100" s="5" t="s">
        <v>32</v>
      </c>
      <c r="K100" s="8"/>
      <c r="L100" s="8" t="n">
        <v>24</v>
      </c>
      <c r="M100" s="6" t="s">
        <v>1291</v>
      </c>
      <c r="N100" s="8" t="s">
        <v>38</v>
      </c>
    </row>
    <row r="101" customFormat="false" ht="15" hidden="false" customHeight="false" outlineLevel="0" collapsed="false">
      <c r="A101" s="5" t="n">
        <f aca="false">IF(B101&lt;&gt;"", COUNTA($B$2:B101), "")</f>
        <v>100</v>
      </c>
      <c r="B101" s="12" t="s">
        <v>46</v>
      </c>
      <c r="C101" s="15" t="s">
        <v>1499</v>
      </c>
      <c r="D101" s="8" t="n">
        <v>15046</v>
      </c>
      <c r="E101" s="8"/>
      <c r="F101" s="15" t="s">
        <v>1503</v>
      </c>
      <c r="G101" s="8" t="n">
        <v>1.5</v>
      </c>
      <c r="H101" s="6" t="s">
        <v>1422</v>
      </c>
      <c r="I101" s="15" t="s">
        <v>1315</v>
      </c>
      <c r="J101" s="5" t="s">
        <v>32</v>
      </c>
      <c r="K101" s="8"/>
      <c r="L101" s="8" t="n">
        <v>24</v>
      </c>
      <c r="M101" s="6" t="s">
        <v>1291</v>
      </c>
      <c r="N101" s="8" t="s">
        <v>38</v>
      </c>
    </row>
    <row r="102" customFormat="false" ht="15" hidden="false" customHeight="false" outlineLevel="0" collapsed="false">
      <c r="A102" s="5" t="n">
        <f aca="false">IF(B102&lt;&gt;"", COUNTA($B$2:B102), "")</f>
        <v>101</v>
      </c>
      <c r="B102" s="12" t="s">
        <v>46</v>
      </c>
      <c r="C102" s="15" t="s">
        <v>1499</v>
      </c>
      <c r="D102" s="8" t="n">
        <v>15034</v>
      </c>
      <c r="E102" s="8"/>
      <c r="F102" s="15" t="s">
        <v>1502</v>
      </c>
      <c r="G102" s="8" t="n">
        <v>1.5</v>
      </c>
      <c r="H102" s="6" t="s">
        <v>1430</v>
      </c>
      <c r="I102" s="15" t="s">
        <v>1315</v>
      </c>
      <c r="J102" s="5" t="s">
        <v>32</v>
      </c>
      <c r="K102" s="8"/>
      <c r="L102" s="8" t="n">
        <v>24</v>
      </c>
      <c r="M102" s="6" t="s">
        <v>1291</v>
      </c>
      <c r="N102" s="8" t="s">
        <v>38</v>
      </c>
    </row>
    <row r="103" customFormat="false" ht="15" hidden="false" customHeight="false" outlineLevel="0" collapsed="false">
      <c r="A103" s="5" t="n">
        <f aca="false">IF(B103&lt;&gt;"", COUNTA($B$2:B103), "")</f>
        <v>102</v>
      </c>
      <c r="B103" s="12" t="s">
        <v>46</v>
      </c>
      <c r="C103" s="15" t="s">
        <v>1499</v>
      </c>
      <c r="D103" s="8" t="n">
        <v>15047</v>
      </c>
      <c r="E103" s="8"/>
      <c r="F103" s="15" t="s">
        <v>1503</v>
      </c>
      <c r="G103" s="8" t="n">
        <v>1.5</v>
      </c>
      <c r="H103" s="6" t="s">
        <v>1441</v>
      </c>
      <c r="I103" s="15" t="s">
        <v>1315</v>
      </c>
      <c r="J103" s="5" t="s">
        <v>32</v>
      </c>
      <c r="K103" s="8"/>
      <c r="L103" s="8" t="n">
        <v>24</v>
      </c>
      <c r="M103" s="6" t="s">
        <v>1291</v>
      </c>
      <c r="N103" s="8" t="s">
        <v>38</v>
      </c>
    </row>
    <row r="104" customFormat="false" ht="15" hidden="false" customHeight="false" outlineLevel="0" collapsed="false">
      <c r="A104" s="5" t="n">
        <f aca="false">IF(B104&lt;&gt;"", COUNTA($B$2:B104), "")</f>
        <v>103</v>
      </c>
      <c r="B104" s="12" t="s">
        <v>46</v>
      </c>
      <c r="C104" s="15" t="s">
        <v>1499</v>
      </c>
      <c r="D104" s="8" t="n">
        <v>15043</v>
      </c>
      <c r="E104" s="8"/>
      <c r="F104" s="15" t="s">
        <v>1504</v>
      </c>
      <c r="G104" s="8" t="n">
        <v>1.5</v>
      </c>
      <c r="H104" s="6" t="s">
        <v>1505</v>
      </c>
      <c r="I104" s="15" t="s">
        <v>1315</v>
      </c>
      <c r="J104" s="5" t="s">
        <v>32</v>
      </c>
      <c r="K104" s="8"/>
      <c r="L104" s="8" t="n">
        <v>24</v>
      </c>
      <c r="M104" s="6" t="s">
        <v>1291</v>
      </c>
      <c r="N104" s="8" t="s">
        <v>38</v>
      </c>
    </row>
    <row r="105" customFormat="false" ht="22.5" hidden="false" customHeight="false" outlineLevel="0" collapsed="false">
      <c r="A105" s="5" t="n">
        <f aca="false">IF(B105&lt;&gt;"", COUNTA($B$2:B105), "")</f>
        <v>104</v>
      </c>
      <c r="B105" s="12" t="s">
        <v>46</v>
      </c>
      <c r="C105" s="15" t="s">
        <v>1499</v>
      </c>
      <c r="D105" s="8" t="n">
        <v>15038</v>
      </c>
      <c r="E105" s="20"/>
      <c r="F105" s="15" t="s">
        <v>1506</v>
      </c>
      <c r="G105" s="8" t="n">
        <v>1.5</v>
      </c>
      <c r="H105" s="6" t="s">
        <v>1507</v>
      </c>
      <c r="I105" s="15" t="s">
        <v>1315</v>
      </c>
      <c r="J105" s="5" t="s">
        <v>32</v>
      </c>
      <c r="K105" s="20"/>
      <c r="L105" s="8" t="n">
        <v>24</v>
      </c>
      <c r="M105" s="6" t="s">
        <v>1291</v>
      </c>
      <c r="N105" s="8" t="s">
        <v>1</v>
      </c>
    </row>
    <row r="106" customFormat="false" ht="22.5" hidden="false" customHeight="false" outlineLevel="0" collapsed="false">
      <c r="A106" s="5" t="n">
        <f aca="false">IF(B106&lt;&gt;"", COUNTA($B$2:B106), "")</f>
        <v>105</v>
      </c>
      <c r="B106" s="12" t="s">
        <v>46</v>
      </c>
      <c r="C106" s="15" t="s">
        <v>1499</v>
      </c>
      <c r="D106" s="8" t="n">
        <v>15030</v>
      </c>
      <c r="E106" s="20"/>
      <c r="F106" s="15" t="s">
        <v>1504</v>
      </c>
      <c r="G106" s="8" t="n">
        <v>1.5</v>
      </c>
      <c r="H106" s="6" t="s">
        <v>1508</v>
      </c>
      <c r="I106" s="15" t="s">
        <v>1315</v>
      </c>
      <c r="J106" s="5" t="s">
        <v>32</v>
      </c>
      <c r="K106" s="20"/>
      <c r="L106" s="8" t="n">
        <v>24</v>
      </c>
      <c r="M106" s="6" t="s">
        <v>1291</v>
      </c>
      <c r="N106" s="8" t="s">
        <v>38</v>
      </c>
    </row>
    <row r="107" customFormat="false" ht="15" hidden="false" customHeight="false" outlineLevel="0" collapsed="false">
      <c r="A107" s="5" t="n">
        <f aca="false">IF(B107&lt;&gt;"", COUNTA($B$2:B107), "")</f>
        <v>106</v>
      </c>
      <c r="B107" s="12" t="s">
        <v>46</v>
      </c>
      <c r="C107" s="15" t="s">
        <v>1499</v>
      </c>
      <c r="D107" s="8" t="n">
        <v>15037</v>
      </c>
      <c r="E107" s="20"/>
      <c r="F107" s="15" t="s">
        <v>1504</v>
      </c>
      <c r="G107" s="8" t="n">
        <v>1.5</v>
      </c>
      <c r="H107" s="6" t="s">
        <v>1509</v>
      </c>
      <c r="I107" s="15" t="s">
        <v>1315</v>
      </c>
      <c r="J107" s="5" t="s">
        <v>32</v>
      </c>
      <c r="K107" s="20"/>
      <c r="L107" s="8" t="n">
        <v>24</v>
      </c>
      <c r="M107" s="6" t="s">
        <v>1291</v>
      </c>
      <c r="N107" s="8" t="s">
        <v>38</v>
      </c>
    </row>
    <row r="108" customFormat="false" ht="15" hidden="false" customHeight="false" outlineLevel="0" collapsed="false">
      <c r="A108" s="5" t="n">
        <f aca="false">IF(B108&lt;&gt;"", COUNTA($B$2:B108), "")</f>
        <v>107</v>
      </c>
      <c r="B108" s="12" t="s">
        <v>46</v>
      </c>
      <c r="C108" s="15" t="s">
        <v>1499</v>
      </c>
      <c r="D108" s="8" t="n">
        <v>15032</v>
      </c>
      <c r="E108" s="20"/>
      <c r="F108" s="15" t="s">
        <v>1502</v>
      </c>
      <c r="G108" s="8" t="n">
        <v>1.5</v>
      </c>
      <c r="H108" s="6" t="s">
        <v>1510</v>
      </c>
      <c r="I108" s="15" t="s">
        <v>1315</v>
      </c>
      <c r="J108" s="5" t="s">
        <v>32</v>
      </c>
      <c r="K108" s="20"/>
      <c r="L108" s="8" t="n">
        <v>24</v>
      </c>
      <c r="M108" s="6" t="s">
        <v>1291</v>
      </c>
      <c r="N108" s="8" t="s">
        <v>38</v>
      </c>
    </row>
    <row r="109" customFormat="false" ht="22.5" hidden="false" customHeight="false" outlineLevel="0" collapsed="false">
      <c r="A109" s="5" t="n">
        <f aca="false">IF(B109&lt;&gt;"", COUNTA($B$2:B109), "")</f>
        <v>108</v>
      </c>
      <c r="B109" s="12" t="s">
        <v>46</v>
      </c>
      <c r="C109" s="15" t="s">
        <v>1499</v>
      </c>
      <c r="D109" s="8" t="n">
        <v>15039</v>
      </c>
      <c r="E109" s="20"/>
      <c r="F109" s="15" t="s">
        <v>1502</v>
      </c>
      <c r="G109" s="8" t="n">
        <v>1.5</v>
      </c>
      <c r="H109" s="6" t="s">
        <v>1511</v>
      </c>
      <c r="I109" s="15" t="s">
        <v>1315</v>
      </c>
      <c r="J109" s="5" t="s">
        <v>32</v>
      </c>
      <c r="K109" s="20"/>
      <c r="L109" s="8" t="n">
        <v>24</v>
      </c>
      <c r="M109" s="6" t="s">
        <v>1291</v>
      </c>
      <c r="N109" s="8" t="s">
        <v>38</v>
      </c>
    </row>
    <row r="110" customFormat="false" ht="15" hidden="false" customHeight="false" outlineLevel="0" collapsed="false">
      <c r="A110" s="5" t="n">
        <f aca="false">IF(B110&lt;&gt;"", COUNTA($B$2:B110), "")</f>
        <v>109</v>
      </c>
      <c r="B110" s="12" t="s">
        <v>46</v>
      </c>
      <c r="C110" s="15" t="s">
        <v>1499</v>
      </c>
      <c r="D110" s="8" t="n">
        <v>15031</v>
      </c>
      <c r="E110" s="20"/>
      <c r="F110" s="15" t="s">
        <v>1503</v>
      </c>
      <c r="G110" s="8" t="n">
        <v>1.5</v>
      </c>
      <c r="H110" s="6" t="s">
        <v>1460</v>
      </c>
      <c r="I110" s="15" t="s">
        <v>1315</v>
      </c>
      <c r="J110" s="5" t="s">
        <v>32</v>
      </c>
      <c r="K110" s="20"/>
      <c r="L110" s="8" t="n">
        <v>24</v>
      </c>
      <c r="M110" s="6" t="s">
        <v>1291</v>
      </c>
      <c r="N110" s="8" t="s">
        <v>38</v>
      </c>
    </row>
    <row r="111" customFormat="false" ht="15" hidden="false" customHeight="false" outlineLevel="0" collapsed="false">
      <c r="A111" s="5" t="n">
        <f aca="false">IF(B111&lt;&gt;"", COUNTA($B$2:B111), "")</f>
        <v>110</v>
      </c>
      <c r="B111" s="12" t="s">
        <v>46</v>
      </c>
      <c r="C111" s="15" t="s">
        <v>1499</v>
      </c>
      <c r="D111" s="8" t="n">
        <v>15041</v>
      </c>
      <c r="E111" s="8"/>
      <c r="F111" s="15" t="s">
        <v>1504</v>
      </c>
      <c r="G111" s="8" t="n">
        <v>1.5</v>
      </c>
      <c r="H111" s="8" t="s">
        <v>1445</v>
      </c>
      <c r="I111" s="15" t="s">
        <v>1315</v>
      </c>
      <c r="J111" s="5" t="s">
        <v>32</v>
      </c>
      <c r="K111" s="8"/>
      <c r="L111" s="8" t="n">
        <v>24</v>
      </c>
      <c r="M111" s="6" t="s">
        <v>1291</v>
      </c>
      <c r="N111" s="8" t="s">
        <v>38</v>
      </c>
    </row>
    <row r="112" customFormat="false" ht="15" hidden="false" customHeight="false" outlineLevel="0" collapsed="false">
      <c r="A112" s="5" t="n">
        <f aca="false">IF(B112&lt;&gt;"", COUNTA($B$2:B112), "")</f>
        <v>111</v>
      </c>
      <c r="B112" s="12" t="s">
        <v>46</v>
      </c>
      <c r="C112" s="15" t="s">
        <v>1499</v>
      </c>
      <c r="D112" s="8" t="n">
        <v>15029</v>
      </c>
      <c r="E112" s="8"/>
      <c r="F112" s="15" t="s">
        <v>1502</v>
      </c>
      <c r="G112" s="8" t="n">
        <v>1.5</v>
      </c>
      <c r="H112" s="8" t="s">
        <v>1449</v>
      </c>
      <c r="I112" s="15" t="s">
        <v>1315</v>
      </c>
      <c r="J112" s="5" t="s">
        <v>32</v>
      </c>
      <c r="K112" s="8"/>
      <c r="L112" s="8" t="n">
        <v>24</v>
      </c>
      <c r="M112" s="6" t="s">
        <v>1291</v>
      </c>
      <c r="N112" s="8" t="s">
        <v>38</v>
      </c>
    </row>
    <row r="113" customFormat="false" ht="15" hidden="false" customHeight="false" outlineLevel="0" collapsed="false">
      <c r="A113" s="5" t="n">
        <f aca="false">IF(B113&lt;&gt;"", COUNTA($B$2:B113), "")</f>
        <v>112</v>
      </c>
      <c r="B113" s="12" t="s">
        <v>46</v>
      </c>
      <c r="C113" s="15" t="s">
        <v>1499</v>
      </c>
      <c r="D113" s="8" t="n">
        <v>15033</v>
      </c>
      <c r="E113" s="8"/>
      <c r="F113" s="15" t="s">
        <v>1502</v>
      </c>
      <c r="G113" s="8" t="n">
        <v>1.5</v>
      </c>
      <c r="H113" s="8" t="s">
        <v>1512</v>
      </c>
      <c r="I113" s="15" t="s">
        <v>1315</v>
      </c>
      <c r="J113" s="5" t="s">
        <v>32</v>
      </c>
      <c r="K113" s="8"/>
      <c r="L113" s="8" t="n">
        <v>24</v>
      </c>
      <c r="M113" s="6" t="s">
        <v>1291</v>
      </c>
      <c r="N113" s="8" t="s">
        <v>38</v>
      </c>
    </row>
    <row r="114" customFormat="false" ht="15" hidden="false" customHeight="false" outlineLevel="0" collapsed="false">
      <c r="A114" s="5" t="n">
        <f aca="false">IF(B114&lt;&gt;"", COUNTA($B$2:B114), "")</f>
        <v>113</v>
      </c>
      <c r="B114" s="12" t="s">
        <v>46</v>
      </c>
      <c r="C114" s="15" t="s">
        <v>1499</v>
      </c>
      <c r="D114" s="8" t="n">
        <v>15044</v>
      </c>
      <c r="E114" s="8"/>
      <c r="F114" s="15" t="s">
        <v>1504</v>
      </c>
      <c r="G114" s="8" t="n">
        <v>1.5</v>
      </c>
      <c r="H114" s="8" t="s">
        <v>1513</v>
      </c>
      <c r="I114" s="15" t="s">
        <v>1315</v>
      </c>
      <c r="J114" s="5" t="s">
        <v>32</v>
      </c>
      <c r="K114" s="8"/>
      <c r="L114" s="8" t="n">
        <v>24</v>
      </c>
      <c r="M114" s="6" t="s">
        <v>1291</v>
      </c>
      <c r="N114" s="8" t="s">
        <v>38</v>
      </c>
    </row>
    <row r="115" customFormat="false" ht="15" hidden="false" customHeight="false" outlineLevel="0" collapsed="false">
      <c r="A115" s="5" t="n">
        <f aca="false">IF(B115&lt;&gt;"", COUNTA($B$2:B115), "")</f>
        <v>114</v>
      </c>
      <c r="B115" s="12" t="s">
        <v>46</v>
      </c>
      <c r="C115" s="15" t="s">
        <v>1499</v>
      </c>
      <c r="D115" s="8" t="n">
        <v>15042</v>
      </c>
      <c r="E115" s="8"/>
      <c r="F115" s="15" t="s">
        <v>1502</v>
      </c>
      <c r="G115" s="8" t="n">
        <v>1.5</v>
      </c>
      <c r="H115" s="8" t="s">
        <v>1514</v>
      </c>
      <c r="I115" s="15" t="s">
        <v>1315</v>
      </c>
      <c r="J115" s="5" t="s">
        <v>32</v>
      </c>
      <c r="K115" s="8"/>
      <c r="L115" s="8" t="n">
        <v>24</v>
      </c>
      <c r="M115" s="6" t="s">
        <v>1291</v>
      </c>
      <c r="N115" s="8" t="s">
        <v>38</v>
      </c>
    </row>
    <row r="116" customFormat="false" ht="15" hidden="false" customHeight="false" outlineLevel="0" collapsed="false">
      <c r="A116" s="5" t="n">
        <f aca="false">IF(B116&lt;&gt;"", COUNTA($B$2:B116), "")</f>
        <v>115</v>
      </c>
      <c r="B116" s="12" t="s">
        <v>46</v>
      </c>
      <c r="C116" s="15" t="s">
        <v>1499</v>
      </c>
      <c r="D116" s="8" t="n">
        <v>15036</v>
      </c>
      <c r="E116" s="8"/>
      <c r="F116" s="15" t="s">
        <v>1504</v>
      </c>
      <c r="G116" s="8" t="n">
        <v>1.5</v>
      </c>
      <c r="H116" s="8" t="s">
        <v>1515</v>
      </c>
      <c r="I116" s="15" t="s">
        <v>1315</v>
      </c>
      <c r="J116" s="5" t="s">
        <v>32</v>
      </c>
      <c r="K116" s="8"/>
      <c r="L116" s="8" t="n">
        <v>24</v>
      </c>
      <c r="M116" s="6" t="s">
        <v>1291</v>
      </c>
      <c r="N116" s="8" t="s">
        <v>38</v>
      </c>
    </row>
    <row r="117" customFormat="false" ht="15" hidden="false" customHeight="false" outlineLevel="0" collapsed="false">
      <c r="A117" s="5" t="n">
        <f aca="false">IF(B117&lt;&gt;"", COUNTA($B$2:B117), "")</f>
        <v>116</v>
      </c>
      <c r="B117" s="12" t="s">
        <v>46</v>
      </c>
      <c r="C117" s="15" t="s">
        <v>1499</v>
      </c>
      <c r="D117" s="8" t="n">
        <v>15035</v>
      </c>
      <c r="E117" s="8"/>
      <c r="F117" s="15" t="s">
        <v>1504</v>
      </c>
      <c r="G117" s="8" t="n">
        <v>1.5</v>
      </c>
      <c r="H117" s="6" t="s">
        <v>1516</v>
      </c>
      <c r="I117" s="15" t="s">
        <v>1315</v>
      </c>
      <c r="J117" s="5" t="s">
        <v>32</v>
      </c>
      <c r="K117" s="8"/>
      <c r="L117" s="8" t="n">
        <v>24</v>
      </c>
      <c r="M117" s="6" t="s">
        <v>1291</v>
      </c>
      <c r="N117" s="8" t="s">
        <v>38</v>
      </c>
    </row>
    <row r="118" customFormat="false" ht="15" hidden="false" customHeight="false" outlineLevel="0" collapsed="false">
      <c r="A118" s="5" t="n">
        <f aca="false">IF(B118&lt;&gt;"", COUNTA($B$2:B118), "")</f>
        <v>117</v>
      </c>
      <c r="B118" s="12" t="s">
        <v>46</v>
      </c>
      <c r="C118" s="15" t="s">
        <v>1499</v>
      </c>
      <c r="D118" s="8" t="n">
        <v>15071</v>
      </c>
      <c r="E118" s="8"/>
      <c r="F118" s="15" t="s">
        <v>1517</v>
      </c>
      <c r="G118" s="8" t="n">
        <v>1.5</v>
      </c>
      <c r="H118" s="6" t="s">
        <v>1518</v>
      </c>
      <c r="I118" s="15" t="s">
        <v>1315</v>
      </c>
      <c r="J118" s="5" t="s">
        <v>32</v>
      </c>
      <c r="K118" s="8"/>
      <c r="L118" s="8" t="n">
        <v>24</v>
      </c>
      <c r="M118" s="6" t="s">
        <v>1291</v>
      </c>
      <c r="N118" s="8" t="s">
        <v>38</v>
      </c>
    </row>
    <row r="119" customFormat="false" ht="15" hidden="false" customHeight="false" outlineLevel="0" collapsed="false">
      <c r="A119" s="5" t="n">
        <f aca="false">IF(B119&lt;&gt;"", COUNTA($B$2:B119), "")</f>
        <v>118</v>
      </c>
      <c r="B119" s="8" t="s">
        <v>141</v>
      </c>
      <c r="C119" s="8" t="s">
        <v>1519</v>
      </c>
      <c r="D119" s="8" t="n">
        <v>12031265</v>
      </c>
      <c r="E119" s="8" t="n">
        <v>2012</v>
      </c>
      <c r="F119" s="8"/>
      <c r="G119" s="8"/>
      <c r="H119" s="8" t="s">
        <v>1387</v>
      </c>
      <c r="I119" s="15" t="s">
        <v>1315</v>
      </c>
      <c r="J119" s="5" t="s">
        <v>32</v>
      </c>
      <c r="K119" s="8"/>
      <c r="L119" s="8"/>
      <c r="M119" s="30"/>
      <c r="N119" s="8"/>
    </row>
    <row r="120" customFormat="false" ht="15" hidden="false" customHeight="false" outlineLevel="0" collapsed="false">
      <c r="A120" s="5" t="n">
        <f aca="false">IF(B120&lt;&gt;"", COUNTA($B$2:B120), "")</f>
        <v>119</v>
      </c>
      <c r="B120" s="8" t="s">
        <v>141</v>
      </c>
      <c r="C120" s="8" t="s">
        <v>1520</v>
      </c>
      <c r="D120" s="8" t="n">
        <v>12020926</v>
      </c>
      <c r="E120" s="8" t="n">
        <v>2012</v>
      </c>
      <c r="F120" s="8"/>
      <c r="G120" s="8"/>
      <c r="H120" s="8" t="s">
        <v>1521</v>
      </c>
      <c r="I120" s="15" t="s">
        <v>1315</v>
      </c>
      <c r="J120" s="5" t="s">
        <v>32</v>
      </c>
      <c r="K120" s="8"/>
      <c r="L120" s="8"/>
      <c r="M120" s="30"/>
      <c r="N120" s="8"/>
    </row>
    <row r="121" customFormat="false" ht="15" hidden="false" customHeight="false" outlineLevel="0" collapsed="false">
      <c r="A121" s="5" t="n">
        <f aca="false">IF(B121&lt;&gt;"", COUNTA($B$2:B121), "")</f>
        <v>120</v>
      </c>
      <c r="B121" s="8" t="s">
        <v>141</v>
      </c>
      <c r="C121" s="8" t="s">
        <v>1520</v>
      </c>
      <c r="D121" s="8" t="n">
        <v>12020705</v>
      </c>
      <c r="E121" s="8" t="n">
        <v>2012</v>
      </c>
      <c r="F121" s="8"/>
      <c r="G121" s="8"/>
      <c r="H121" s="8" t="s">
        <v>1522</v>
      </c>
      <c r="I121" s="15" t="s">
        <v>1315</v>
      </c>
      <c r="J121" s="5" t="s">
        <v>32</v>
      </c>
      <c r="K121" s="8"/>
      <c r="L121" s="8"/>
      <c r="M121" s="30"/>
      <c r="N121" s="8"/>
    </row>
    <row r="122" customFormat="false" ht="15" hidden="false" customHeight="false" outlineLevel="0" collapsed="false">
      <c r="A122" s="5" t="n">
        <f aca="false">IF(B122&lt;&gt;"", COUNTA($B$2:B122), "")</f>
        <v>121</v>
      </c>
      <c r="B122" s="8" t="s">
        <v>141</v>
      </c>
      <c r="C122" s="8" t="s">
        <v>1520</v>
      </c>
      <c r="D122" s="8" t="n">
        <v>12020928</v>
      </c>
      <c r="E122" s="8" t="n">
        <v>2012</v>
      </c>
      <c r="F122" s="8"/>
      <c r="G122" s="8"/>
      <c r="H122" s="8" t="s">
        <v>1523</v>
      </c>
      <c r="I122" s="15" t="s">
        <v>1315</v>
      </c>
      <c r="J122" s="5" t="s">
        <v>32</v>
      </c>
      <c r="K122" s="8"/>
      <c r="L122" s="8"/>
      <c r="M122" s="30"/>
      <c r="N122" s="8"/>
    </row>
    <row r="123" customFormat="false" ht="22.5" hidden="false" customHeight="false" outlineLevel="0" collapsed="false">
      <c r="A123" s="5" t="n">
        <f aca="false">IF(B123&lt;&gt;"", COUNTA($B$2:B123), "")</f>
        <v>122</v>
      </c>
      <c r="B123" s="18" t="s">
        <v>57</v>
      </c>
      <c r="C123" s="8" t="s">
        <v>1524</v>
      </c>
      <c r="D123" s="8" t="n">
        <v>2741</v>
      </c>
      <c r="E123" s="8"/>
      <c r="F123" s="8" t="s">
        <v>1525</v>
      </c>
      <c r="G123" s="8" t="n">
        <v>1.5</v>
      </c>
      <c r="H123" s="8" t="s">
        <v>1526</v>
      </c>
      <c r="I123" s="15" t="s">
        <v>1315</v>
      </c>
      <c r="J123" s="5" t="s">
        <v>32</v>
      </c>
      <c r="K123" s="8"/>
      <c r="L123" s="8"/>
      <c r="M123" s="30"/>
      <c r="N123" s="30"/>
    </row>
    <row r="124" customFormat="false" ht="15" hidden="false" customHeight="false" outlineLevel="0" collapsed="false">
      <c r="A124" s="5" t="n">
        <f aca="false">IF(B124&lt;&gt;"", COUNTA($B$2:B124), "")</f>
        <v>123</v>
      </c>
      <c r="B124" s="83" t="s">
        <v>1396</v>
      </c>
      <c r="C124" s="15" t="s">
        <v>1397</v>
      </c>
      <c r="D124" s="8" t="n">
        <v>8190</v>
      </c>
      <c r="E124" s="8" t="n">
        <v>2012</v>
      </c>
      <c r="F124" s="15" t="s">
        <v>1527</v>
      </c>
      <c r="G124" s="8"/>
      <c r="H124" s="8" t="s">
        <v>1528</v>
      </c>
      <c r="I124" s="15" t="s">
        <v>1315</v>
      </c>
      <c r="J124" s="5" t="s">
        <v>32</v>
      </c>
      <c r="K124" s="8"/>
      <c r="L124" s="8"/>
      <c r="M124" s="30"/>
      <c r="N124" s="30"/>
    </row>
    <row r="125" customFormat="false" ht="15" hidden="false" customHeight="false" outlineLevel="0" collapsed="false">
      <c r="A125" s="5" t="n">
        <f aca="false">IF(B125&lt;&gt;"", COUNTA($B$2:B125), "")</f>
        <v>124</v>
      </c>
      <c r="B125" s="83" t="s">
        <v>1396</v>
      </c>
      <c r="C125" s="8" t="s">
        <v>1529</v>
      </c>
      <c r="D125" s="8" t="n">
        <v>1142558</v>
      </c>
      <c r="E125" s="8"/>
      <c r="F125" s="15" t="s">
        <v>1530</v>
      </c>
      <c r="G125" s="8"/>
      <c r="H125" s="8" t="s">
        <v>1531</v>
      </c>
      <c r="I125" s="15" t="s">
        <v>1315</v>
      </c>
      <c r="J125" s="5" t="s">
        <v>32</v>
      </c>
      <c r="K125" s="84"/>
      <c r="L125" s="8"/>
      <c r="M125" s="30"/>
      <c r="N125" s="30"/>
    </row>
    <row r="126" customFormat="false" ht="15" hidden="false" customHeight="false" outlineLevel="0" collapsed="false">
      <c r="A126" s="5" t="n">
        <f aca="false">IF(B126&lt;&gt;"", COUNTA($B$2:B126), "")</f>
        <v>125</v>
      </c>
      <c r="B126" s="83" t="s">
        <v>1396</v>
      </c>
      <c r="C126" s="8" t="s">
        <v>1529</v>
      </c>
      <c r="D126" s="8" t="n">
        <v>1144959</v>
      </c>
      <c r="E126" s="8"/>
      <c r="F126" s="15" t="s">
        <v>1530</v>
      </c>
      <c r="G126" s="8"/>
      <c r="H126" s="8" t="s">
        <v>1532</v>
      </c>
      <c r="I126" s="15" t="s">
        <v>1315</v>
      </c>
      <c r="J126" s="5" t="s">
        <v>32</v>
      </c>
      <c r="K126" s="20"/>
      <c r="L126" s="20"/>
      <c r="M126" s="30"/>
      <c r="N126" s="8"/>
    </row>
    <row r="127" customFormat="false" ht="15" hidden="false" customHeight="false" outlineLevel="0" collapsed="false">
      <c r="A127" s="5" t="n">
        <f aca="false">IF(B127&lt;&gt;"", COUNTA($B$2:B127), "")</f>
        <v>126</v>
      </c>
      <c r="B127" s="83" t="s">
        <v>1396</v>
      </c>
      <c r="C127" s="8" t="s">
        <v>1529</v>
      </c>
      <c r="D127" s="8" t="n">
        <v>1206348</v>
      </c>
      <c r="E127" s="8"/>
      <c r="F127" s="15" t="s">
        <v>1530</v>
      </c>
      <c r="G127" s="8"/>
      <c r="H127" s="8" t="s">
        <v>1533</v>
      </c>
      <c r="I127" s="15" t="s">
        <v>1315</v>
      </c>
      <c r="J127" s="5" t="s">
        <v>32</v>
      </c>
      <c r="K127" s="20"/>
      <c r="L127" s="20"/>
      <c r="M127" s="30"/>
      <c r="N127" s="30"/>
    </row>
    <row r="128" customFormat="false" ht="15" hidden="false" customHeight="false" outlineLevel="0" collapsed="false">
      <c r="A128" s="5" t="n">
        <f aca="false">IF(B128&lt;&gt;"", COUNTA($B$2:B128), "")</f>
        <v>127</v>
      </c>
      <c r="B128" s="5" t="s">
        <v>1534</v>
      </c>
      <c r="C128" s="8" t="s">
        <v>1535</v>
      </c>
      <c r="D128" s="8" t="n">
        <v>1150818</v>
      </c>
      <c r="E128" s="8"/>
      <c r="F128" s="15"/>
      <c r="G128" s="8"/>
      <c r="H128" s="8" t="s">
        <v>1536</v>
      </c>
      <c r="I128" s="15" t="s">
        <v>1315</v>
      </c>
      <c r="J128" s="5" t="s">
        <v>32</v>
      </c>
      <c r="K128" s="30"/>
      <c r="L128" s="30"/>
      <c r="M128" s="30"/>
      <c r="N128" s="30"/>
    </row>
    <row r="129" customFormat="false" ht="15" hidden="false" customHeight="false" outlineLevel="0" collapsed="false">
      <c r="A129" s="5" t="n">
        <f aca="false">IF(B129&lt;&gt;"", COUNTA($B$2:B129), "")</f>
        <v>128</v>
      </c>
      <c r="B129" s="5" t="s">
        <v>1534</v>
      </c>
      <c r="C129" s="8" t="s">
        <v>1535</v>
      </c>
      <c r="D129" s="8" t="n">
        <v>1151082</v>
      </c>
      <c r="E129" s="8"/>
      <c r="F129" s="15"/>
      <c r="G129" s="8"/>
      <c r="H129" s="8" t="s">
        <v>1537</v>
      </c>
      <c r="I129" s="15" t="s">
        <v>1315</v>
      </c>
      <c r="J129" s="5" t="s">
        <v>32</v>
      </c>
      <c r="K129" s="30"/>
      <c r="L129" s="30"/>
      <c r="M129" s="30"/>
      <c r="N129" s="30"/>
    </row>
    <row r="130" customFormat="false" ht="15" hidden="false" customHeight="false" outlineLevel="0" collapsed="false">
      <c r="A130" s="5" t="n">
        <f aca="false">IF(B130&lt;&gt;"", COUNTA($B$2:B130), "")</f>
        <v>129</v>
      </c>
      <c r="B130" s="5" t="s">
        <v>1534</v>
      </c>
      <c r="C130" s="8" t="s">
        <v>1535</v>
      </c>
      <c r="D130" s="8" t="n">
        <v>1101022</v>
      </c>
      <c r="E130" s="8"/>
      <c r="F130" s="15"/>
      <c r="G130" s="8"/>
      <c r="H130" s="8" t="s">
        <v>1538</v>
      </c>
      <c r="I130" s="15" t="s">
        <v>1315</v>
      </c>
      <c r="J130" s="5" t="s">
        <v>32</v>
      </c>
      <c r="K130" s="30"/>
      <c r="L130" s="30"/>
      <c r="M130" s="30"/>
      <c r="N130" s="30"/>
    </row>
    <row r="131" customFormat="false" ht="15" hidden="false" customHeight="false" outlineLevel="0" collapsed="false">
      <c r="A131" s="5" t="n">
        <f aca="false">IF(B131&lt;&gt;"", COUNTA($B$2:B131), "")</f>
        <v>130</v>
      </c>
      <c r="B131" s="5" t="s">
        <v>1539</v>
      </c>
      <c r="C131" s="8" t="s">
        <v>1540</v>
      </c>
      <c r="D131" s="5" t="n">
        <v>1100137</v>
      </c>
      <c r="E131" s="8"/>
      <c r="F131" s="8"/>
      <c r="G131" s="8"/>
      <c r="H131" s="6" t="s">
        <v>1541</v>
      </c>
      <c r="I131" s="15" t="s">
        <v>1315</v>
      </c>
      <c r="J131" s="5" t="s">
        <v>32</v>
      </c>
      <c r="K131" s="5"/>
      <c r="L131" s="8"/>
      <c r="M131" s="30"/>
      <c r="N131" s="8"/>
    </row>
    <row r="132" customFormat="false" ht="15" hidden="false" customHeight="false" outlineLevel="0" collapsed="false">
      <c r="A132" s="5" t="n">
        <f aca="false">IF(B132&lt;&gt;"", COUNTA($B$2:B132), "")</f>
        <v>131</v>
      </c>
      <c r="B132" s="8" t="s">
        <v>1542</v>
      </c>
      <c r="C132" s="8" t="s">
        <v>1543</v>
      </c>
      <c r="D132" s="8" t="s">
        <v>1544</v>
      </c>
      <c r="E132" s="8"/>
      <c r="F132" s="15"/>
      <c r="G132" s="8"/>
      <c r="H132" s="8" t="s">
        <v>1545</v>
      </c>
      <c r="I132" s="15" t="s">
        <v>1315</v>
      </c>
      <c r="J132" s="5" t="s">
        <v>32</v>
      </c>
      <c r="K132" s="30"/>
      <c r="L132" s="30"/>
      <c r="M132" s="30"/>
      <c r="N132" s="30"/>
    </row>
    <row r="133" customFormat="false" ht="15" hidden="false" customHeight="false" outlineLevel="0" collapsed="false">
      <c r="A133" s="42"/>
      <c r="B133" s="42"/>
      <c r="C133" s="42"/>
      <c r="D133" s="42"/>
      <c r="E133" s="42"/>
      <c r="F133" s="43"/>
      <c r="G133" s="42"/>
      <c r="H133" s="42"/>
      <c r="I133" s="42"/>
      <c r="J133" s="42"/>
    </row>
    <row r="134" customFormat="false" ht="15" hidden="false" customHeight="false" outlineLevel="0" collapsed="false">
      <c r="A134" s="85"/>
      <c r="B134" s="85"/>
      <c r="C134" s="85"/>
      <c r="D134" s="85"/>
      <c r="E134" s="85"/>
      <c r="F134" s="86"/>
      <c r="G134" s="85"/>
      <c r="H134" s="85"/>
      <c r="I134" s="85"/>
      <c r="J134" s="85"/>
    </row>
    <row r="135" customFormat="false" ht="15" hidden="false" customHeight="false" outlineLevel="0" collapsed="false">
      <c r="A135" s="85"/>
      <c r="B135" s="85"/>
      <c r="C135" s="85"/>
      <c r="D135" s="85"/>
      <c r="E135" s="85"/>
      <c r="F135" s="86"/>
      <c r="G135" s="85"/>
      <c r="H135" s="85"/>
      <c r="I135" s="85"/>
      <c r="J135" s="85"/>
    </row>
    <row r="136" customFormat="false" ht="15" hidden="false" customHeight="false" outlineLevel="0" collapsed="false">
      <c r="A136" s="85"/>
      <c r="B136" s="85"/>
      <c r="C136" s="85"/>
      <c r="D136" s="85"/>
      <c r="E136" s="85"/>
      <c r="F136" s="86"/>
      <c r="G136" s="85"/>
      <c r="H136" s="85"/>
      <c r="I136" s="85"/>
      <c r="J136" s="85"/>
    </row>
    <row r="137" customFormat="false" ht="15" hidden="false" customHeight="false" outlineLevel="0" collapsed="false">
      <c r="A137" s="85"/>
      <c r="B137" s="85"/>
      <c r="C137" s="85"/>
      <c r="D137" s="85"/>
      <c r="E137" s="85"/>
      <c r="F137" s="86"/>
      <c r="G137" s="85"/>
      <c r="H137" s="85"/>
      <c r="I137" s="85"/>
      <c r="J137" s="85"/>
    </row>
    <row r="138" customFormat="false" ht="15" hidden="false" customHeight="false" outlineLevel="0" collapsed="false">
      <c r="A138" s="85"/>
      <c r="B138" s="85"/>
      <c r="C138" s="85"/>
      <c r="D138" s="85"/>
      <c r="E138" s="85"/>
      <c r="F138" s="86"/>
      <c r="G138" s="85"/>
      <c r="H138" s="85"/>
      <c r="I138" s="85"/>
      <c r="J138" s="85"/>
    </row>
    <row r="139" customFormat="false" ht="15" hidden="false" customHeight="false" outlineLevel="0" collapsed="false">
      <c r="A139" s="85"/>
      <c r="B139" s="85"/>
      <c r="C139" s="85"/>
      <c r="D139" s="85"/>
      <c r="E139" s="85"/>
      <c r="F139" s="86"/>
      <c r="G139" s="85"/>
      <c r="H139" s="85"/>
      <c r="I139" s="85"/>
      <c r="J139" s="85"/>
    </row>
    <row r="140" customFormat="false" ht="15" hidden="false" customHeight="false" outlineLevel="0" collapsed="false">
      <c r="A140" s="85"/>
      <c r="B140" s="85"/>
      <c r="C140" s="85"/>
      <c r="D140" s="85"/>
      <c r="E140" s="85"/>
      <c r="F140" s="86"/>
      <c r="G140" s="85"/>
      <c r="H140" s="85"/>
      <c r="I140" s="85"/>
      <c r="J140" s="85"/>
    </row>
  </sheetData>
  <conditionalFormatting sqref="M1:M1048576">
    <cfRule type="expression" priority="2" aboveAverage="0" equalAverage="0" bottom="0" percent="0" rank="0" text="" dxfId="9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D1" colorId="64" zoomScale="136" zoomScaleNormal="136" zoomScalePageLayoutView="100" workbookViewId="0">
      <pane xSplit="0" ySplit="1" topLeftCell="A20" activePane="bottomLeft" state="frozen"/>
      <selection pane="topLeft" activeCell="D1" activeCellId="0" sqref="D1"/>
      <selection pane="bottomLeft" activeCell="M2" activeCellId="0" sqref="M2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19.85"/>
    <col collapsed="false" customWidth="true" hidden="false" outlineLevel="0" max="3" min="3" style="4" width="17.58"/>
    <col collapsed="false" customWidth="true" hidden="false" outlineLevel="0" max="4" min="4" style="4" width="8"/>
    <col collapsed="false" customWidth="true" hidden="false" outlineLevel="0" max="5" min="5" style="4" width="6.57"/>
    <col collapsed="false" customWidth="true" hidden="false" outlineLevel="0" max="6" min="6" style="4" width="11.42"/>
    <col collapsed="false" customWidth="true" hidden="false" outlineLevel="0" max="7" min="7" style="4" width="7.42"/>
    <col collapsed="false" customWidth="true" hidden="false" outlineLevel="0" max="8" min="8" style="4" width="19.29"/>
    <col collapsed="false" customWidth="true" hidden="false" outlineLevel="0" max="9" min="9" style="4" width="17.71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1546</v>
      </c>
      <c r="E1" s="6" t="s">
        <v>858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7" t="s">
        <v>27</v>
      </c>
      <c r="C2" s="5" t="s">
        <v>1324</v>
      </c>
      <c r="D2" s="5" t="n">
        <v>13</v>
      </c>
      <c r="E2" s="8" t="n">
        <v>2010</v>
      </c>
      <c r="F2" s="5" t="s">
        <v>1547</v>
      </c>
      <c r="G2" s="5" t="n">
        <v>1.5</v>
      </c>
      <c r="H2" s="6" t="s">
        <v>1548</v>
      </c>
      <c r="I2" s="5" t="s">
        <v>1549</v>
      </c>
      <c r="J2" s="5" t="s">
        <v>32</v>
      </c>
      <c r="K2" s="5" t="n">
        <v>2012</v>
      </c>
      <c r="L2" s="5" t="n">
        <v>12</v>
      </c>
      <c r="M2" s="6" t="s">
        <v>1550</v>
      </c>
      <c r="N2" s="5" t="s">
        <v>1</v>
      </c>
    </row>
    <row r="3" customFormat="false" ht="22.5" hidden="false" customHeight="false" outlineLevel="0" collapsed="false">
      <c r="A3" s="5" t="n">
        <f aca="false">IF(B3&lt;&gt;"", COUNTA($B$2:B3), "")</f>
        <v>2</v>
      </c>
      <c r="B3" s="7" t="s">
        <v>27</v>
      </c>
      <c r="C3" s="5" t="s">
        <v>1324</v>
      </c>
      <c r="D3" s="5" t="n">
        <v>15486</v>
      </c>
      <c r="E3" s="8" t="n">
        <v>2010</v>
      </c>
      <c r="F3" s="5" t="s">
        <v>1547</v>
      </c>
      <c r="G3" s="5" t="n">
        <v>1.5</v>
      </c>
      <c r="H3" s="6" t="s">
        <v>1551</v>
      </c>
      <c r="I3" s="5" t="s">
        <v>1549</v>
      </c>
      <c r="J3" s="5" t="s">
        <v>32</v>
      </c>
      <c r="K3" s="5" t="n">
        <v>2012</v>
      </c>
      <c r="L3" s="5" t="n">
        <v>12</v>
      </c>
      <c r="M3" s="6" t="s">
        <v>1550</v>
      </c>
      <c r="N3" s="5" t="s">
        <v>1</v>
      </c>
    </row>
    <row r="4" customFormat="false" ht="15" hidden="false" customHeight="false" outlineLevel="0" collapsed="false">
      <c r="A4" s="5" t="n">
        <f aca="false">IF(B4&lt;&gt;"", COUNTA($B$2:B4), "")</f>
        <v>3</v>
      </c>
      <c r="B4" s="7" t="s">
        <v>27</v>
      </c>
      <c r="C4" s="5" t="s">
        <v>1370</v>
      </c>
      <c r="D4" s="5" t="n">
        <v>15284</v>
      </c>
      <c r="E4" s="8" t="n">
        <v>2010</v>
      </c>
      <c r="F4" s="5" t="s">
        <v>1552</v>
      </c>
      <c r="G4" s="5" t="n">
        <v>1.5</v>
      </c>
      <c r="H4" s="6" t="s">
        <v>1553</v>
      </c>
      <c r="I4" s="5" t="s">
        <v>1549</v>
      </c>
      <c r="J4" s="5" t="s">
        <v>32</v>
      </c>
      <c r="K4" s="5" t="n">
        <v>2012</v>
      </c>
      <c r="L4" s="5" t="n">
        <v>12</v>
      </c>
      <c r="M4" s="6" t="s">
        <v>1550</v>
      </c>
      <c r="N4" s="5" t="s">
        <v>1</v>
      </c>
    </row>
    <row r="5" customFormat="false" ht="22.5" hidden="false" customHeight="false" outlineLevel="0" collapsed="false">
      <c r="A5" s="5" t="n">
        <f aca="false">IF(B5&lt;&gt;"", COUNTA($B$2:B5), "")</f>
        <v>4</v>
      </c>
      <c r="B5" s="7" t="s">
        <v>27</v>
      </c>
      <c r="C5" s="5" t="s">
        <v>1324</v>
      </c>
      <c r="D5" s="5" t="n">
        <v>7095</v>
      </c>
      <c r="E5" s="8" t="n">
        <v>2010</v>
      </c>
      <c r="F5" s="5" t="s">
        <v>1547</v>
      </c>
      <c r="G5" s="5" t="n">
        <v>1.5</v>
      </c>
      <c r="H5" s="6" t="s">
        <v>1554</v>
      </c>
      <c r="I5" s="5" t="s">
        <v>1549</v>
      </c>
      <c r="J5" s="5" t="s">
        <v>32</v>
      </c>
      <c r="K5" s="5" t="n">
        <v>2012</v>
      </c>
      <c r="L5" s="5" t="n">
        <v>12</v>
      </c>
      <c r="M5" s="6" t="s">
        <v>1550</v>
      </c>
      <c r="N5" s="5" t="s">
        <v>1</v>
      </c>
    </row>
    <row r="6" customFormat="false" ht="22.5" hidden="false" customHeight="false" outlineLevel="0" collapsed="false">
      <c r="A6" s="5" t="n">
        <f aca="false">IF(B6&lt;&gt;"", COUNTA($B$2:B6), "")</f>
        <v>5</v>
      </c>
      <c r="B6" s="7" t="s">
        <v>27</v>
      </c>
      <c r="C6" s="5" t="s">
        <v>1324</v>
      </c>
      <c r="D6" s="5" t="n">
        <v>15427</v>
      </c>
      <c r="E6" s="8" t="n">
        <v>2010</v>
      </c>
      <c r="F6" s="5" t="s">
        <v>1555</v>
      </c>
      <c r="G6" s="5" t="n">
        <v>1.5</v>
      </c>
      <c r="H6" s="6" t="s">
        <v>1556</v>
      </c>
      <c r="I6" s="5" t="s">
        <v>1549</v>
      </c>
      <c r="J6" s="5" t="s">
        <v>32</v>
      </c>
      <c r="K6" s="5" t="n">
        <v>2012</v>
      </c>
      <c r="L6" s="5" t="n">
        <v>12</v>
      </c>
      <c r="M6" s="6" t="s">
        <v>1550</v>
      </c>
      <c r="N6" s="5" t="s">
        <v>1</v>
      </c>
    </row>
    <row r="7" customFormat="false" ht="22.5" hidden="false" customHeight="false" outlineLevel="0" collapsed="false">
      <c r="A7" s="5" t="n">
        <f aca="false">IF(B7&lt;&gt;"", COUNTA($B$2:B7), "")</f>
        <v>6</v>
      </c>
      <c r="B7" s="7" t="s">
        <v>27</v>
      </c>
      <c r="C7" s="5" t="s">
        <v>1324</v>
      </c>
      <c r="D7" s="5" t="n">
        <v>7000202</v>
      </c>
      <c r="E7" s="8" t="n">
        <v>2010</v>
      </c>
      <c r="F7" s="5" t="s">
        <v>1547</v>
      </c>
      <c r="G7" s="5" t="n">
        <v>1.5</v>
      </c>
      <c r="H7" s="6" t="s">
        <v>1557</v>
      </c>
      <c r="I7" s="5" t="s">
        <v>1549</v>
      </c>
      <c r="J7" s="5" t="s">
        <v>32</v>
      </c>
      <c r="K7" s="5" t="n">
        <v>2012</v>
      </c>
      <c r="L7" s="5" t="n">
        <v>12</v>
      </c>
      <c r="M7" s="6" t="s">
        <v>1550</v>
      </c>
      <c r="N7" s="5" t="s">
        <v>1</v>
      </c>
    </row>
    <row r="8" customFormat="false" ht="22.5" hidden="false" customHeight="false" outlineLevel="0" collapsed="false">
      <c r="A8" s="5" t="n">
        <f aca="false">IF(B8&lt;&gt;"", COUNTA($B$2:B8), "")</f>
        <v>7</v>
      </c>
      <c r="B8" s="7" t="s">
        <v>27</v>
      </c>
      <c r="C8" s="5" t="s">
        <v>1324</v>
      </c>
      <c r="D8" s="5" t="n">
        <v>15428</v>
      </c>
      <c r="E8" s="8" t="n">
        <v>2010</v>
      </c>
      <c r="F8" s="5" t="s">
        <v>1555</v>
      </c>
      <c r="G8" s="5" t="n">
        <v>1.5</v>
      </c>
      <c r="H8" s="6" t="s">
        <v>1558</v>
      </c>
      <c r="I8" s="5" t="s">
        <v>1549</v>
      </c>
      <c r="J8" s="5" t="s">
        <v>32</v>
      </c>
      <c r="K8" s="5" t="n">
        <v>2012</v>
      </c>
      <c r="L8" s="5" t="n">
        <v>12</v>
      </c>
      <c r="M8" s="6" t="s">
        <v>1550</v>
      </c>
      <c r="N8" s="5" t="s">
        <v>1</v>
      </c>
    </row>
    <row r="9" customFormat="false" ht="22.5" hidden="false" customHeight="false" outlineLevel="0" collapsed="false">
      <c r="A9" s="5" t="n">
        <f aca="false">IF(B9&lt;&gt;"", COUNTA($B$2:B9), "")</f>
        <v>8</v>
      </c>
      <c r="B9" s="7" t="s">
        <v>1559</v>
      </c>
      <c r="C9" s="5" t="s">
        <v>1560</v>
      </c>
      <c r="D9" s="5" t="s">
        <v>1561</v>
      </c>
      <c r="E9" s="8" t="n">
        <v>2012</v>
      </c>
      <c r="F9" s="5" t="s">
        <v>1562</v>
      </c>
      <c r="G9" s="5"/>
      <c r="H9" s="5"/>
      <c r="I9" s="6" t="s">
        <v>1563</v>
      </c>
      <c r="J9" s="5" t="s">
        <v>32</v>
      </c>
      <c r="K9" s="5" t="n">
        <v>2012</v>
      </c>
      <c r="L9" s="5"/>
      <c r="M9" s="6"/>
      <c r="N9" s="5"/>
    </row>
    <row r="10" customFormat="false" ht="15" hidden="false" customHeight="false" outlineLevel="0" collapsed="false">
      <c r="A10" s="5" t="n">
        <f aca="false">IF(B10&lt;&gt;"", COUNTA($B$2:B10), "")</f>
        <v>9</v>
      </c>
      <c r="B10" s="7" t="s">
        <v>64</v>
      </c>
      <c r="C10" s="5" t="s">
        <v>1564</v>
      </c>
      <c r="D10" s="5" t="n">
        <v>2074421</v>
      </c>
      <c r="E10" s="8" t="n">
        <v>2012</v>
      </c>
      <c r="F10" s="5"/>
      <c r="G10" s="5"/>
      <c r="H10" s="6" t="s">
        <v>1490</v>
      </c>
      <c r="I10" s="5" t="s">
        <v>1563</v>
      </c>
      <c r="J10" s="5" t="s">
        <v>32</v>
      </c>
      <c r="K10" s="5" t="n">
        <v>2012</v>
      </c>
      <c r="L10" s="5"/>
      <c r="M10" s="6"/>
      <c r="N10" s="5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7" t="s">
        <v>1534</v>
      </c>
      <c r="C11" s="5" t="s">
        <v>1565</v>
      </c>
      <c r="D11" s="5" t="n">
        <v>1320197</v>
      </c>
      <c r="E11" s="8" t="n">
        <v>2012</v>
      </c>
      <c r="F11" s="30"/>
      <c r="G11" s="30"/>
      <c r="H11" s="6" t="s">
        <v>1566</v>
      </c>
      <c r="I11" s="6" t="s">
        <v>1563</v>
      </c>
      <c r="J11" s="5" t="s">
        <v>32</v>
      </c>
      <c r="K11" s="5"/>
      <c r="L11" s="30"/>
      <c r="M11" s="6"/>
      <c r="N11" s="30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5" t="s">
        <v>1567</v>
      </c>
      <c r="C12" s="8" t="s">
        <v>1568</v>
      </c>
      <c r="D12" s="5" t="n">
        <v>1200296</v>
      </c>
      <c r="E12" s="8" t="n">
        <v>2012</v>
      </c>
      <c r="F12" s="8"/>
      <c r="G12" s="8"/>
      <c r="H12" s="6" t="s">
        <v>1569</v>
      </c>
      <c r="I12" s="6" t="s">
        <v>1563</v>
      </c>
      <c r="J12" s="5" t="s">
        <v>32</v>
      </c>
      <c r="K12" s="5"/>
      <c r="L12" s="8"/>
      <c r="M12" s="6"/>
      <c r="N12" s="8"/>
    </row>
    <row r="13" customFormat="false" ht="22.5" hidden="false" customHeight="false" outlineLevel="0" collapsed="false">
      <c r="A13" s="5" t="n">
        <f aca="false">IF(B13&lt;&gt;"", COUNTA($B$2:B13), "")</f>
        <v>12</v>
      </c>
      <c r="B13" s="5" t="s">
        <v>1539</v>
      </c>
      <c r="C13" s="8" t="s">
        <v>1570</v>
      </c>
      <c r="D13" s="5" t="n">
        <v>1303083</v>
      </c>
      <c r="E13" s="8" t="n">
        <v>2012</v>
      </c>
      <c r="F13" s="8"/>
      <c r="G13" s="8"/>
      <c r="H13" s="6" t="s">
        <v>1569</v>
      </c>
      <c r="I13" s="6" t="s">
        <v>1563</v>
      </c>
      <c r="J13" s="5" t="s">
        <v>32</v>
      </c>
      <c r="K13" s="5"/>
      <c r="L13" s="8"/>
      <c r="M13" s="6"/>
      <c r="N13" s="8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7" t="s">
        <v>1571</v>
      </c>
      <c r="C14" s="8" t="s">
        <v>1572</v>
      </c>
      <c r="D14" s="5" t="n">
        <v>1200193</v>
      </c>
      <c r="E14" s="8" t="n">
        <v>2012</v>
      </c>
      <c r="F14" s="8"/>
      <c r="G14" s="8"/>
      <c r="H14" s="5" t="s">
        <v>1573</v>
      </c>
      <c r="I14" s="6" t="s">
        <v>1563</v>
      </c>
      <c r="J14" s="5" t="s">
        <v>32</v>
      </c>
      <c r="K14" s="5"/>
      <c r="L14" s="8"/>
      <c r="M14" s="6"/>
      <c r="N14" s="8"/>
    </row>
  </sheetData>
  <conditionalFormatting sqref="M1:M1048576">
    <cfRule type="expression" priority="2" aboveAverage="0" equalAverage="0" bottom="0" percent="0" rank="0" text="" dxfId="1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36111111111111" right="0.236111111111111" top="0.236111111111111" bottom="0.236111111111111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2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D7" activeCellId="0" sqref="D7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3.14"/>
    <col collapsed="false" customWidth="true" hidden="false" outlineLevel="0" max="2" min="2" style="0" width="18.42"/>
    <col collapsed="false" customWidth="true" hidden="false" outlineLevel="0" max="3" min="3" style="0" width="12.29"/>
    <col collapsed="false" customWidth="true" hidden="false" outlineLevel="0" max="4" min="4" style="0" width="8.42"/>
    <col collapsed="false" customWidth="true" hidden="false" outlineLevel="0" max="5" min="5" style="0" width="6.57"/>
    <col collapsed="false" customWidth="true" hidden="false" outlineLevel="0" max="6" min="6" style="0" width="8.29"/>
    <col collapsed="false" customWidth="true" hidden="false" outlineLevel="0" max="7" min="7" style="0" width="7.42"/>
    <col collapsed="false" customWidth="true" hidden="false" outlineLevel="0" max="8" min="8" style="0" width="25"/>
    <col collapsed="false" customWidth="true" hidden="false" outlineLevel="0" max="9" min="9" style="0" width="8"/>
    <col collapsed="false" customWidth="true" hidden="false" outlineLevel="0" max="10" min="10" style="0" width="17.42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4" width="8.86"/>
    <col collapsed="false" customWidth="true" hidden="false" outlineLevel="0" max="14" min="14" style="0" width="9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s="4" customFormat="true" ht="15" hidden="false" customHeight="false" outlineLevel="0" collapsed="false">
      <c r="A2" s="21" t="n">
        <f aca="false">IF(B2&lt;&gt;"", COUNTA($B$2:B2), "")</f>
        <v>1</v>
      </c>
      <c r="B2" s="22" t="s">
        <v>27</v>
      </c>
      <c r="C2" s="23" t="s">
        <v>1370</v>
      </c>
      <c r="D2" s="23" t="n">
        <v>15416</v>
      </c>
      <c r="E2" s="23" t="n">
        <v>2010</v>
      </c>
      <c r="F2" s="23" t="s">
        <v>1574</v>
      </c>
      <c r="G2" s="23" t="n">
        <v>1.5</v>
      </c>
      <c r="H2" s="21" t="s">
        <v>1575</v>
      </c>
      <c r="I2" s="23" t="s">
        <v>1576</v>
      </c>
      <c r="J2" s="21" t="s">
        <v>32</v>
      </c>
      <c r="K2" s="21" t="n">
        <v>2012</v>
      </c>
      <c r="L2" s="21" t="n">
        <v>12</v>
      </c>
      <c r="M2" s="27" t="s">
        <v>33</v>
      </c>
      <c r="N2" s="23" t="s">
        <v>1</v>
      </c>
    </row>
    <row r="3" s="4" customFormat="true" ht="15" hidden="false" customHeight="false" outlineLevel="0" collapsed="false">
      <c r="A3" s="21" t="n">
        <f aca="false">IF(B3&lt;&gt;"", COUNTA($B$2:B3), "")</f>
        <v>2</v>
      </c>
      <c r="B3" s="22" t="s">
        <v>27</v>
      </c>
      <c r="C3" s="23" t="s">
        <v>1370</v>
      </c>
      <c r="D3" s="87" t="s">
        <v>1577</v>
      </c>
      <c r="E3" s="23" t="n">
        <v>2010</v>
      </c>
      <c r="F3" s="23" t="s">
        <v>1574</v>
      </c>
      <c r="G3" s="23" t="n">
        <v>1.5</v>
      </c>
      <c r="H3" s="21" t="s">
        <v>1578</v>
      </c>
      <c r="I3" s="23" t="s">
        <v>1576</v>
      </c>
      <c r="J3" s="21" t="s">
        <v>32</v>
      </c>
      <c r="K3" s="21" t="n">
        <v>2012</v>
      </c>
      <c r="L3" s="21" t="n">
        <v>12</v>
      </c>
      <c r="M3" s="27" t="s">
        <v>33</v>
      </c>
      <c r="N3" s="23" t="s">
        <v>1</v>
      </c>
    </row>
    <row r="4" s="4" customFormat="true" ht="15" hidden="false" customHeight="false" outlineLevel="0" collapsed="false">
      <c r="A4" s="21" t="n">
        <f aca="false">IF(B4&lt;&gt;"", COUNTA($B$2:B4), "")</f>
        <v>3</v>
      </c>
      <c r="B4" s="22" t="s">
        <v>27</v>
      </c>
      <c r="C4" s="23" t="s">
        <v>1370</v>
      </c>
      <c r="D4" s="87" t="s">
        <v>1579</v>
      </c>
      <c r="E4" s="23" t="n">
        <v>2010</v>
      </c>
      <c r="F4" s="23" t="s">
        <v>1574</v>
      </c>
      <c r="G4" s="23" t="n">
        <v>1.5</v>
      </c>
      <c r="H4" s="21" t="s">
        <v>1575</v>
      </c>
      <c r="I4" s="23" t="s">
        <v>1576</v>
      </c>
      <c r="J4" s="21" t="s">
        <v>32</v>
      </c>
      <c r="K4" s="21" t="n">
        <v>2012</v>
      </c>
      <c r="L4" s="21" t="n">
        <v>12</v>
      </c>
      <c r="M4" s="27" t="s">
        <v>33</v>
      </c>
      <c r="N4" s="23" t="s">
        <v>1</v>
      </c>
    </row>
    <row r="5" s="4" customFormat="true" ht="15" hidden="false" customHeight="false" outlineLevel="0" collapsed="false">
      <c r="A5" s="21" t="n">
        <f aca="false">IF(B5&lt;&gt;"", COUNTA($B$2:B5), "")</f>
        <v>4</v>
      </c>
      <c r="B5" s="22" t="s">
        <v>27</v>
      </c>
      <c r="C5" s="23" t="s">
        <v>121</v>
      </c>
      <c r="D5" s="87" t="s">
        <v>1580</v>
      </c>
      <c r="E5" s="23" t="n">
        <v>2010</v>
      </c>
      <c r="F5" s="23" t="s">
        <v>1574</v>
      </c>
      <c r="G5" s="23" t="n">
        <v>1.5</v>
      </c>
      <c r="H5" s="21" t="s">
        <v>1581</v>
      </c>
      <c r="I5" s="23" t="s">
        <v>1576</v>
      </c>
      <c r="J5" s="21" t="s">
        <v>32</v>
      </c>
      <c r="K5" s="21" t="n">
        <v>2012</v>
      </c>
      <c r="L5" s="21" t="n">
        <v>12</v>
      </c>
      <c r="M5" s="27" t="s">
        <v>33</v>
      </c>
      <c r="N5" s="23" t="s">
        <v>1</v>
      </c>
    </row>
    <row r="6" s="4" customFormat="true" ht="22.5" hidden="false" customHeight="false" outlineLevel="0" collapsed="false">
      <c r="A6" s="21" t="n">
        <f aca="false">IF(B6&lt;&gt;"", COUNTA($B$2:B6), "")</f>
        <v>5</v>
      </c>
      <c r="B6" s="22" t="s">
        <v>27</v>
      </c>
      <c r="C6" s="23" t="s">
        <v>1370</v>
      </c>
      <c r="D6" s="87" t="s">
        <v>1582</v>
      </c>
      <c r="E6" s="23" t="n">
        <v>2010</v>
      </c>
      <c r="F6" s="88" t="s">
        <v>1583</v>
      </c>
      <c r="G6" s="89" t="n">
        <v>1.5</v>
      </c>
      <c r="H6" s="21" t="s">
        <v>1584</v>
      </c>
      <c r="I6" s="23" t="s">
        <v>1576</v>
      </c>
      <c r="J6" s="21" t="s">
        <v>32</v>
      </c>
      <c r="K6" s="21" t="n">
        <v>2012</v>
      </c>
      <c r="L6" s="21" t="n">
        <v>12</v>
      </c>
      <c r="M6" s="27" t="s">
        <v>33</v>
      </c>
      <c r="N6" s="23" t="s">
        <v>1</v>
      </c>
    </row>
    <row r="7" s="4" customFormat="true" ht="22.5" hidden="false" customHeight="false" outlineLevel="0" collapsed="false">
      <c r="A7" s="21" t="n">
        <f aca="false">IF(B7&lt;&gt;"", COUNTA($B$2:B7), "")</f>
        <v>6</v>
      </c>
      <c r="B7" s="22" t="s">
        <v>27</v>
      </c>
      <c r="C7" s="23" t="s">
        <v>121</v>
      </c>
      <c r="D7" s="87" t="s">
        <v>1585</v>
      </c>
      <c r="E7" s="23" t="n">
        <v>2012</v>
      </c>
      <c r="F7" s="23" t="s">
        <v>1574</v>
      </c>
      <c r="G7" s="89" t="n">
        <v>1.5</v>
      </c>
      <c r="H7" s="21" t="s">
        <v>1586</v>
      </c>
      <c r="I7" s="23" t="s">
        <v>1576</v>
      </c>
      <c r="J7" s="21" t="s">
        <v>32</v>
      </c>
      <c r="K7" s="21" t="n">
        <v>2012</v>
      </c>
      <c r="L7" s="21" t="n">
        <v>12</v>
      </c>
      <c r="M7" s="27" t="s">
        <v>33</v>
      </c>
      <c r="N7" s="23" t="s">
        <v>1</v>
      </c>
    </row>
    <row r="8" s="4" customFormat="true" ht="22.5" hidden="false" customHeight="false" outlineLevel="0" collapsed="false">
      <c r="A8" s="21" t="n">
        <f aca="false">IF(B8&lt;&gt;"", COUNTA($B$2:B8), "")</f>
        <v>7</v>
      </c>
      <c r="B8" s="22" t="s">
        <v>27</v>
      </c>
      <c r="C8" s="23" t="s">
        <v>1370</v>
      </c>
      <c r="D8" s="87" t="s">
        <v>1587</v>
      </c>
      <c r="E8" s="23" t="n">
        <v>2010</v>
      </c>
      <c r="F8" s="23" t="s">
        <v>1574</v>
      </c>
      <c r="G8" s="89" t="n">
        <v>1.5</v>
      </c>
      <c r="H8" s="21" t="s">
        <v>1588</v>
      </c>
      <c r="I8" s="23" t="s">
        <v>1576</v>
      </c>
      <c r="J8" s="21" t="s">
        <v>32</v>
      </c>
      <c r="K8" s="21" t="n">
        <v>2012</v>
      </c>
      <c r="L8" s="21" t="n">
        <v>12</v>
      </c>
      <c r="M8" s="27" t="s">
        <v>33</v>
      </c>
      <c r="N8" s="23" t="s">
        <v>1</v>
      </c>
    </row>
    <row r="9" s="4" customFormat="true" ht="22.5" hidden="false" customHeight="false" outlineLevel="0" collapsed="false">
      <c r="A9" s="21" t="n">
        <f aca="false">IF(B9&lt;&gt;"", COUNTA($B$2:B9), "")</f>
        <v>8</v>
      </c>
      <c r="B9" s="22" t="s">
        <v>27</v>
      </c>
      <c r="C9" s="23" t="s">
        <v>1370</v>
      </c>
      <c r="D9" s="87" t="s">
        <v>1589</v>
      </c>
      <c r="E9" s="23" t="n">
        <v>2010</v>
      </c>
      <c r="F9" s="23" t="s">
        <v>1574</v>
      </c>
      <c r="G9" s="89" t="n">
        <v>1.5</v>
      </c>
      <c r="H9" s="21" t="s">
        <v>1590</v>
      </c>
      <c r="I9" s="23" t="s">
        <v>1576</v>
      </c>
      <c r="J9" s="21" t="s">
        <v>32</v>
      </c>
      <c r="K9" s="21" t="n">
        <v>2012</v>
      </c>
      <c r="L9" s="21" t="n">
        <v>12</v>
      </c>
      <c r="M9" s="27" t="s">
        <v>33</v>
      </c>
      <c r="N9" s="23" t="s">
        <v>1</v>
      </c>
    </row>
    <row r="10" s="4" customFormat="true" ht="22.5" hidden="false" customHeight="false" outlineLevel="0" collapsed="false">
      <c r="A10" s="21" t="n">
        <f aca="false">IF(B10&lt;&gt;"", COUNTA($B$2:B10), "")</f>
        <v>9</v>
      </c>
      <c r="B10" s="22" t="s">
        <v>27</v>
      </c>
      <c r="C10" s="23" t="s">
        <v>1370</v>
      </c>
      <c r="D10" s="87" t="s">
        <v>1591</v>
      </c>
      <c r="E10" s="23" t="n">
        <v>2010</v>
      </c>
      <c r="F10" s="23" t="s">
        <v>1574</v>
      </c>
      <c r="G10" s="89" t="n">
        <v>1.5</v>
      </c>
      <c r="H10" s="21" t="s">
        <v>1592</v>
      </c>
      <c r="I10" s="23" t="s">
        <v>1576</v>
      </c>
      <c r="J10" s="21" t="s">
        <v>32</v>
      </c>
      <c r="K10" s="21" t="n">
        <v>2012</v>
      </c>
      <c r="L10" s="21" t="n">
        <v>12</v>
      </c>
      <c r="M10" s="27" t="s">
        <v>33</v>
      </c>
      <c r="N10" s="23" t="s">
        <v>1</v>
      </c>
    </row>
    <row r="11" s="4" customFormat="true" ht="22.5" hidden="false" customHeight="false" outlineLevel="0" collapsed="false">
      <c r="A11" s="21" t="n">
        <f aca="false">IF(B11&lt;&gt;"", COUNTA($B$2:B11), "")</f>
        <v>10</v>
      </c>
      <c r="B11" s="22" t="s">
        <v>27</v>
      </c>
      <c r="C11" s="23" t="s">
        <v>1370</v>
      </c>
      <c r="D11" s="87" t="s">
        <v>1593</v>
      </c>
      <c r="E11" s="23" t="n">
        <v>2010</v>
      </c>
      <c r="F11" s="23" t="s">
        <v>1574</v>
      </c>
      <c r="G11" s="89" t="n">
        <v>1.5</v>
      </c>
      <c r="H11" s="21" t="s">
        <v>1594</v>
      </c>
      <c r="I11" s="23" t="s">
        <v>1576</v>
      </c>
      <c r="J11" s="21" t="s">
        <v>32</v>
      </c>
      <c r="K11" s="21" t="n">
        <v>2012</v>
      </c>
      <c r="L11" s="21" t="n">
        <v>12</v>
      </c>
      <c r="M11" s="27" t="s">
        <v>33</v>
      </c>
      <c r="N11" s="23" t="s">
        <v>1</v>
      </c>
    </row>
    <row r="12" s="4" customFormat="true" ht="22.5" hidden="false" customHeight="false" outlineLevel="0" collapsed="false">
      <c r="A12" s="21" t="n">
        <f aca="false">IF(B12&lt;&gt;"", COUNTA($B$2:B12), "")</f>
        <v>11</v>
      </c>
      <c r="B12" s="22" t="s">
        <v>27</v>
      </c>
      <c r="C12" s="23" t="s">
        <v>1370</v>
      </c>
      <c r="D12" s="87" t="s">
        <v>1595</v>
      </c>
      <c r="E12" s="23" t="n">
        <v>2010</v>
      </c>
      <c r="F12" s="23" t="s">
        <v>1574</v>
      </c>
      <c r="G12" s="89" t="n">
        <v>1.5</v>
      </c>
      <c r="H12" s="21" t="s">
        <v>1596</v>
      </c>
      <c r="I12" s="23" t="s">
        <v>1576</v>
      </c>
      <c r="J12" s="21" t="s">
        <v>32</v>
      </c>
      <c r="K12" s="21" t="n">
        <v>2012</v>
      </c>
      <c r="L12" s="21" t="n">
        <v>12</v>
      </c>
      <c r="M12" s="27" t="s">
        <v>33</v>
      </c>
      <c r="N12" s="23" t="s">
        <v>1</v>
      </c>
    </row>
    <row r="13" s="4" customFormat="true" ht="22.5" hidden="false" customHeight="false" outlineLevel="0" collapsed="false">
      <c r="A13" s="21" t="n">
        <f aca="false">IF(B13&lt;&gt;"", COUNTA($B$2:B13), "")</f>
        <v>12</v>
      </c>
      <c r="B13" s="22" t="s">
        <v>27</v>
      </c>
      <c r="C13" s="23" t="s">
        <v>1370</v>
      </c>
      <c r="D13" s="87" t="s">
        <v>1597</v>
      </c>
      <c r="E13" s="23" t="n">
        <v>2010</v>
      </c>
      <c r="F13" s="23" t="s">
        <v>1574</v>
      </c>
      <c r="G13" s="89" t="n">
        <v>1.5</v>
      </c>
      <c r="H13" s="21" t="s">
        <v>1598</v>
      </c>
      <c r="I13" s="23" t="s">
        <v>1576</v>
      </c>
      <c r="J13" s="21" t="s">
        <v>32</v>
      </c>
      <c r="K13" s="21" t="n">
        <v>2012</v>
      </c>
      <c r="L13" s="21" t="n">
        <v>12</v>
      </c>
      <c r="M13" s="27" t="s">
        <v>33</v>
      </c>
      <c r="N13" s="23" t="s">
        <v>1</v>
      </c>
    </row>
    <row r="14" s="4" customFormat="true" ht="22.5" hidden="false" customHeight="false" outlineLevel="0" collapsed="false">
      <c r="A14" s="21" t="n">
        <f aca="false">IF(B14&lt;&gt;"", COUNTA($B$2:B14), "")</f>
        <v>13</v>
      </c>
      <c r="B14" s="22" t="s">
        <v>27</v>
      </c>
      <c r="C14" s="23" t="s">
        <v>1370</v>
      </c>
      <c r="D14" s="87" t="s">
        <v>1599</v>
      </c>
      <c r="E14" s="23" t="n">
        <v>2010</v>
      </c>
      <c r="F14" s="23" t="s">
        <v>1574</v>
      </c>
      <c r="G14" s="89" t="n">
        <v>1.5</v>
      </c>
      <c r="H14" s="21" t="s">
        <v>1600</v>
      </c>
      <c r="I14" s="23" t="s">
        <v>1576</v>
      </c>
      <c r="J14" s="21" t="s">
        <v>32</v>
      </c>
      <c r="K14" s="21" t="n">
        <v>2012</v>
      </c>
      <c r="L14" s="21" t="n">
        <v>12</v>
      </c>
      <c r="M14" s="27" t="s">
        <v>33</v>
      </c>
      <c r="N14" s="23" t="s">
        <v>1</v>
      </c>
    </row>
    <row r="15" s="4" customFormat="true" ht="15" hidden="false" customHeight="false" outlineLevel="0" collapsed="false">
      <c r="A15" s="21" t="n">
        <f aca="false">IF(B15&lt;&gt;"", COUNTA($B$2:B15), "")</f>
        <v>14</v>
      </c>
      <c r="B15" s="22" t="s">
        <v>27</v>
      </c>
      <c r="C15" s="23" t="s">
        <v>1370</v>
      </c>
      <c r="D15" s="87" t="s">
        <v>1601</v>
      </c>
      <c r="E15" s="23" t="n">
        <v>2010</v>
      </c>
      <c r="F15" s="23" t="s">
        <v>1574</v>
      </c>
      <c r="G15" s="89" t="n">
        <v>1.5</v>
      </c>
      <c r="H15" s="21" t="s">
        <v>1602</v>
      </c>
      <c r="I15" s="23" t="s">
        <v>1576</v>
      </c>
      <c r="J15" s="21" t="s">
        <v>32</v>
      </c>
      <c r="K15" s="21" t="n">
        <v>2012</v>
      </c>
      <c r="L15" s="21" t="n">
        <v>12</v>
      </c>
      <c r="M15" s="27" t="s">
        <v>33</v>
      </c>
      <c r="N15" s="23" t="s">
        <v>1</v>
      </c>
    </row>
    <row r="16" s="4" customFormat="true" ht="15" hidden="false" customHeight="false" outlineLevel="0" collapsed="false">
      <c r="A16" s="21" t="n">
        <f aca="false">IF(B16&lt;&gt;"", COUNTA($B$2:B16), "")</f>
        <v>15</v>
      </c>
      <c r="B16" s="22" t="s">
        <v>27</v>
      </c>
      <c r="C16" s="23" t="s">
        <v>1370</v>
      </c>
      <c r="D16" s="87" t="s">
        <v>1603</v>
      </c>
      <c r="E16" s="23" t="n">
        <v>2010</v>
      </c>
      <c r="F16" s="23" t="s">
        <v>1574</v>
      </c>
      <c r="G16" s="89" t="n">
        <v>1.5</v>
      </c>
      <c r="H16" s="21" t="s">
        <v>1604</v>
      </c>
      <c r="I16" s="23" t="s">
        <v>1576</v>
      </c>
      <c r="J16" s="21" t="s">
        <v>32</v>
      </c>
      <c r="K16" s="21" t="n">
        <v>2012</v>
      </c>
      <c r="L16" s="21" t="n">
        <v>12</v>
      </c>
      <c r="M16" s="27" t="s">
        <v>33</v>
      </c>
      <c r="N16" s="23" t="s">
        <v>1</v>
      </c>
    </row>
    <row r="17" s="4" customFormat="true" ht="22.5" hidden="false" customHeight="false" outlineLevel="0" collapsed="false">
      <c r="A17" s="21" t="n">
        <f aca="false">IF(B17&lt;&gt;"", COUNTA($B$2:B17), "")</f>
        <v>16</v>
      </c>
      <c r="B17" s="22" t="s">
        <v>27</v>
      </c>
      <c r="C17" s="23" t="s">
        <v>1370</v>
      </c>
      <c r="D17" s="87" t="s">
        <v>1605</v>
      </c>
      <c r="E17" s="23" t="n">
        <v>2010</v>
      </c>
      <c r="F17" s="88" t="s">
        <v>1583</v>
      </c>
      <c r="G17" s="89" t="n">
        <v>1.5</v>
      </c>
      <c r="H17" s="21" t="s">
        <v>1606</v>
      </c>
      <c r="I17" s="23" t="s">
        <v>1576</v>
      </c>
      <c r="J17" s="21" t="s">
        <v>32</v>
      </c>
      <c r="K17" s="21" t="n">
        <v>2012</v>
      </c>
      <c r="L17" s="21" t="n">
        <v>12</v>
      </c>
      <c r="M17" s="27" t="s">
        <v>33</v>
      </c>
      <c r="N17" s="23" t="s">
        <v>1</v>
      </c>
      <c r="O17" s="28"/>
    </row>
    <row r="18" s="4" customFormat="true" ht="22.5" hidden="false" customHeight="false" outlineLevel="0" collapsed="false">
      <c r="A18" s="21" t="n">
        <f aca="false">IF(B18&lt;&gt;"", COUNTA($B$2:B18), "")</f>
        <v>17</v>
      </c>
      <c r="B18" s="7" t="s">
        <v>1607</v>
      </c>
      <c r="C18" s="8"/>
      <c r="D18" s="78" t="s">
        <v>1608</v>
      </c>
      <c r="E18" s="8"/>
      <c r="F18" s="15"/>
      <c r="G18" s="10" t="n">
        <v>0.25</v>
      </c>
      <c r="H18" s="5" t="s">
        <v>1609</v>
      </c>
      <c r="I18" s="8" t="s">
        <v>1576</v>
      </c>
      <c r="J18" s="5" t="s">
        <v>32</v>
      </c>
      <c r="K18" s="5"/>
      <c r="L18" s="5"/>
      <c r="M18" s="6"/>
      <c r="N18" s="8"/>
      <c r="O18" s="28"/>
    </row>
    <row r="19" s="4" customFormat="true" ht="15" hidden="false" customHeight="false" outlineLevel="0" collapsed="false">
      <c r="A19" s="21" t="n">
        <f aca="false">IF(B19&lt;&gt;"", COUNTA($B$2:B19), "")</f>
        <v>18</v>
      </c>
      <c r="B19" s="7" t="s">
        <v>1607</v>
      </c>
      <c r="C19" s="8"/>
      <c r="D19" s="78" t="s">
        <v>1610</v>
      </c>
      <c r="E19" s="8"/>
      <c r="F19" s="15"/>
      <c r="G19" s="10"/>
      <c r="H19" s="5" t="s">
        <v>1611</v>
      </c>
      <c r="I19" s="8" t="s">
        <v>1576</v>
      </c>
      <c r="J19" s="5" t="s">
        <v>32</v>
      </c>
      <c r="K19" s="5"/>
      <c r="L19" s="5"/>
      <c r="M19" s="6"/>
      <c r="N19" s="8"/>
      <c r="O19" s="28"/>
    </row>
    <row r="20" s="4" customFormat="true" ht="22.5" hidden="false" customHeight="false" outlineLevel="0" collapsed="false">
      <c r="A20" s="21" t="n">
        <f aca="false">IF(B20&lt;&gt;"", COUNTA($B$2:B20), "")</f>
        <v>19</v>
      </c>
      <c r="B20" s="7" t="s">
        <v>1607</v>
      </c>
      <c r="C20" s="8" t="s">
        <v>1612</v>
      </c>
      <c r="D20" s="78" t="s">
        <v>1613</v>
      </c>
      <c r="E20" s="8" t="n">
        <v>2011</v>
      </c>
      <c r="F20" s="15"/>
      <c r="G20" s="10"/>
      <c r="H20" s="5" t="s">
        <v>1614</v>
      </c>
      <c r="I20" s="8" t="s">
        <v>1576</v>
      </c>
      <c r="J20" s="5" t="s">
        <v>32</v>
      </c>
      <c r="K20" s="5"/>
      <c r="L20" s="5"/>
      <c r="M20" s="6"/>
      <c r="N20" s="8"/>
      <c r="O20" s="28"/>
    </row>
  </sheetData>
  <conditionalFormatting sqref="M1:M1048576">
    <cfRule type="expression" priority="2" aboveAverage="0" equalAverage="0" bottom="0" percent="0" rank="0" text="" dxfId="11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8" activeCellId="0" sqref="M8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17.58"/>
    <col collapsed="false" customWidth="true" hidden="false" outlineLevel="0" max="3" min="3" style="4" width="15.86"/>
    <col collapsed="false" customWidth="true" hidden="false" outlineLevel="0" max="4" min="4" style="4" width="8"/>
    <col collapsed="false" customWidth="true" hidden="false" outlineLevel="0" max="5" min="5" style="4" width="6.57"/>
    <col collapsed="false" customWidth="true" hidden="false" outlineLevel="0" max="6" min="6" style="4" width="10.42"/>
    <col collapsed="false" customWidth="true" hidden="false" outlineLevel="0" max="7" min="7" style="4" width="8.14"/>
    <col collapsed="false" customWidth="true" hidden="false" outlineLevel="0" max="8" min="8" style="4" width="22.57"/>
    <col collapsed="false" customWidth="true" hidden="false" outlineLevel="0" max="9" min="9" style="4" width="8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false" hidden="false" outlineLevel="0" max="1024" min="14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7" t="s">
        <v>27</v>
      </c>
      <c r="C2" s="12" t="s">
        <v>1615</v>
      </c>
      <c r="D2" s="78" t="s">
        <v>1616</v>
      </c>
      <c r="E2" s="8" t="n">
        <v>2010</v>
      </c>
      <c r="F2" s="8" t="s">
        <v>1555</v>
      </c>
      <c r="G2" s="10" t="n">
        <v>1.5</v>
      </c>
      <c r="H2" s="8" t="s">
        <v>1617</v>
      </c>
      <c r="I2" s="8" t="s">
        <v>1618</v>
      </c>
      <c r="J2" s="5" t="s">
        <v>32</v>
      </c>
      <c r="K2" s="5" t="n">
        <v>2012</v>
      </c>
      <c r="L2" s="5" t="n">
        <v>12</v>
      </c>
      <c r="M2" s="27" t="s">
        <v>37</v>
      </c>
      <c r="N2" s="8" t="s">
        <v>38</v>
      </c>
    </row>
    <row r="3" customFormat="false" ht="15" hidden="false" customHeight="false" outlineLevel="0" collapsed="false">
      <c r="A3" s="5" t="n">
        <f aca="false">IF(B3&lt;&gt;"", COUNTA($B$2:B3), "")</f>
        <v>2</v>
      </c>
      <c r="B3" s="7" t="s">
        <v>27</v>
      </c>
      <c r="C3" s="12" t="s">
        <v>500</v>
      </c>
      <c r="D3" s="78" t="s">
        <v>1619</v>
      </c>
      <c r="E3" s="8" t="n">
        <v>2010</v>
      </c>
      <c r="F3" s="8" t="s">
        <v>1555</v>
      </c>
      <c r="G3" s="10" t="n">
        <v>1.5</v>
      </c>
      <c r="H3" s="8" t="s">
        <v>1620</v>
      </c>
      <c r="I3" s="8" t="s">
        <v>1618</v>
      </c>
      <c r="J3" s="5" t="s">
        <v>32</v>
      </c>
      <c r="K3" s="5" t="n">
        <v>2012</v>
      </c>
      <c r="L3" s="5" t="n">
        <v>12</v>
      </c>
      <c r="M3" s="27" t="s">
        <v>37</v>
      </c>
      <c r="N3" s="8" t="s">
        <v>38</v>
      </c>
    </row>
    <row r="4" customFormat="false" ht="15" hidden="false" customHeight="false" outlineLevel="0" collapsed="false">
      <c r="A4" s="5" t="n">
        <f aca="false">IF(B4&lt;&gt;"", COUNTA($B$2:B4), "")</f>
        <v>3</v>
      </c>
      <c r="B4" s="7" t="s">
        <v>27</v>
      </c>
      <c r="C4" s="12" t="s">
        <v>1115</v>
      </c>
      <c r="D4" s="78" t="s">
        <v>1621</v>
      </c>
      <c r="E4" s="8" t="n">
        <v>2010</v>
      </c>
      <c r="F4" s="8" t="s">
        <v>1162</v>
      </c>
      <c r="G4" s="10" t="n">
        <v>1</v>
      </c>
      <c r="H4" s="8" t="s">
        <v>1622</v>
      </c>
      <c r="I4" s="8" t="s">
        <v>1618</v>
      </c>
      <c r="J4" s="5" t="s">
        <v>32</v>
      </c>
      <c r="K4" s="5" t="n">
        <v>2012</v>
      </c>
      <c r="L4" s="5" t="n">
        <v>12</v>
      </c>
      <c r="M4" s="27" t="s">
        <v>37</v>
      </c>
      <c r="N4" s="8" t="s">
        <v>38</v>
      </c>
    </row>
    <row r="5" customFormat="false" ht="15" hidden="false" customHeight="false" outlineLevel="0" collapsed="false">
      <c r="A5" s="5" t="n">
        <f aca="false">IF(B5&lt;&gt;"", COUNTA($B$2:B5), "")</f>
        <v>4</v>
      </c>
      <c r="B5" s="7" t="s">
        <v>27</v>
      </c>
      <c r="C5" s="12" t="s">
        <v>1000</v>
      </c>
      <c r="D5" s="78" t="s">
        <v>1623</v>
      </c>
      <c r="E5" s="8" t="n">
        <v>2010</v>
      </c>
      <c r="F5" s="8" t="s">
        <v>1162</v>
      </c>
      <c r="G5" s="10" t="n">
        <v>1.5</v>
      </c>
      <c r="H5" s="8" t="s">
        <v>1624</v>
      </c>
      <c r="I5" s="8" t="s">
        <v>1618</v>
      </c>
      <c r="J5" s="5" t="s">
        <v>32</v>
      </c>
      <c r="K5" s="5" t="n">
        <v>2012</v>
      </c>
      <c r="L5" s="5" t="n">
        <v>12</v>
      </c>
      <c r="M5" s="27" t="s">
        <v>37</v>
      </c>
      <c r="N5" s="8" t="s">
        <v>38</v>
      </c>
    </row>
    <row r="6" customFormat="false" ht="22.5" hidden="false" customHeight="false" outlineLevel="0" collapsed="false">
      <c r="A6" s="5" t="n">
        <f aca="false">IF(B6&lt;&gt;"", COUNTA($B$2:B6), "")</f>
        <v>5</v>
      </c>
      <c r="B6" s="7" t="s">
        <v>27</v>
      </c>
      <c r="C6" s="12" t="s">
        <v>28</v>
      </c>
      <c r="D6" s="78" t="s">
        <v>1625</v>
      </c>
      <c r="E6" s="8" t="n">
        <v>2010</v>
      </c>
      <c r="F6" s="8" t="s">
        <v>1289</v>
      </c>
      <c r="G6" s="10" t="n">
        <v>1</v>
      </c>
      <c r="H6" s="5" t="s">
        <v>1626</v>
      </c>
      <c r="I6" s="8" t="s">
        <v>1618</v>
      </c>
      <c r="J6" s="5" t="s">
        <v>32</v>
      </c>
      <c r="K6" s="5" t="n">
        <v>2012</v>
      </c>
      <c r="L6" s="5" t="n">
        <v>12</v>
      </c>
      <c r="M6" s="27" t="s">
        <v>37</v>
      </c>
      <c r="N6" s="8" t="s">
        <v>38</v>
      </c>
    </row>
    <row r="7" customFormat="false" ht="22.5" hidden="false" customHeight="false" outlineLevel="0" collapsed="false">
      <c r="A7" s="5" t="n">
        <f aca="false">IF(B7&lt;&gt;"", COUNTA($B$2:B7), "")</f>
        <v>6</v>
      </c>
      <c r="B7" s="7" t="s">
        <v>27</v>
      </c>
      <c r="C7" s="12" t="s">
        <v>1115</v>
      </c>
      <c r="D7" s="78" t="s">
        <v>1627</v>
      </c>
      <c r="E7" s="8" t="n">
        <v>2010</v>
      </c>
      <c r="F7" s="8" t="s">
        <v>1162</v>
      </c>
      <c r="G7" s="10" t="n">
        <v>1.5</v>
      </c>
      <c r="H7" s="5" t="s">
        <v>1628</v>
      </c>
      <c r="I7" s="8" t="s">
        <v>1618</v>
      </c>
      <c r="J7" s="5" t="s">
        <v>32</v>
      </c>
      <c r="K7" s="5" t="n">
        <v>2012</v>
      </c>
      <c r="L7" s="5" t="n">
        <v>12</v>
      </c>
      <c r="M7" s="27" t="s">
        <v>37</v>
      </c>
      <c r="N7" s="8" t="s">
        <v>38</v>
      </c>
    </row>
    <row r="8" customFormat="false" ht="22.5" hidden="false" customHeight="false" outlineLevel="0" collapsed="false">
      <c r="A8" s="5" t="n">
        <f aca="false">IF(B8&lt;&gt;"", COUNTA($B$2:B8), "")</f>
        <v>7</v>
      </c>
      <c r="B8" s="7" t="s">
        <v>46</v>
      </c>
      <c r="C8" s="12" t="s">
        <v>1245</v>
      </c>
      <c r="D8" s="78" t="s">
        <v>1629</v>
      </c>
      <c r="E8" s="8" t="n">
        <v>2010</v>
      </c>
      <c r="F8" s="8" t="s">
        <v>1246</v>
      </c>
      <c r="G8" s="10" t="n">
        <v>1</v>
      </c>
      <c r="H8" s="5" t="s">
        <v>1630</v>
      </c>
      <c r="I8" s="8" t="s">
        <v>1618</v>
      </c>
      <c r="J8" s="5" t="s">
        <v>32</v>
      </c>
      <c r="K8" s="5" t="n">
        <v>2012</v>
      </c>
      <c r="L8" s="5" t="n">
        <v>24</v>
      </c>
      <c r="M8" s="6" t="s">
        <v>1291</v>
      </c>
      <c r="N8" s="8" t="s">
        <v>38</v>
      </c>
    </row>
    <row r="9" customFormat="false" ht="22.5" hidden="false" customHeight="false" outlineLevel="0" collapsed="false">
      <c r="A9" s="5" t="n">
        <f aca="false">IF(B9&lt;&gt;"", COUNTA($B$2:B9), "")</f>
        <v>8</v>
      </c>
      <c r="B9" s="7" t="s">
        <v>46</v>
      </c>
      <c r="C9" s="12" t="s">
        <v>47</v>
      </c>
      <c r="D9" s="78" t="s">
        <v>1631</v>
      </c>
      <c r="E9" s="8" t="n">
        <v>2010</v>
      </c>
      <c r="F9" s="8" t="s">
        <v>1292</v>
      </c>
      <c r="G9" s="10" t="n">
        <v>1.5</v>
      </c>
      <c r="H9" s="5" t="s">
        <v>1632</v>
      </c>
      <c r="I9" s="8" t="s">
        <v>1618</v>
      </c>
      <c r="J9" s="5" t="s">
        <v>32</v>
      </c>
      <c r="K9" s="5" t="n">
        <v>2012</v>
      </c>
      <c r="L9" s="5" t="n">
        <v>24</v>
      </c>
      <c r="M9" s="6" t="s">
        <v>1291</v>
      </c>
      <c r="N9" s="8" t="s">
        <v>38</v>
      </c>
    </row>
    <row r="10" customFormat="false" ht="22.5" hidden="false" customHeight="false" outlineLevel="0" collapsed="false">
      <c r="A10" s="5" t="n">
        <f aca="false">IF(B10&lt;&gt;"", COUNTA($B$2:B10), "")</f>
        <v>9</v>
      </c>
      <c r="B10" s="7" t="s">
        <v>1633</v>
      </c>
      <c r="C10" s="12" t="s">
        <v>1634</v>
      </c>
      <c r="D10" s="78" t="s">
        <v>1635</v>
      </c>
      <c r="E10" s="8" t="n">
        <v>2007</v>
      </c>
      <c r="F10" s="8" t="s">
        <v>1636</v>
      </c>
      <c r="G10" s="10"/>
      <c r="H10" s="5" t="s">
        <v>1637</v>
      </c>
      <c r="I10" s="8" t="s">
        <v>1618</v>
      </c>
      <c r="J10" s="5" t="s">
        <v>32</v>
      </c>
      <c r="K10" s="5" t="n">
        <v>2012</v>
      </c>
      <c r="L10" s="5"/>
      <c r="M10" s="6"/>
      <c r="N10" s="8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7" t="s">
        <v>1633</v>
      </c>
      <c r="C11" s="12" t="s">
        <v>1634</v>
      </c>
      <c r="D11" s="78" t="s">
        <v>1638</v>
      </c>
      <c r="E11" s="8" t="n">
        <v>2007</v>
      </c>
      <c r="F11" s="8" t="s">
        <v>1636</v>
      </c>
      <c r="G11" s="10"/>
      <c r="H11" s="5" t="s">
        <v>1639</v>
      </c>
      <c r="I11" s="8" t="s">
        <v>1618</v>
      </c>
      <c r="J11" s="5" t="s">
        <v>32</v>
      </c>
      <c r="K11" s="5" t="n">
        <v>2012</v>
      </c>
      <c r="L11" s="5"/>
      <c r="M11" s="6"/>
      <c r="N11" s="8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90" t="s">
        <v>64</v>
      </c>
      <c r="C12" s="83" t="s">
        <v>1640</v>
      </c>
      <c r="D12" s="78" t="s">
        <v>1641</v>
      </c>
      <c r="E12" s="15" t="n">
        <v>2012</v>
      </c>
      <c r="F12" s="15" t="s">
        <v>1642</v>
      </c>
      <c r="G12" s="78" t="s">
        <v>1643</v>
      </c>
      <c r="H12" s="6" t="s">
        <v>1490</v>
      </c>
      <c r="I12" s="8" t="s">
        <v>1618</v>
      </c>
      <c r="J12" s="5" t="s">
        <v>32</v>
      </c>
      <c r="K12" s="5" t="n">
        <v>2012</v>
      </c>
      <c r="L12" s="6"/>
      <c r="M12" s="6"/>
      <c r="N12" s="15"/>
    </row>
    <row r="13" customFormat="false" ht="22.5" hidden="false" customHeight="false" outlineLevel="0" collapsed="false">
      <c r="A13" s="5" t="n">
        <f aca="false">IF(B13&lt;&gt;"", COUNTA($B$2:B13), "")</f>
        <v>12</v>
      </c>
      <c r="B13" s="83" t="s">
        <v>64</v>
      </c>
      <c r="C13" s="19" t="s">
        <v>1644</v>
      </c>
      <c r="D13" s="78" t="s">
        <v>1645</v>
      </c>
      <c r="E13" s="15" t="n">
        <v>2012</v>
      </c>
      <c r="F13" s="15" t="s">
        <v>1646</v>
      </c>
      <c r="G13" s="78" t="s">
        <v>1647</v>
      </c>
      <c r="H13" s="6" t="s">
        <v>1490</v>
      </c>
      <c r="I13" s="8" t="s">
        <v>1618</v>
      </c>
      <c r="J13" s="5" t="s">
        <v>32</v>
      </c>
      <c r="K13" s="5" t="n">
        <v>2012</v>
      </c>
      <c r="L13" s="6"/>
      <c r="M13" s="6"/>
      <c r="N13" s="15"/>
    </row>
    <row r="14" customFormat="false" ht="15" hidden="false" customHeight="false" outlineLevel="0" collapsed="false">
      <c r="A14" s="5" t="n">
        <f aca="false">IF(B14&lt;&gt;"", COUNTA($B$2:B14), "")</f>
        <v>13</v>
      </c>
      <c r="B14" s="83" t="s">
        <v>1648</v>
      </c>
      <c r="C14" s="19" t="s">
        <v>1649</v>
      </c>
      <c r="D14" s="78" t="s">
        <v>1650</v>
      </c>
      <c r="E14" s="15" t="s">
        <v>425</v>
      </c>
      <c r="F14" s="15"/>
      <c r="G14" s="78"/>
      <c r="H14" s="6" t="s">
        <v>1651</v>
      </c>
      <c r="I14" s="8" t="s">
        <v>1618</v>
      </c>
      <c r="J14" s="5" t="s">
        <v>32</v>
      </c>
      <c r="K14" s="5" t="n">
        <v>2012</v>
      </c>
      <c r="L14" s="6"/>
      <c r="M14" s="6"/>
      <c r="N14" s="15"/>
    </row>
    <row r="15" customFormat="false" ht="15" hidden="false" customHeight="false" outlineLevel="0" collapsed="false">
      <c r="A15" s="5" t="n">
        <f aca="false">IF(B15&lt;&gt;"", COUNTA($B$2:B15), "")</f>
        <v>14</v>
      </c>
      <c r="B15" s="83" t="s">
        <v>1648</v>
      </c>
      <c r="C15" s="19" t="s">
        <v>1652</v>
      </c>
      <c r="D15" s="78" t="s">
        <v>1653</v>
      </c>
      <c r="E15" s="15" t="s">
        <v>425</v>
      </c>
      <c r="F15" s="15"/>
      <c r="G15" s="78"/>
      <c r="H15" s="6" t="s">
        <v>1654</v>
      </c>
      <c r="I15" s="8" t="s">
        <v>1618</v>
      </c>
      <c r="J15" s="5" t="s">
        <v>32</v>
      </c>
      <c r="K15" s="5" t="n">
        <v>2012</v>
      </c>
      <c r="L15" s="6"/>
      <c r="M15" s="6"/>
      <c r="N15" s="15"/>
    </row>
  </sheetData>
  <conditionalFormatting sqref="M1:M1048576">
    <cfRule type="expression" priority="2" aboveAverage="0" equalAverage="0" bottom="0" percent="0" rank="0" text="" dxfId="12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11" activeCellId="0" sqref="M11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17.58"/>
    <col collapsed="false" customWidth="true" hidden="false" outlineLevel="0" max="3" min="3" style="4" width="11.42"/>
    <col collapsed="false" customWidth="true" hidden="false" outlineLevel="0" max="4" min="4" style="4" width="8"/>
    <col collapsed="false" customWidth="true" hidden="false" outlineLevel="0" max="5" min="5" style="4" width="6.57"/>
    <col collapsed="false" customWidth="true" hidden="false" outlineLevel="0" max="6" min="6" style="4" width="9.71"/>
    <col collapsed="false" customWidth="true" hidden="false" outlineLevel="0" max="7" min="7" style="4" width="7.42"/>
    <col collapsed="false" customWidth="true" hidden="false" outlineLevel="0" max="8" min="8" style="4" width="22.7"/>
    <col collapsed="false" customWidth="true" hidden="false" outlineLevel="0" max="9" min="9" style="4" width="21.57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7" t="s">
        <v>27</v>
      </c>
      <c r="C2" s="12" t="s">
        <v>1115</v>
      </c>
      <c r="D2" s="78" t="s">
        <v>1655</v>
      </c>
      <c r="E2" s="8" t="n">
        <v>2012</v>
      </c>
      <c r="F2" s="8" t="s">
        <v>1656</v>
      </c>
      <c r="G2" s="10" t="n">
        <v>1.5</v>
      </c>
      <c r="H2" s="5" t="s">
        <v>1657</v>
      </c>
      <c r="I2" s="5" t="s">
        <v>1658</v>
      </c>
      <c r="J2" s="5" t="s">
        <v>32</v>
      </c>
      <c r="K2" s="5" t="n">
        <v>2012</v>
      </c>
      <c r="L2" s="5" t="n">
        <v>12</v>
      </c>
      <c r="M2" s="6" t="s">
        <v>158</v>
      </c>
      <c r="N2" s="8" t="s">
        <v>1</v>
      </c>
    </row>
    <row r="3" customFormat="false" ht="15" hidden="false" customHeight="false" outlineLevel="0" collapsed="false">
      <c r="A3" s="5" t="n">
        <f aca="false">IF(B3&lt;&gt;"", COUNTA($B$2:B3), "")</f>
        <v>2</v>
      </c>
      <c r="B3" s="7" t="s">
        <v>1542</v>
      </c>
      <c r="C3" s="12" t="s">
        <v>1659</v>
      </c>
      <c r="D3" s="78" t="s">
        <v>1660</v>
      </c>
      <c r="E3" s="8" t="n">
        <v>2012</v>
      </c>
      <c r="F3" s="8"/>
      <c r="G3" s="10"/>
      <c r="H3" s="5" t="s">
        <v>1661</v>
      </c>
      <c r="I3" s="5" t="s">
        <v>1658</v>
      </c>
      <c r="J3" s="5" t="s">
        <v>32</v>
      </c>
      <c r="K3" s="5"/>
      <c r="L3" s="5"/>
      <c r="M3" s="6"/>
      <c r="N3" s="8"/>
    </row>
    <row r="4" customFormat="false" ht="15" hidden="false" customHeight="false" outlineLevel="0" collapsed="false">
      <c r="A4" s="5" t="n">
        <f aca="false">IF(B4&lt;&gt;"", COUNTA($B$2:B4), "")</f>
        <v>3</v>
      </c>
      <c r="B4" s="7" t="s">
        <v>27</v>
      </c>
      <c r="C4" s="12" t="s">
        <v>28</v>
      </c>
      <c r="D4" s="78" t="s">
        <v>1662</v>
      </c>
      <c r="E4" s="8" t="n">
        <v>2010</v>
      </c>
      <c r="F4" s="8" t="s">
        <v>1162</v>
      </c>
      <c r="G4" s="10" t="n">
        <v>1</v>
      </c>
      <c r="H4" s="5" t="s">
        <v>1663</v>
      </c>
      <c r="I4" s="5" t="s">
        <v>1664</v>
      </c>
      <c r="J4" s="5" t="s">
        <v>32</v>
      </c>
      <c r="K4" s="5" t="n">
        <v>2012</v>
      </c>
      <c r="L4" s="5" t="n">
        <v>12</v>
      </c>
      <c r="M4" s="6" t="s">
        <v>158</v>
      </c>
      <c r="N4" s="8" t="s">
        <v>1</v>
      </c>
    </row>
    <row r="5" customFormat="false" ht="15" hidden="false" customHeight="false" outlineLevel="0" collapsed="false">
      <c r="A5" s="5" t="n">
        <f aca="false">IF(B5&lt;&gt;"", COUNTA($B$2:B5), "")</f>
        <v>4</v>
      </c>
      <c r="B5" s="7" t="s">
        <v>27</v>
      </c>
      <c r="C5" s="12" t="s">
        <v>1324</v>
      </c>
      <c r="D5" s="78" t="s">
        <v>1665</v>
      </c>
      <c r="E5" s="8" t="n">
        <v>2010</v>
      </c>
      <c r="F5" s="8" t="s">
        <v>1289</v>
      </c>
      <c r="G5" s="10" t="n">
        <v>1.5</v>
      </c>
      <c r="H5" s="5" t="s">
        <v>1666</v>
      </c>
      <c r="I5" s="5" t="s">
        <v>1664</v>
      </c>
      <c r="J5" s="5" t="s">
        <v>32</v>
      </c>
      <c r="K5" s="5" t="n">
        <v>2012</v>
      </c>
      <c r="L5" s="5" t="n">
        <v>12</v>
      </c>
      <c r="M5" s="6" t="s">
        <v>158</v>
      </c>
      <c r="N5" s="8" t="s">
        <v>1</v>
      </c>
    </row>
    <row r="6" customFormat="false" ht="15" hidden="false" customHeight="false" outlineLevel="0" collapsed="false">
      <c r="A6" s="5" t="n">
        <f aca="false">IF(B6&lt;&gt;"", COUNTA($B$2:B6), "")</f>
        <v>5</v>
      </c>
      <c r="B6" s="7" t="s">
        <v>1542</v>
      </c>
      <c r="C6" s="5" t="s">
        <v>1649</v>
      </c>
      <c r="D6" s="91" t="s">
        <v>1667</v>
      </c>
      <c r="E6" s="8" t="n">
        <v>2012</v>
      </c>
      <c r="F6" s="5"/>
      <c r="G6" s="5"/>
      <c r="H6" s="5" t="s">
        <v>1651</v>
      </c>
      <c r="I6" s="5" t="s">
        <v>1664</v>
      </c>
      <c r="J6" s="5" t="s">
        <v>32</v>
      </c>
      <c r="K6" s="5"/>
      <c r="L6" s="5"/>
      <c r="M6" s="6"/>
      <c r="N6" s="5"/>
    </row>
    <row r="7" customFormat="false" ht="15" hidden="false" customHeight="false" outlineLevel="0" collapsed="false">
      <c r="A7" s="5" t="n">
        <f aca="false">IF(B7&lt;&gt;"", COUNTA($B$2:B7), "")</f>
        <v>6</v>
      </c>
      <c r="B7" s="7" t="s">
        <v>27</v>
      </c>
      <c r="C7" s="12" t="s">
        <v>1668</v>
      </c>
      <c r="D7" s="92" t="n">
        <v>15581</v>
      </c>
      <c r="E7" s="8" t="n">
        <v>2012</v>
      </c>
      <c r="F7" s="5" t="s">
        <v>1669</v>
      </c>
      <c r="G7" s="5" t="n">
        <v>1.5</v>
      </c>
      <c r="H7" s="5" t="s">
        <v>1663</v>
      </c>
      <c r="I7" s="5" t="s">
        <v>1670</v>
      </c>
      <c r="J7" s="5" t="s">
        <v>32</v>
      </c>
      <c r="K7" s="5"/>
      <c r="L7" s="5" t="n">
        <v>12</v>
      </c>
      <c r="M7" s="6" t="s">
        <v>158</v>
      </c>
      <c r="N7" s="5" t="s">
        <v>1</v>
      </c>
    </row>
    <row r="8" customFormat="false" ht="15" hidden="false" customHeight="false" outlineLevel="0" collapsed="false">
      <c r="A8" s="5" t="n">
        <f aca="false">IF(B8&lt;&gt;"", COUNTA($B$2:B8), "")</f>
        <v>7</v>
      </c>
      <c r="B8" s="7" t="s">
        <v>1542</v>
      </c>
      <c r="C8" s="5" t="s">
        <v>1649</v>
      </c>
      <c r="D8" s="92" t="n">
        <v>2185</v>
      </c>
      <c r="E8" s="8" t="n">
        <v>2012</v>
      </c>
      <c r="F8" s="5"/>
      <c r="G8" s="5"/>
      <c r="H8" s="5" t="s">
        <v>1651</v>
      </c>
      <c r="I8" s="5" t="s">
        <v>1670</v>
      </c>
      <c r="J8" s="5" t="s">
        <v>32</v>
      </c>
      <c r="K8" s="5"/>
      <c r="L8" s="5"/>
      <c r="M8" s="6"/>
      <c r="N8" s="5"/>
    </row>
    <row r="9" customFormat="false" ht="15" hidden="false" customHeight="false" outlineLevel="0" collapsed="false">
      <c r="A9" s="5" t="n">
        <f aca="false">IF(B9&lt;&gt;"", COUNTA($B$2:B9), "")</f>
        <v>8</v>
      </c>
      <c r="B9" s="7" t="s">
        <v>27</v>
      </c>
      <c r="C9" s="8" t="s">
        <v>28</v>
      </c>
      <c r="D9" s="8" t="n">
        <v>15434</v>
      </c>
      <c r="E9" s="8" t="n">
        <v>2010</v>
      </c>
      <c r="F9" s="5" t="s">
        <v>1162</v>
      </c>
      <c r="G9" s="8" t="n">
        <v>1.5</v>
      </c>
      <c r="H9" s="5" t="s">
        <v>1671</v>
      </c>
      <c r="I9" s="6" t="s">
        <v>1672</v>
      </c>
      <c r="J9" s="5" t="s">
        <v>32</v>
      </c>
      <c r="K9" s="5" t="n">
        <v>2012</v>
      </c>
      <c r="L9" s="5" t="n">
        <v>12</v>
      </c>
      <c r="M9" s="6" t="s">
        <v>37</v>
      </c>
      <c r="N9" s="8" t="s">
        <v>1</v>
      </c>
    </row>
    <row r="10" customFormat="false" ht="15" hidden="false" customHeight="false" outlineLevel="0" collapsed="false">
      <c r="A10" s="5" t="n">
        <f aca="false">IF(B10&lt;&gt;"", COUNTA($B$2:B10), "")</f>
        <v>9</v>
      </c>
      <c r="B10" s="7" t="s">
        <v>27</v>
      </c>
      <c r="C10" s="5" t="s">
        <v>1370</v>
      </c>
      <c r="D10" s="92" t="n">
        <v>15417</v>
      </c>
      <c r="E10" s="8" t="n">
        <v>2010</v>
      </c>
      <c r="F10" s="5" t="s">
        <v>1162</v>
      </c>
      <c r="G10" s="5" t="n">
        <v>1.5</v>
      </c>
      <c r="H10" s="5" t="s">
        <v>1673</v>
      </c>
      <c r="I10" s="5" t="s">
        <v>1674</v>
      </c>
      <c r="J10" s="5" t="s">
        <v>32</v>
      </c>
      <c r="K10" s="5" t="n">
        <v>2012</v>
      </c>
      <c r="L10" s="5" t="n">
        <v>12</v>
      </c>
      <c r="M10" s="6" t="s">
        <v>37</v>
      </c>
      <c r="N10" s="5" t="s">
        <v>1</v>
      </c>
    </row>
  </sheetData>
  <conditionalFormatting sqref="D10 D7:D8">
    <cfRule type="duplicateValues" priority="2" aboveAverage="0" equalAverage="0" bottom="0" percent="0" rank="0" text="" dxfId="13"/>
  </conditionalFormatting>
  <conditionalFormatting sqref="D6">
    <cfRule type="duplicateValues" priority="3" aboveAverage="0" equalAverage="0" bottom="0" percent="0" rank="0" text="" dxfId="14"/>
  </conditionalFormatting>
  <conditionalFormatting sqref="M1:M1048576">
    <cfRule type="expression" priority="4" aboveAverage="0" equalAverage="0" bottom="0" percent="0" rank="0" text="" dxfId="15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105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pane xSplit="0" ySplit="1" topLeftCell="A94" activePane="bottomLeft" state="frozen"/>
      <selection pane="topLeft" activeCell="A1" activeCellId="0" sqref="A1"/>
      <selection pane="bottomLeft" activeCell="M104" activeCellId="0" sqref="M104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57"/>
    <col collapsed="false" customWidth="true" hidden="false" outlineLevel="0" max="2" min="2" style="4" width="21.57"/>
    <col collapsed="false" customWidth="true" hidden="false" outlineLevel="0" max="3" min="3" style="4" width="12.71"/>
    <col collapsed="false" customWidth="true" hidden="false" outlineLevel="0" max="4" min="4" style="4" width="8"/>
    <col collapsed="false" customWidth="true" hidden="false" outlineLevel="0" max="5" min="5" style="4" width="6.57"/>
    <col collapsed="false" customWidth="true" hidden="false" outlineLevel="0" max="6" min="6" style="4" width="9.71"/>
    <col collapsed="false" customWidth="true" hidden="false" outlineLevel="0" max="7" min="7" style="4" width="7.42"/>
    <col collapsed="false" customWidth="true" hidden="false" outlineLevel="0" max="8" min="8" style="4" width="17.71"/>
    <col collapsed="false" customWidth="true" hidden="false" outlineLevel="0" max="9" min="9" style="4" width="16.57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22.5" hidden="false" customHeight="false" outlineLevel="0" collapsed="false">
      <c r="A2" s="5" t="n">
        <f aca="false">IF(B2&lt;&gt;"", COUNTA($B$2:B2), "")</f>
        <v>1</v>
      </c>
      <c r="B2" s="5" t="s">
        <v>27</v>
      </c>
      <c r="C2" s="5" t="s">
        <v>28</v>
      </c>
      <c r="D2" s="21" t="n">
        <v>700310</v>
      </c>
      <c r="E2" s="5" t="n">
        <v>2010</v>
      </c>
      <c r="F2" s="5" t="s">
        <v>1675</v>
      </c>
      <c r="G2" s="5" t="n">
        <v>1.5</v>
      </c>
      <c r="H2" s="5" t="s">
        <v>1676</v>
      </c>
      <c r="I2" s="5" t="s">
        <v>1563</v>
      </c>
      <c r="J2" s="5" t="s">
        <v>32</v>
      </c>
      <c r="K2" s="5" t="n">
        <v>2012</v>
      </c>
      <c r="L2" s="5" t="n">
        <v>12</v>
      </c>
      <c r="M2" s="93" t="s">
        <v>37</v>
      </c>
      <c r="N2" s="5" t="s">
        <v>38</v>
      </c>
    </row>
    <row r="3" customFormat="false" ht="15" hidden="false" customHeight="false" outlineLevel="0" collapsed="false">
      <c r="A3" s="5" t="n">
        <f aca="false">IF(B3&lt;&gt;"", COUNTA($B$2:B3), "")</f>
        <v>2</v>
      </c>
      <c r="B3" s="5" t="s">
        <v>27</v>
      </c>
      <c r="C3" s="5" t="s">
        <v>28</v>
      </c>
      <c r="D3" s="5" t="s">
        <v>1677</v>
      </c>
      <c r="E3" s="5" t="n">
        <v>2010</v>
      </c>
      <c r="F3" s="5" t="s">
        <v>1289</v>
      </c>
      <c r="G3" s="5" t="n">
        <v>1</v>
      </c>
      <c r="H3" s="5" t="s">
        <v>1678</v>
      </c>
      <c r="I3" s="5" t="s">
        <v>1563</v>
      </c>
      <c r="J3" s="5" t="s">
        <v>32</v>
      </c>
      <c r="K3" s="5" t="n">
        <v>2012</v>
      </c>
      <c r="L3" s="5" t="n">
        <v>12</v>
      </c>
      <c r="M3" s="93" t="s">
        <v>37</v>
      </c>
      <c r="N3" s="5" t="s">
        <v>38</v>
      </c>
    </row>
    <row r="4" customFormat="false" ht="15" hidden="false" customHeight="false" outlineLevel="0" collapsed="false">
      <c r="A4" s="5" t="n">
        <f aca="false">IF(B4&lt;&gt;"", COUNTA($B$2:B4), "")</f>
        <v>3</v>
      </c>
      <c r="B4" s="5" t="s">
        <v>27</v>
      </c>
      <c r="C4" s="5" t="s">
        <v>28</v>
      </c>
      <c r="D4" s="5" t="s">
        <v>1679</v>
      </c>
      <c r="E4" s="5" t="n">
        <v>2010</v>
      </c>
      <c r="F4" s="5" t="s">
        <v>1289</v>
      </c>
      <c r="G4" s="5" t="n">
        <v>1</v>
      </c>
      <c r="H4" s="5" t="s">
        <v>1680</v>
      </c>
      <c r="I4" s="5" t="s">
        <v>1563</v>
      </c>
      <c r="J4" s="5" t="s">
        <v>32</v>
      </c>
      <c r="K4" s="5" t="n">
        <v>2012</v>
      </c>
      <c r="L4" s="5" t="n">
        <v>12</v>
      </c>
      <c r="M4" s="93" t="s">
        <v>37</v>
      </c>
      <c r="N4" s="5" t="s">
        <v>38</v>
      </c>
    </row>
    <row r="5" customFormat="false" ht="15" hidden="false" customHeight="false" outlineLevel="0" collapsed="false">
      <c r="A5" s="5" t="n">
        <f aca="false">IF(B5&lt;&gt;"", COUNTA($B$2:B5), "")</f>
        <v>4</v>
      </c>
      <c r="B5" s="5" t="s">
        <v>27</v>
      </c>
      <c r="C5" s="5" t="s">
        <v>28</v>
      </c>
      <c r="D5" s="5" t="n">
        <v>41</v>
      </c>
      <c r="E5" s="5" t="n">
        <v>2010</v>
      </c>
      <c r="F5" s="5" t="s">
        <v>1289</v>
      </c>
      <c r="G5" s="5" t="n">
        <v>1</v>
      </c>
      <c r="H5" s="5" t="s">
        <v>1681</v>
      </c>
      <c r="I5" s="5" t="s">
        <v>1563</v>
      </c>
      <c r="J5" s="5" t="s">
        <v>32</v>
      </c>
      <c r="K5" s="5" t="n">
        <v>2012</v>
      </c>
      <c r="L5" s="5" t="n">
        <v>12</v>
      </c>
      <c r="M5" s="93" t="s">
        <v>37</v>
      </c>
      <c r="N5" s="5" t="s">
        <v>38</v>
      </c>
    </row>
    <row r="6" customFormat="false" ht="15" hidden="false" customHeight="false" outlineLevel="0" collapsed="false">
      <c r="A6" s="5" t="n">
        <f aca="false">IF(B6&lt;&gt;"", COUNTA($B$2:B6), "")</f>
        <v>5</v>
      </c>
      <c r="B6" s="5" t="s">
        <v>27</v>
      </c>
      <c r="C6" s="5" t="s">
        <v>28</v>
      </c>
      <c r="D6" s="5" t="s">
        <v>205</v>
      </c>
      <c r="E6" s="5" t="n">
        <v>2010</v>
      </c>
      <c r="F6" s="5" t="s">
        <v>1289</v>
      </c>
      <c r="G6" s="5" t="n">
        <v>1</v>
      </c>
      <c r="H6" s="5" t="s">
        <v>1682</v>
      </c>
      <c r="I6" s="5" t="s">
        <v>1563</v>
      </c>
      <c r="J6" s="5" t="s">
        <v>32</v>
      </c>
      <c r="K6" s="5" t="n">
        <v>2012</v>
      </c>
      <c r="L6" s="5" t="n">
        <v>12</v>
      </c>
      <c r="M6" s="93" t="s">
        <v>37</v>
      </c>
      <c r="N6" s="5" t="s">
        <v>38</v>
      </c>
    </row>
    <row r="7" customFormat="false" ht="15" hidden="false" customHeight="false" outlineLevel="0" collapsed="false">
      <c r="A7" s="5" t="n">
        <f aca="false">IF(B7&lt;&gt;"", COUNTA($B$2:B7), "")</f>
        <v>6</v>
      </c>
      <c r="B7" s="5" t="s">
        <v>27</v>
      </c>
      <c r="C7" s="5" t="s">
        <v>28</v>
      </c>
      <c r="D7" s="5" t="s">
        <v>974</v>
      </c>
      <c r="E7" s="5" t="n">
        <v>2010</v>
      </c>
      <c r="F7" s="5" t="s">
        <v>1289</v>
      </c>
      <c r="G7" s="5" t="n">
        <v>1</v>
      </c>
      <c r="H7" s="5" t="s">
        <v>1683</v>
      </c>
      <c r="I7" s="5" t="s">
        <v>1563</v>
      </c>
      <c r="J7" s="5" t="s">
        <v>32</v>
      </c>
      <c r="K7" s="5" t="n">
        <v>2012</v>
      </c>
      <c r="L7" s="5" t="n">
        <v>12</v>
      </c>
      <c r="M7" s="93" t="s">
        <v>37</v>
      </c>
      <c r="N7" s="5" t="s">
        <v>38</v>
      </c>
    </row>
    <row r="8" customFormat="false" ht="15" hidden="false" customHeight="false" outlineLevel="0" collapsed="false">
      <c r="A8" s="5" t="n">
        <f aca="false">IF(B8&lt;&gt;"", COUNTA($B$2:B8), "")</f>
        <v>7</v>
      </c>
      <c r="B8" s="5" t="s">
        <v>27</v>
      </c>
      <c r="C8" s="5" t="s">
        <v>28</v>
      </c>
      <c r="D8" s="5" t="n">
        <v>43</v>
      </c>
      <c r="E8" s="5" t="n">
        <v>2010</v>
      </c>
      <c r="F8" s="5" t="s">
        <v>1289</v>
      </c>
      <c r="G8" s="5" t="n">
        <v>1</v>
      </c>
      <c r="H8" s="5" t="s">
        <v>1684</v>
      </c>
      <c r="I8" s="5" t="s">
        <v>1563</v>
      </c>
      <c r="J8" s="5" t="s">
        <v>32</v>
      </c>
      <c r="K8" s="5" t="n">
        <v>2012</v>
      </c>
      <c r="L8" s="5" t="n">
        <v>12</v>
      </c>
      <c r="M8" s="93" t="s">
        <v>37</v>
      </c>
      <c r="N8" s="5" t="s">
        <v>38</v>
      </c>
    </row>
    <row r="9" customFormat="false" ht="15" hidden="false" customHeight="false" outlineLevel="0" collapsed="false">
      <c r="A9" s="5" t="n">
        <f aca="false">IF(B9&lt;&gt;"", COUNTA($B$2:B9), "")</f>
        <v>8</v>
      </c>
      <c r="B9" s="5" t="s">
        <v>27</v>
      </c>
      <c r="C9" s="5" t="s">
        <v>28</v>
      </c>
      <c r="D9" s="5" t="n">
        <v>4</v>
      </c>
      <c r="E9" s="5" t="n">
        <v>2010</v>
      </c>
      <c r="F9" s="5" t="s">
        <v>1289</v>
      </c>
      <c r="G9" s="5" t="n">
        <v>1</v>
      </c>
      <c r="H9" s="5" t="s">
        <v>1685</v>
      </c>
      <c r="I9" s="5" t="s">
        <v>1563</v>
      </c>
      <c r="J9" s="5" t="s">
        <v>32</v>
      </c>
      <c r="K9" s="5" t="n">
        <v>2012</v>
      </c>
      <c r="L9" s="5" t="n">
        <v>12</v>
      </c>
      <c r="M9" s="93" t="s">
        <v>37</v>
      </c>
      <c r="N9" s="5" t="s">
        <v>38</v>
      </c>
    </row>
    <row r="10" customFormat="false" ht="15" hidden="false" customHeight="false" outlineLevel="0" collapsed="false">
      <c r="A10" s="5" t="n">
        <f aca="false">IF(B10&lt;&gt;"", COUNTA($B$2:B10), "")</f>
        <v>9</v>
      </c>
      <c r="B10" s="5" t="s">
        <v>27</v>
      </c>
      <c r="C10" s="5" t="s">
        <v>1686</v>
      </c>
      <c r="D10" s="5" t="n">
        <v>7098</v>
      </c>
      <c r="E10" s="5" t="n">
        <v>2010</v>
      </c>
      <c r="F10" s="5" t="s">
        <v>1162</v>
      </c>
      <c r="G10" s="5" t="n">
        <v>1.5</v>
      </c>
      <c r="H10" s="5" t="s">
        <v>1687</v>
      </c>
      <c r="I10" s="5" t="s">
        <v>1563</v>
      </c>
      <c r="J10" s="5" t="s">
        <v>32</v>
      </c>
      <c r="K10" s="5" t="n">
        <v>2012</v>
      </c>
      <c r="L10" s="5" t="n">
        <v>12</v>
      </c>
      <c r="M10" s="93" t="s">
        <v>37</v>
      </c>
      <c r="N10" s="5" t="s">
        <v>38</v>
      </c>
    </row>
    <row r="11" customFormat="false" ht="15" hidden="false" customHeight="false" outlineLevel="0" collapsed="false">
      <c r="A11" s="5" t="n">
        <f aca="false">IF(B11&lt;&gt;"", COUNTA($B$2:B11), "")</f>
        <v>10</v>
      </c>
      <c r="B11" s="5" t="s">
        <v>46</v>
      </c>
      <c r="C11" s="5" t="s">
        <v>47</v>
      </c>
      <c r="D11" s="5" t="n">
        <v>6930</v>
      </c>
      <c r="E11" s="5" t="n">
        <v>2010</v>
      </c>
      <c r="F11" s="5" t="s">
        <v>1243</v>
      </c>
      <c r="G11" s="5" t="n">
        <v>1</v>
      </c>
      <c r="H11" s="5" t="s">
        <v>1688</v>
      </c>
      <c r="I11" s="5" t="s">
        <v>1563</v>
      </c>
      <c r="J11" s="5" t="s">
        <v>32</v>
      </c>
      <c r="K11" s="5" t="n">
        <v>2012</v>
      </c>
      <c r="L11" s="5" t="n">
        <v>12</v>
      </c>
      <c r="M11" s="93" t="s">
        <v>1291</v>
      </c>
      <c r="N11" s="5" t="s">
        <v>38</v>
      </c>
    </row>
    <row r="12" customFormat="false" ht="15" hidden="false" customHeight="false" outlineLevel="0" collapsed="false">
      <c r="A12" s="5" t="n">
        <f aca="false">IF(B12&lt;&gt;"", COUNTA($B$2:B12), "")</f>
        <v>11</v>
      </c>
      <c r="B12" s="5" t="s">
        <v>46</v>
      </c>
      <c r="C12" s="5" t="s">
        <v>47</v>
      </c>
      <c r="D12" s="5" t="n">
        <v>2965</v>
      </c>
      <c r="E12" s="5" t="n">
        <v>2010</v>
      </c>
      <c r="F12" s="5" t="s">
        <v>1243</v>
      </c>
      <c r="G12" s="5" t="n">
        <v>1</v>
      </c>
      <c r="H12" s="5" t="s">
        <v>1689</v>
      </c>
      <c r="I12" s="5" t="s">
        <v>1563</v>
      </c>
      <c r="J12" s="5" t="s">
        <v>32</v>
      </c>
      <c r="K12" s="5" t="n">
        <v>2012</v>
      </c>
      <c r="L12" s="5" t="n">
        <v>12</v>
      </c>
      <c r="M12" s="93" t="s">
        <v>1291</v>
      </c>
      <c r="N12" s="5" t="s">
        <v>38</v>
      </c>
    </row>
    <row r="13" customFormat="false" ht="15" hidden="false" customHeight="false" outlineLevel="0" collapsed="false">
      <c r="A13" s="5" t="n">
        <f aca="false">IF(B13&lt;&gt;"", COUNTA($B$2:B13), "")</f>
        <v>12</v>
      </c>
      <c r="B13" s="5" t="s">
        <v>46</v>
      </c>
      <c r="C13" s="5" t="s">
        <v>47</v>
      </c>
      <c r="D13" s="5" t="n">
        <v>6694</v>
      </c>
      <c r="E13" s="5" t="n">
        <v>2010</v>
      </c>
      <c r="F13" s="5" t="s">
        <v>1243</v>
      </c>
      <c r="G13" s="5" t="n">
        <v>1</v>
      </c>
      <c r="H13" s="5" t="s">
        <v>1690</v>
      </c>
      <c r="I13" s="5" t="s">
        <v>1563</v>
      </c>
      <c r="J13" s="5" t="s">
        <v>32</v>
      </c>
      <c r="K13" s="5" t="n">
        <v>2012</v>
      </c>
      <c r="L13" s="5" t="n">
        <v>12</v>
      </c>
      <c r="M13" s="93" t="s">
        <v>1291</v>
      </c>
      <c r="N13" s="5" t="s">
        <v>38</v>
      </c>
    </row>
    <row r="14" customFormat="false" ht="15" hidden="false" customHeight="false" outlineLevel="0" collapsed="false">
      <c r="A14" s="5" t="n">
        <f aca="false">IF(B14&lt;&gt;"", COUNTA($B$2:B14), "")</f>
        <v>13</v>
      </c>
      <c r="B14" s="5" t="s">
        <v>46</v>
      </c>
      <c r="C14" s="5" t="s">
        <v>47</v>
      </c>
      <c r="D14" s="5" t="n">
        <v>8986</v>
      </c>
      <c r="E14" s="5" t="n">
        <v>2010</v>
      </c>
      <c r="F14" s="5" t="s">
        <v>1292</v>
      </c>
      <c r="G14" s="5" t="n">
        <v>1.5</v>
      </c>
      <c r="H14" s="5" t="s">
        <v>1691</v>
      </c>
      <c r="I14" s="5" t="s">
        <v>1563</v>
      </c>
      <c r="J14" s="5" t="s">
        <v>32</v>
      </c>
      <c r="K14" s="5" t="n">
        <v>2012</v>
      </c>
      <c r="L14" s="5" t="n">
        <v>12</v>
      </c>
      <c r="M14" s="93" t="s">
        <v>1291</v>
      </c>
      <c r="N14" s="5" t="s">
        <v>38</v>
      </c>
    </row>
    <row r="15" customFormat="false" ht="22.5" hidden="false" customHeight="false" outlineLevel="0" collapsed="false">
      <c r="A15" s="5" t="n">
        <f aca="false">IF(B15&lt;&gt;"", COUNTA($B$2:B15), "")</f>
        <v>14</v>
      </c>
      <c r="B15" s="7" t="s">
        <v>1692</v>
      </c>
      <c r="C15" s="5" t="s">
        <v>1693</v>
      </c>
      <c r="D15" s="5" t="n">
        <v>79756</v>
      </c>
      <c r="E15" s="8" t="n">
        <v>2012</v>
      </c>
      <c r="F15" s="5" t="s">
        <v>1694</v>
      </c>
      <c r="G15" s="5" t="n">
        <v>1</v>
      </c>
      <c r="H15" s="6" t="s">
        <v>1695</v>
      </c>
      <c r="I15" s="5" t="s">
        <v>1563</v>
      </c>
      <c r="J15" s="5" t="s">
        <v>32</v>
      </c>
      <c r="K15" s="5" t="n">
        <v>2012</v>
      </c>
      <c r="L15" s="5" t="n">
        <v>60</v>
      </c>
      <c r="M15" s="5"/>
      <c r="N15" s="5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7" t="s">
        <v>1692</v>
      </c>
      <c r="C16" s="5" t="s">
        <v>1693</v>
      </c>
      <c r="D16" s="5" t="n">
        <v>79757</v>
      </c>
      <c r="E16" s="8" t="n">
        <v>2012</v>
      </c>
      <c r="F16" s="5" t="s">
        <v>1694</v>
      </c>
      <c r="G16" s="5" t="n">
        <v>1</v>
      </c>
      <c r="H16" s="6" t="s">
        <v>1695</v>
      </c>
      <c r="I16" s="5" t="s">
        <v>1563</v>
      </c>
      <c r="J16" s="5" t="s">
        <v>32</v>
      </c>
      <c r="K16" s="5" t="n">
        <v>2012</v>
      </c>
      <c r="L16" s="5" t="n">
        <v>60</v>
      </c>
      <c r="M16" s="5"/>
      <c r="N16" s="5"/>
    </row>
    <row r="17" customFormat="false" ht="15" hidden="false" customHeight="false" outlineLevel="0" collapsed="false">
      <c r="A17" s="5" t="n">
        <f aca="false">IF(B17&lt;&gt;"", COUNTA($B$2:B17), "")</f>
        <v>16</v>
      </c>
      <c r="B17" s="7" t="s">
        <v>64</v>
      </c>
      <c r="C17" s="5" t="s">
        <v>1696</v>
      </c>
      <c r="D17" s="5" t="n">
        <v>1217486</v>
      </c>
      <c r="E17" s="8"/>
      <c r="F17" s="5" t="s">
        <v>1697</v>
      </c>
      <c r="G17" s="5"/>
      <c r="H17" s="6" t="s">
        <v>1698</v>
      </c>
      <c r="I17" s="5" t="s">
        <v>1563</v>
      </c>
      <c r="J17" s="5" t="s">
        <v>32</v>
      </c>
      <c r="K17" s="5"/>
      <c r="L17" s="5"/>
      <c r="M17" s="5"/>
      <c r="N17" s="5"/>
    </row>
    <row r="18" customFormat="false" ht="15" hidden="false" customHeight="false" outlineLevel="0" collapsed="false">
      <c r="A18" s="5" t="n">
        <f aca="false">IF(B18&lt;&gt;"", COUNTA($B$2:B18), "")</f>
        <v>17</v>
      </c>
      <c r="B18" s="7" t="s">
        <v>64</v>
      </c>
      <c r="C18" s="5" t="s">
        <v>1696</v>
      </c>
      <c r="D18" s="5" t="n">
        <v>1213116</v>
      </c>
      <c r="E18" s="8"/>
      <c r="F18" s="5" t="s">
        <v>1697</v>
      </c>
      <c r="G18" s="5"/>
      <c r="H18" s="6" t="s">
        <v>1699</v>
      </c>
      <c r="I18" s="5" t="s">
        <v>1563</v>
      </c>
      <c r="J18" s="5" t="s">
        <v>32</v>
      </c>
      <c r="K18" s="5"/>
      <c r="L18" s="5"/>
      <c r="M18" s="5"/>
      <c r="N18" s="5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1534</v>
      </c>
      <c r="C19" s="5" t="s">
        <v>1565</v>
      </c>
      <c r="D19" s="5" t="n">
        <v>1252779</v>
      </c>
      <c r="E19" s="30"/>
      <c r="F19" s="30"/>
      <c r="G19" s="30"/>
      <c r="H19" s="6" t="s">
        <v>1700</v>
      </c>
      <c r="I19" s="6" t="s">
        <v>1563</v>
      </c>
      <c r="J19" s="5" t="s">
        <v>32</v>
      </c>
      <c r="K19" s="5"/>
      <c r="L19" s="30"/>
      <c r="M19" s="30"/>
      <c r="N19" s="30"/>
    </row>
    <row r="20" customFormat="false" ht="15" hidden="false" customHeight="false" outlineLevel="0" collapsed="false">
      <c r="A20" s="5" t="n">
        <f aca="false">IF(B20&lt;&gt;"", COUNTA($B$2:B20), "")</f>
        <v>19</v>
      </c>
      <c r="B20" s="7" t="s">
        <v>1539</v>
      </c>
      <c r="C20" s="5" t="s">
        <v>1540</v>
      </c>
      <c r="D20" s="5" t="n">
        <v>1200586</v>
      </c>
      <c r="E20" s="30"/>
      <c r="F20" s="30"/>
      <c r="G20" s="30"/>
      <c r="H20" s="6" t="s">
        <v>1701</v>
      </c>
      <c r="I20" s="6" t="s">
        <v>1563</v>
      </c>
      <c r="J20" s="5" t="s">
        <v>32</v>
      </c>
      <c r="K20" s="5"/>
      <c r="L20" s="30"/>
      <c r="M20" s="30"/>
      <c r="N20" s="30"/>
    </row>
    <row r="21" customFormat="false" ht="15" hidden="false" customHeight="false" outlineLevel="0" collapsed="false">
      <c r="A21" s="5" t="n">
        <f aca="false">IF(B21&lt;&gt;"", COUNTA($B$2:B21), "")</f>
        <v>20</v>
      </c>
      <c r="B21" s="5" t="s">
        <v>27</v>
      </c>
      <c r="C21" s="5" t="s">
        <v>28</v>
      </c>
      <c r="D21" s="5" t="s">
        <v>184</v>
      </c>
      <c r="E21" s="5" t="n">
        <v>2010</v>
      </c>
      <c r="F21" s="5" t="s">
        <v>1289</v>
      </c>
      <c r="G21" s="5" t="n">
        <v>1</v>
      </c>
      <c r="H21" s="5" t="s">
        <v>1702</v>
      </c>
      <c r="I21" s="5" t="s">
        <v>1703</v>
      </c>
      <c r="J21" s="5" t="s">
        <v>32</v>
      </c>
      <c r="K21" s="5" t="n">
        <v>2012</v>
      </c>
      <c r="L21" s="5" t="n">
        <v>12</v>
      </c>
      <c r="M21" s="94" t="s">
        <v>37</v>
      </c>
      <c r="N21" s="5" t="s">
        <v>38</v>
      </c>
    </row>
    <row r="22" customFormat="false" ht="15" hidden="false" customHeight="false" outlineLevel="0" collapsed="false">
      <c r="A22" s="5" t="n">
        <f aca="false">IF(B22&lt;&gt;"", COUNTA($B$2:B22), "")</f>
        <v>21</v>
      </c>
      <c r="B22" s="5" t="s">
        <v>27</v>
      </c>
      <c r="C22" s="5" t="s">
        <v>28</v>
      </c>
      <c r="D22" s="5" t="s">
        <v>1704</v>
      </c>
      <c r="E22" s="5" t="n">
        <v>2010</v>
      </c>
      <c r="F22" s="5" t="s">
        <v>1289</v>
      </c>
      <c r="G22" s="5" t="n">
        <v>1</v>
      </c>
      <c r="H22" s="5" t="s">
        <v>1705</v>
      </c>
      <c r="I22" s="5" t="s">
        <v>1703</v>
      </c>
      <c r="J22" s="5" t="s">
        <v>32</v>
      </c>
      <c r="K22" s="5" t="n">
        <v>2012</v>
      </c>
      <c r="L22" s="5" t="n">
        <v>12</v>
      </c>
      <c r="M22" s="94" t="s">
        <v>37</v>
      </c>
      <c r="N22" s="5" t="s">
        <v>38</v>
      </c>
    </row>
    <row r="23" customFormat="false" ht="15" hidden="false" customHeight="false" outlineLevel="0" collapsed="false">
      <c r="A23" s="5" t="n">
        <f aca="false">IF(B23&lt;&gt;"", COUNTA($B$2:B23), "")</f>
        <v>22</v>
      </c>
      <c r="B23" s="5" t="s">
        <v>27</v>
      </c>
      <c r="C23" s="5" t="s">
        <v>28</v>
      </c>
      <c r="D23" s="5" t="s">
        <v>1706</v>
      </c>
      <c r="E23" s="5" t="n">
        <v>2010</v>
      </c>
      <c r="F23" s="5" t="s">
        <v>1289</v>
      </c>
      <c r="G23" s="5" t="n">
        <v>1</v>
      </c>
      <c r="H23" s="5" t="s">
        <v>1683</v>
      </c>
      <c r="I23" s="5" t="s">
        <v>1703</v>
      </c>
      <c r="J23" s="5" t="s">
        <v>32</v>
      </c>
      <c r="K23" s="5" t="n">
        <v>2012</v>
      </c>
      <c r="L23" s="5" t="n">
        <v>12</v>
      </c>
      <c r="M23" s="94" t="s">
        <v>37</v>
      </c>
      <c r="N23" s="5" t="s">
        <v>38</v>
      </c>
    </row>
    <row r="24" customFormat="false" ht="15" hidden="false" customHeight="false" outlineLevel="0" collapsed="false">
      <c r="A24" s="5" t="n">
        <f aca="false">IF(B24&lt;&gt;"", COUNTA($B$2:B24), "")</f>
        <v>23</v>
      </c>
      <c r="B24" s="5" t="s">
        <v>27</v>
      </c>
      <c r="C24" s="5" t="s">
        <v>28</v>
      </c>
      <c r="D24" s="5" t="s">
        <v>1707</v>
      </c>
      <c r="E24" s="5" t="n">
        <v>2010</v>
      </c>
      <c r="F24" s="5" t="s">
        <v>1289</v>
      </c>
      <c r="G24" s="5" t="n">
        <v>1</v>
      </c>
      <c r="H24" s="5" t="s">
        <v>1682</v>
      </c>
      <c r="I24" s="5" t="s">
        <v>1703</v>
      </c>
      <c r="J24" s="5" t="s">
        <v>32</v>
      </c>
      <c r="K24" s="5" t="n">
        <v>2012</v>
      </c>
      <c r="L24" s="5" t="n">
        <v>12</v>
      </c>
      <c r="M24" s="94" t="s">
        <v>37</v>
      </c>
      <c r="N24" s="5" t="s">
        <v>38</v>
      </c>
    </row>
    <row r="25" customFormat="false" ht="15" hidden="false" customHeight="false" outlineLevel="0" collapsed="false">
      <c r="A25" s="5" t="n">
        <f aca="false">IF(B25&lt;&gt;"", COUNTA($B$2:B25), "")</f>
        <v>24</v>
      </c>
      <c r="B25" s="5" t="s">
        <v>27</v>
      </c>
      <c r="C25" s="5" t="s">
        <v>28</v>
      </c>
      <c r="D25" s="5" t="n">
        <v>15277</v>
      </c>
      <c r="E25" s="5" t="n">
        <v>2010</v>
      </c>
      <c r="F25" s="5" t="s">
        <v>1289</v>
      </c>
      <c r="G25" s="5" t="n">
        <v>1.5</v>
      </c>
      <c r="H25" s="5" t="s">
        <v>1685</v>
      </c>
      <c r="I25" s="5" t="s">
        <v>1703</v>
      </c>
      <c r="J25" s="5" t="s">
        <v>32</v>
      </c>
      <c r="K25" s="5" t="n">
        <v>2012</v>
      </c>
      <c r="L25" s="5" t="n">
        <v>12</v>
      </c>
      <c r="M25" s="94" t="s">
        <v>37</v>
      </c>
      <c r="N25" s="5" t="s">
        <v>38</v>
      </c>
    </row>
    <row r="26" customFormat="false" ht="15" hidden="false" customHeight="false" outlineLevel="0" collapsed="false">
      <c r="A26" s="5" t="n">
        <f aca="false">IF(B26&lt;&gt;"", COUNTA($B$2:B26), "")</f>
        <v>25</v>
      </c>
      <c r="B26" s="5" t="s">
        <v>27</v>
      </c>
      <c r="C26" s="5" t="s">
        <v>28</v>
      </c>
      <c r="D26" s="5" t="s">
        <v>1708</v>
      </c>
      <c r="E26" s="5" t="n">
        <v>2010</v>
      </c>
      <c r="F26" s="5" t="s">
        <v>1289</v>
      </c>
      <c r="G26" s="5" t="n">
        <v>1</v>
      </c>
      <c r="H26" s="5" t="s">
        <v>1709</v>
      </c>
      <c r="I26" s="5" t="s">
        <v>1703</v>
      </c>
      <c r="J26" s="5" t="s">
        <v>32</v>
      </c>
      <c r="K26" s="5" t="n">
        <v>2012</v>
      </c>
      <c r="L26" s="5" t="n">
        <v>12</v>
      </c>
      <c r="M26" s="94" t="s">
        <v>37</v>
      </c>
      <c r="N26" s="5" t="s">
        <v>38</v>
      </c>
    </row>
    <row r="27" customFormat="false" ht="33.75" hidden="false" customHeight="false" outlineLevel="0" collapsed="false">
      <c r="A27" s="5" t="n">
        <f aca="false">IF(B27&lt;&gt;"", COUNTA($B$2:B27), "")</f>
        <v>26</v>
      </c>
      <c r="B27" s="5" t="s">
        <v>27</v>
      </c>
      <c r="C27" s="5" t="s">
        <v>1000</v>
      </c>
      <c r="D27" s="5" t="s">
        <v>1710</v>
      </c>
      <c r="E27" s="5" t="n">
        <v>2010</v>
      </c>
      <c r="F27" s="5" t="s">
        <v>1162</v>
      </c>
      <c r="G27" s="5" t="n">
        <v>1</v>
      </c>
      <c r="H27" s="5" t="s">
        <v>1711</v>
      </c>
      <c r="I27" s="5" t="s">
        <v>1703</v>
      </c>
      <c r="J27" s="5" t="s">
        <v>32</v>
      </c>
      <c r="K27" s="5" t="n">
        <v>2012</v>
      </c>
      <c r="L27" s="5" t="n">
        <v>12</v>
      </c>
      <c r="M27" s="94" t="s">
        <v>37</v>
      </c>
      <c r="N27" s="5" t="s">
        <v>38</v>
      </c>
    </row>
    <row r="28" customFormat="false" ht="33.75" hidden="false" customHeight="false" outlineLevel="0" collapsed="false">
      <c r="A28" s="5" t="n">
        <f aca="false">IF(B28&lt;&gt;"", COUNTA($B$2:B28), "")</f>
        <v>27</v>
      </c>
      <c r="B28" s="5" t="s">
        <v>27</v>
      </c>
      <c r="C28" s="5" t="s">
        <v>28</v>
      </c>
      <c r="D28" s="5" t="n">
        <v>15254</v>
      </c>
      <c r="E28" s="5" t="n">
        <v>2014</v>
      </c>
      <c r="F28" s="5" t="s">
        <v>1289</v>
      </c>
      <c r="G28" s="5" t="n">
        <v>1.5</v>
      </c>
      <c r="H28" s="5" t="s">
        <v>1712</v>
      </c>
      <c r="I28" s="5" t="s">
        <v>1703</v>
      </c>
      <c r="J28" s="5" t="s">
        <v>32</v>
      </c>
      <c r="K28" s="5" t="n">
        <v>2012</v>
      </c>
      <c r="L28" s="5" t="n">
        <v>12</v>
      </c>
      <c r="M28" s="94" t="s">
        <v>37</v>
      </c>
      <c r="N28" s="5" t="s">
        <v>38</v>
      </c>
    </row>
    <row r="29" customFormat="false" ht="15" hidden="false" customHeight="false" outlineLevel="0" collapsed="false">
      <c r="A29" s="5" t="n">
        <f aca="false">IF(B29&lt;&gt;"", COUNTA($B$2:B29), "")</f>
        <v>28</v>
      </c>
      <c r="B29" s="5" t="s">
        <v>27</v>
      </c>
      <c r="C29" s="5" t="s">
        <v>28</v>
      </c>
      <c r="D29" s="5" t="s">
        <v>1713</v>
      </c>
      <c r="E29" s="5" t="n">
        <v>2010</v>
      </c>
      <c r="F29" s="5" t="s">
        <v>1289</v>
      </c>
      <c r="G29" s="5" t="n">
        <v>1</v>
      </c>
      <c r="H29" s="5" t="s">
        <v>1681</v>
      </c>
      <c r="I29" s="5" t="s">
        <v>1703</v>
      </c>
      <c r="J29" s="5" t="s">
        <v>32</v>
      </c>
      <c r="K29" s="5" t="n">
        <v>2012</v>
      </c>
      <c r="L29" s="5" t="n">
        <v>12</v>
      </c>
      <c r="M29" s="94" t="s">
        <v>37</v>
      </c>
      <c r="N29" s="5" t="s">
        <v>38</v>
      </c>
    </row>
    <row r="30" customFormat="false" ht="15" hidden="false" customHeight="false" outlineLevel="0" collapsed="false">
      <c r="A30" s="5" t="n">
        <f aca="false">IF(B30&lt;&gt;"", COUNTA($B$2:B30), "")</f>
        <v>29</v>
      </c>
      <c r="B30" s="5" t="s">
        <v>27</v>
      </c>
      <c r="C30" s="5" t="s">
        <v>28</v>
      </c>
      <c r="D30" s="5" t="s">
        <v>1714</v>
      </c>
      <c r="E30" s="5" t="n">
        <v>2010</v>
      </c>
      <c r="F30" s="5" t="s">
        <v>1289</v>
      </c>
      <c r="G30" s="5" t="n">
        <v>1</v>
      </c>
      <c r="H30" s="5" t="s">
        <v>1680</v>
      </c>
      <c r="I30" s="5" t="s">
        <v>1703</v>
      </c>
      <c r="J30" s="5" t="s">
        <v>32</v>
      </c>
      <c r="K30" s="5" t="n">
        <v>2012</v>
      </c>
      <c r="L30" s="5" t="n">
        <v>12</v>
      </c>
      <c r="M30" s="94" t="s">
        <v>37</v>
      </c>
      <c r="N30" s="5" t="s">
        <v>38</v>
      </c>
    </row>
    <row r="31" customFormat="false" ht="15" hidden="false" customHeight="false" outlineLevel="0" collapsed="false">
      <c r="A31" s="5" t="n">
        <f aca="false">IF(B31&lt;&gt;"", COUNTA($B$2:B31), "")</f>
        <v>30</v>
      </c>
      <c r="B31" s="5" t="s">
        <v>46</v>
      </c>
      <c r="C31" s="5" t="s">
        <v>1242</v>
      </c>
      <c r="D31" s="5" t="s">
        <v>1715</v>
      </c>
      <c r="E31" s="5" t="n">
        <v>2010</v>
      </c>
      <c r="F31" s="5" t="s">
        <v>1243</v>
      </c>
      <c r="G31" s="5" t="n">
        <v>1</v>
      </c>
      <c r="H31" s="5" t="s">
        <v>1716</v>
      </c>
      <c r="I31" s="5" t="s">
        <v>1703</v>
      </c>
      <c r="J31" s="5" t="s">
        <v>32</v>
      </c>
      <c r="K31" s="5" t="n">
        <v>2012</v>
      </c>
      <c r="L31" s="5" t="n">
        <v>24</v>
      </c>
      <c r="M31" s="93" t="s">
        <v>1291</v>
      </c>
      <c r="N31" s="5" t="s">
        <v>38</v>
      </c>
    </row>
    <row r="32" customFormat="false" ht="15" hidden="false" customHeight="false" outlineLevel="0" collapsed="false">
      <c r="A32" s="5" t="n">
        <f aca="false">IF(B32&lt;&gt;"", COUNTA($B$2:B32), "")</f>
        <v>31</v>
      </c>
      <c r="B32" s="5" t="s">
        <v>46</v>
      </c>
      <c r="C32" s="5" t="s">
        <v>47</v>
      </c>
      <c r="D32" s="5" t="n">
        <v>6922</v>
      </c>
      <c r="E32" s="5" t="n">
        <v>2010</v>
      </c>
      <c r="F32" s="5" t="s">
        <v>1243</v>
      </c>
      <c r="G32" s="5" t="n">
        <v>1.5</v>
      </c>
      <c r="H32" s="5" t="s">
        <v>1717</v>
      </c>
      <c r="I32" s="5" t="s">
        <v>1703</v>
      </c>
      <c r="J32" s="5" t="s">
        <v>32</v>
      </c>
      <c r="K32" s="5" t="n">
        <v>2012</v>
      </c>
      <c r="L32" s="5" t="n">
        <v>24</v>
      </c>
      <c r="M32" s="93" t="s">
        <v>1291</v>
      </c>
      <c r="N32" s="5" t="s">
        <v>38</v>
      </c>
    </row>
    <row r="33" customFormat="false" ht="15" hidden="false" customHeight="false" outlineLevel="0" collapsed="false">
      <c r="A33" s="5" t="n">
        <f aca="false">IF(B33&lt;&gt;"", COUNTA($B$2:B33), "")</f>
        <v>32</v>
      </c>
      <c r="B33" s="5" t="s">
        <v>46</v>
      </c>
      <c r="C33" s="5" t="s">
        <v>47</v>
      </c>
      <c r="D33" s="5" t="n">
        <v>7510</v>
      </c>
      <c r="E33" s="5" t="n">
        <v>2010</v>
      </c>
      <c r="F33" s="5" t="s">
        <v>1243</v>
      </c>
      <c r="G33" s="5" t="n">
        <v>1.5</v>
      </c>
      <c r="H33" s="5" t="s">
        <v>1718</v>
      </c>
      <c r="I33" s="5" t="s">
        <v>1703</v>
      </c>
      <c r="J33" s="5" t="s">
        <v>32</v>
      </c>
      <c r="K33" s="5" t="n">
        <v>2012</v>
      </c>
      <c r="L33" s="5" t="n">
        <v>24</v>
      </c>
      <c r="M33" s="93" t="s">
        <v>1291</v>
      </c>
      <c r="N33" s="5" t="s">
        <v>38</v>
      </c>
    </row>
    <row r="34" customFormat="false" ht="15" hidden="false" customHeight="false" outlineLevel="0" collapsed="false">
      <c r="A34" s="5" t="n">
        <f aca="false">IF(B34&lt;&gt;"", COUNTA($B$2:B34), "")</f>
        <v>33</v>
      </c>
      <c r="B34" s="5" t="s">
        <v>46</v>
      </c>
      <c r="C34" s="5" t="s">
        <v>47</v>
      </c>
      <c r="D34" s="5" t="n">
        <v>7438</v>
      </c>
      <c r="E34" s="5" t="n">
        <v>2010</v>
      </c>
      <c r="F34" s="5" t="s">
        <v>1243</v>
      </c>
      <c r="G34" s="5" t="n">
        <v>1.5</v>
      </c>
      <c r="H34" s="5" t="s">
        <v>1719</v>
      </c>
      <c r="I34" s="5" t="s">
        <v>1703</v>
      </c>
      <c r="J34" s="5" t="s">
        <v>32</v>
      </c>
      <c r="K34" s="5" t="n">
        <v>2012</v>
      </c>
      <c r="L34" s="5" t="n">
        <v>24</v>
      </c>
      <c r="M34" s="93" t="s">
        <v>1291</v>
      </c>
      <c r="N34" s="5" t="s">
        <v>38</v>
      </c>
    </row>
    <row r="35" customFormat="false" ht="15" hidden="false" customHeight="false" outlineLevel="0" collapsed="false">
      <c r="A35" s="5" t="n">
        <f aca="false">IF(B35&lt;&gt;"", COUNTA($B$2:B35), "")</f>
        <v>34</v>
      </c>
      <c r="B35" s="5" t="s">
        <v>46</v>
      </c>
      <c r="C35" s="5" t="s">
        <v>47</v>
      </c>
      <c r="D35" s="5" t="s">
        <v>1720</v>
      </c>
      <c r="E35" s="5" t="n">
        <v>2010</v>
      </c>
      <c r="F35" s="5" t="s">
        <v>1292</v>
      </c>
      <c r="G35" s="5" t="n">
        <v>1.5</v>
      </c>
      <c r="H35" s="5" t="s">
        <v>1721</v>
      </c>
      <c r="I35" s="5" t="s">
        <v>1703</v>
      </c>
      <c r="J35" s="5" t="s">
        <v>32</v>
      </c>
      <c r="K35" s="5" t="n">
        <v>2012</v>
      </c>
      <c r="L35" s="5" t="n">
        <v>24</v>
      </c>
      <c r="M35" s="93" t="s">
        <v>1291</v>
      </c>
      <c r="N35" s="5" t="s">
        <v>38</v>
      </c>
    </row>
    <row r="36" customFormat="false" ht="15" hidden="false" customHeight="false" outlineLevel="0" collapsed="false">
      <c r="A36" s="5" t="n">
        <f aca="false">IF(B36&lt;&gt;"", COUNTA($B$2:B36), "")</f>
        <v>35</v>
      </c>
      <c r="B36" s="5" t="s">
        <v>46</v>
      </c>
      <c r="C36" s="5" t="s">
        <v>1242</v>
      </c>
      <c r="D36" s="5" t="s">
        <v>1722</v>
      </c>
      <c r="E36" s="5" t="n">
        <v>2010</v>
      </c>
      <c r="F36" s="5" t="s">
        <v>1243</v>
      </c>
      <c r="G36" s="5" t="n">
        <v>1</v>
      </c>
      <c r="H36" s="5" t="s">
        <v>1723</v>
      </c>
      <c r="I36" s="5" t="s">
        <v>1703</v>
      </c>
      <c r="J36" s="5" t="s">
        <v>32</v>
      </c>
      <c r="K36" s="5" t="n">
        <v>2012</v>
      </c>
      <c r="L36" s="5" t="n">
        <v>24</v>
      </c>
      <c r="M36" s="93" t="s">
        <v>1291</v>
      </c>
      <c r="N36" s="5" t="s">
        <v>38</v>
      </c>
    </row>
    <row r="37" customFormat="false" ht="22.5" hidden="false" customHeight="false" outlineLevel="0" collapsed="false">
      <c r="A37" s="5" t="n">
        <f aca="false">IF(B37&lt;&gt;"", COUNTA($B$2:B37), "")</f>
        <v>36</v>
      </c>
      <c r="B37" s="7" t="s">
        <v>1692</v>
      </c>
      <c r="C37" s="5" t="s">
        <v>1693</v>
      </c>
      <c r="D37" s="5" t="n">
        <v>73528</v>
      </c>
      <c r="E37" s="8" t="n">
        <v>2012</v>
      </c>
      <c r="F37" s="5" t="s">
        <v>1694</v>
      </c>
      <c r="G37" s="5" t="n">
        <v>1</v>
      </c>
      <c r="H37" s="6" t="s">
        <v>1695</v>
      </c>
      <c r="I37" s="5" t="s">
        <v>1703</v>
      </c>
      <c r="J37" s="5" t="s">
        <v>32</v>
      </c>
      <c r="K37" s="5" t="n">
        <v>2012</v>
      </c>
      <c r="L37" s="5" t="n">
        <v>60</v>
      </c>
      <c r="M37" s="5"/>
      <c r="N37" s="5"/>
    </row>
    <row r="38" customFormat="false" ht="22.5" hidden="false" customHeight="false" outlineLevel="0" collapsed="false">
      <c r="A38" s="5" t="n">
        <f aca="false">IF(B38&lt;&gt;"", COUNTA($B$2:B38), "")</f>
        <v>37</v>
      </c>
      <c r="B38" s="7" t="s">
        <v>1692</v>
      </c>
      <c r="C38" s="5" t="s">
        <v>1693</v>
      </c>
      <c r="D38" s="5" t="n">
        <v>73529</v>
      </c>
      <c r="E38" s="8" t="n">
        <v>2012</v>
      </c>
      <c r="F38" s="5" t="s">
        <v>1694</v>
      </c>
      <c r="G38" s="5" t="n">
        <v>1</v>
      </c>
      <c r="H38" s="6" t="s">
        <v>1724</v>
      </c>
      <c r="I38" s="5" t="s">
        <v>1703</v>
      </c>
      <c r="J38" s="5" t="s">
        <v>32</v>
      </c>
      <c r="K38" s="5" t="n">
        <v>2012</v>
      </c>
      <c r="L38" s="5" t="n">
        <v>60</v>
      </c>
      <c r="M38" s="5"/>
      <c r="N38" s="5"/>
    </row>
    <row r="39" customFormat="false" ht="15" hidden="false" customHeight="false" outlineLevel="0" collapsed="false">
      <c r="A39" s="5" t="n">
        <f aca="false">IF(B39&lt;&gt;"", COUNTA($B$2:B39), "")</f>
        <v>38</v>
      </c>
      <c r="B39" s="7" t="s">
        <v>64</v>
      </c>
      <c r="C39" s="5" t="s">
        <v>1696</v>
      </c>
      <c r="D39" s="5" t="n">
        <v>1213426</v>
      </c>
      <c r="E39" s="8"/>
      <c r="F39" s="5" t="s">
        <v>1697</v>
      </c>
      <c r="G39" s="5"/>
      <c r="H39" s="6" t="s">
        <v>1698</v>
      </c>
      <c r="I39" s="5" t="s">
        <v>1703</v>
      </c>
      <c r="J39" s="5" t="s">
        <v>32</v>
      </c>
      <c r="K39" s="5"/>
      <c r="L39" s="5"/>
      <c r="M39" s="5"/>
      <c r="N39" s="5"/>
    </row>
    <row r="40" customFormat="false" ht="15" hidden="false" customHeight="false" outlineLevel="0" collapsed="false">
      <c r="A40" s="5" t="n">
        <f aca="false">IF(B40&lt;&gt;"", COUNTA($B$2:B40), "")</f>
        <v>39</v>
      </c>
      <c r="B40" s="7" t="s">
        <v>64</v>
      </c>
      <c r="C40" s="5" t="s">
        <v>1696</v>
      </c>
      <c r="D40" s="5" t="n">
        <v>1217506</v>
      </c>
      <c r="E40" s="8"/>
      <c r="F40" s="5" t="s">
        <v>1697</v>
      </c>
      <c r="G40" s="5"/>
      <c r="H40" s="6" t="s">
        <v>1699</v>
      </c>
      <c r="I40" s="5" t="s">
        <v>1703</v>
      </c>
      <c r="J40" s="5" t="s">
        <v>32</v>
      </c>
      <c r="K40" s="5"/>
      <c r="L40" s="5"/>
      <c r="M40" s="5"/>
      <c r="N40" s="5"/>
    </row>
    <row r="41" customFormat="false" ht="22.5" hidden="false" customHeight="false" outlineLevel="0" collapsed="false">
      <c r="A41" s="5" t="n">
        <f aca="false">IF(B41&lt;&gt;"", COUNTA($B$2:B41), "")</f>
        <v>40</v>
      </c>
      <c r="B41" s="7" t="s">
        <v>1534</v>
      </c>
      <c r="C41" s="5" t="s">
        <v>1725</v>
      </c>
      <c r="D41" s="5" t="n">
        <v>1234370</v>
      </c>
      <c r="E41" s="30"/>
      <c r="F41" s="30"/>
      <c r="G41" s="30"/>
      <c r="H41" s="6" t="s">
        <v>1726</v>
      </c>
      <c r="I41" s="5" t="s">
        <v>1703</v>
      </c>
      <c r="J41" s="5" t="s">
        <v>32</v>
      </c>
      <c r="K41" s="5"/>
      <c r="L41" s="30"/>
      <c r="M41" s="30"/>
      <c r="N41" s="30"/>
    </row>
    <row r="42" customFormat="false" ht="15" hidden="false" customHeight="false" outlineLevel="0" collapsed="false">
      <c r="A42" s="5" t="n">
        <f aca="false">IF(B42&lt;&gt;"", COUNTA($B$2:B42), "")</f>
        <v>41</v>
      </c>
      <c r="B42" s="7" t="s">
        <v>1539</v>
      </c>
      <c r="C42" s="5" t="s">
        <v>1540</v>
      </c>
      <c r="D42" s="5" t="n">
        <v>1200734</v>
      </c>
      <c r="E42" s="30"/>
      <c r="F42" s="30"/>
      <c r="G42" s="30"/>
      <c r="H42" s="6" t="s">
        <v>1701</v>
      </c>
      <c r="I42" s="5" t="s">
        <v>1703</v>
      </c>
      <c r="J42" s="5" t="s">
        <v>32</v>
      </c>
      <c r="K42" s="5"/>
      <c r="L42" s="30"/>
      <c r="M42" s="30"/>
      <c r="N42" s="30"/>
    </row>
    <row r="43" customFormat="false" ht="22.5" hidden="false" customHeight="false" outlineLevel="0" collapsed="false">
      <c r="A43" s="5" t="n">
        <f aca="false">IF(B43&lt;&gt;"", COUNTA($B$2:B43), "")</f>
        <v>42</v>
      </c>
      <c r="B43" s="5" t="s">
        <v>27</v>
      </c>
      <c r="C43" s="5" t="s">
        <v>28</v>
      </c>
      <c r="D43" s="5" t="n">
        <v>15527</v>
      </c>
      <c r="E43" s="5" t="n">
        <v>2010</v>
      </c>
      <c r="F43" s="5" t="s">
        <v>1289</v>
      </c>
      <c r="G43" s="5" t="n">
        <v>1</v>
      </c>
      <c r="H43" s="5" t="s">
        <v>1682</v>
      </c>
      <c r="I43" s="5" t="s">
        <v>1727</v>
      </c>
      <c r="J43" s="5" t="s">
        <v>32</v>
      </c>
      <c r="K43" s="5" t="n">
        <v>2012</v>
      </c>
      <c r="L43" s="5" t="n">
        <v>12</v>
      </c>
      <c r="M43" s="94" t="s">
        <v>37</v>
      </c>
      <c r="N43" s="5" t="s">
        <v>38</v>
      </c>
    </row>
    <row r="44" customFormat="false" ht="22.5" hidden="false" customHeight="false" outlineLevel="0" collapsed="false">
      <c r="A44" s="5" t="n">
        <f aca="false">IF(B44&lt;&gt;"", COUNTA($B$2:B44), "")</f>
        <v>43</v>
      </c>
      <c r="B44" s="5" t="s">
        <v>27</v>
      </c>
      <c r="C44" s="5" t="s">
        <v>28</v>
      </c>
      <c r="D44" s="5" t="n">
        <v>40</v>
      </c>
      <c r="E44" s="5" t="n">
        <v>2010</v>
      </c>
      <c r="F44" s="5" t="s">
        <v>1289</v>
      </c>
      <c r="G44" s="5" t="n">
        <v>1</v>
      </c>
      <c r="H44" s="5" t="s">
        <v>1683</v>
      </c>
      <c r="I44" s="5" t="s">
        <v>1727</v>
      </c>
      <c r="J44" s="5" t="s">
        <v>32</v>
      </c>
      <c r="K44" s="5" t="n">
        <v>2012</v>
      </c>
      <c r="L44" s="5" t="n">
        <v>12</v>
      </c>
      <c r="M44" s="94" t="s">
        <v>37</v>
      </c>
      <c r="N44" s="5" t="s">
        <v>38</v>
      </c>
    </row>
    <row r="45" customFormat="false" ht="22.5" hidden="false" customHeight="false" outlineLevel="0" collapsed="false">
      <c r="A45" s="5" t="n">
        <f aca="false">IF(B45&lt;&gt;"", COUNTA($B$2:B45), "")</f>
        <v>44</v>
      </c>
      <c r="B45" s="5" t="s">
        <v>27</v>
      </c>
      <c r="C45" s="5" t="s">
        <v>28</v>
      </c>
      <c r="D45" s="5" t="n">
        <v>42</v>
      </c>
      <c r="E45" s="5" t="n">
        <v>2010</v>
      </c>
      <c r="F45" s="5" t="s">
        <v>1289</v>
      </c>
      <c r="G45" s="5" t="n">
        <v>1</v>
      </c>
      <c r="H45" s="5" t="s">
        <v>1685</v>
      </c>
      <c r="I45" s="5" t="s">
        <v>1727</v>
      </c>
      <c r="J45" s="5" t="s">
        <v>32</v>
      </c>
      <c r="K45" s="5" t="n">
        <v>2012</v>
      </c>
      <c r="L45" s="5" t="n">
        <v>12</v>
      </c>
      <c r="M45" s="94" t="s">
        <v>37</v>
      </c>
      <c r="N45" s="5" t="s">
        <v>38</v>
      </c>
    </row>
    <row r="46" customFormat="false" ht="22.5" hidden="false" customHeight="false" outlineLevel="0" collapsed="false">
      <c r="A46" s="5" t="n">
        <f aca="false">IF(B46&lt;&gt;"", COUNTA($B$2:B46), "")</f>
        <v>45</v>
      </c>
      <c r="B46" s="5" t="s">
        <v>27</v>
      </c>
      <c r="C46" s="5" t="s">
        <v>28</v>
      </c>
      <c r="D46" s="5" t="n">
        <v>7093</v>
      </c>
      <c r="E46" s="5" t="n">
        <v>2010</v>
      </c>
      <c r="F46" s="5" t="s">
        <v>1289</v>
      </c>
      <c r="G46" s="5" t="n">
        <v>1</v>
      </c>
      <c r="H46" s="5" t="s">
        <v>1680</v>
      </c>
      <c r="I46" s="5" t="s">
        <v>1727</v>
      </c>
      <c r="J46" s="5" t="s">
        <v>32</v>
      </c>
      <c r="K46" s="5" t="n">
        <v>2012</v>
      </c>
      <c r="L46" s="5" t="n">
        <v>12</v>
      </c>
      <c r="M46" s="94" t="s">
        <v>37</v>
      </c>
      <c r="N46" s="5" t="s">
        <v>38</v>
      </c>
    </row>
    <row r="47" customFormat="false" ht="22.5" hidden="false" customHeight="false" outlineLevel="0" collapsed="false">
      <c r="A47" s="5" t="n">
        <f aca="false">IF(B47&lt;&gt;"", COUNTA($B$2:B47), "")</f>
        <v>46</v>
      </c>
      <c r="B47" s="5" t="s">
        <v>27</v>
      </c>
      <c r="C47" s="5" t="s">
        <v>28</v>
      </c>
      <c r="D47" s="5" t="n">
        <v>9</v>
      </c>
      <c r="E47" s="5" t="n">
        <v>2010</v>
      </c>
      <c r="F47" s="5" t="s">
        <v>1289</v>
      </c>
      <c r="G47" s="5" t="n">
        <v>1</v>
      </c>
      <c r="H47" s="5" t="s">
        <v>1681</v>
      </c>
      <c r="I47" s="5" t="s">
        <v>1727</v>
      </c>
      <c r="J47" s="5" t="s">
        <v>32</v>
      </c>
      <c r="K47" s="5" t="n">
        <v>2012</v>
      </c>
      <c r="L47" s="5" t="n">
        <v>12</v>
      </c>
      <c r="M47" s="94" t="s">
        <v>37</v>
      </c>
      <c r="N47" s="5" t="s">
        <v>38</v>
      </c>
    </row>
    <row r="48" customFormat="false" ht="22.5" hidden="false" customHeight="false" outlineLevel="0" collapsed="false">
      <c r="A48" s="5" t="n">
        <f aca="false">IF(B48&lt;&gt;"", COUNTA($B$2:B48), "")</f>
        <v>47</v>
      </c>
      <c r="B48" s="5" t="s">
        <v>27</v>
      </c>
      <c r="C48" s="5" t="s">
        <v>1000</v>
      </c>
      <c r="D48" s="5" t="s">
        <v>1728</v>
      </c>
      <c r="E48" s="5" t="n">
        <v>2010</v>
      </c>
      <c r="F48" s="5" t="s">
        <v>1555</v>
      </c>
      <c r="G48" s="5" t="n">
        <v>1.5</v>
      </c>
      <c r="H48" s="5" t="s">
        <v>1678</v>
      </c>
      <c r="I48" s="5" t="s">
        <v>1727</v>
      </c>
      <c r="J48" s="5" t="s">
        <v>32</v>
      </c>
      <c r="K48" s="5" t="n">
        <v>2012</v>
      </c>
      <c r="L48" s="5" t="n">
        <v>12</v>
      </c>
      <c r="M48" s="94" t="s">
        <v>37</v>
      </c>
      <c r="N48" s="5" t="s">
        <v>38</v>
      </c>
    </row>
    <row r="49" customFormat="false" ht="22.5" hidden="false" customHeight="false" outlineLevel="0" collapsed="false">
      <c r="A49" s="5" t="n">
        <f aca="false">IF(B49&lt;&gt;"", COUNTA($B$2:B49), "")</f>
        <v>48</v>
      </c>
      <c r="B49" s="5" t="s">
        <v>27</v>
      </c>
      <c r="C49" s="5" t="s">
        <v>28</v>
      </c>
      <c r="D49" s="5" t="n">
        <v>50518</v>
      </c>
      <c r="E49" s="5" t="n">
        <v>2010</v>
      </c>
      <c r="F49" s="5" t="s">
        <v>1289</v>
      </c>
      <c r="G49" s="5" t="n">
        <v>1</v>
      </c>
      <c r="H49" s="5" t="s">
        <v>1671</v>
      </c>
      <c r="I49" s="5" t="s">
        <v>1727</v>
      </c>
      <c r="J49" s="5" t="s">
        <v>32</v>
      </c>
      <c r="K49" s="5" t="n">
        <v>2012</v>
      </c>
      <c r="L49" s="5" t="n">
        <v>12</v>
      </c>
      <c r="M49" s="94" t="s">
        <v>37</v>
      </c>
      <c r="N49" s="5" t="s">
        <v>38</v>
      </c>
    </row>
    <row r="50" customFormat="false" ht="22.5" hidden="false" customHeight="false" outlineLevel="0" collapsed="false">
      <c r="A50" s="5" t="n">
        <f aca="false">IF(B50&lt;&gt;"", COUNTA($B$2:B50), "")</f>
        <v>49</v>
      </c>
      <c r="B50" s="5" t="s">
        <v>27</v>
      </c>
      <c r="C50" s="5" t="s">
        <v>28</v>
      </c>
      <c r="D50" s="5" t="n">
        <v>36</v>
      </c>
      <c r="E50" s="5" t="n">
        <v>2010</v>
      </c>
      <c r="F50" s="5" t="s">
        <v>1289</v>
      </c>
      <c r="G50" s="5" t="n">
        <v>1</v>
      </c>
      <c r="H50" s="5" t="s">
        <v>1687</v>
      </c>
      <c r="I50" s="5" t="s">
        <v>1727</v>
      </c>
      <c r="J50" s="5" t="s">
        <v>32</v>
      </c>
      <c r="K50" s="5" t="n">
        <v>2012</v>
      </c>
      <c r="L50" s="5" t="n">
        <v>12</v>
      </c>
      <c r="M50" s="94" t="s">
        <v>37</v>
      </c>
      <c r="N50" s="5" t="s">
        <v>38</v>
      </c>
    </row>
    <row r="51" customFormat="false" ht="22.5" hidden="false" customHeight="false" outlineLevel="0" collapsed="false">
      <c r="A51" s="5" t="n">
        <f aca="false">IF(B51&lt;&gt;"", COUNTA($B$2:B51), "")</f>
        <v>50</v>
      </c>
      <c r="B51" s="5" t="s">
        <v>27</v>
      </c>
      <c r="C51" s="5" t="s">
        <v>1729</v>
      </c>
      <c r="D51" s="5" t="n">
        <v>32</v>
      </c>
      <c r="E51" s="5" t="n">
        <v>2010</v>
      </c>
      <c r="F51" s="5" t="s">
        <v>1730</v>
      </c>
      <c r="G51" s="5" t="n">
        <v>2</v>
      </c>
      <c r="H51" s="5" t="s">
        <v>1684</v>
      </c>
      <c r="I51" s="5" t="s">
        <v>1727</v>
      </c>
      <c r="J51" s="5" t="s">
        <v>32</v>
      </c>
      <c r="K51" s="5" t="n">
        <v>2012</v>
      </c>
      <c r="L51" s="5" t="n">
        <v>12</v>
      </c>
      <c r="M51" s="94" t="s">
        <v>37</v>
      </c>
      <c r="N51" s="5" t="s">
        <v>38</v>
      </c>
    </row>
    <row r="52" customFormat="false" ht="22.5" hidden="false" customHeight="false" outlineLevel="0" collapsed="false">
      <c r="A52" s="5" t="n">
        <f aca="false">IF(B52&lt;&gt;"", COUNTA($B$2:B52), "")</f>
        <v>51</v>
      </c>
      <c r="B52" s="5" t="s">
        <v>46</v>
      </c>
      <c r="C52" s="5" t="s">
        <v>47</v>
      </c>
      <c r="D52" s="5" t="n">
        <v>7440</v>
      </c>
      <c r="E52" s="5" t="n">
        <v>2010</v>
      </c>
      <c r="F52" s="5" t="s">
        <v>1243</v>
      </c>
      <c r="G52" s="5" t="n">
        <v>1.5</v>
      </c>
      <c r="H52" s="5" t="s">
        <v>1731</v>
      </c>
      <c r="I52" s="5" t="s">
        <v>1727</v>
      </c>
      <c r="J52" s="5" t="s">
        <v>32</v>
      </c>
      <c r="K52" s="5" t="n">
        <v>2012</v>
      </c>
      <c r="L52" s="5" t="n">
        <v>24</v>
      </c>
      <c r="M52" s="93" t="s">
        <v>1291</v>
      </c>
      <c r="N52" s="5" t="s">
        <v>38</v>
      </c>
    </row>
    <row r="53" customFormat="false" ht="22.5" hidden="false" customHeight="false" outlineLevel="0" collapsed="false">
      <c r="A53" s="5" t="n">
        <f aca="false">IF(B53&lt;&gt;"", COUNTA($B$2:B53), "")</f>
        <v>52</v>
      </c>
      <c r="B53" s="5" t="s">
        <v>46</v>
      </c>
      <c r="C53" s="5" t="s">
        <v>47</v>
      </c>
      <c r="D53" s="5" t="n">
        <v>3073</v>
      </c>
      <c r="E53" s="5" t="n">
        <v>2010</v>
      </c>
      <c r="F53" s="5" t="s">
        <v>1243</v>
      </c>
      <c r="G53" s="5" t="n">
        <v>1</v>
      </c>
      <c r="H53" s="5" t="s">
        <v>1732</v>
      </c>
      <c r="I53" s="5" t="s">
        <v>1727</v>
      </c>
      <c r="J53" s="5" t="s">
        <v>32</v>
      </c>
      <c r="K53" s="5" t="n">
        <v>2012</v>
      </c>
      <c r="L53" s="5" t="n">
        <v>24</v>
      </c>
      <c r="M53" s="93" t="s">
        <v>1291</v>
      </c>
      <c r="N53" s="5" t="s">
        <v>38</v>
      </c>
    </row>
    <row r="54" customFormat="false" ht="22.5" hidden="false" customHeight="false" outlineLevel="0" collapsed="false">
      <c r="A54" s="5" t="n">
        <f aca="false">IF(B54&lt;&gt;"", COUNTA($B$2:B54), "")</f>
        <v>53</v>
      </c>
      <c r="B54" s="5" t="s">
        <v>46</v>
      </c>
      <c r="C54" s="5" t="s">
        <v>1733</v>
      </c>
      <c r="D54" s="5" t="n">
        <v>1180</v>
      </c>
      <c r="E54" s="5" t="n">
        <v>2010</v>
      </c>
      <c r="F54" s="5" t="s">
        <v>1246</v>
      </c>
      <c r="G54" s="5" t="n">
        <v>1.5</v>
      </c>
      <c r="H54" s="5" t="s">
        <v>1734</v>
      </c>
      <c r="I54" s="5" t="s">
        <v>1727</v>
      </c>
      <c r="J54" s="5" t="s">
        <v>32</v>
      </c>
      <c r="K54" s="5" t="n">
        <v>2012</v>
      </c>
      <c r="L54" s="5" t="n">
        <v>24</v>
      </c>
      <c r="M54" s="93" t="s">
        <v>1291</v>
      </c>
      <c r="N54" s="5" t="s">
        <v>38</v>
      </c>
    </row>
    <row r="55" customFormat="false" ht="22.5" hidden="false" customHeight="false" outlineLevel="0" collapsed="false">
      <c r="A55" s="5" t="n">
        <f aca="false">IF(B55&lt;&gt;"", COUNTA($B$2:B55), "")</f>
        <v>54</v>
      </c>
      <c r="B55" s="5" t="s">
        <v>46</v>
      </c>
      <c r="C55" s="5" t="s">
        <v>47</v>
      </c>
      <c r="D55" s="5" t="n">
        <v>8962</v>
      </c>
      <c r="E55" s="5" t="n">
        <v>2010</v>
      </c>
      <c r="F55" s="5" t="s">
        <v>1292</v>
      </c>
      <c r="G55" s="5" t="n">
        <v>1.5</v>
      </c>
      <c r="H55" s="5" t="s">
        <v>1735</v>
      </c>
      <c r="I55" s="5" t="s">
        <v>1727</v>
      </c>
      <c r="J55" s="5" t="s">
        <v>32</v>
      </c>
      <c r="K55" s="5" t="n">
        <v>2012</v>
      </c>
      <c r="L55" s="5" t="n">
        <v>24</v>
      </c>
      <c r="M55" s="93" t="s">
        <v>1291</v>
      </c>
      <c r="N55" s="5" t="s">
        <v>38</v>
      </c>
    </row>
    <row r="56" customFormat="false" ht="22.5" hidden="false" customHeight="false" outlineLevel="0" collapsed="false">
      <c r="A56" s="5" t="n">
        <f aca="false">IF(B56&lt;&gt;"", COUNTA($B$2:B56), "")</f>
        <v>55</v>
      </c>
      <c r="B56" s="5" t="s">
        <v>46</v>
      </c>
      <c r="C56" s="5" t="s">
        <v>1733</v>
      </c>
      <c r="D56" s="5" t="n">
        <v>4361</v>
      </c>
      <c r="E56" s="5" t="n">
        <v>2010</v>
      </c>
      <c r="F56" s="5" t="s">
        <v>1246</v>
      </c>
      <c r="G56" s="5" t="n">
        <v>1.5</v>
      </c>
      <c r="H56" s="5" t="s">
        <v>1736</v>
      </c>
      <c r="I56" s="5" t="s">
        <v>1727</v>
      </c>
      <c r="J56" s="5" t="s">
        <v>32</v>
      </c>
      <c r="K56" s="5" t="n">
        <v>2012</v>
      </c>
      <c r="L56" s="5" t="n">
        <v>24</v>
      </c>
      <c r="M56" s="93" t="s">
        <v>1291</v>
      </c>
      <c r="N56" s="5" t="s">
        <v>38</v>
      </c>
    </row>
    <row r="57" customFormat="false" ht="22.5" hidden="false" customHeight="false" outlineLevel="0" collapsed="false">
      <c r="A57" s="5" t="n">
        <f aca="false">IF(B57&lt;&gt;"", COUNTA($B$2:B57), "")</f>
        <v>56</v>
      </c>
      <c r="B57" s="5" t="s">
        <v>46</v>
      </c>
      <c r="C57" s="5" t="s">
        <v>1733</v>
      </c>
      <c r="D57" s="5" t="n">
        <v>4378</v>
      </c>
      <c r="E57" s="5" t="n">
        <v>2010</v>
      </c>
      <c r="F57" s="5" t="s">
        <v>1246</v>
      </c>
      <c r="G57" s="5" t="n">
        <v>1.5</v>
      </c>
      <c r="H57" s="5" t="s">
        <v>1737</v>
      </c>
      <c r="I57" s="5" t="s">
        <v>1727</v>
      </c>
      <c r="J57" s="5" t="s">
        <v>32</v>
      </c>
      <c r="K57" s="5" t="n">
        <v>2012</v>
      </c>
      <c r="L57" s="5" t="n">
        <v>24</v>
      </c>
      <c r="M57" s="93" t="s">
        <v>1291</v>
      </c>
      <c r="N57" s="5" t="s">
        <v>38</v>
      </c>
    </row>
    <row r="58" customFormat="false" ht="22.5" hidden="false" customHeight="false" outlineLevel="0" collapsed="false">
      <c r="A58" s="5" t="n">
        <f aca="false">IF(B58&lt;&gt;"", COUNTA($B$2:B58), "")</f>
        <v>57</v>
      </c>
      <c r="B58" s="7" t="s">
        <v>1692</v>
      </c>
      <c r="C58" s="5" t="s">
        <v>1693</v>
      </c>
      <c r="D58" s="5" t="n">
        <v>79680</v>
      </c>
      <c r="E58" s="8" t="n">
        <v>2012</v>
      </c>
      <c r="F58" s="5" t="s">
        <v>1694</v>
      </c>
      <c r="G58" s="5" t="n">
        <v>1</v>
      </c>
      <c r="H58" s="6" t="s">
        <v>1695</v>
      </c>
      <c r="I58" s="6" t="s">
        <v>1727</v>
      </c>
      <c r="J58" s="5" t="s">
        <v>32</v>
      </c>
      <c r="K58" s="5" t="n">
        <v>2012</v>
      </c>
      <c r="L58" s="5" t="n">
        <v>60</v>
      </c>
      <c r="M58" s="5"/>
      <c r="N58" s="5"/>
    </row>
    <row r="59" customFormat="false" ht="22.5" hidden="false" customHeight="false" outlineLevel="0" collapsed="false">
      <c r="A59" s="5" t="n">
        <f aca="false">IF(B59&lt;&gt;"", COUNTA($B$2:B59), "")</f>
        <v>58</v>
      </c>
      <c r="B59" s="7" t="s">
        <v>1692</v>
      </c>
      <c r="C59" s="5" t="s">
        <v>1693</v>
      </c>
      <c r="D59" s="5" t="n">
        <v>79681</v>
      </c>
      <c r="E59" s="8" t="n">
        <v>2012</v>
      </c>
      <c r="F59" s="5" t="s">
        <v>1694</v>
      </c>
      <c r="G59" s="5" t="n">
        <v>1</v>
      </c>
      <c r="H59" s="6" t="s">
        <v>1724</v>
      </c>
      <c r="I59" s="6" t="s">
        <v>1727</v>
      </c>
      <c r="J59" s="5" t="s">
        <v>32</v>
      </c>
      <c r="K59" s="5" t="n">
        <v>2012</v>
      </c>
      <c r="L59" s="5" t="n">
        <v>60</v>
      </c>
      <c r="M59" s="5"/>
      <c r="N59" s="5"/>
    </row>
    <row r="60" customFormat="false" ht="22.5" hidden="false" customHeight="false" outlineLevel="0" collapsed="false">
      <c r="A60" s="5" t="n">
        <f aca="false">IF(B60&lt;&gt;"", COUNTA($B$2:B60), "")</f>
        <v>59</v>
      </c>
      <c r="B60" s="7" t="s">
        <v>64</v>
      </c>
      <c r="C60" s="5" t="s">
        <v>1696</v>
      </c>
      <c r="D60" s="5" t="n">
        <v>1336098</v>
      </c>
      <c r="E60" s="8"/>
      <c r="F60" s="5" t="s">
        <v>1697</v>
      </c>
      <c r="G60" s="5"/>
      <c r="H60" s="6" t="s">
        <v>1698</v>
      </c>
      <c r="I60" s="6" t="s">
        <v>1727</v>
      </c>
      <c r="J60" s="5" t="s">
        <v>32</v>
      </c>
      <c r="K60" s="5"/>
      <c r="L60" s="5"/>
      <c r="M60" s="5"/>
      <c r="N60" s="5"/>
    </row>
    <row r="61" customFormat="false" ht="22.5" hidden="false" customHeight="false" outlineLevel="0" collapsed="false">
      <c r="A61" s="5" t="n">
        <f aca="false">IF(B61&lt;&gt;"", COUNTA($B$2:B61), "")</f>
        <v>60</v>
      </c>
      <c r="B61" s="7" t="s">
        <v>64</v>
      </c>
      <c r="C61" s="5" t="s">
        <v>1696</v>
      </c>
      <c r="D61" s="5" t="n">
        <v>1336325</v>
      </c>
      <c r="E61" s="8"/>
      <c r="F61" s="5" t="s">
        <v>1697</v>
      </c>
      <c r="G61" s="5"/>
      <c r="H61" s="6" t="s">
        <v>1699</v>
      </c>
      <c r="I61" s="6" t="s">
        <v>1727</v>
      </c>
      <c r="J61" s="5" t="s">
        <v>32</v>
      </c>
      <c r="K61" s="5"/>
      <c r="L61" s="5"/>
      <c r="M61" s="5"/>
      <c r="N61" s="5"/>
    </row>
    <row r="62" customFormat="false" ht="22.5" hidden="false" customHeight="false" outlineLevel="0" collapsed="false">
      <c r="A62" s="5" t="n">
        <f aca="false">IF(B62&lt;&gt;"", COUNTA($B$2:B62), "")</f>
        <v>61</v>
      </c>
      <c r="B62" s="7" t="s">
        <v>1534</v>
      </c>
      <c r="C62" s="5" t="s">
        <v>1725</v>
      </c>
      <c r="D62" s="5" t="n">
        <v>1240159</v>
      </c>
      <c r="E62" s="30"/>
      <c r="F62" s="30"/>
      <c r="G62" s="30"/>
      <c r="H62" s="6" t="s">
        <v>1726</v>
      </c>
      <c r="I62" s="6" t="s">
        <v>1727</v>
      </c>
      <c r="J62" s="5" t="s">
        <v>32</v>
      </c>
      <c r="K62" s="5"/>
      <c r="L62" s="30"/>
      <c r="M62" s="30"/>
      <c r="N62" s="30"/>
    </row>
    <row r="63" customFormat="false" ht="22.5" hidden="false" customHeight="false" outlineLevel="0" collapsed="false">
      <c r="A63" s="5" t="n">
        <f aca="false">IF(B63&lt;&gt;"", COUNTA($B$2:B63), "")</f>
        <v>62</v>
      </c>
      <c r="B63" s="7" t="s">
        <v>1539</v>
      </c>
      <c r="C63" s="5" t="s">
        <v>1540</v>
      </c>
      <c r="D63" s="5" t="n">
        <v>1201092</v>
      </c>
      <c r="E63" s="30"/>
      <c r="F63" s="30"/>
      <c r="G63" s="30"/>
      <c r="H63" s="6" t="s">
        <v>1701</v>
      </c>
      <c r="I63" s="6" t="s">
        <v>1727</v>
      </c>
      <c r="J63" s="5" t="s">
        <v>32</v>
      </c>
      <c r="K63" s="5"/>
      <c r="L63" s="30"/>
      <c r="M63" s="30"/>
      <c r="N63" s="30"/>
    </row>
    <row r="64" customFormat="false" ht="15" hidden="false" customHeight="false" outlineLevel="0" collapsed="false">
      <c r="A64" s="5" t="n">
        <f aca="false">IF(B64&lt;&gt;"", COUNTA($B$2:B64), "")</f>
        <v>63</v>
      </c>
      <c r="B64" s="5" t="s">
        <v>27</v>
      </c>
      <c r="C64" s="5" t="s">
        <v>1370</v>
      </c>
      <c r="D64" s="5" t="s">
        <v>1738</v>
      </c>
      <c r="E64" s="5" t="n">
        <v>2010</v>
      </c>
      <c r="F64" s="5" t="s">
        <v>1574</v>
      </c>
      <c r="G64" s="5" t="n">
        <v>1.5</v>
      </c>
      <c r="H64" s="5" t="s">
        <v>1739</v>
      </c>
      <c r="I64" s="5" t="s">
        <v>1740</v>
      </c>
      <c r="J64" s="5" t="s">
        <v>32</v>
      </c>
      <c r="K64" s="5" t="n">
        <v>2012</v>
      </c>
      <c r="L64" s="5" t="n">
        <v>12</v>
      </c>
      <c r="M64" s="94" t="s">
        <v>37</v>
      </c>
      <c r="N64" s="5" t="s">
        <v>38</v>
      </c>
    </row>
    <row r="65" customFormat="false" ht="22.5" hidden="false" customHeight="false" outlineLevel="0" collapsed="false">
      <c r="A65" s="5" t="n">
        <f aca="false">IF(B65&lt;&gt;"", COUNTA($B$2:B65), "")</f>
        <v>64</v>
      </c>
      <c r="B65" s="5" t="s">
        <v>27</v>
      </c>
      <c r="C65" s="5" t="s">
        <v>500</v>
      </c>
      <c r="D65" s="5" t="n">
        <v>15629</v>
      </c>
      <c r="E65" s="5" t="n">
        <v>2010</v>
      </c>
      <c r="F65" s="5" t="s">
        <v>1289</v>
      </c>
      <c r="G65" s="5" t="n">
        <v>1</v>
      </c>
      <c r="H65" s="5" t="s">
        <v>1741</v>
      </c>
      <c r="I65" s="5" t="s">
        <v>1740</v>
      </c>
      <c r="J65" s="5" t="s">
        <v>32</v>
      </c>
      <c r="K65" s="5" t="n">
        <v>2012</v>
      </c>
      <c r="L65" s="5" t="n">
        <v>12</v>
      </c>
      <c r="M65" s="94" t="s">
        <v>37</v>
      </c>
      <c r="N65" s="5" t="s">
        <v>38</v>
      </c>
    </row>
    <row r="66" customFormat="false" ht="22.5" hidden="false" customHeight="false" outlineLevel="0" collapsed="false">
      <c r="A66" s="5" t="n">
        <f aca="false">IF(B66&lt;&gt;"", COUNTA($B$2:B66), "")</f>
        <v>65</v>
      </c>
      <c r="B66" s="5" t="s">
        <v>27</v>
      </c>
      <c r="C66" s="5" t="s">
        <v>28</v>
      </c>
      <c r="D66" s="5" t="n">
        <v>7000206</v>
      </c>
      <c r="E66" s="5" t="n">
        <v>2010</v>
      </c>
      <c r="F66" s="5" t="s">
        <v>1162</v>
      </c>
      <c r="G66" s="5" t="n">
        <v>1.5</v>
      </c>
      <c r="H66" s="5" t="s">
        <v>1742</v>
      </c>
      <c r="I66" s="5" t="s">
        <v>1740</v>
      </c>
      <c r="J66" s="5" t="s">
        <v>32</v>
      </c>
      <c r="K66" s="5" t="n">
        <v>2012</v>
      </c>
      <c r="L66" s="5" t="n">
        <v>12</v>
      </c>
      <c r="M66" s="94" t="s">
        <v>37</v>
      </c>
      <c r="N66" s="5" t="s">
        <v>38</v>
      </c>
    </row>
    <row r="67" customFormat="false" ht="22.5" hidden="false" customHeight="false" outlineLevel="0" collapsed="false">
      <c r="A67" s="5" t="n">
        <f aca="false">IF(B67&lt;&gt;"", COUNTA($B$2:B67), "")</f>
        <v>66</v>
      </c>
      <c r="B67" s="5" t="s">
        <v>27</v>
      </c>
      <c r="C67" s="5" t="s">
        <v>1115</v>
      </c>
      <c r="D67" s="5" t="s">
        <v>1743</v>
      </c>
      <c r="E67" s="5" t="n">
        <v>2010</v>
      </c>
      <c r="F67" s="5" t="s">
        <v>1162</v>
      </c>
      <c r="G67" s="5" t="n">
        <v>1</v>
      </c>
      <c r="H67" s="5" t="s">
        <v>1744</v>
      </c>
      <c r="I67" s="5" t="s">
        <v>1740</v>
      </c>
      <c r="J67" s="5" t="s">
        <v>32</v>
      </c>
      <c r="K67" s="5" t="n">
        <v>2012</v>
      </c>
      <c r="L67" s="5" t="n">
        <v>12</v>
      </c>
      <c r="M67" s="94" t="s">
        <v>37</v>
      </c>
      <c r="N67" s="5" t="s">
        <v>38</v>
      </c>
    </row>
    <row r="68" customFormat="false" ht="15" hidden="false" customHeight="false" outlineLevel="0" collapsed="false">
      <c r="A68" s="5" t="n">
        <f aca="false">IF(B68&lt;&gt;"", COUNTA($B$2:B68), "")</f>
        <v>67</v>
      </c>
      <c r="B68" s="5" t="s">
        <v>27</v>
      </c>
      <c r="C68" s="5" t="s">
        <v>28</v>
      </c>
      <c r="D68" s="5" t="n">
        <v>40189</v>
      </c>
      <c r="E68" s="5" t="n">
        <v>2010</v>
      </c>
      <c r="F68" s="5" t="s">
        <v>1162</v>
      </c>
      <c r="G68" s="5" t="n">
        <v>1.5</v>
      </c>
      <c r="H68" s="5" t="s">
        <v>1687</v>
      </c>
      <c r="I68" s="5" t="s">
        <v>1740</v>
      </c>
      <c r="J68" s="5" t="s">
        <v>32</v>
      </c>
      <c r="K68" s="5" t="n">
        <v>2012</v>
      </c>
      <c r="L68" s="5" t="n">
        <v>12</v>
      </c>
      <c r="M68" s="94" t="s">
        <v>37</v>
      </c>
      <c r="N68" s="5" t="s">
        <v>38</v>
      </c>
    </row>
    <row r="69" customFormat="false" ht="15" hidden="false" customHeight="false" outlineLevel="0" collapsed="false">
      <c r="A69" s="5" t="n">
        <f aca="false">IF(B69&lt;&gt;"", COUNTA($B$2:B69), "")</f>
        <v>68</v>
      </c>
      <c r="B69" s="5" t="s">
        <v>27</v>
      </c>
      <c r="C69" s="5" t="s">
        <v>1115</v>
      </c>
      <c r="D69" s="5" t="n">
        <v>10021</v>
      </c>
      <c r="E69" s="5" t="n">
        <v>2010</v>
      </c>
      <c r="F69" s="5" t="s">
        <v>1162</v>
      </c>
      <c r="G69" s="5" t="n">
        <v>1</v>
      </c>
      <c r="H69" s="5" t="s">
        <v>1684</v>
      </c>
      <c r="I69" s="5" t="s">
        <v>1740</v>
      </c>
      <c r="J69" s="5" t="s">
        <v>32</v>
      </c>
      <c r="K69" s="5" t="n">
        <v>2012</v>
      </c>
      <c r="L69" s="5" t="n">
        <v>12</v>
      </c>
      <c r="M69" s="94" t="s">
        <v>37</v>
      </c>
      <c r="N69" s="5" t="s">
        <v>38</v>
      </c>
    </row>
    <row r="70" customFormat="false" ht="15" hidden="false" customHeight="false" outlineLevel="0" collapsed="false">
      <c r="A70" s="5" t="n">
        <f aca="false">IF(B70&lt;&gt;"", COUNTA($B$2:B70), "")</f>
        <v>69</v>
      </c>
      <c r="B70" s="5" t="s">
        <v>27</v>
      </c>
      <c r="C70" s="5" t="s">
        <v>1324</v>
      </c>
      <c r="D70" s="5" t="s">
        <v>1745</v>
      </c>
      <c r="E70" s="5" t="n">
        <v>2010</v>
      </c>
      <c r="F70" s="5" t="s">
        <v>1547</v>
      </c>
      <c r="G70" s="5" t="n">
        <v>1.5</v>
      </c>
      <c r="H70" s="5" t="s">
        <v>1680</v>
      </c>
      <c r="I70" s="5" t="s">
        <v>1740</v>
      </c>
      <c r="J70" s="5" t="s">
        <v>32</v>
      </c>
      <c r="K70" s="5" t="n">
        <v>2012</v>
      </c>
      <c r="L70" s="5" t="n">
        <v>12</v>
      </c>
      <c r="M70" s="94" t="s">
        <v>37</v>
      </c>
      <c r="N70" s="5" t="s">
        <v>38</v>
      </c>
    </row>
    <row r="71" customFormat="false" ht="15" hidden="false" customHeight="false" outlineLevel="0" collapsed="false">
      <c r="A71" s="5" t="n">
        <f aca="false">IF(B71&lt;&gt;"", COUNTA($B$2:B71), "")</f>
        <v>70</v>
      </c>
      <c r="B71" s="5" t="s">
        <v>27</v>
      </c>
      <c r="C71" s="5" t="s">
        <v>1370</v>
      </c>
      <c r="D71" s="5" t="s">
        <v>1746</v>
      </c>
      <c r="E71" s="5" t="n">
        <v>2010</v>
      </c>
      <c r="F71" s="5" t="s">
        <v>1747</v>
      </c>
      <c r="G71" s="5" t="n">
        <v>1.5</v>
      </c>
      <c r="H71" s="5" t="s">
        <v>1748</v>
      </c>
      <c r="I71" s="5" t="s">
        <v>1740</v>
      </c>
      <c r="J71" s="5" t="s">
        <v>32</v>
      </c>
      <c r="K71" s="5" t="n">
        <v>2012</v>
      </c>
      <c r="L71" s="5" t="n">
        <v>12</v>
      </c>
      <c r="M71" s="94" t="s">
        <v>37</v>
      </c>
      <c r="N71" s="5" t="s">
        <v>38</v>
      </c>
    </row>
    <row r="72" customFormat="false" ht="15" hidden="false" customHeight="false" outlineLevel="0" collapsed="false">
      <c r="A72" s="5" t="n">
        <f aca="false">IF(B72&lt;&gt;"", COUNTA($B$2:B72), "")</f>
        <v>71</v>
      </c>
      <c r="B72" s="5" t="s">
        <v>27</v>
      </c>
      <c r="C72" s="5" t="s">
        <v>1115</v>
      </c>
      <c r="D72" s="5" t="s">
        <v>1749</v>
      </c>
      <c r="E72" s="5" t="n">
        <v>2010</v>
      </c>
      <c r="F72" s="5" t="s">
        <v>1747</v>
      </c>
      <c r="G72" s="5" t="n">
        <v>1</v>
      </c>
      <c r="H72" s="5" t="s">
        <v>1750</v>
      </c>
      <c r="I72" s="5" t="s">
        <v>1740</v>
      </c>
      <c r="J72" s="5" t="s">
        <v>32</v>
      </c>
      <c r="K72" s="5" t="n">
        <v>2012</v>
      </c>
      <c r="L72" s="5" t="n">
        <v>12</v>
      </c>
      <c r="M72" s="94" t="s">
        <v>37</v>
      </c>
      <c r="N72" s="5" t="s">
        <v>38</v>
      </c>
    </row>
    <row r="73" customFormat="false" ht="15" hidden="false" customHeight="false" outlineLevel="0" collapsed="false">
      <c r="A73" s="5" t="n">
        <f aca="false">IF(B73&lt;&gt;"", COUNTA($B$2:B73), "")</f>
        <v>72</v>
      </c>
      <c r="B73" s="5" t="s">
        <v>27</v>
      </c>
      <c r="C73" s="5" t="s">
        <v>1115</v>
      </c>
      <c r="D73" s="5" t="n">
        <v>2285</v>
      </c>
      <c r="E73" s="5" t="n">
        <v>2010</v>
      </c>
      <c r="F73" s="5" t="s">
        <v>1162</v>
      </c>
      <c r="G73" s="5" t="n">
        <v>1</v>
      </c>
      <c r="H73" s="5" t="s">
        <v>1751</v>
      </c>
      <c r="I73" s="5" t="s">
        <v>1740</v>
      </c>
      <c r="J73" s="5" t="s">
        <v>32</v>
      </c>
      <c r="K73" s="5" t="n">
        <v>2012</v>
      </c>
      <c r="L73" s="5" t="n">
        <v>12</v>
      </c>
      <c r="M73" s="94" t="s">
        <v>37</v>
      </c>
      <c r="N73" s="5" t="s">
        <v>38</v>
      </c>
    </row>
    <row r="74" customFormat="false" ht="15" hidden="false" customHeight="false" outlineLevel="0" collapsed="false">
      <c r="A74" s="5" t="n">
        <f aca="false">IF(B74&lt;&gt;"", COUNTA($B$2:B74), "")</f>
        <v>73</v>
      </c>
      <c r="B74" s="5" t="s">
        <v>27</v>
      </c>
      <c r="C74" s="5" t="s">
        <v>500</v>
      </c>
      <c r="D74" s="5" t="n">
        <v>30096</v>
      </c>
      <c r="E74" s="5" t="n">
        <v>2004</v>
      </c>
      <c r="F74" s="5" t="s">
        <v>1555</v>
      </c>
      <c r="G74" s="5" t="n">
        <v>1.5</v>
      </c>
      <c r="H74" s="5" t="s">
        <v>1752</v>
      </c>
      <c r="I74" s="5" t="s">
        <v>1740</v>
      </c>
      <c r="J74" s="5" t="s">
        <v>32</v>
      </c>
      <c r="K74" s="5" t="n">
        <v>2012</v>
      </c>
      <c r="L74" s="5" t="n">
        <v>12</v>
      </c>
      <c r="M74" s="94" t="s">
        <v>37</v>
      </c>
      <c r="N74" s="5" t="s">
        <v>38</v>
      </c>
    </row>
    <row r="75" customFormat="false" ht="15" hidden="false" customHeight="false" outlineLevel="0" collapsed="false">
      <c r="A75" s="5" t="n">
        <f aca="false">IF(B75&lt;&gt;"", COUNTA($B$2:B75), "")</f>
        <v>74</v>
      </c>
      <c r="B75" s="5" t="s">
        <v>27</v>
      </c>
      <c r="C75" s="5" t="s">
        <v>1370</v>
      </c>
      <c r="D75" s="5" t="n">
        <v>15184</v>
      </c>
      <c r="E75" s="5" t="n">
        <v>2004</v>
      </c>
      <c r="F75" s="5" t="s">
        <v>1574</v>
      </c>
      <c r="G75" s="5" t="n">
        <v>1.5</v>
      </c>
      <c r="H75" s="5" t="s">
        <v>1753</v>
      </c>
      <c r="I75" s="5" t="s">
        <v>1740</v>
      </c>
      <c r="J75" s="5" t="s">
        <v>32</v>
      </c>
      <c r="K75" s="5" t="n">
        <v>2012</v>
      </c>
      <c r="L75" s="5" t="n">
        <v>12</v>
      </c>
      <c r="M75" s="94" t="s">
        <v>37</v>
      </c>
      <c r="N75" s="5" t="s">
        <v>38</v>
      </c>
    </row>
    <row r="76" customFormat="false" ht="15" hidden="false" customHeight="false" outlineLevel="0" collapsed="false">
      <c r="A76" s="5" t="n">
        <f aca="false">IF(B76&lt;&gt;"", COUNTA($B$2:B76), "")</f>
        <v>75</v>
      </c>
      <c r="B76" s="5" t="s">
        <v>27</v>
      </c>
      <c r="C76" s="5" t="s">
        <v>1000</v>
      </c>
      <c r="D76" s="5" t="n">
        <v>1321991</v>
      </c>
      <c r="E76" s="5" t="n">
        <v>2010</v>
      </c>
      <c r="F76" s="5" t="s">
        <v>1747</v>
      </c>
      <c r="G76" s="5" t="n">
        <v>1.5</v>
      </c>
      <c r="H76" s="5" t="s">
        <v>1754</v>
      </c>
      <c r="I76" s="5" t="s">
        <v>1740</v>
      </c>
      <c r="J76" s="5" t="s">
        <v>32</v>
      </c>
      <c r="K76" s="5" t="n">
        <v>2012</v>
      </c>
      <c r="L76" s="5" t="n">
        <v>12</v>
      </c>
      <c r="M76" s="94" t="s">
        <v>37</v>
      </c>
      <c r="N76" s="5" t="s">
        <v>38</v>
      </c>
    </row>
    <row r="77" customFormat="false" ht="22.5" hidden="false" customHeight="false" outlineLevel="0" collapsed="false">
      <c r="A77" s="5" t="n">
        <f aca="false">IF(B77&lt;&gt;"", COUNTA($B$2:B77), "")</f>
        <v>76</v>
      </c>
      <c r="B77" s="5" t="s">
        <v>46</v>
      </c>
      <c r="C77" s="5" t="s">
        <v>1755</v>
      </c>
      <c r="D77" s="5" t="s">
        <v>1756</v>
      </c>
      <c r="E77" s="5" t="n">
        <v>2010</v>
      </c>
      <c r="F77" s="5" t="s">
        <v>1243</v>
      </c>
      <c r="G77" s="5" t="n">
        <v>1.5</v>
      </c>
      <c r="H77" s="5" t="s">
        <v>1757</v>
      </c>
      <c r="I77" s="5" t="s">
        <v>1740</v>
      </c>
      <c r="J77" s="5" t="s">
        <v>32</v>
      </c>
      <c r="K77" s="5" t="n">
        <v>2012</v>
      </c>
      <c r="L77" s="5" t="n">
        <v>24</v>
      </c>
      <c r="M77" s="93" t="s">
        <v>1291</v>
      </c>
      <c r="N77" s="5" t="s">
        <v>38</v>
      </c>
    </row>
    <row r="78" customFormat="false" ht="22.5" hidden="false" customHeight="false" outlineLevel="0" collapsed="false">
      <c r="A78" s="5" t="n">
        <f aca="false">IF(B78&lt;&gt;"", COUNTA($B$2:B78), "")</f>
        <v>77</v>
      </c>
      <c r="B78" s="5" t="s">
        <v>46</v>
      </c>
      <c r="C78" s="5" t="s">
        <v>1755</v>
      </c>
      <c r="D78" s="5" t="s">
        <v>1758</v>
      </c>
      <c r="E78" s="5" t="n">
        <v>2010</v>
      </c>
      <c r="F78" s="5" t="s">
        <v>1243</v>
      </c>
      <c r="G78" s="5" t="n">
        <v>1.5</v>
      </c>
      <c r="H78" s="5" t="s">
        <v>1759</v>
      </c>
      <c r="I78" s="5" t="s">
        <v>1740</v>
      </c>
      <c r="J78" s="5" t="s">
        <v>32</v>
      </c>
      <c r="K78" s="5" t="n">
        <v>2012</v>
      </c>
      <c r="L78" s="5" t="n">
        <v>24</v>
      </c>
      <c r="M78" s="93" t="s">
        <v>1291</v>
      </c>
      <c r="N78" s="5" t="s">
        <v>38</v>
      </c>
    </row>
    <row r="79" customFormat="false" ht="22.5" hidden="false" customHeight="false" outlineLevel="0" collapsed="false">
      <c r="A79" s="5" t="n">
        <f aca="false">IF(B79&lt;&gt;"", COUNTA($B$2:B79), "")</f>
        <v>78</v>
      </c>
      <c r="B79" s="5" t="s">
        <v>46</v>
      </c>
      <c r="C79" s="5" t="s">
        <v>1755</v>
      </c>
      <c r="D79" s="5" t="s">
        <v>1760</v>
      </c>
      <c r="E79" s="5" t="n">
        <v>2010</v>
      </c>
      <c r="F79" s="5" t="s">
        <v>1243</v>
      </c>
      <c r="G79" s="5" t="n">
        <v>1.5</v>
      </c>
      <c r="H79" s="5" t="s">
        <v>1761</v>
      </c>
      <c r="I79" s="5" t="s">
        <v>1740</v>
      </c>
      <c r="J79" s="5" t="s">
        <v>32</v>
      </c>
      <c r="K79" s="5" t="n">
        <v>2012</v>
      </c>
      <c r="L79" s="5" t="n">
        <v>24</v>
      </c>
      <c r="M79" s="93" t="s">
        <v>1291</v>
      </c>
      <c r="N79" s="5" t="s">
        <v>38</v>
      </c>
    </row>
    <row r="80" customFormat="false" ht="22.5" hidden="false" customHeight="false" outlineLevel="0" collapsed="false">
      <c r="A80" s="5" t="n">
        <f aca="false">IF(B80&lt;&gt;"", COUNTA($B$2:B80), "")</f>
        <v>79</v>
      </c>
      <c r="B80" s="5" t="s">
        <v>46</v>
      </c>
      <c r="C80" s="5" t="s">
        <v>1755</v>
      </c>
      <c r="D80" s="5" t="s">
        <v>1762</v>
      </c>
      <c r="E80" s="5" t="n">
        <v>2010</v>
      </c>
      <c r="F80" s="5" t="s">
        <v>1243</v>
      </c>
      <c r="G80" s="5" t="n">
        <v>1.5</v>
      </c>
      <c r="H80" s="5" t="s">
        <v>1763</v>
      </c>
      <c r="I80" s="5" t="s">
        <v>1740</v>
      </c>
      <c r="J80" s="5" t="s">
        <v>32</v>
      </c>
      <c r="K80" s="5" t="n">
        <v>2012</v>
      </c>
      <c r="L80" s="5" t="n">
        <v>24</v>
      </c>
      <c r="M80" s="93" t="s">
        <v>1291</v>
      </c>
      <c r="N80" s="5" t="s">
        <v>38</v>
      </c>
    </row>
    <row r="81" customFormat="false" ht="22.5" hidden="false" customHeight="false" outlineLevel="0" collapsed="false">
      <c r="A81" s="5" t="n">
        <f aca="false">IF(B81&lt;&gt;"", COUNTA($B$2:B81), "")</f>
        <v>80</v>
      </c>
      <c r="B81" s="5" t="s">
        <v>46</v>
      </c>
      <c r="C81" s="5"/>
      <c r="D81" s="5" t="s">
        <v>1764</v>
      </c>
      <c r="E81" s="5"/>
      <c r="F81" s="5"/>
      <c r="G81" s="5"/>
      <c r="H81" s="5" t="s">
        <v>1765</v>
      </c>
      <c r="I81" s="5" t="s">
        <v>1740</v>
      </c>
      <c r="J81" s="5" t="s">
        <v>32</v>
      </c>
      <c r="K81" s="5"/>
      <c r="L81" s="5"/>
      <c r="M81" s="93"/>
      <c r="N81" s="5"/>
    </row>
    <row r="82" customFormat="false" ht="22.5" hidden="false" customHeight="false" outlineLevel="0" collapsed="false">
      <c r="A82" s="5" t="n">
        <f aca="false">IF(B82&lt;&gt;"", COUNTA($B$2:B82), "")</f>
        <v>81</v>
      </c>
      <c r="B82" s="5" t="s">
        <v>46</v>
      </c>
      <c r="C82" s="5"/>
      <c r="D82" s="5" t="s">
        <v>1764</v>
      </c>
      <c r="E82" s="5"/>
      <c r="F82" s="5"/>
      <c r="G82" s="5"/>
      <c r="H82" s="5" t="s">
        <v>1766</v>
      </c>
      <c r="I82" s="5" t="s">
        <v>1740</v>
      </c>
      <c r="J82" s="5" t="s">
        <v>32</v>
      </c>
      <c r="K82" s="5"/>
      <c r="L82" s="5"/>
      <c r="M82" s="93"/>
      <c r="N82" s="5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5" t="s">
        <v>46</v>
      </c>
      <c r="C83" s="5" t="s">
        <v>1242</v>
      </c>
      <c r="D83" s="5" t="n">
        <v>5090</v>
      </c>
      <c r="E83" s="5" t="n">
        <v>2010</v>
      </c>
      <c r="F83" s="5" t="s">
        <v>1243</v>
      </c>
      <c r="G83" s="5" t="n">
        <v>1</v>
      </c>
      <c r="H83" s="5" t="s">
        <v>1767</v>
      </c>
      <c r="I83" s="5" t="s">
        <v>1740</v>
      </c>
      <c r="J83" s="5" t="s">
        <v>32</v>
      </c>
      <c r="K83" s="5" t="n">
        <v>2012</v>
      </c>
      <c r="L83" s="5" t="n">
        <v>24</v>
      </c>
      <c r="M83" s="93" t="s">
        <v>1291</v>
      </c>
      <c r="N83" s="5" t="s">
        <v>38</v>
      </c>
    </row>
    <row r="84" customFormat="false" ht="22.5" hidden="false" customHeight="false" outlineLevel="0" collapsed="false">
      <c r="A84" s="5" t="n">
        <f aca="false">IF(B84&lt;&gt;"", COUNTA($B$2:B84), "")</f>
        <v>83</v>
      </c>
      <c r="B84" s="7" t="s">
        <v>1692</v>
      </c>
      <c r="C84" s="5" t="s">
        <v>1693</v>
      </c>
      <c r="D84" s="5" t="n">
        <v>73513</v>
      </c>
      <c r="E84" s="8" t="n">
        <v>2012</v>
      </c>
      <c r="F84" s="5" t="s">
        <v>1694</v>
      </c>
      <c r="G84" s="5" t="n">
        <v>1</v>
      </c>
      <c r="H84" s="6" t="s">
        <v>1695</v>
      </c>
      <c r="I84" s="5" t="s">
        <v>1740</v>
      </c>
      <c r="J84" s="5" t="s">
        <v>32</v>
      </c>
      <c r="K84" s="5" t="n">
        <v>2012</v>
      </c>
      <c r="L84" s="5" t="n">
        <v>60</v>
      </c>
      <c r="M84" s="5"/>
      <c r="N84" s="5"/>
    </row>
    <row r="85" customFormat="false" ht="22.5" hidden="false" customHeight="false" outlineLevel="0" collapsed="false">
      <c r="A85" s="5" t="n">
        <f aca="false">IF(B85&lt;&gt;"", COUNTA($B$2:B85), "")</f>
        <v>84</v>
      </c>
      <c r="B85" s="7" t="s">
        <v>1692</v>
      </c>
      <c r="C85" s="5" t="s">
        <v>1693</v>
      </c>
      <c r="D85" s="5" t="n">
        <v>73512</v>
      </c>
      <c r="E85" s="8" t="n">
        <v>2012</v>
      </c>
      <c r="F85" s="5" t="s">
        <v>1694</v>
      </c>
      <c r="G85" s="5" t="n">
        <v>1</v>
      </c>
      <c r="H85" s="6" t="s">
        <v>1724</v>
      </c>
      <c r="I85" s="5" t="s">
        <v>1740</v>
      </c>
      <c r="J85" s="5" t="s">
        <v>32</v>
      </c>
      <c r="K85" s="5" t="n">
        <v>2012</v>
      </c>
      <c r="L85" s="5" t="n">
        <v>60</v>
      </c>
      <c r="M85" s="5"/>
      <c r="N85" s="5"/>
    </row>
    <row r="86" customFormat="false" ht="15" hidden="false" customHeight="false" outlineLevel="0" collapsed="false">
      <c r="A86" s="5" t="n">
        <f aca="false">IF(B86&lt;&gt;"", COUNTA($B$2:B86), "")</f>
        <v>85</v>
      </c>
      <c r="B86" s="7" t="s">
        <v>64</v>
      </c>
      <c r="C86" s="5" t="s">
        <v>1696</v>
      </c>
      <c r="D86" s="5" t="n">
        <v>1217497</v>
      </c>
      <c r="E86" s="8"/>
      <c r="F86" s="5" t="s">
        <v>1697</v>
      </c>
      <c r="G86" s="5"/>
      <c r="H86" s="6" t="s">
        <v>1698</v>
      </c>
      <c r="I86" s="5" t="s">
        <v>1740</v>
      </c>
      <c r="J86" s="5" t="s">
        <v>32</v>
      </c>
      <c r="K86" s="5"/>
      <c r="L86" s="5"/>
      <c r="M86" s="5"/>
      <c r="N86" s="5"/>
    </row>
    <row r="87" customFormat="false" ht="15" hidden="false" customHeight="false" outlineLevel="0" collapsed="false">
      <c r="A87" s="5" t="n">
        <f aca="false">IF(B87&lt;&gt;"", COUNTA($B$2:B87), "")</f>
        <v>86</v>
      </c>
      <c r="B87" s="7" t="s">
        <v>64</v>
      </c>
      <c r="C87" s="5" t="s">
        <v>1696</v>
      </c>
      <c r="D87" s="5" t="n">
        <v>1217614</v>
      </c>
      <c r="E87" s="8"/>
      <c r="F87" s="5" t="s">
        <v>1697</v>
      </c>
      <c r="G87" s="5"/>
      <c r="H87" s="6" t="s">
        <v>1699</v>
      </c>
      <c r="I87" s="5" t="s">
        <v>1740</v>
      </c>
      <c r="J87" s="5" t="s">
        <v>32</v>
      </c>
      <c r="K87" s="5"/>
      <c r="L87" s="5"/>
      <c r="M87" s="5"/>
      <c r="N87" s="5"/>
    </row>
    <row r="88" customFormat="false" ht="22.5" hidden="false" customHeight="false" outlineLevel="0" collapsed="false">
      <c r="A88" s="5" t="n">
        <f aca="false">IF(B88&lt;&gt;"", COUNTA($B$2:B88), "")</f>
        <v>87</v>
      </c>
      <c r="B88" s="7" t="s">
        <v>1534</v>
      </c>
      <c r="C88" s="5" t="s">
        <v>1725</v>
      </c>
      <c r="D88" s="5" t="n">
        <v>1234722</v>
      </c>
      <c r="E88" s="30"/>
      <c r="F88" s="30"/>
      <c r="G88" s="30"/>
      <c r="H88" s="6" t="s">
        <v>1726</v>
      </c>
      <c r="I88" s="5" t="s">
        <v>1740</v>
      </c>
      <c r="J88" s="5" t="s">
        <v>32</v>
      </c>
      <c r="K88" s="5"/>
      <c r="L88" s="30"/>
      <c r="M88" s="30"/>
      <c r="N88" s="30"/>
    </row>
    <row r="89" customFormat="false" ht="15" hidden="false" customHeight="false" outlineLevel="0" collapsed="false">
      <c r="A89" s="5" t="n">
        <f aca="false">IF(B89&lt;&gt;"", COUNTA($B$2:B89), "")</f>
        <v>88</v>
      </c>
      <c r="B89" s="7" t="s">
        <v>1539</v>
      </c>
      <c r="C89" s="5" t="s">
        <v>1540</v>
      </c>
      <c r="D89" s="5" t="n">
        <v>1200796</v>
      </c>
      <c r="E89" s="30"/>
      <c r="F89" s="30"/>
      <c r="G89" s="30"/>
      <c r="H89" s="6" t="s">
        <v>1701</v>
      </c>
      <c r="I89" s="5" t="s">
        <v>1740</v>
      </c>
      <c r="J89" s="5" t="s">
        <v>32</v>
      </c>
      <c r="K89" s="5"/>
      <c r="L89" s="30"/>
      <c r="M89" s="30"/>
      <c r="N89" s="30"/>
    </row>
    <row r="90" customFormat="false" ht="22.5" hidden="false" customHeight="false" outlineLevel="0" collapsed="false">
      <c r="A90" s="5" t="n">
        <f aca="false">IF(B90&lt;&gt;"", COUNTA($B$2:B90), "")</f>
        <v>89</v>
      </c>
      <c r="B90" s="5" t="s">
        <v>27</v>
      </c>
      <c r="C90" s="5" t="s">
        <v>28</v>
      </c>
      <c r="D90" s="5" t="n">
        <v>7091</v>
      </c>
      <c r="E90" s="5" t="n">
        <v>2010</v>
      </c>
      <c r="F90" s="5" t="s">
        <v>1289</v>
      </c>
      <c r="G90" s="5" t="n">
        <v>1</v>
      </c>
      <c r="H90" s="5" t="s">
        <v>1768</v>
      </c>
      <c r="I90" s="5" t="s">
        <v>1769</v>
      </c>
      <c r="J90" s="5" t="s">
        <v>32</v>
      </c>
      <c r="K90" s="5" t="n">
        <v>2012</v>
      </c>
      <c r="L90" s="5" t="n">
        <v>12</v>
      </c>
      <c r="M90" s="94" t="s">
        <v>37</v>
      </c>
      <c r="N90" s="5" t="s">
        <v>38</v>
      </c>
    </row>
    <row r="91" customFormat="false" ht="33.75" hidden="false" customHeight="false" outlineLevel="0" collapsed="false">
      <c r="A91" s="5" t="n">
        <f aca="false">IF(B91&lt;&gt;"", COUNTA($B$2:B91), "")</f>
        <v>90</v>
      </c>
      <c r="B91" s="5" t="s">
        <v>27</v>
      </c>
      <c r="C91" s="5" t="s">
        <v>1115</v>
      </c>
      <c r="D91" s="5" t="s">
        <v>1770</v>
      </c>
      <c r="E91" s="5" t="n">
        <v>2010</v>
      </c>
      <c r="F91" s="5" t="s">
        <v>1747</v>
      </c>
      <c r="G91" s="5" t="n">
        <v>1</v>
      </c>
      <c r="H91" s="5" t="s">
        <v>1771</v>
      </c>
      <c r="I91" s="5" t="s">
        <v>1769</v>
      </c>
      <c r="J91" s="5" t="s">
        <v>32</v>
      </c>
      <c r="K91" s="5" t="n">
        <v>2012</v>
      </c>
      <c r="L91" s="5" t="n">
        <v>12</v>
      </c>
      <c r="M91" s="94" t="s">
        <v>37</v>
      </c>
      <c r="N91" s="5" t="s">
        <v>38</v>
      </c>
    </row>
    <row r="92" customFormat="false" ht="22.5" hidden="false" customHeight="false" outlineLevel="0" collapsed="false">
      <c r="A92" s="5" t="n">
        <f aca="false">IF(B92&lt;&gt;"", COUNTA($B$2:B92), "")</f>
        <v>91</v>
      </c>
      <c r="B92" s="5" t="s">
        <v>46</v>
      </c>
      <c r="C92" s="5" t="s">
        <v>1733</v>
      </c>
      <c r="D92" s="5" t="n">
        <v>1202</v>
      </c>
      <c r="E92" s="5" t="n">
        <v>2010</v>
      </c>
      <c r="F92" s="5" t="s">
        <v>1246</v>
      </c>
      <c r="G92" s="5" t="n">
        <v>1.5</v>
      </c>
      <c r="H92" s="5" t="s">
        <v>1772</v>
      </c>
      <c r="I92" s="5" t="s">
        <v>1769</v>
      </c>
      <c r="J92" s="5" t="s">
        <v>32</v>
      </c>
      <c r="K92" s="5" t="n">
        <v>2012</v>
      </c>
      <c r="L92" s="5" t="n">
        <v>24</v>
      </c>
      <c r="M92" s="93" t="s">
        <v>1291</v>
      </c>
      <c r="N92" s="5" t="s">
        <v>38</v>
      </c>
    </row>
    <row r="93" customFormat="false" ht="22.5" hidden="false" customHeight="false" outlineLevel="0" collapsed="false">
      <c r="A93" s="5" t="n">
        <f aca="false">IF(B93&lt;&gt;"", COUNTA($B$2:B93), "")</f>
        <v>92</v>
      </c>
      <c r="B93" s="5" t="s">
        <v>46</v>
      </c>
      <c r="C93" s="5" t="s">
        <v>47</v>
      </c>
      <c r="D93" s="5" t="n">
        <v>3320</v>
      </c>
      <c r="E93" s="5" t="n">
        <v>2010</v>
      </c>
      <c r="F93" s="5" t="s">
        <v>1246</v>
      </c>
      <c r="G93" s="5" t="n">
        <v>1.5</v>
      </c>
      <c r="H93" s="5" t="s">
        <v>1773</v>
      </c>
      <c r="I93" s="5" t="s">
        <v>1769</v>
      </c>
      <c r="J93" s="5" t="s">
        <v>32</v>
      </c>
      <c r="K93" s="5" t="n">
        <v>2012</v>
      </c>
      <c r="L93" s="5" t="n">
        <v>24</v>
      </c>
      <c r="M93" s="93" t="s">
        <v>1291</v>
      </c>
      <c r="N93" s="5" t="s">
        <v>38</v>
      </c>
    </row>
    <row r="94" customFormat="false" ht="22.5" hidden="false" customHeight="false" outlineLevel="0" collapsed="false">
      <c r="A94" s="5" t="n">
        <f aca="false">IF(B94&lt;&gt;"", COUNTA($B$2:B94), "")</f>
        <v>93</v>
      </c>
      <c r="B94" s="7" t="s">
        <v>1692</v>
      </c>
      <c r="C94" s="5" t="s">
        <v>1774</v>
      </c>
      <c r="D94" s="5" t="n">
        <v>73500</v>
      </c>
      <c r="E94" s="8" t="n">
        <v>2012</v>
      </c>
      <c r="F94" s="5" t="s">
        <v>1547</v>
      </c>
      <c r="G94" s="5" t="n">
        <v>1</v>
      </c>
      <c r="H94" s="6" t="s">
        <v>1695</v>
      </c>
      <c r="I94" s="5" t="s">
        <v>1769</v>
      </c>
      <c r="J94" s="5" t="s">
        <v>32</v>
      </c>
      <c r="K94" s="5" t="n">
        <v>2012</v>
      </c>
      <c r="L94" s="5" t="n">
        <v>60</v>
      </c>
      <c r="M94" s="5"/>
      <c r="N94" s="5"/>
    </row>
    <row r="95" customFormat="false" ht="22.5" hidden="false" customHeight="false" outlineLevel="0" collapsed="false">
      <c r="A95" s="5" t="n">
        <f aca="false">IF(B95&lt;&gt;"", COUNTA($B$2:B95), "")</f>
        <v>94</v>
      </c>
      <c r="B95" s="7" t="s">
        <v>1692</v>
      </c>
      <c r="C95" s="5" t="s">
        <v>1774</v>
      </c>
      <c r="D95" s="5" t="n">
        <v>73501</v>
      </c>
      <c r="E95" s="8" t="n">
        <v>2012</v>
      </c>
      <c r="F95" s="5" t="s">
        <v>1547</v>
      </c>
      <c r="G95" s="5" t="n">
        <v>1</v>
      </c>
      <c r="H95" s="6" t="s">
        <v>1469</v>
      </c>
      <c r="I95" s="5" t="s">
        <v>1769</v>
      </c>
      <c r="J95" s="5" t="s">
        <v>32</v>
      </c>
      <c r="K95" s="5" t="n">
        <v>2012</v>
      </c>
      <c r="L95" s="5" t="n">
        <v>60</v>
      </c>
      <c r="M95" s="5"/>
      <c r="N95" s="5"/>
    </row>
    <row r="96" customFormat="false" ht="22.5" hidden="false" customHeight="false" outlineLevel="0" collapsed="false">
      <c r="A96" s="5" t="n">
        <f aca="false">IF(B96&lt;&gt;"", COUNTA($B$2:B96), "")</f>
        <v>95</v>
      </c>
      <c r="B96" s="7" t="s">
        <v>64</v>
      </c>
      <c r="C96" s="5" t="s">
        <v>1696</v>
      </c>
      <c r="D96" s="5" t="n">
        <v>1181473</v>
      </c>
      <c r="E96" s="8"/>
      <c r="F96" s="5" t="s">
        <v>1697</v>
      </c>
      <c r="G96" s="5"/>
      <c r="H96" s="6" t="s">
        <v>1698</v>
      </c>
      <c r="I96" s="5" t="s">
        <v>1769</v>
      </c>
      <c r="J96" s="5" t="s">
        <v>32</v>
      </c>
      <c r="K96" s="5"/>
      <c r="L96" s="5"/>
      <c r="M96" s="5"/>
      <c r="N96" s="5"/>
    </row>
    <row r="97" customFormat="false" ht="22.5" hidden="false" customHeight="false" outlineLevel="0" collapsed="false">
      <c r="A97" s="5" t="n">
        <f aca="false">IF(B97&lt;&gt;"", COUNTA($B$2:B97), "")</f>
        <v>96</v>
      </c>
      <c r="B97" s="7" t="s">
        <v>64</v>
      </c>
      <c r="C97" s="5" t="s">
        <v>1696</v>
      </c>
      <c r="D97" s="5" t="n">
        <v>1181401</v>
      </c>
      <c r="E97" s="8"/>
      <c r="F97" s="5" t="s">
        <v>1697</v>
      </c>
      <c r="G97" s="5"/>
      <c r="H97" s="6" t="s">
        <v>1699</v>
      </c>
      <c r="I97" s="5" t="s">
        <v>1769</v>
      </c>
      <c r="J97" s="5" t="s">
        <v>32</v>
      </c>
      <c r="K97" s="5"/>
      <c r="L97" s="5"/>
      <c r="M97" s="5"/>
      <c r="N97" s="5"/>
    </row>
    <row r="98" customFormat="false" ht="22.5" hidden="false" customHeight="false" outlineLevel="0" collapsed="false">
      <c r="A98" s="5" t="n">
        <f aca="false">IF(B98&lt;&gt;"", COUNTA($B$2:B98), "")</f>
        <v>97</v>
      </c>
      <c r="B98" s="7" t="s">
        <v>1534</v>
      </c>
      <c r="C98" s="5" t="s">
        <v>1775</v>
      </c>
      <c r="D98" s="5" t="n">
        <v>1228498</v>
      </c>
      <c r="E98" s="30"/>
      <c r="F98" s="30"/>
      <c r="G98" s="30"/>
      <c r="H98" s="6" t="s">
        <v>1726</v>
      </c>
      <c r="I98" s="5" t="s">
        <v>1769</v>
      </c>
      <c r="J98" s="5" t="s">
        <v>32</v>
      </c>
      <c r="K98" s="5"/>
      <c r="L98" s="30"/>
      <c r="M98" s="30"/>
      <c r="N98" s="30"/>
    </row>
    <row r="99" customFormat="false" ht="22.5" hidden="false" customHeight="false" outlineLevel="0" collapsed="false">
      <c r="A99" s="5" t="n">
        <f aca="false">IF(B99&lt;&gt;"", COUNTA($B$2:B99), "")</f>
        <v>98</v>
      </c>
      <c r="B99" s="7" t="s">
        <v>1539</v>
      </c>
      <c r="C99" s="5" t="s">
        <v>1540</v>
      </c>
      <c r="D99" s="5" t="n">
        <v>1201048</v>
      </c>
      <c r="E99" s="30"/>
      <c r="F99" s="30"/>
      <c r="G99" s="30"/>
      <c r="H99" s="6" t="s">
        <v>1701</v>
      </c>
      <c r="I99" s="5" t="s">
        <v>1769</v>
      </c>
      <c r="J99" s="5" t="s">
        <v>32</v>
      </c>
      <c r="K99" s="5"/>
      <c r="L99" s="30"/>
      <c r="M99" s="30"/>
      <c r="N99" s="30"/>
    </row>
    <row r="100" customFormat="false" ht="15" hidden="false" customHeight="false" outlineLevel="0" collapsed="false">
      <c r="A100" s="5" t="n">
        <f aca="false">IF(B100&lt;&gt;"", COUNTA($B$2:B100), "")</f>
        <v>99</v>
      </c>
      <c r="B100" s="7" t="s">
        <v>27</v>
      </c>
      <c r="C100" s="12" t="s">
        <v>500</v>
      </c>
      <c r="D100" s="78" t="s">
        <v>1776</v>
      </c>
      <c r="E100" s="8" t="n">
        <v>2010</v>
      </c>
      <c r="F100" s="8" t="s">
        <v>1777</v>
      </c>
      <c r="G100" s="10" t="n">
        <v>1.5</v>
      </c>
      <c r="H100" s="5" t="s">
        <v>1778</v>
      </c>
      <c r="I100" s="5" t="s">
        <v>1779</v>
      </c>
      <c r="J100" s="5" t="s">
        <v>32</v>
      </c>
      <c r="K100" s="5" t="n">
        <v>2012</v>
      </c>
      <c r="L100" s="5" t="n">
        <v>12</v>
      </c>
      <c r="M100" s="93" t="s">
        <v>37</v>
      </c>
      <c r="N100" s="8" t="s">
        <v>38</v>
      </c>
    </row>
    <row r="101" customFormat="false" ht="15" hidden="false" customHeight="false" outlineLevel="0" collapsed="false">
      <c r="A101" s="5" t="n">
        <f aca="false">IF(B101&lt;&gt;"", COUNTA($B$2:B101), "")</f>
        <v>100</v>
      </c>
      <c r="B101" s="7" t="s">
        <v>27</v>
      </c>
      <c r="C101" s="12" t="s">
        <v>500</v>
      </c>
      <c r="D101" s="78" t="s">
        <v>1780</v>
      </c>
      <c r="E101" s="8" t="n">
        <v>2010</v>
      </c>
      <c r="F101" s="8" t="s">
        <v>1777</v>
      </c>
      <c r="G101" s="10" t="n">
        <v>1.5</v>
      </c>
      <c r="H101" s="5" t="s">
        <v>1781</v>
      </c>
      <c r="I101" s="5" t="s">
        <v>1779</v>
      </c>
      <c r="J101" s="5" t="s">
        <v>32</v>
      </c>
      <c r="K101" s="5" t="n">
        <v>2012</v>
      </c>
      <c r="L101" s="5" t="n">
        <v>12</v>
      </c>
      <c r="M101" s="94" t="s">
        <v>37</v>
      </c>
      <c r="N101" s="8" t="s">
        <v>38</v>
      </c>
    </row>
    <row r="102" customFormat="false" ht="15" hidden="false" customHeight="false" outlineLevel="0" collapsed="false">
      <c r="A102" s="5" t="n">
        <f aca="false">IF(B102&lt;&gt;"", COUNTA($B$2:B102), "")</f>
        <v>101</v>
      </c>
      <c r="B102" s="5" t="s">
        <v>46</v>
      </c>
      <c r="C102" s="5" t="s">
        <v>1755</v>
      </c>
      <c r="D102" s="5" t="n">
        <v>1290</v>
      </c>
      <c r="E102" s="5" t="n">
        <v>2010</v>
      </c>
      <c r="F102" s="5" t="s">
        <v>1243</v>
      </c>
      <c r="G102" s="5" t="n">
        <v>1.5</v>
      </c>
      <c r="H102" s="5" t="s">
        <v>1512</v>
      </c>
      <c r="I102" s="5" t="s">
        <v>1779</v>
      </c>
      <c r="J102" s="5" t="s">
        <v>32</v>
      </c>
      <c r="K102" s="5" t="n">
        <v>2012</v>
      </c>
      <c r="L102" s="5" t="n">
        <v>24</v>
      </c>
      <c r="M102" s="94" t="s">
        <v>37</v>
      </c>
      <c r="N102" s="5" t="s">
        <v>38</v>
      </c>
    </row>
    <row r="103" customFormat="false" ht="15" hidden="false" customHeight="false" outlineLevel="0" collapsed="false">
      <c r="A103" s="5" t="n">
        <f aca="false">IF(B103&lt;&gt;"", COUNTA($B$2:B103), "")</f>
        <v>102</v>
      </c>
      <c r="B103" s="5" t="s">
        <v>46</v>
      </c>
      <c r="C103" s="5"/>
      <c r="D103" s="5" t="s">
        <v>1782</v>
      </c>
      <c r="E103" s="5" t="n">
        <v>2010</v>
      </c>
      <c r="F103" s="5" t="s">
        <v>1243</v>
      </c>
      <c r="G103" s="5"/>
      <c r="H103" s="5" t="s">
        <v>1509</v>
      </c>
      <c r="I103" s="5" t="s">
        <v>1779</v>
      </c>
      <c r="J103" s="5" t="s">
        <v>32</v>
      </c>
      <c r="K103" s="5" t="n">
        <v>2012</v>
      </c>
      <c r="L103" s="5"/>
      <c r="M103" s="93" t="s">
        <v>1783</v>
      </c>
      <c r="N103" s="5"/>
    </row>
    <row r="104" customFormat="false" ht="22.5" hidden="false" customHeight="false" outlineLevel="0" collapsed="false">
      <c r="A104" s="5" t="n">
        <f aca="false">IF(B104&lt;&gt;"", COUNTA($B$2:B104), "")</f>
        <v>103</v>
      </c>
      <c r="B104" s="5" t="s">
        <v>46</v>
      </c>
      <c r="C104" s="5" t="s">
        <v>1755</v>
      </c>
      <c r="D104" s="5" t="n">
        <v>1289</v>
      </c>
      <c r="E104" s="5" t="n">
        <v>2010</v>
      </c>
      <c r="F104" s="5" t="s">
        <v>1243</v>
      </c>
      <c r="G104" s="5" t="n">
        <v>1.5</v>
      </c>
      <c r="H104" s="5" t="s">
        <v>1784</v>
      </c>
      <c r="I104" s="5" t="s">
        <v>1779</v>
      </c>
      <c r="J104" s="5" t="s">
        <v>32</v>
      </c>
      <c r="K104" s="5" t="n">
        <v>2012</v>
      </c>
      <c r="L104" s="5" t="n">
        <v>24</v>
      </c>
      <c r="M104" s="93" t="s">
        <v>1291</v>
      </c>
      <c r="N104" s="5" t="s">
        <v>38</v>
      </c>
      <c r="P104" s="4" t="s">
        <v>182</v>
      </c>
    </row>
    <row r="105" customFormat="false" ht="22.5" hidden="false" customHeight="false" outlineLevel="0" collapsed="false">
      <c r="A105" s="5" t="n">
        <f aca="false">IF(B105&lt;&gt;"", COUNTA($B$2:B105), "")</f>
        <v>104</v>
      </c>
      <c r="B105" s="5" t="s">
        <v>27</v>
      </c>
      <c r="C105" s="5" t="s">
        <v>500</v>
      </c>
      <c r="D105" s="5" t="s">
        <v>1785</v>
      </c>
      <c r="E105" s="5" t="n">
        <v>2010</v>
      </c>
      <c r="F105" s="5" t="s">
        <v>1777</v>
      </c>
      <c r="G105" s="5" t="n">
        <v>1.5</v>
      </c>
      <c r="H105" s="5" t="s">
        <v>1786</v>
      </c>
      <c r="I105" s="5" t="s">
        <v>1787</v>
      </c>
      <c r="J105" s="5" t="s">
        <v>32</v>
      </c>
      <c r="K105" s="5" t="n">
        <v>2012</v>
      </c>
      <c r="L105" s="5" t="n">
        <v>12</v>
      </c>
      <c r="M105" s="94" t="s">
        <v>37</v>
      </c>
      <c r="N105" s="5" t="s">
        <v>38</v>
      </c>
    </row>
  </sheetData>
  <conditionalFormatting sqref="M1:M1048576">
    <cfRule type="expression" priority="2" aboveAverage="0" equalAverage="0" bottom="0" percent="0" rank="0" text="" dxfId="16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21.86"/>
    <col collapsed="false" customWidth="true" hidden="false" outlineLevel="0" max="3" min="3" style="4" width="19.71"/>
    <col collapsed="false" customWidth="true" hidden="false" outlineLevel="0" max="4" min="4" style="4" width="8"/>
    <col collapsed="false" customWidth="true" hidden="false" outlineLevel="0" max="5" min="5" style="4" width="6.57"/>
    <col collapsed="false" customWidth="true" hidden="false" outlineLevel="0" max="6" min="6" style="4" width="8.42"/>
    <col collapsed="false" customWidth="true" hidden="false" outlineLevel="0" max="7" min="7" style="4" width="7.42"/>
    <col collapsed="false" customWidth="true" hidden="false" outlineLevel="0" max="8" min="8" style="4" width="17"/>
    <col collapsed="false" customWidth="true" hidden="false" outlineLevel="0" max="9" min="9" style="4" width="20.99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1788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22.5" hidden="false" customHeight="false" outlineLevel="0" collapsed="false">
      <c r="A2" s="5" t="n">
        <f aca="false">IF(B2&lt;&gt;"", COUNTA($B$2:B2), "")</f>
        <v>1</v>
      </c>
      <c r="B2" s="7" t="s">
        <v>1789</v>
      </c>
      <c r="C2" s="12" t="s">
        <v>1790</v>
      </c>
      <c r="D2" s="92" t="n">
        <v>15616</v>
      </c>
      <c r="E2" s="16" t="n">
        <v>2010</v>
      </c>
      <c r="F2" s="5" t="s">
        <v>1791</v>
      </c>
      <c r="G2" s="10" t="n">
        <v>2.5</v>
      </c>
      <c r="H2" s="5" t="s">
        <v>1792</v>
      </c>
      <c r="I2" s="5" t="s">
        <v>1793</v>
      </c>
      <c r="J2" s="5" t="s">
        <v>32</v>
      </c>
      <c r="K2" s="5" t="n">
        <v>2012</v>
      </c>
      <c r="L2" s="5" t="n">
        <v>24</v>
      </c>
      <c r="M2" s="6" t="s">
        <v>1794</v>
      </c>
      <c r="N2" s="8" t="s">
        <v>1</v>
      </c>
    </row>
    <row r="3" customFormat="false" ht="22.5" hidden="false" customHeight="false" outlineLevel="0" collapsed="false">
      <c r="A3" s="5" t="n">
        <f aca="false">IF(B3&lt;&gt;"", COUNTA($B$2:B3), "")</f>
        <v>2</v>
      </c>
      <c r="B3" s="7" t="s">
        <v>1789</v>
      </c>
      <c r="C3" s="12" t="s">
        <v>1790</v>
      </c>
      <c r="D3" s="92" t="n">
        <v>15625</v>
      </c>
      <c r="E3" s="16" t="n">
        <v>2010</v>
      </c>
      <c r="F3" s="5" t="s">
        <v>1791</v>
      </c>
      <c r="G3" s="10" t="n">
        <v>2.5</v>
      </c>
      <c r="H3" s="5" t="s">
        <v>1795</v>
      </c>
      <c r="I3" s="5" t="s">
        <v>1796</v>
      </c>
      <c r="J3" s="5" t="s">
        <v>32</v>
      </c>
      <c r="K3" s="5" t="n">
        <v>2012</v>
      </c>
      <c r="L3" s="5" t="n">
        <v>24</v>
      </c>
      <c r="M3" s="6" t="s">
        <v>1794</v>
      </c>
      <c r="N3" s="8" t="s">
        <v>1</v>
      </c>
    </row>
    <row r="4" customFormat="false" ht="22.5" hidden="false" customHeight="false" outlineLevel="0" collapsed="false">
      <c r="A4" s="5" t="n">
        <f aca="false">IF(B4&lt;&gt;"", COUNTA($B$2:B4), "")</f>
        <v>3</v>
      </c>
      <c r="B4" s="7" t="s">
        <v>1789</v>
      </c>
      <c r="C4" s="12" t="s">
        <v>1790</v>
      </c>
      <c r="D4" s="92" t="n">
        <v>15617</v>
      </c>
      <c r="E4" s="16" t="n">
        <v>2010</v>
      </c>
      <c r="F4" s="5" t="s">
        <v>1791</v>
      </c>
      <c r="G4" s="10" t="n">
        <v>2.5</v>
      </c>
      <c r="H4" s="5" t="s">
        <v>1797</v>
      </c>
      <c r="I4" s="5" t="s">
        <v>1798</v>
      </c>
      <c r="J4" s="5" t="s">
        <v>32</v>
      </c>
      <c r="K4" s="5" t="n">
        <v>2012</v>
      </c>
      <c r="L4" s="5" t="n">
        <v>24</v>
      </c>
      <c r="M4" s="6" t="s">
        <v>1794</v>
      </c>
      <c r="N4" s="8" t="s">
        <v>1</v>
      </c>
    </row>
    <row r="5" customFormat="false" ht="22.5" hidden="false" customHeight="false" outlineLevel="0" collapsed="false">
      <c r="A5" s="5" t="n">
        <f aca="false">IF(B5&lt;&gt;"", COUNTA($B$2:B5), "")</f>
        <v>4</v>
      </c>
      <c r="B5" s="7" t="s">
        <v>1789</v>
      </c>
      <c r="C5" s="12" t="s">
        <v>1790</v>
      </c>
      <c r="D5" s="92" t="n">
        <v>15624</v>
      </c>
      <c r="E5" s="16" t="n">
        <v>2010</v>
      </c>
      <c r="F5" s="5" t="s">
        <v>1791</v>
      </c>
      <c r="G5" s="10" t="n">
        <v>2.5</v>
      </c>
      <c r="H5" s="5" t="s">
        <v>1799</v>
      </c>
      <c r="I5" s="5" t="s">
        <v>1800</v>
      </c>
      <c r="J5" s="5" t="s">
        <v>32</v>
      </c>
      <c r="K5" s="5" t="n">
        <v>2012</v>
      </c>
      <c r="L5" s="5" t="n">
        <v>24</v>
      </c>
      <c r="M5" s="6" t="s">
        <v>1794</v>
      </c>
      <c r="N5" s="8" t="s">
        <v>1</v>
      </c>
    </row>
    <row r="6" customFormat="false" ht="22.5" hidden="false" customHeight="false" outlineLevel="0" collapsed="false">
      <c r="A6" s="5" t="n">
        <f aca="false">IF(B6&lt;&gt;"", COUNTA($B$2:B6), "")</f>
        <v>5</v>
      </c>
      <c r="B6" s="7" t="s">
        <v>1789</v>
      </c>
      <c r="C6" s="12" t="s">
        <v>1790</v>
      </c>
      <c r="D6" s="78" t="s">
        <v>1801</v>
      </c>
      <c r="E6" s="16" t="n">
        <v>2010</v>
      </c>
      <c r="F6" s="5" t="s">
        <v>1791</v>
      </c>
      <c r="G6" s="10" t="n">
        <v>2.5</v>
      </c>
      <c r="H6" s="8" t="s">
        <v>1802</v>
      </c>
      <c r="I6" s="5" t="s">
        <v>1803</v>
      </c>
      <c r="J6" s="5" t="s">
        <v>32</v>
      </c>
      <c r="K6" s="5" t="n">
        <v>2012</v>
      </c>
      <c r="L6" s="5" t="n">
        <v>24</v>
      </c>
      <c r="M6" s="6" t="s">
        <v>1794</v>
      </c>
      <c r="N6" s="8" t="s">
        <v>1</v>
      </c>
    </row>
    <row r="7" customFormat="false" ht="22.5" hidden="false" customHeight="false" outlineLevel="0" collapsed="false">
      <c r="A7" s="5" t="n">
        <f aca="false">IF(B7&lt;&gt;"", COUNTA($B$2:B7), "")</f>
        <v>6</v>
      </c>
      <c r="B7" s="7" t="s">
        <v>1789</v>
      </c>
      <c r="C7" s="12" t="s">
        <v>1790</v>
      </c>
      <c r="D7" s="78" t="s">
        <v>1804</v>
      </c>
      <c r="E7" s="16" t="n">
        <v>2010</v>
      </c>
      <c r="F7" s="5" t="s">
        <v>1791</v>
      </c>
      <c r="G7" s="10" t="n">
        <v>2.5</v>
      </c>
      <c r="H7" s="8" t="s">
        <v>1805</v>
      </c>
      <c r="I7" s="5" t="s">
        <v>1803</v>
      </c>
      <c r="J7" s="5" t="s">
        <v>32</v>
      </c>
      <c r="K7" s="5" t="n">
        <v>2012</v>
      </c>
      <c r="L7" s="5" t="n">
        <v>24</v>
      </c>
      <c r="M7" s="6" t="s">
        <v>1794</v>
      </c>
      <c r="N7" s="8" t="s">
        <v>1</v>
      </c>
    </row>
    <row r="8" customFormat="false" ht="22.5" hidden="false" customHeight="false" outlineLevel="0" collapsed="false">
      <c r="A8" s="5" t="n">
        <f aca="false">IF(B8&lt;&gt;"", COUNTA($B$2:B8), "")</f>
        <v>7</v>
      </c>
      <c r="B8" s="7" t="s">
        <v>1789</v>
      </c>
      <c r="C8" s="12" t="s">
        <v>1806</v>
      </c>
      <c r="D8" s="78" t="s">
        <v>1807</v>
      </c>
      <c r="E8" s="16" t="n">
        <v>2010</v>
      </c>
      <c r="F8" s="5" t="s">
        <v>1808</v>
      </c>
      <c r="G8" s="10" t="s">
        <v>1783</v>
      </c>
      <c r="H8" s="8" t="s">
        <v>1809</v>
      </c>
      <c r="I8" s="5" t="s">
        <v>1803</v>
      </c>
      <c r="J8" s="5" t="s">
        <v>32</v>
      </c>
      <c r="K8" s="5" t="n">
        <v>2012</v>
      </c>
      <c r="L8" s="5" t="n">
        <v>24</v>
      </c>
      <c r="M8" s="6" t="s">
        <v>1794</v>
      </c>
      <c r="N8" s="8" t="s">
        <v>1</v>
      </c>
    </row>
    <row r="9" customFormat="false" ht="22.5" hidden="false" customHeight="false" outlineLevel="0" collapsed="false">
      <c r="A9" s="5" t="n">
        <f aca="false">IF(B9&lt;&gt;"", COUNTA($B$2:B9), "")</f>
        <v>8</v>
      </c>
      <c r="B9" s="7" t="s">
        <v>1789</v>
      </c>
      <c r="C9" s="12" t="s">
        <v>1806</v>
      </c>
      <c r="D9" s="78" t="s">
        <v>1810</v>
      </c>
      <c r="E9" s="16" t="n">
        <v>2010</v>
      </c>
      <c r="F9" s="5" t="s">
        <v>1811</v>
      </c>
      <c r="G9" s="10" t="s">
        <v>1783</v>
      </c>
      <c r="H9" s="8" t="s">
        <v>1812</v>
      </c>
      <c r="I9" s="5" t="s">
        <v>1803</v>
      </c>
      <c r="J9" s="5" t="s">
        <v>32</v>
      </c>
      <c r="K9" s="5" t="n">
        <v>2012</v>
      </c>
      <c r="L9" s="5" t="n">
        <v>24</v>
      </c>
      <c r="M9" s="6" t="s">
        <v>1794</v>
      </c>
      <c r="N9" s="8" t="s">
        <v>1</v>
      </c>
    </row>
    <row r="10" customFormat="false" ht="22.5" hidden="false" customHeight="false" outlineLevel="0" collapsed="false">
      <c r="A10" s="5" t="n">
        <f aca="false">IF(B10&lt;&gt;"", COUNTA($B$2:B10), "")</f>
        <v>9</v>
      </c>
      <c r="B10" s="7" t="s">
        <v>1789</v>
      </c>
      <c r="C10" s="12" t="s">
        <v>1790</v>
      </c>
      <c r="D10" s="78" t="s">
        <v>1813</v>
      </c>
      <c r="E10" s="16" t="n">
        <v>2010</v>
      </c>
      <c r="F10" s="5" t="s">
        <v>1791</v>
      </c>
      <c r="G10" s="10" t="n">
        <v>2.5</v>
      </c>
      <c r="H10" s="5" t="s">
        <v>1814</v>
      </c>
      <c r="I10" s="5" t="s">
        <v>1815</v>
      </c>
      <c r="J10" s="5" t="s">
        <v>32</v>
      </c>
      <c r="K10" s="5" t="n">
        <v>2012</v>
      </c>
      <c r="L10" s="5" t="n">
        <v>24</v>
      </c>
      <c r="M10" s="6" t="s">
        <v>1794</v>
      </c>
      <c r="N10" s="8" t="s">
        <v>1</v>
      </c>
    </row>
    <row r="11" customFormat="false" ht="22.5" hidden="false" customHeight="false" outlineLevel="0" collapsed="false">
      <c r="A11" s="5" t="n">
        <f aca="false">IF(B11&lt;&gt;"", COUNTA($B$2:B11), "")</f>
        <v>10</v>
      </c>
      <c r="B11" s="7" t="s">
        <v>1789</v>
      </c>
      <c r="C11" s="12" t="s">
        <v>1790</v>
      </c>
      <c r="D11" s="78" t="s">
        <v>1816</v>
      </c>
      <c r="E11" s="16" t="n">
        <v>2010</v>
      </c>
      <c r="F11" s="5" t="s">
        <v>1791</v>
      </c>
      <c r="G11" s="10" t="n">
        <v>2.5</v>
      </c>
      <c r="H11" s="5" t="s">
        <v>1817</v>
      </c>
      <c r="I11" s="5" t="s">
        <v>1815</v>
      </c>
      <c r="J11" s="5" t="s">
        <v>32</v>
      </c>
      <c r="K11" s="5" t="n">
        <v>2012</v>
      </c>
      <c r="L11" s="5" t="n">
        <v>24</v>
      </c>
      <c r="M11" s="6" t="s">
        <v>1794</v>
      </c>
      <c r="N11" s="8" t="s">
        <v>1</v>
      </c>
    </row>
    <row r="12" customFormat="false" ht="22.5" hidden="false" customHeight="false" outlineLevel="0" collapsed="false">
      <c r="A12" s="5" t="n">
        <f aca="false">IF(B12&lt;&gt;"", COUNTA($B$2:B12), "")</f>
        <v>11</v>
      </c>
      <c r="B12" s="7" t="s">
        <v>1789</v>
      </c>
      <c r="C12" s="12" t="s">
        <v>1790</v>
      </c>
      <c r="D12" s="78" t="s">
        <v>1818</v>
      </c>
      <c r="E12" s="16" t="n">
        <v>2010</v>
      </c>
      <c r="F12" s="5" t="s">
        <v>1791</v>
      </c>
      <c r="G12" s="10" t="n">
        <v>2.5</v>
      </c>
      <c r="H12" s="5" t="s">
        <v>1819</v>
      </c>
      <c r="I12" s="5" t="s">
        <v>1815</v>
      </c>
      <c r="J12" s="5" t="s">
        <v>32</v>
      </c>
      <c r="K12" s="5" t="n">
        <v>2012</v>
      </c>
      <c r="L12" s="5" t="n">
        <v>24</v>
      </c>
      <c r="M12" s="6" t="s">
        <v>1794</v>
      </c>
      <c r="N12" s="8" t="s">
        <v>1</v>
      </c>
    </row>
    <row r="13" customFormat="false" ht="22.5" hidden="false" customHeight="false" outlineLevel="0" collapsed="false">
      <c r="A13" s="5" t="n">
        <f aca="false">IF(B13&lt;&gt;"", COUNTA($B$2:B13), "")</f>
        <v>12</v>
      </c>
      <c r="B13" s="7" t="s">
        <v>1789</v>
      </c>
      <c r="C13" s="12" t="s">
        <v>1790</v>
      </c>
      <c r="D13" s="78" t="s">
        <v>1820</v>
      </c>
      <c r="E13" s="16" t="n">
        <v>2010</v>
      </c>
      <c r="F13" s="5" t="s">
        <v>1791</v>
      </c>
      <c r="G13" s="10" t="n">
        <v>2.5</v>
      </c>
      <c r="H13" s="5" t="s">
        <v>1821</v>
      </c>
      <c r="I13" s="5" t="s">
        <v>1815</v>
      </c>
      <c r="J13" s="5" t="s">
        <v>32</v>
      </c>
      <c r="K13" s="5" t="n">
        <v>2012</v>
      </c>
      <c r="L13" s="5" t="n">
        <v>24</v>
      </c>
      <c r="M13" s="6" t="s">
        <v>1794</v>
      </c>
      <c r="N13" s="8" t="s">
        <v>1</v>
      </c>
    </row>
    <row r="14" customFormat="false" ht="22.5" hidden="false" customHeight="false" outlineLevel="0" collapsed="false">
      <c r="A14" s="5" t="n">
        <f aca="false">IF(B14&lt;&gt;"", COUNTA($B$2:B14), "")</f>
        <v>13</v>
      </c>
      <c r="B14" s="5" t="s">
        <v>1789</v>
      </c>
      <c r="C14" s="7" t="s">
        <v>1822</v>
      </c>
      <c r="D14" s="12" t="n">
        <v>15494</v>
      </c>
      <c r="E14" s="16" t="n">
        <v>2010</v>
      </c>
      <c r="F14" s="5" t="s">
        <v>1823</v>
      </c>
      <c r="G14" s="10" t="n">
        <v>2.5</v>
      </c>
      <c r="H14" s="5" t="s">
        <v>1805</v>
      </c>
      <c r="I14" s="5" t="s">
        <v>1824</v>
      </c>
      <c r="J14" s="5" t="s">
        <v>32</v>
      </c>
      <c r="K14" s="5" t="n">
        <v>2012</v>
      </c>
      <c r="L14" s="5" t="n">
        <v>24</v>
      </c>
      <c r="M14" s="6" t="s">
        <v>1794</v>
      </c>
      <c r="N14" s="8" t="s">
        <v>1</v>
      </c>
    </row>
    <row r="15" customFormat="false" ht="22.5" hidden="false" customHeight="false" outlineLevel="0" collapsed="false">
      <c r="A15" s="5" t="n">
        <f aca="false">IF(B15&lt;&gt;"", COUNTA($B$2:B15), "")</f>
        <v>14</v>
      </c>
      <c r="B15" s="5" t="s">
        <v>1789</v>
      </c>
      <c r="C15" s="7" t="s">
        <v>1822</v>
      </c>
      <c r="D15" s="12" t="n">
        <v>15493</v>
      </c>
      <c r="E15" s="16" t="n">
        <v>2010</v>
      </c>
      <c r="F15" s="5" t="s">
        <v>1823</v>
      </c>
      <c r="G15" s="10" t="n">
        <v>2.5</v>
      </c>
      <c r="H15" s="5" t="s">
        <v>1802</v>
      </c>
      <c r="I15" s="5" t="s">
        <v>1824</v>
      </c>
      <c r="J15" s="5" t="s">
        <v>32</v>
      </c>
      <c r="K15" s="5" t="n">
        <v>2012</v>
      </c>
      <c r="L15" s="5" t="n">
        <v>24</v>
      </c>
      <c r="M15" s="6" t="s">
        <v>1794</v>
      </c>
      <c r="N15" s="8" t="s">
        <v>1</v>
      </c>
    </row>
    <row r="16" customFormat="false" ht="22.5" hidden="false" customHeight="false" outlineLevel="0" collapsed="false">
      <c r="A16" s="5" t="n">
        <f aca="false">IF(B16&lt;&gt;"", COUNTA($B$2:B16), "")</f>
        <v>15</v>
      </c>
      <c r="B16" s="5" t="s">
        <v>1789</v>
      </c>
      <c r="C16" s="12" t="s">
        <v>1790</v>
      </c>
      <c r="D16" s="78" t="s">
        <v>1825</v>
      </c>
      <c r="E16" s="16" t="n">
        <v>2010</v>
      </c>
      <c r="F16" s="5" t="s">
        <v>1791</v>
      </c>
      <c r="G16" s="10" t="n">
        <v>2.5</v>
      </c>
      <c r="H16" s="5" t="s">
        <v>1797</v>
      </c>
      <c r="I16" s="5" t="s">
        <v>1826</v>
      </c>
      <c r="J16" s="5" t="s">
        <v>32</v>
      </c>
      <c r="K16" s="5" t="n">
        <v>2012</v>
      </c>
      <c r="L16" s="5" t="n">
        <v>24</v>
      </c>
      <c r="M16" s="6" t="s">
        <v>1794</v>
      </c>
      <c r="N16" s="8" t="s">
        <v>1</v>
      </c>
    </row>
    <row r="17" customFormat="false" ht="22.5" hidden="false" customHeight="false" outlineLevel="0" collapsed="false">
      <c r="A17" s="5" t="n">
        <f aca="false">IF(B17&lt;&gt;"", COUNTA($B$2:B17), "")</f>
        <v>16</v>
      </c>
      <c r="B17" s="5" t="s">
        <v>1789</v>
      </c>
      <c r="C17" s="12" t="s">
        <v>1827</v>
      </c>
      <c r="D17" s="78"/>
      <c r="E17" s="16" t="n">
        <v>2010</v>
      </c>
      <c r="F17" s="5" t="s">
        <v>1823</v>
      </c>
      <c r="G17" s="10"/>
      <c r="H17" s="5" t="s">
        <v>1799</v>
      </c>
      <c r="I17" s="5" t="s">
        <v>1826</v>
      </c>
      <c r="J17" s="5" t="s">
        <v>32</v>
      </c>
      <c r="K17" s="5" t="n">
        <v>2012</v>
      </c>
      <c r="L17" s="5" t="n">
        <v>24</v>
      </c>
      <c r="M17" s="6"/>
      <c r="N17" s="8" t="s">
        <v>1</v>
      </c>
    </row>
    <row r="18" customFormat="false" ht="22.5" hidden="false" customHeight="false" outlineLevel="0" collapsed="false">
      <c r="A18" s="5" t="n">
        <f aca="false">IF(B18&lt;&gt;"", COUNTA($B$2:B18), "")</f>
        <v>17</v>
      </c>
      <c r="B18" s="7" t="s">
        <v>1789</v>
      </c>
      <c r="C18" s="5" t="s">
        <v>1822</v>
      </c>
      <c r="D18" s="6" t="s">
        <v>1828</v>
      </c>
      <c r="E18" s="8" t="n">
        <v>2010</v>
      </c>
      <c r="F18" s="5" t="s">
        <v>1823</v>
      </c>
      <c r="G18" s="5" t="n">
        <v>2.5</v>
      </c>
      <c r="H18" s="5" t="s">
        <v>1797</v>
      </c>
      <c r="I18" s="6" t="s">
        <v>1829</v>
      </c>
      <c r="J18" s="5" t="s">
        <v>32</v>
      </c>
      <c r="K18" s="5" t="n">
        <v>2012</v>
      </c>
      <c r="L18" s="5" t="n">
        <v>24</v>
      </c>
      <c r="M18" s="6" t="s">
        <v>1794</v>
      </c>
      <c r="N18" s="8" t="s">
        <v>1</v>
      </c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1789</v>
      </c>
      <c r="C19" s="12" t="s">
        <v>1790</v>
      </c>
      <c r="D19" s="6" t="s">
        <v>1830</v>
      </c>
      <c r="E19" s="8" t="n">
        <v>2010</v>
      </c>
      <c r="F19" s="5" t="s">
        <v>1791</v>
      </c>
      <c r="G19" s="5" t="n">
        <v>2.5</v>
      </c>
      <c r="H19" s="5" t="s">
        <v>1799</v>
      </c>
      <c r="I19" s="6" t="s">
        <v>1829</v>
      </c>
      <c r="J19" s="5" t="s">
        <v>32</v>
      </c>
      <c r="K19" s="5" t="n">
        <v>2012</v>
      </c>
      <c r="L19" s="5" t="n">
        <v>24</v>
      </c>
      <c r="M19" s="6" t="s">
        <v>1794</v>
      </c>
      <c r="N19" s="8" t="s">
        <v>1</v>
      </c>
    </row>
    <row r="20" customFormat="false" ht="22.5" hidden="false" customHeight="false" outlineLevel="0" collapsed="false">
      <c r="A20" s="5" t="n">
        <f aca="false">IF(B20&lt;&gt;"", COUNTA($B$2:B20), "")</f>
        <v>19</v>
      </c>
      <c r="B20" s="7" t="s">
        <v>1789</v>
      </c>
      <c r="C20" s="5" t="s">
        <v>1827</v>
      </c>
      <c r="D20" s="6"/>
      <c r="E20" s="8" t="n">
        <v>2010</v>
      </c>
      <c r="F20" s="5" t="s">
        <v>1791</v>
      </c>
      <c r="G20" s="5" t="n">
        <v>2.5</v>
      </c>
      <c r="H20" s="5" t="s">
        <v>1802</v>
      </c>
      <c r="I20" s="6" t="s">
        <v>1831</v>
      </c>
      <c r="J20" s="5" t="s">
        <v>32</v>
      </c>
      <c r="K20" s="5" t="n">
        <v>2012</v>
      </c>
      <c r="L20" s="5" t="n">
        <v>24</v>
      </c>
      <c r="M20" s="6"/>
      <c r="N20" s="8" t="s">
        <v>1</v>
      </c>
    </row>
    <row r="21" customFormat="false" ht="22.5" hidden="false" customHeight="false" outlineLevel="0" collapsed="false">
      <c r="A21" s="5" t="n">
        <f aca="false">IF(B21&lt;&gt;"", COUNTA($B$2:B21), "")</f>
        <v>20</v>
      </c>
      <c r="B21" s="7" t="s">
        <v>1789</v>
      </c>
      <c r="C21" s="12" t="s">
        <v>1790</v>
      </c>
      <c r="D21" s="92" t="n">
        <v>15621</v>
      </c>
      <c r="E21" s="8" t="n">
        <v>2010</v>
      </c>
      <c r="F21" s="5" t="s">
        <v>1791</v>
      </c>
      <c r="G21" s="5" t="n">
        <v>2.5</v>
      </c>
      <c r="H21" s="5" t="s">
        <v>1832</v>
      </c>
      <c r="I21" s="6" t="s">
        <v>1831</v>
      </c>
      <c r="J21" s="5" t="s">
        <v>32</v>
      </c>
      <c r="K21" s="5" t="n">
        <v>2012</v>
      </c>
      <c r="L21" s="5" t="n">
        <v>24</v>
      </c>
      <c r="M21" s="6" t="s">
        <v>1794</v>
      </c>
      <c r="N21" s="8" t="s">
        <v>1</v>
      </c>
    </row>
    <row r="22" customFormat="false" ht="15" hidden="false" customHeight="false" outlineLevel="0" collapsed="false">
      <c r="A22" s="39"/>
      <c r="B22" s="41"/>
      <c r="C22" s="39"/>
      <c r="D22" s="95"/>
      <c r="E22" s="42"/>
      <c r="F22" s="39"/>
      <c r="G22" s="39"/>
      <c r="H22" s="39"/>
      <c r="I22" s="45"/>
      <c r="J22" s="39"/>
      <c r="K22" s="39"/>
      <c r="L22" s="39"/>
      <c r="M22" s="45"/>
      <c r="N22" s="42"/>
    </row>
  </sheetData>
  <conditionalFormatting sqref="M1:M1048576">
    <cfRule type="expression" priority="2" aboveAverage="0" equalAverage="0" bottom="0" percent="0" rank="0" text="" dxfId="17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4" activeCellId="0" sqref="H14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17.58"/>
    <col collapsed="false" customWidth="true" hidden="false" outlineLevel="0" max="3" min="3" style="4" width="14.86"/>
    <col collapsed="false" customWidth="true" hidden="false" outlineLevel="0" max="4" min="4" style="4" width="9.29"/>
    <col collapsed="false" customWidth="true" hidden="false" outlineLevel="0" max="5" min="5" style="4" width="6.57"/>
    <col collapsed="false" customWidth="false" hidden="false" outlineLevel="0" max="7" min="6" style="4" width="9.14"/>
    <col collapsed="false" customWidth="true" hidden="false" outlineLevel="0" max="8" min="8" style="4" width="13.7"/>
    <col collapsed="false" customWidth="true" hidden="false" outlineLevel="0" max="9" min="9" style="4" width="20.57"/>
    <col collapsed="false" customWidth="true" hidden="false" outlineLevel="0" max="10" min="10" style="4" width="17.42"/>
    <col collapsed="false" customWidth="true" hidden="false" outlineLevel="0" max="11" min="11" style="4" width="8"/>
    <col collapsed="false" customWidth="true" hidden="false" outlineLevel="0" max="12" min="12" style="4" width="12.57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1167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s="101" customFormat="true" ht="15" hidden="false" customHeight="false" outlineLevel="0" collapsed="false">
      <c r="A2" s="96" t="n">
        <f aca="false">IF(B2&lt;&gt;"", COUNTA($B$2:B2), "")</f>
        <v>1</v>
      </c>
      <c r="B2" s="97" t="s">
        <v>27</v>
      </c>
      <c r="C2" s="96" t="s">
        <v>1833</v>
      </c>
      <c r="D2" s="98" t="n">
        <v>15673</v>
      </c>
      <c r="E2" s="99" t="n">
        <v>2018</v>
      </c>
      <c r="F2" s="96" t="s">
        <v>1162</v>
      </c>
      <c r="G2" s="96" t="n">
        <v>1.5</v>
      </c>
      <c r="H2" s="96" t="s">
        <v>1834</v>
      </c>
      <c r="I2" s="96" t="s">
        <v>1835</v>
      </c>
      <c r="J2" s="96" t="s">
        <v>32</v>
      </c>
      <c r="K2" s="96" t="n">
        <v>2019</v>
      </c>
      <c r="L2" s="96" t="n">
        <v>12</v>
      </c>
      <c r="M2" s="100" t="s">
        <v>41</v>
      </c>
      <c r="N2" s="96" t="s">
        <v>1</v>
      </c>
    </row>
    <row r="3" customFormat="false" ht="15" hidden="false" customHeight="false" outlineLevel="0" collapsed="false">
      <c r="A3" s="5" t="n">
        <f aca="false">IF(B3&lt;&gt;"", COUNTA($B$2:B3), "")</f>
        <v>2</v>
      </c>
      <c r="B3" s="5" t="s">
        <v>1836</v>
      </c>
      <c r="C3" s="5" t="s">
        <v>1837</v>
      </c>
      <c r="D3" s="5" t="n">
        <v>1207411</v>
      </c>
      <c r="E3" s="6" t="s">
        <v>425</v>
      </c>
      <c r="F3" s="19"/>
      <c r="G3" s="5" t="n">
        <v>2</v>
      </c>
      <c r="H3" s="5" t="s">
        <v>1661</v>
      </c>
      <c r="I3" s="5" t="s">
        <v>1835</v>
      </c>
      <c r="J3" s="5" t="s">
        <v>1838</v>
      </c>
      <c r="K3" s="5" t="n">
        <v>2012</v>
      </c>
      <c r="L3" s="5" t="s">
        <v>1839</v>
      </c>
      <c r="M3" s="20"/>
      <c r="N3" s="102"/>
    </row>
    <row r="4" customFormat="false" ht="22.5" hidden="false" customHeight="false" outlineLevel="0" collapsed="false">
      <c r="A4" s="5" t="n">
        <f aca="false">IF(B4&lt;&gt;"", COUNTA($B$2:B4), "")</f>
        <v>3</v>
      </c>
      <c r="B4" s="5" t="s">
        <v>57</v>
      </c>
      <c r="C4" s="5" t="s">
        <v>1840</v>
      </c>
      <c r="D4" s="5" t="s">
        <v>1841</v>
      </c>
      <c r="E4" s="6" t="s">
        <v>425</v>
      </c>
      <c r="F4" s="19" t="s">
        <v>1842</v>
      </c>
      <c r="G4" s="5" t="n">
        <v>0.1</v>
      </c>
      <c r="H4" s="5" t="s">
        <v>1843</v>
      </c>
      <c r="I4" s="5" t="s">
        <v>1835</v>
      </c>
      <c r="J4" s="5" t="s">
        <v>1838</v>
      </c>
      <c r="K4" s="5" t="n">
        <v>2012</v>
      </c>
      <c r="L4" s="5" t="s">
        <v>1844</v>
      </c>
      <c r="M4" s="20"/>
      <c r="N4" s="102"/>
    </row>
    <row r="5" s="101" customFormat="true" ht="15" hidden="false" customHeight="false" outlineLevel="0" collapsed="false">
      <c r="A5" s="96" t="n">
        <f aca="false">IF(B5&lt;&gt;"", COUNTA($B$2:B5), "")</f>
        <v>4</v>
      </c>
      <c r="B5" s="97" t="s">
        <v>27</v>
      </c>
      <c r="C5" s="96" t="s">
        <v>1833</v>
      </c>
      <c r="D5" s="98" t="n">
        <v>15166</v>
      </c>
      <c r="E5" s="99" t="n">
        <v>2018</v>
      </c>
      <c r="F5" s="96" t="s">
        <v>1162</v>
      </c>
      <c r="G5" s="96" t="n">
        <v>1.5</v>
      </c>
      <c r="H5" s="96" t="s">
        <v>1834</v>
      </c>
      <c r="I5" s="96" t="s">
        <v>1845</v>
      </c>
      <c r="J5" s="96" t="s">
        <v>32</v>
      </c>
      <c r="K5" s="96" t="n">
        <v>2019</v>
      </c>
      <c r="L5" s="96" t="n">
        <v>12</v>
      </c>
      <c r="M5" s="100" t="s">
        <v>41</v>
      </c>
      <c r="N5" s="96" t="s">
        <v>1</v>
      </c>
    </row>
    <row r="6" customFormat="false" ht="15" hidden="false" customHeight="false" outlineLevel="0" collapsed="false">
      <c r="A6" s="5" t="n">
        <f aca="false">IF(B6&lt;&gt;"", COUNTA($B$2:B6), "")</f>
        <v>5</v>
      </c>
      <c r="B6" s="5" t="s">
        <v>1836</v>
      </c>
      <c r="C6" s="5" t="s">
        <v>1837</v>
      </c>
      <c r="D6" s="5" t="n">
        <v>10320261</v>
      </c>
      <c r="E6" s="6" t="s">
        <v>425</v>
      </c>
      <c r="F6" s="19"/>
      <c r="G6" s="5" t="n">
        <v>2</v>
      </c>
      <c r="H6" s="5" t="s">
        <v>1661</v>
      </c>
      <c r="I6" s="5" t="s">
        <v>1845</v>
      </c>
      <c r="J6" s="5" t="s">
        <v>1838</v>
      </c>
      <c r="K6" s="5" t="n">
        <v>2012</v>
      </c>
      <c r="L6" s="5" t="s">
        <v>1839</v>
      </c>
      <c r="M6" s="20"/>
      <c r="N6" s="102"/>
    </row>
    <row r="7" customFormat="false" ht="22.5" hidden="false" customHeight="false" outlineLevel="0" collapsed="false">
      <c r="A7" s="5" t="n">
        <f aca="false">IF(B7&lt;&gt;"", COUNTA($B$2:B7), "")</f>
        <v>6</v>
      </c>
      <c r="B7" s="5" t="s">
        <v>57</v>
      </c>
      <c r="C7" s="5" t="s">
        <v>1840</v>
      </c>
      <c r="D7" s="5" t="s">
        <v>1846</v>
      </c>
      <c r="E7" s="6" t="s">
        <v>425</v>
      </c>
      <c r="F7" s="19" t="s">
        <v>1842</v>
      </c>
      <c r="G7" s="5" t="n">
        <v>0.1</v>
      </c>
      <c r="H7" s="5" t="s">
        <v>1843</v>
      </c>
      <c r="I7" s="5" t="s">
        <v>1845</v>
      </c>
      <c r="J7" s="5" t="s">
        <v>1838</v>
      </c>
      <c r="K7" s="5" t="n">
        <v>2012</v>
      </c>
      <c r="L7" s="5" t="s">
        <v>1844</v>
      </c>
      <c r="M7" s="20"/>
      <c r="N7" s="102"/>
    </row>
    <row r="8" s="101" customFormat="true" ht="15" hidden="false" customHeight="false" outlineLevel="0" collapsed="false">
      <c r="A8" s="96" t="n">
        <f aca="false">IF(B8&lt;&gt;"", COUNTA($B$2:B8), "")</f>
        <v>7</v>
      </c>
      <c r="B8" s="97" t="s">
        <v>27</v>
      </c>
      <c r="C8" s="96" t="s">
        <v>1833</v>
      </c>
      <c r="D8" s="98" t="n">
        <v>15164</v>
      </c>
      <c r="E8" s="99" t="n">
        <v>2018</v>
      </c>
      <c r="F8" s="96" t="s">
        <v>1162</v>
      </c>
      <c r="G8" s="96" t="n">
        <v>1.5</v>
      </c>
      <c r="H8" s="96" t="s">
        <v>1834</v>
      </c>
      <c r="I8" s="96" t="s">
        <v>1847</v>
      </c>
      <c r="J8" s="96" t="s">
        <v>32</v>
      </c>
      <c r="K8" s="96" t="n">
        <v>2019</v>
      </c>
      <c r="L8" s="96" t="n">
        <v>12</v>
      </c>
      <c r="M8" s="100" t="s">
        <v>41</v>
      </c>
      <c r="N8" s="96" t="s">
        <v>1</v>
      </c>
    </row>
    <row r="9" customFormat="false" ht="15" hidden="false" customHeight="false" outlineLevel="0" collapsed="false">
      <c r="A9" s="5" t="n">
        <f aca="false">IF(B9&lt;&gt;"", COUNTA($B$2:B9), "")</f>
        <v>8</v>
      </c>
      <c r="B9" s="5" t="s">
        <v>1836</v>
      </c>
      <c r="C9" s="5" t="s">
        <v>1837</v>
      </c>
      <c r="D9" s="5" t="n">
        <v>10320120</v>
      </c>
      <c r="E9" s="6" t="s">
        <v>425</v>
      </c>
      <c r="F9" s="19"/>
      <c r="G9" s="5" t="n">
        <v>2</v>
      </c>
      <c r="H9" s="5" t="s">
        <v>1661</v>
      </c>
      <c r="I9" s="5" t="s">
        <v>1847</v>
      </c>
      <c r="J9" s="5" t="s">
        <v>1838</v>
      </c>
      <c r="K9" s="5" t="n">
        <v>2012</v>
      </c>
      <c r="L9" s="5" t="s">
        <v>1839</v>
      </c>
      <c r="M9" s="20"/>
      <c r="N9" s="102"/>
    </row>
    <row r="10" customFormat="false" ht="22.5" hidden="false" customHeight="false" outlineLevel="0" collapsed="false">
      <c r="A10" s="5" t="n">
        <f aca="false">IF(B10&lt;&gt;"", COUNTA($B$2:B10), "")</f>
        <v>9</v>
      </c>
      <c r="B10" s="5" t="s">
        <v>57</v>
      </c>
      <c r="C10" s="5" t="s">
        <v>1840</v>
      </c>
      <c r="D10" s="5" t="s">
        <v>1848</v>
      </c>
      <c r="E10" s="6" t="s">
        <v>425</v>
      </c>
      <c r="F10" s="19" t="s">
        <v>1842</v>
      </c>
      <c r="G10" s="5" t="n">
        <v>0.1</v>
      </c>
      <c r="H10" s="5" t="s">
        <v>1843</v>
      </c>
      <c r="I10" s="5" t="s">
        <v>1847</v>
      </c>
      <c r="J10" s="5" t="s">
        <v>1838</v>
      </c>
      <c r="K10" s="5" t="n">
        <v>2012</v>
      </c>
      <c r="L10" s="5" t="s">
        <v>1844</v>
      </c>
      <c r="M10" s="20"/>
      <c r="N10" s="102"/>
    </row>
  </sheetData>
  <conditionalFormatting sqref="M1:M1048576">
    <cfRule type="expression" priority="2" aboveAverage="0" equalAverage="0" bottom="0" percent="0" rank="0" text="" dxfId="18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3.14"/>
    <col collapsed="false" customWidth="true" hidden="false" outlineLevel="0" max="2" min="2" style="0" width="10.99"/>
    <col collapsed="false" customWidth="true" hidden="false" outlineLevel="0" max="3" min="3" style="0" width="5.28"/>
    <col collapsed="false" customWidth="true" hidden="false" outlineLevel="0" max="4" min="4" style="0" width="8"/>
    <col collapsed="false" customWidth="true" hidden="false" outlineLevel="0" max="5" min="5" style="0" width="6.57"/>
    <col collapsed="false" customWidth="true" hidden="false" outlineLevel="0" max="6" min="6" style="0" width="9.14"/>
    <col collapsed="false" customWidth="true" hidden="false" outlineLevel="0" max="7" min="7" style="0" width="7.42"/>
    <col collapsed="false" customWidth="true" hidden="false" outlineLevel="0" max="8" min="8" style="0" width="8"/>
    <col collapsed="false" customWidth="true" hidden="false" outlineLevel="0" max="9" min="9" style="0" width="9.42"/>
    <col collapsed="false" customWidth="true" hidden="false" outlineLevel="0" max="10" min="10" style="0" width="17.42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8.86"/>
    <col collapsed="false" customWidth="true" hidden="false" outlineLevel="0" max="14" min="14" style="0" width="9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5" hidden="false" customHeight="false" outlineLevel="0" collapsed="false">
      <c r="A2" s="5" t="n">
        <f aca="false">IF(B2&lt;&gt;"", COUNTA($B$2:B2), "")</f>
        <v>1</v>
      </c>
      <c r="B2" s="5" t="s">
        <v>1849</v>
      </c>
      <c r="C2" s="5" t="s">
        <v>1850</v>
      </c>
      <c r="D2" s="6" t="s">
        <v>1851</v>
      </c>
      <c r="E2" s="17" t="n">
        <v>2009</v>
      </c>
      <c r="F2" s="5" t="s">
        <v>1852</v>
      </c>
      <c r="G2" s="5" t="n">
        <v>0.25</v>
      </c>
      <c r="H2" s="6"/>
      <c r="I2" s="5" t="s">
        <v>1853</v>
      </c>
      <c r="J2" s="5" t="s">
        <v>32</v>
      </c>
      <c r="K2" s="17" t="n">
        <v>2008</v>
      </c>
      <c r="L2" s="5" t="n">
        <v>12</v>
      </c>
      <c r="M2" s="6"/>
      <c r="N2" s="8"/>
    </row>
    <row r="3" customFormat="false" ht="15" hidden="false" customHeight="false" outlineLevel="0" collapsed="false">
      <c r="A3" s="5" t="n">
        <f aca="false">IF(B3&lt;&gt;"", COUNTA($B$2:B3), "")</f>
        <v>2</v>
      </c>
      <c r="B3" s="5" t="s">
        <v>1849</v>
      </c>
      <c r="C3" s="5" t="s">
        <v>1850</v>
      </c>
      <c r="D3" s="6" t="s">
        <v>1854</v>
      </c>
      <c r="E3" s="17" t="n">
        <v>2009</v>
      </c>
      <c r="F3" s="5" t="s">
        <v>1852</v>
      </c>
      <c r="G3" s="5" t="n">
        <v>0.25</v>
      </c>
      <c r="H3" s="6"/>
      <c r="I3" s="5" t="s">
        <v>1853</v>
      </c>
      <c r="J3" s="5" t="s">
        <v>32</v>
      </c>
      <c r="K3" s="17" t="n">
        <v>2008</v>
      </c>
      <c r="L3" s="5" t="n">
        <v>12</v>
      </c>
      <c r="M3" s="6"/>
      <c r="N3" s="8"/>
    </row>
    <row r="4" customFormat="false" ht="15" hidden="false" customHeight="false" outlineLevel="0" collapsed="false">
      <c r="A4" s="5" t="n">
        <f aca="false">IF(B4&lt;&gt;"", COUNTA($B$2:B4), "")</f>
        <v>3</v>
      </c>
      <c r="B4" s="5" t="s">
        <v>1849</v>
      </c>
      <c r="C4" s="5" t="s">
        <v>1850</v>
      </c>
      <c r="D4" s="6" t="s">
        <v>1855</v>
      </c>
      <c r="E4" s="17" t="n">
        <v>2009</v>
      </c>
      <c r="F4" s="5" t="s">
        <v>1852</v>
      </c>
      <c r="G4" s="5" t="n">
        <v>0.25</v>
      </c>
      <c r="H4" s="6"/>
      <c r="I4" s="5" t="s">
        <v>1853</v>
      </c>
      <c r="J4" s="5" t="s">
        <v>32</v>
      </c>
      <c r="K4" s="17" t="n">
        <v>2008</v>
      </c>
      <c r="L4" s="5" t="n">
        <v>12</v>
      </c>
      <c r="M4" s="6"/>
      <c r="N4" s="8"/>
    </row>
  </sheetData>
  <conditionalFormatting sqref="D2:D4">
    <cfRule type="duplicateValues" priority="2" aboveAverage="0" equalAverage="0" bottom="0" percent="0" rank="0" text="" dxfId="19"/>
  </conditionalFormatting>
  <conditionalFormatting sqref="M1:M1048576">
    <cfRule type="expression" priority="3" aboveAverage="0" equalAverage="0" bottom="0" percent="0" rank="0" text="" dxfId="2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9" activeCellId="0" sqref="F19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71"/>
    <col collapsed="false" customWidth="true" hidden="false" outlineLevel="0" max="2" min="2" style="4" width="17.58"/>
    <col collapsed="false" customWidth="true" hidden="false" outlineLevel="0" max="3" min="3" style="4" width="14.57"/>
    <col collapsed="false" customWidth="true" hidden="false" outlineLevel="0" max="4" min="4" style="4" width="9.29"/>
    <col collapsed="false" customWidth="true" hidden="false" outlineLevel="0" max="5" min="5" style="4" width="6.57"/>
    <col collapsed="false" customWidth="true" hidden="false" outlineLevel="0" max="6" min="6" style="4" width="10.99"/>
    <col collapsed="false" customWidth="true" hidden="false" outlineLevel="0" max="7" min="7" style="4" width="7.42"/>
    <col collapsed="false" customWidth="true" hidden="false" outlineLevel="0" max="8" min="8" style="4" width="20.86"/>
    <col collapsed="false" customWidth="true" hidden="false" outlineLevel="0" max="9" min="9" style="4" width="11.29"/>
    <col collapsed="false" customWidth="true" hidden="false" outlineLevel="0" max="10" min="10" style="4" width="11.14"/>
    <col collapsed="false" customWidth="true" hidden="false" outlineLevel="0" max="11" min="11" style="4" width="8"/>
    <col collapsed="false" customWidth="true" hidden="false" outlineLevel="0" max="12" min="12" style="4" width="7.2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22.5" hidden="false" customHeight="false" outlineLevel="0" collapsed="false">
      <c r="A2" s="5" t="n">
        <f aca="false">IF(B2&lt;&gt;"", COUNTA($B$2:B2), "")</f>
        <v>1</v>
      </c>
      <c r="B2" s="7" t="s">
        <v>27</v>
      </c>
      <c r="C2" s="12" t="s">
        <v>1856</v>
      </c>
      <c r="D2" s="92"/>
      <c r="E2" s="16" t="n">
        <v>2010</v>
      </c>
      <c r="F2" s="5" t="s">
        <v>1857</v>
      </c>
      <c r="G2" s="10"/>
      <c r="H2" s="5" t="s">
        <v>1858</v>
      </c>
      <c r="I2" s="5" t="s">
        <v>1618</v>
      </c>
      <c r="J2" s="5" t="s">
        <v>32</v>
      </c>
      <c r="K2" s="5" t="n">
        <v>2012</v>
      </c>
      <c r="L2" s="5"/>
      <c r="M2" s="6"/>
      <c r="N2" s="8"/>
    </row>
    <row r="3" customFormat="false" ht="22.5" hidden="false" customHeight="false" outlineLevel="0" collapsed="false">
      <c r="A3" s="5" t="n">
        <f aca="false">IF(B3&lt;&gt;"", COUNTA($B$2:B3), "")</f>
        <v>2</v>
      </c>
      <c r="B3" s="7" t="s">
        <v>27</v>
      </c>
      <c r="C3" s="12" t="s">
        <v>1856</v>
      </c>
      <c r="D3" s="92"/>
      <c r="E3" s="16" t="n">
        <v>2010</v>
      </c>
      <c r="F3" s="5" t="s">
        <v>1857</v>
      </c>
      <c r="G3" s="10"/>
      <c r="H3" s="5" t="s">
        <v>1858</v>
      </c>
      <c r="I3" s="5" t="s">
        <v>1618</v>
      </c>
      <c r="J3" s="5" t="s">
        <v>32</v>
      </c>
      <c r="K3" s="5" t="n">
        <v>2012</v>
      </c>
      <c r="L3" s="5"/>
      <c r="M3" s="6"/>
      <c r="N3" s="8"/>
    </row>
    <row r="4" customFormat="false" ht="22.5" hidden="false" customHeight="false" outlineLevel="0" collapsed="false">
      <c r="A4" s="5" t="n">
        <f aca="false">IF(B4&lt;&gt;"", COUNTA($B$2:B4), "")</f>
        <v>3</v>
      </c>
      <c r="B4" s="7" t="s">
        <v>27</v>
      </c>
      <c r="C4" s="12" t="s">
        <v>1856</v>
      </c>
      <c r="D4" s="92"/>
      <c r="E4" s="16" t="n">
        <v>2010</v>
      </c>
      <c r="F4" s="5" t="s">
        <v>1857</v>
      </c>
      <c r="G4" s="10"/>
      <c r="H4" s="5" t="s">
        <v>1859</v>
      </c>
      <c r="I4" s="5" t="s">
        <v>1618</v>
      </c>
      <c r="J4" s="5" t="s">
        <v>32</v>
      </c>
      <c r="K4" s="5" t="n">
        <v>2012</v>
      </c>
      <c r="L4" s="5"/>
      <c r="M4" s="6"/>
      <c r="N4" s="8"/>
    </row>
    <row r="5" customFormat="false" ht="22.5" hidden="false" customHeight="false" outlineLevel="0" collapsed="false">
      <c r="A5" s="5" t="n">
        <f aca="false">IF(B5&lt;&gt;"", COUNTA($B$2:B5), "")</f>
        <v>4</v>
      </c>
      <c r="B5" s="7" t="s">
        <v>27</v>
      </c>
      <c r="C5" s="12" t="s">
        <v>1856</v>
      </c>
      <c r="D5" s="92"/>
      <c r="E5" s="16" t="n">
        <v>2010</v>
      </c>
      <c r="F5" s="5" t="s">
        <v>1857</v>
      </c>
      <c r="G5" s="10"/>
      <c r="H5" s="5" t="s">
        <v>1860</v>
      </c>
      <c r="I5" s="5" t="s">
        <v>1618</v>
      </c>
      <c r="J5" s="5" t="s">
        <v>32</v>
      </c>
      <c r="K5" s="5" t="n">
        <v>2012</v>
      </c>
      <c r="L5" s="5"/>
      <c r="M5" s="6"/>
      <c r="N5" s="8"/>
    </row>
    <row r="6" customFormat="false" ht="22.5" hidden="false" customHeight="false" outlineLevel="0" collapsed="false">
      <c r="A6" s="5" t="n">
        <f aca="false">IF(B6&lt;&gt;"", COUNTA($B$2:B6), "")</f>
        <v>5</v>
      </c>
      <c r="B6" s="7" t="s">
        <v>27</v>
      </c>
      <c r="C6" s="12" t="s">
        <v>1856</v>
      </c>
      <c r="D6" s="78"/>
      <c r="E6" s="16" t="n">
        <v>2010</v>
      </c>
      <c r="F6" s="5" t="s">
        <v>1857</v>
      </c>
      <c r="G6" s="10"/>
      <c r="H6" s="5" t="s">
        <v>1861</v>
      </c>
      <c r="I6" s="5" t="s">
        <v>1618</v>
      </c>
      <c r="J6" s="5" t="s">
        <v>32</v>
      </c>
      <c r="K6" s="5" t="n">
        <v>2012</v>
      </c>
      <c r="L6" s="5"/>
      <c r="M6" s="6"/>
      <c r="N6" s="8"/>
    </row>
    <row r="7" customFormat="false" ht="22.5" hidden="false" customHeight="false" outlineLevel="0" collapsed="false">
      <c r="A7" s="5" t="n">
        <f aca="false">IF(B7&lt;&gt;"", COUNTA($B$2:B7), "")</f>
        <v>6</v>
      </c>
      <c r="B7" s="7" t="s">
        <v>27</v>
      </c>
      <c r="C7" s="12" t="s">
        <v>1856</v>
      </c>
      <c r="D7" s="78"/>
      <c r="E7" s="16" t="n">
        <v>2010</v>
      </c>
      <c r="F7" s="5" t="s">
        <v>1857</v>
      </c>
      <c r="G7" s="10"/>
      <c r="H7" s="5" t="s">
        <v>1862</v>
      </c>
      <c r="I7" s="5" t="s">
        <v>1618</v>
      </c>
      <c r="J7" s="5" t="s">
        <v>32</v>
      </c>
      <c r="K7" s="5" t="n">
        <v>2012</v>
      </c>
      <c r="L7" s="5"/>
      <c r="M7" s="6"/>
      <c r="N7" s="8"/>
    </row>
    <row r="8" customFormat="false" ht="22.5" hidden="false" customHeight="false" outlineLevel="0" collapsed="false">
      <c r="A8" s="5" t="n">
        <f aca="false">IF(B8&lt;&gt;"", COUNTA($B$2:B8), "")</f>
        <v>7</v>
      </c>
      <c r="B8" s="7" t="s">
        <v>27</v>
      </c>
      <c r="C8" s="12" t="s">
        <v>1856</v>
      </c>
      <c r="D8" s="78"/>
      <c r="E8" s="16" t="n">
        <v>2010</v>
      </c>
      <c r="F8" s="5" t="s">
        <v>1863</v>
      </c>
      <c r="G8" s="10"/>
      <c r="H8" s="5" t="s">
        <v>1864</v>
      </c>
      <c r="I8" s="5" t="s">
        <v>1618</v>
      </c>
      <c r="J8" s="5" t="s">
        <v>32</v>
      </c>
      <c r="K8" s="5" t="n">
        <v>2012</v>
      </c>
      <c r="L8" s="5"/>
      <c r="M8" s="6"/>
      <c r="N8" s="8"/>
    </row>
    <row r="9" customFormat="false" ht="22.5" hidden="false" customHeight="false" outlineLevel="0" collapsed="false">
      <c r="A9" s="5" t="n">
        <f aca="false">IF(B9&lt;&gt;"", COUNTA($B$2:B9), "")</f>
        <v>8</v>
      </c>
      <c r="B9" s="7" t="s">
        <v>27</v>
      </c>
      <c r="C9" s="12" t="s">
        <v>1856</v>
      </c>
      <c r="D9" s="78"/>
      <c r="E9" s="16" t="n">
        <v>2010</v>
      </c>
      <c r="F9" s="5" t="s">
        <v>1863</v>
      </c>
      <c r="G9" s="10"/>
      <c r="H9" s="5" t="s">
        <v>1865</v>
      </c>
      <c r="I9" s="5" t="s">
        <v>1618</v>
      </c>
      <c r="J9" s="5" t="s">
        <v>32</v>
      </c>
      <c r="K9" s="5" t="n">
        <v>2012</v>
      </c>
      <c r="L9" s="5"/>
      <c r="M9" s="6"/>
      <c r="N9" s="8"/>
    </row>
    <row r="10" customFormat="false" ht="33.75" hidden="false" customHeight="false" outlineLevel="0" collapsed="false">
      <c r="A10" s="5" t="n">
        <f aca="false">IF(B10&lt;&gt;"", COUNTA($B$2:B10), "")</f>
        <v>9</v>
      </c>
      <c r="B10" s="7" t="s">
        <v>27</v>
      </c>
      <c r="C10" s="12" t="s">
        <v>1856</v>
      </c>
      <c r="D10" s="78"/>
      <c r="E10" s="16" t="n">
        <v>2010</v>
      </c>
      <c r="F10" s="5" t="s">
        <v>1866</v>
      </c>
      <c r="G10" s="10"/>
      <c r="H10" s="5" t="s">
        <v>1867</v>
      </c>
      <c r="I10" s="5" t="s">
        <v>1868</v>
      </c>
      <c r="J10" s="5" t="s">
        <v>32</v>
      </c>
      <c r="K10" s="5" t="n">
        <v>2012</v>
      </c>
      <c r="L10" s="5"/>
      <c r="M10" s="6"/>
      <c r="N10" s="8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7" t="s">
        <v>27</v>
      </c>
      <c r="C11" s="12" t="s">
        <v>1869</v>
      </c>
      <c r="D11" s="78"/>
      <c r="E11" s="16" t="n">
        <v>2010</v>
      </c>
      <c r="F11" s="5" t="s">
        <v>1866</v>
      </c>
      <c r="G11" s="10" t="n">
        <v>2.5</v>
      </c>
      <c r="H11" s="5" t="s">
        <v>1870</v>
      </c>
      <c r="I11" s="5" t="s">
        <v>1868</v>
      </c>
      <c r="J11" s="5" t="s">
        <v>32</v>
      </c>
      <c r="K11" s="5" t="n">
        <v>2012</v>
      </c>
      <c r="L11" s="5"/>
      <c r="M11" s="6"/>
      <c r="N11" s="8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7" t="s">
        <v>27</v>
      </c>
      <c r="C12" s="12" t="s">
        <v>1869</v>
      </c>
      <c r="D12" s="78"/>
      <c r="E12" s="16" t="n">
        <v>2010</v>
      </c>
      <c r="F12" s="5" t="s">
        <v>1866</v>
      </c>
      <c r="G12" s="10" t="n">
        <v>2.5</v>
      </c>
      <c r="H12" s="5" t="s">
        <v>1871</v>
      </c>
      <c r="I12" s="5" t="s">
        <v>1868</v>
      </c>
      <c r="J12" s="5" t="s">
        <v>32</v>
      </c>
      <c r="K12" s="5" t="n">
        <v>2012</v>
      </c>
      <c r="L12" s="5"/>
      <c r="M12" s="6"/>
      <c r="N12" s="8"/>
    </row>
    <row r="13" customFormat="false" ht="22.5" hidden="false" customHeight="false" outlineLevel="0" collapsed="false">
      <c r="A13" s="5" t="n">
        <f aca="false">IF(B13&lt;&gt;"", COUNTA($B$2:B13), "")</f>
        <v>12</v>
      </c>
      <c r="B13" s="7" t="s">
        <v>27</v>
      </c>
      <c r="C13" s="12" t="s">
        <v>1872</v>
      </c>
      <c r="D13" s="78"/>
      <c r="E13" s="16" t="n">
        <v>2010</v>
      </c>
      <c r="F13" s="5" t="s">
        <v>1873</v>
      </c>
      <c r="G13" s="10"/>
      <c r="H13" s="5" t="s">
        <v>1874</v>
      </c>
      <c r="I13" s="5" t="s">
        <v>1868</v>
      </c>
      <c r="J13" s="5" t="s">
        <v>32</v>
      </c>
      <c r="K13" s="5" t="n">
        <v>2012</v>
      </c>
      <c r="L13" s="5"/>
      <c r="M13" s="6"/>
      <c r="N13" s="8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7" t="s">
        <v>27</v>
      </c>
      <c r="C14" s="12" t="s">
        <v>1872</v>
      </c>
      <c r="D14" s="12"/>
      <c r="E14" s="16" t="n">
        <v>2010</v>
      </c>
      <c r="F14" s="5" t="s">
        <v>1875</v>
      </c>
      <c r="G14" s="10"/>
      <c r="H14" s="5" t="s">
        <v>1876</v>
      </c>
      <c r="I14" s="5" t="s">
        <v>1868</v>
      </c>
      <c r="J14" s="5" t="s">
        <v>32</v>
      </c>
      <c r="K14" s="5" t="n">
        <v>2012</v>
      </c>
      <c r="L14" s="5"/>
      <c r="M14" s="6"/>
      <c r="N14" s="8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7" t="s">
        <v>27</v>
      </c>
      <c r="C15" s="12" t="s">
        <v>1872</v>
      </c>
      <c r="D15" s="12"/>
      <c r="E15" s="16" t="n">
        <v>2010</v>
      </c>
      <c r="F15" s="5" t="s">
        <v>1873</v>
      </c>
      <c r="G15" s="10"/>
      <c r="H15" s="5" t="s">
        <v>1877</v>
      </c>
      <c r="I15" s="5" t="s">
        <v>1868</v>
      </c>
      <c r="J15" s="5" t="s">
        <v>32</v>
      </c>
      <c r="K15" s="5" t="n">
        <v>2012</v>
      </c>
      <c r="L15" s="5"/>
      <c r="M15" s="6"/>
      <c r="N15" s="8"/>
    </row>
    <row r="16" customFormat="false" ht="15" hidden="false" customHeight="false" outlineLevel="0" collapsed="false">
      <c r="A16" s="5"/>
      <c r="B16" s="103" t="s">
        <v>1878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</row>
    <row r="17" customFormat="false" ht="22.5" hidden="false" customHeight="false" outlineLevel="0" collapsed="false">
      <c r="A17" s="5" t="n">
        <f aca="false">IF(B17&lt;&gt;"", COUNTA($B$2:B17), "")</f>
        <v>16</v>
      </c>
      <c r="B17" s="104" t="s">
        <v>27</v>
      </c>
      <c r="C17" s="105" t="s">
        <v>1879</v>
      </c>
      <c r="D17" s="105" t="s">
        <v>1880</v>
      </c>
      <c r="E17" s="106" t="n">
        <v>2010</v>
      </c>
      <c r="F17" s="5" t="s">
        <v>1866</v>
      </c>
      <c r="G17" s="105" t="n">
        <v>1.5</v>
      </c>
      <c r="H17" s="107" t="s">
        <v>1881</v>
      </c>
      <c r="I17" s="107" t="s">
        <v>197</v>
      </c>
      <c r="J17" s="107" t="s">
        <v>32</v>
      </c>
      <c r="K17" s="107" t="n">
        <v>2012</v>
      </c>
      <c r="L17" s="30"/>
      <c r="M17" s="30"/>
      <c r="N17" s="30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7" t="s">
        <v>27</v>
      </c>
      <c r="C18" s="8" t="s">
        <v>1882</v>
      </c>
      <c r="D18" s="8" t="n">
        <v>84999</v>
      </c>
      <c r="E18" s="16" t="n">
        <v>2010</v>
      </c>
      <c r="F18" s="5" t="s">
        <v>1857</v>
      </c>
      <c r="G18" s="19" t="s">
        <v>1883</v>
      </c>
      <c r="H18" s="5" t="s">
        <v>1884</v>
      </c>
      <c r="I18" s="5" t="s">
        <v>197</v>
      </c>
      <c r="J18" s="5" t="s">
        <v>32</v>
      </c>
      <c r="K18" s="5" t="n">
        <v>2012</v>
      </c>
      <c r="L18" s="30"/>
      <c r="M18" s="30"/>
      <c r="N18" s="30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27</v>
      </c>
      <c r="C19" s="8" t="s">
        <v>1882</v>
      </c>
      <c r="D19" s="8" t="n">
        <v>85003</v>
      </c>
      <c r="E19" s="16" t="n">
        <v>2010</v>
      </c>
      <c r="F19" s="5" t="s">
        <v>1885</v>
      </c>
      <c r="G19" s="8" t="n">
        <v>2.5</v>
      </c>
      <c r="H19" s="5" t="s">
        <v>1884</v>
      </c>
      <c r="I19" s="5" t="s">
        <v>197</v>
      </c>
      <c r="J19" s="5" t="s">
        <v>32</v>
      </c>
      <c r="K19" s="5" t="n">
        <v>2012</v>
      </c>
      <c r="L19" s="30"/>
      <c r="M19" s="30"/>
      <c r="N19" s="30"/>
    </row>
    <row r="20" customFormat="false" ht="22.5" hidden="false" customHeight="false" outlineLevel="0" collapsed="false">
      <c r="A20" s="5" t="n">
        <f aca="false">IF(B20&lt;&gt;"", COUNTA($B$2:B20), "")</f>
        <v>19</v>
      </c>
      <c r="B20" s="7" t="s">
        <v>27</v>
      </c>
      <c r="C20" s="12" t="s">
        <v>1886</v>
      </c>
      <c r="D20" s="78" t="s">
        <v>1887</v>
      </c>
      <c r="E20" s="16" t="n">
        <v>2010</v>
      </c>
      <c r="F20" s="5" t="s">
        <v>1888</v>
      </c>
      <c r="G20" s="10" t="n">
        <v>1.6</v>
      </c>
      <c r="H20" s="5" t="s">
        <v>1889</v>
      </c>
      <c r="I20" s="107" t="s">
        <v>197</v>
      </c>
      <c r="J20" s="5" t="s">
        <v>32</v>
      </c>
      <c r="K20" s="5" t="n">
        <v>2013</v>
      </c>
      <c r="L20" s="30"/>
      <c r="M20" s="30"/>
      <c r="N20" s="30"/>
    </row>
    <row r="21" customFormat="false" ht="22.5" hidden="false" customHeight="false" outlineLevel="0" collapsed="false">
      <c r="A21" s="5" t="n">
        <f aca="false">IF(B21&lt;&gt;"", COUNTA($B$2:B21), "")</f>
        <v>20</v>
      </c>
      <c r="B21" s="7" t="s">
        <v>27</v>
      </c>
      <c r="C21" s="12" t="s">
        <v>1886</v>
      </c>
      <c r="D21" s="78" t="s">
        <v>1890</v>
      </c>
      <c r="E21" s="16" t="n">
        <v>2010</v>
      </c>
      <c r="F21" s="5" t="s">
        <v>1888</v>
      </c>
      <c r="G21" s="10" t="n">
        <v>1.6</v>
      </c>
      <c r="H21" s="5" t="s">
        <v>1891</v>
      </c>
      <c r="I21" s="5" t="s">
        <v>197</v>
      </c>
      <c r="J21" s="5" t="s">
        <v>32</v>
      </c>
      <c r="K21" s="5" t="n">
        <v>2013</v>
      </c>
      <c r="L21" s="30"/>
      <c r="M21" s="30"/>
      <c r="N21" s="30"/>
    </row>
    <row r="22" customFormat="false" ht="22.5" hidden="false" customHeight="false" outlineLevel="0" collapsed="false">
      <c r="A22" s="5" t="n">
        <f aca="false">IF(B22&lt;&gt;"", COUNTA($B$2:B22), "")</f>
        <v>21</v>
      </c>
      <c r="B22" s="7" t="s">
        <v>27</v>
      </c>
      <c r="C22" s="12" t="s">
        <v>1892</v>
      </c>
      <c r="D22" s="78" t="s">
        <v>1893</v>
      </c>
      <c r="E22" s="16" t="n">
        <v>2010</v>
      </c>
      <c r="F22" s="15" t="s">
        <v>1894</v>
      </c>
      <c r="G22" s="10" t="n">
        <v>1.6</v>
      </c>
      <c r="H22" s="5" t="s">
        <v>1895</v>
      </c>
      <c r="I22" s="5" t="s">
        <v>197</v>
      </c>
      <c r="J22" s="5" t="s">
        <v>32</v>
      </c>
      <c r="K22" s="5" t="n">
        <v>2013</v>
      </c>
      <c r="L22" s="30"/>
      <c r="M22" s="30"/>
      <c r="N22" s="30"/>
    </row>
    <row r="23" customFormat="false" ht="22.5" hidden="false" customHeight="false" outlineLevel="0" collapsed="false">
      <c r="A23" s="5" t="n">
        <f aca="false">IF(B23&lt;&gt;"", COUNTA($B$2:B23), "")</f>
        <v>22</v>
      </c>
      <c r="B23" s="7" t="s">
        <v>27</v>
      </c>
      <c r="C23" s="12" t="s">
        <v>1892</v>
      </c>
      <c r="D23" s="78" t="s">
        <v>1896</v>
      </c>
      <c r="E23" s="16" t="n">
        <v>2010</v>
      </c>
      <c r="F23" s="15" t="s">
        <v>1897</v>
      </c>
      <c r="G23" s="10" t="n">
        <v>2.5</v>
      </c>
      <c r="H23" s="5" t="s">
        <v>1895</v>
      </c>
      <c r="I23" s="107" t="s">
        <v>197</v>
      </c>
      <c r="J23" s="5" t="s">
        <v>32</v>
      </c>
      <c r="K23" s="5" t="n">
        <v>2013</v>
      </c>
      <c r="L23" s="30"/>
      <c r="M23" s="30"/>
      <c r="N23" s="30"/>
    </row>
    <row r="24" customFormat="false" ht="22.5" hidden="false" customHeight="false" outlineLevel="0" collapsed="false">
      <c r="A24" s="5" t="n">
        <f aca="false">IF(B24&lt;&gt;"", COUNTA($B$2:B24), "")</f>
        <v>23</v>
      </c>
      <c r="B24" s="7" t="s">
        <v>27</v>
      </c>
      <c r="C24" s="12" t="s">
        <v>1892</v>
      </c>
      <c r="D24" s="78" t="s">
        <v>1898</v>
      </c>
      <c r="E24" s="16" t="n">
        <v>2010</v>
      </c>
      <c r="F24" s="15" t="s">
        <v>1897</v>
      </c>
      <c r="G24" s="10" t="n">
        <v>2.5</v>
      </c>
      <c r="H24" s="5" t="s">
        <v>1895</v>
      </c>
      <c r="I24" s="5" t="s">
        <v>197</v>
      </c>
      <c r="J24" s="5" t="s">
        <v>32</v>
      </c>
      <c r="K24" s="5" t="n">
        <v>2013</v>
      </c>
      <c r="L24" s="30"/>
      <c r="M24" s="30"/>
      <c r="N24" s="30"/>
    </row>
    <row r="25" customFormat="false" ht="22.5" hidden="false" customHeight="false" outlineLevel="0" collapsed="false">
      <c r="A25" s="5" t="n">
        <f aca="false">IF(B25&lt;&gt;"", COUNTA($B$2:B25), "")</f>
        <v>24</v>
      </c>
      <c r="B25" s="7" t="s">
        <v>27</v>
      </c>
      <c r="C25" s="12" t="s">
        <v>1886</v>
      </c>
      <c r="D25" s="78" t="s">
        <v>1899</v>
      </c>
      <c r="E25" s="16" t="n">
        <v>2010</v>
      </c>
      <c r="F25" s="5" t="s">
        <v>1888</v>
      </c>
      <c r="G25" s="10" t="n">
        <v>1.6</v>
      </c>
      <c r="H25" s="5" t="s">
        <v>1900</v>
      </c>
      <c r="I25" s="5" t="s">
        <v>197</v>
      </c>
      <c r="J25" s="5" t="s">
        <v>32</v>
      </c>
      <c r="K25" s="5" t="n">
        <v>2013</v>
      </c>
      <c r="L25" s="30"/>
      <c r="M25" s="30"/>
      <c r="N25" s="30"/>
    </row>
    <row r="26" customFormat="false" ht="22.5" hidden="false" customHeight="false" outlineLevel="0" collapsed="false">
      <c r="A26" s="5" t="n">
        <f aca="false">IF(B26&lt;&gt;"", COUNTA($B$2:B26), "")</f>
        <v>25</v>
      </c>
      <c r="B26" s="7" t="s">
        <v>27</v>
      </c>
      <c r="C26" s="12" t="s">
        <v>1886</v>
      </c>
      <c r="D26" s="78" t="s">
        <v>1901</v>
      </c>
      <c r="E26" s="16" t="n">
        <v>2010</v>
      </c>
      <c r="F26" s="5" t="s">
        <v>1888</v>
      </c>
      <c r="G26" s="10" t="n">
        <v>1.6</v>
      </c>
      <c r="H26" s="5" t="s">
        <v>1902</v>
      </c>
      <c r="I26" s="107" t="s">
        <v>197</v>
      </c>
      <c r="J26" s="5" t="s">
        <v>32</v>
      </c>
      <c r="K26" s="5" t="n">
        <v>2013</v>
      </c>
      <c r="L26" s="30"/>
      <c r="M26" s="30"/>
      <c r="N26" s="30"/>
    </row>
    <row r="27" customFormat="false" ht="22.5" hidden="false" customHeight="false" outlineLevel="0" collapsed="false">
      <c r="A27" s="5" t="n">
        <f aca="false">IF(B27&lt;&gt;"", COUNTA($B$2:B27), "")</f>
        <v>26</v>
      </c>
      <c r="B27" s="7" t="s">
        <v>27</v>
      </c>
      <c r="C27" s="8" t="s">
        <v>1879</v>
      </c>
      <c r="D27" s="8" t="s">
        <v>1903</v>
      </c>
      <c r="E27" s="16" t="n">
        <v>2010</v>
      </c>
      <c r="F27" s="5" t="s">
        <v>1866</v>
      </c>
      <c r="G27" s="8" t="n">
        <v>1.5</v>
      </c>
      <c r="H27" s="5" t="s">
        <v>1881</v>
      </c>
      <c r="I27" s="8" t="s">
        <v>623</v>
      </c>
      <c r="J27" s="5" t="s">
        <v>32</v>
      </c>
      <c r="K27" s="5" t="n">
        <v>2012</v>
      </c>
      <c r="L27" s="30"/>
      <c r="M27" s="30"/>
      <c r="N27" s="30"/>
    </row>
    <row r="28" customFormat="false" ht="22.5" hidden="false" customHeight="false" outlineLevel="0" collapsed="false">
      <c r="A28" s="5" t="n">
        <f aca="false">IF(B28&lt;&gt;"", COUNTA($B$2:B28), "")</f>
        <v>27</v>
      </c>
      <c r="B28" s="7" t="s">
        <v>27</v>
      </c>
      <c r="C28" s="8" t="s">
        <v>1882</v>
      </c>
      <c r="D28" s="8" t="n">
        <v>85001</v>
      </c>
      <c r="E28" s="16" t="n">
        <v>2010</v>
      </c>
      <c r="F28" s="5" t="s">
        <v>1857</v>
      </c>
      <c r="G28" s="8" t="n">
        <v>2.5</v>
      </c>
      <c r="H28" s="5" t="s">
        <v>1884</v>
      </c>
      <c r="I28" s="8" t="s">
        <v>623</v>
      </c>
      <c r="J28" s="5" t="s">
        <v>32</v>
      </c>
      <c r="K28" s="5" t="n">
        <v>2012</v>
      </c>
      <c r="L28" s="30"/>
      <c r="M28" s="30"/>
      <c r="N28" s="30"/>
    </row>
    <row r="29" customFormat="false" ht="22.5" hidden="false" customHeight="false" outlineLevel="0" collapsed="false">
      <c r="A29" s="5" t="n">
        <f aca="false">IF(B29&lt;&gt;"", COUNTA($B$2:B29), "")</f>
        <v>28</v>
      </c>
      <c r="B29" s="7" t="s">
        <v>27</v>
      </c>
      <c r="C29" s="8" t="s">
        <v>1882</v>
      </c>
      <c r="D29" s="8" t="n">
        <v>85007</v>
      </c>
      <c r="E29" s="16" t="n">
        <v>2010</v>
      </c>
      <c r="F29" s="5" t="s">
        <v>1885</v>
      </c>
      <c r="G29" s="8" t="n">
        <v>2.5</v>
      </c>
      <c r="H29" s="5" t="s">
        <v>1904</v>
      </c>
      <c r="I29" s="8" t="s">
        <v>623</v>
      </c>
      <c r="J29" s="5" t="s">
        <v>32</v>
      </c>
      <c r="K29" s="5" t="n">
        <v>2012</v>
      </c>
      <c r="L29" s="30"/>
      <c r="M29" s="30"/>
      <c r="N29" s="30"/>
    </row>
    <row r="30" customFormat="false" ht="22.5" hidden="false" customHeight="false" outlineLevel="0" collapsed="false">
      <c r="A30" s="5" t="n">
        <f aca="false">IF(B30&lt;&gt;"", COUNTA($B$2:B30), "")</f>
        <v>29</v>
      </c>
      <c r="B30" s="7" t="s">
        <v>27</v>
      </c>
      <c r="C30" s="12" t="s">
        <v>1886</v>
      </c>
      <c r="D30" s="78" t="s">
        <v>1905</v>
      </c>
      <c r="E30" s="16" t="n">
        <v>2010</v>
      </c>
      <c r="F30" s="5" t="s">
        <v>1888</v>
      </c>
      <c r="G30" s="10" t="n">
        <v>1.6</v>
      </c>
      <c r="H30" s="5" t="s">
        <v>1906</v>
      </c>
      <c r="I30" s="8" t="s">
        <v>623</v>
      </c>
      <c r="J30" s="5" t="s">
        <v>32</v>
      </c>
      <c r="K30" s="5" t="n">
        <v>2013</v>
      </c>
      <c r="L30" s="30"/>
      <c r="M30" s="30"/>
      <c r="N30" s="30"/>
    </row>
    <row r="31" customFormat="false" ht="22.5" hidden="false" customHeight="false" outlineLevel="0" collapsed="false">
      <c r="A31" s="5" t="n">
        <f aca="false">IF(B31&lt;&gt;"", COUNTA($B$2:B31), "")</f>
        <v>30</v>
      </c>
      <c r="B31" s="7" t="s">
        <v>27</v>
      </c>
      <c r="C31" s="12" t="s">
        <v>1886</v>
      </c>
      <c r="D31" s="78" t="s">
        <v>1907</v>
      </c>
      <c r="E31" s="16" t="n">
        <v>2010</v>
      </c>
      <c r="F31" s="5" t="s">
        <v>1888</v>
      </c>
      <c r="G31" s="10" t="n">
        <v>1.6</v>
      </c>
      <c r="H31" s="5" t="s">
        <v>1908</v>
      </c>
      <c r="I31" s="8" t="s">
        <v>623</v>
      </c>
      <c r="J31" s="5" t="s">
        <v>32</v>
      </c>
      <c r="K31" s="5" t="n">
        <v>2013</v>
      </c>
      <c r="L31" s="30"/>
      <c r="M31" s="30"/>
      <c r="N31" s="30"/>
    </row>
    <row r="32" customFormat="false" ht="22.5" hidden="false" customHeight="false" outlineLevel="0" collapsed="false">
      <c r="A32" s="5" t="n">
        <f aca="false">IF(B32&lt;&gt;"", COUNTA($B$2:B32), "")</f>
        <v>31</v>
      </c>
      <c r="B32" s="7" t="s">
        <v>27</v>
      </c>
      <c r="C32" s="12" t="s">
        <v>1892</v>
      </c>
      <c r="D32" s="78" t="s">
        <v>1909</v>
      </c>
      <c r="E32" s="16" t="n">
        <v>2010</v>
      </c>
      <c r="F32" s="15" t="s">
        <v>1894</v>
      </c>
      <c r="G32" s="10" t="n">
        <v>1.6</v>
      </c>
      <c r="H32" s="5" t="s">
        <v>1910</v>
      </c>
      <c r="I32" s="8" t="s">
        <v>623</v>
      </c>
      <c r="J32" s="5" t="s">
        <v>32</v>
      </c>
      <c r="K32" s="5" t="n">
        <v>2013</v>
      </c>
      <c r="L32" s="30"/>
      <c r="M32" s="30"/>
      <c r="N32" s="30"/>
    </row>
    <row r="33" customFormat="false" ht="22.5" hidden="false" customHeight="false" outlineLevel="0" collapsed="false">
      <c r="A33" s="5" t="n">
        <f aca="false">IF(B33&lt;&gt;"", COUNTA($B$2:B33), "")</f>
        <v>32</v>
      </c>
      <c r="B33" s="7" t="s">
        <v>27</v>
      </c>
      <c r="C33" s="12" t="s">
        <v>1892</v>
      </c>
      <c r="D33" s="78" t="s">
        <v>1911</v>
      </c>
      <c r="E33" s="16" t="n">
        <v>2010</v>
      </c>
      <c r="F33" s="15" t="s">
        <v>1897</v>
      </c>
      <c r="G33" s="10" t="n">
        <v>2.5</v>
      </c>
      <c r="H33" s="5" t="s">
        <v>1910</v>
      </c>
      <c r="I33" s="8" t="s">
        <v>623</v>
      </c>
      <c r="J33" s="5" t="s">
        <v>32</v>
      </c>
      <c r="K33" s="5" t="n">
        <v>2013</v>
      </c>
      <c r="L33" s="30"/>
      <c r="M33" s="30"/>
      <c r="N33" s="30"/>
    </row>
    <row r="34" customFormat="false" ht="22.5" hidden="false" customHeight="false" outlineLevel="0" collapsed="false">
      <c r="A34" s="5" t="n">
        <f aca="false">IF(B34&lt;&gt;"", COUNTA($B$2:B34), "")</f>
        <v>33</v>
      </c>
      <c r="B34" s="7" t="s">
        <v>27</v>
      </c>
      <c r="C34" s="12" t="s">
        <v>1892</v>
      </c>
      <c r="D34" s="78" t="s">
        <v>1912</v>
      </c>
      <c r="E34" s="16" t="n">
        <v>2010</v>
      </c>
      <c r="F34" s="15" t="s">
        <v>1897</v>
      </c>
      <c r="G34" s="10" t="n">
        <v>2.5</v>
      </c>
      <c r="H34" s="5" t="s">
        <v>1910</v>
      </c>
      <c r="I34" s="8" t="s">
        <v>623</v>
      </c>
      <c r="J34" s="5" t="s">
        <v>32</v>
      </c>
      <c r="K34" s="5" t="n">
        <v>2013</v>
      </c>
      <c r="L34" s="30"/>
      <c r="M34" s="30"/>
      <c r="N34" s="30"/>
    </row>
    <row r="35" customFormat="false" ht="22.5" hidden="false" customHeight="false" outlineLevel="0" collapsed="false">
      <c r="A35" s="5" t="n">
        <f aca="false">IF(B35&lt;&gt;"", COUNTA($B$2:B35), "")</f>
        <v>34</v>
      </c>
      <c r="B35" s="7" t="s">
        <v>27</v>
      </c>
      <c r="C35" s="12" t="s">
        <v>1886</v>
      </c>
      <c r="D35" s="78" t="s">
        <v>1913</v>
      </c>
      <c r="E35" s="16" t="n">
        <v>2010</v>
      </c>
      <c r="F35" s="5" t="s">
        <v>1888</v>
      </c>
      <c r="G35" s="10" t="n">
        <v>1.6</v>
      </c>
      <c r="H35" s="5" t="s">
        <v>1914</v>
      </c>
      <c r="I35" s="8" t="s">
        <v>623</v>
      </c>
      <c r="J35" s="5" t="s">
        <v>32</v>
      </c>
      <c r="K35" s="5" t="n">
        <v>2013</v>
      </c>
      <c r="L35" s="30"/>
      <c r="M35" s="30"/>
      <c r="N35" s="30"/>
    </row>
    <row r="36" customFormat="false" ht="22.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12" t="s">
        <v>1886</v>
      </c>
      <c r="D36" s="78" t="s">
        <v>1915</v>
      </c>
      <c r="E36" s="16" t="n">
        <v>2010</v>
      </c>
      <c r="F36" s="5" t="s">
        <v>1888</v>
      </c>
      <c r="G36" s="10" t="n">
        <v>1.6</v>
      </c>
      <c r="H36" s="5" t="s">
        <v>1916</v>
      </c>
      <c r="I36" s="8" t="s">
        <v>623</v>
      </c>
      <c r="J36" s="5" t="s">
        <v>32</v>
      </c>
      <c r="K36" s="5" t="n">
        <v>2013</v>
      </c>
      <c r="L36" s="30"/>
      <c r="M36" s="30"/>
      <c r="N36" s="30"/>
    </row>
    <row r="37" customFormat="false" ht="22.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8" t="s">
        <v>1879</v>
      </c>
      <c r="D37" s="8" t="s">
        <v>1917</v>
      </c>
      <c r="E37" s="16" t="n">
        <v>2010</v>
      </c>
      <c r="F37" s="5" t="s">
        <v>1866</v>
      </c>
      <c r="G37" s="8" t="n">
        <v>1.5</v>
      </c>
      <c r="H37" s="5" t="s">
        <v>1881</v>
      </c>
      <c r="I37" s="8" t="s">
        <v>763</v>
      </c>
      <c r="J37" s="5" t="s">
        <v>32</v>
      </c>
      <c r="K37" s="5" t="n">
        <v>2012</v>
      </c>
      <c r="L37" s="30"/>
      <c r="M37" s="30"/>
      <c r="N37" s="30"/>
    </row>
    <row r="38" customFormat="false" ht="22.5" hidden="false" customHeight="false" outlineLevel="0" collapsed="false">
      <c r="A38" s="5" t="n">
        <f aca="false">IF(B38&lt;&gt;"", COUNTA($B$2:B38), "")</f>
        <v>37</v>
      </c>
      <c r="B38" s="7" t="s">
        <v>27</v>
      </c>
      <c r="C38" s="8" t="s">
        <v>1882</v>
      </c>
      <c r="D38" s="8" t="n">
        <v>85002</v>
      </c>
      <c r="E38" s="16" t="n">
        <v>2010</v>
      </c>
      <c r="F38" s="5" t="s">
        <v>1857</v>
      </c>
      <c r="G38" s="8" t="n">
        <v>2.5</v>
      </c>
      <c r="H38" s="5" t="s">
        <v>1884</v>
      </c>
      <c r="I38" s="8" t="s">
        <v>763</v>
      </c>
      <c r="J38" s="5" t="s">
        <v>32</v>
      </c>
      <c r="K38" s="5" t="n">
        <v>2012</v>
      </c>
      <c r="L38" s="30"/>
      <c r="M38" s="30"/>
      <c r="N38" s="30"/>
    </row>
    <row r="39" customFormat="false" ht="22.5" hidden="false" customHeight="false" outlineLevel="0" collapsed="false">
      <c r="A39" s="5" t="n">
        <f aca="false">IF(B39&lt;&gt;"", COUNTA($B$2:B39), "")</f>
        <v>38</v>
      </c>
      <c r="B39" s="7" t="s">
        <v>27</v>
      </c>
      <c r="C39" s="8" t="s">
        <v>1882</v>
      </c>
      <c r="D39" s="8" t="n">
        <v>85009</v>
      </c>
      <c r="E39" s="16" t="n">
        <v>2010</v>
      </c>
      <c r="F39" s="5" t="s">
        <v>1885</v>
      </c>
      <c r="G39" s="8" t="n">
        <v>2.5</v>
      </c>
      <c r="H39" s="5" t="s">
        <v>1904</v>
      </c>
      <c r="I39" s="8" t="s">
        <v>763</v>
      </c>
      <c r="J39" s="5" t="s">
        <v>32</v>
      </c>
      <c r="K39" s="5" t="n">
        <v>2012</v>
      </c>
      <c r="L39" s="30"/>
      <c r="M39" s="30"/>
      <c r="N39" s="30"/>
    </row>
    <row r="40" customFormat="false" ht="22.5" hidden="false" customHeight="false" outlineLevel="0" collapsed="false">
      <c r="A40" s="5" t="n">
        <f aca="false">IF(B40&lt;&gt;"", COUNTA($B$2:B40), "")</f>
        <v>39</v>
      </c>
      <c r="B40" s="7" t="s">
        <v>27</v>
      </c>
      <c r="C40" s="12" t="s">
        <v>1886</v>
      </c>
      <c r="D40" s="78" t="s">
        <v>1918</v>
      </c>
      <c r="E40" s="16" t="n">
        <v>2010</v>
      </c>
      <c r="F40" s="5" t="s">
        <v>1888</v>
      </c>
      <c r="G40" s="10" t="n">
        <v>1.6</v>
      </c>
      <c r="H40" s="5" t="s">
        <v>1919</v>
      </c>
      <c r="I40" s="8" t="s">
        <v>763</v>
      </c>
      <c r="J40" s="5" t="s">
        <v>32</v>
      </c>
      <c r="K40" s="5" t="n">
        <v>2013</v>
      </c>
      <c r="L40" s="30"/>
      <c r="M40" s="30"/>
      <c r="N40" s="30"/>
    </row>
    <row r="41" customFormat="false" ht="22.5" hidden="false" customHeight="false" outlineLevel="0" collapsed="false">
      <c r="A41" s="5" t="n">
        <f aca="false">IF(B41&lt;&gt;"", COUNTA($B$2:B41), "")</f>
        <v>40</v>
      </c>
      <c r="B41" s="7" t="s">
        <v>27</v>
      </c>
      <c r="C41" s="12" t="s">
        <v>1886</v>
      </c>
      <c r="D41" s="78" t="s">
        <v>1920</v>
      </c>
      <c r="E41" s="16" t="n">
        <v>2010</v>
      </c>
      <c r="F41" s="5" t="s">
        <v>1888</v>
      </c>
      <c r="G41" s="10" t="n">
        <v>1.6</v>
      </c>
      <c r="H41" s="5" t="s">
        <v>1921</v>
      </c>
      <c r="I41" s="8" t="s">
        <v>763</v>
      </c>
      <c r="J41" s="5" t="s">
        <v>32</v>
      </c>
      <c r="K41" s="5" t="n">
        <v>2013</v>
      </c>
      <c r="L41" s="30"/>
      <c r="M41" s="30"/>
      <c r="N41" s="30"/>
    </row>
    <row r="42" customFormat="false" ht="22.5" hidden="false" customHeight="false" outlineLevel="0" collapsed="false">
      <c r="A42" s="5" t="n">
        <f aca="false">IF(B42&lt;&gt;"", COUNTA($B$2:B42), "")</f>
        <v>41</v>
      </c>
      <c r="B42" s="7" t="s">
        <v>27</v>
      </c>
      <c r="C42" s="12" t="s">
        <v>1892</v>
      </c>
      <c r="D42" s="78" t="s">
        <v>1922</v>
      </c>
      <c r="E42" s="16" t="n">
        <v>2010</v>
      </c>
      <c r="F42" s="15" t="s">
        <v>1894</v>
      </c>
      <c r="G42" s="10" t="n">
        <v>1.6</v>
      </c>
      <c r="H42" s="5" t="s">
        <v>1923</v>
      </c>
      <c r="I42" s="8" t="s">
        <v>763</v>
      </c>
      <c r="J42" s="5" t="s">
        <v>32</v>
      </c>
      <c r="K42" s="5" t="n">
        <v>2013</v>
      </c>
      <c r="L42" s="30"/>
      <c r="M42" s="30"/>
      <c r="N42" s="30"/>
    </row>
    <row r="43" customFormat="false" ht="22.5" hidden="false" customHeight="false" outlineLevel="0" collapsed="false">
      <c r="A43" s="5" t="n">
        <f aca="false">IF(B43&lt;&gt;"", COUNTA($B$2:B43), "")</f>
        <v>42</v>
      </c>
      <c r="B43" s="7" t="s">
        <v>27</v>
      </c>
      <c r="C43" s="12" t="s">
        <v>1892</v>
      </c>
      <c r="D43" s="78" t="s">
        <v>1924</v>
      </c>
      <c r="E43" s="16" t="n">
        <v>2010</v>
      </c>
      <c r="F43" s="15" t="s">
        <v>1897</v>
      </c>
      <c r="G43" s="10" t="n">
        <v>2.5</v>
      </c>
      <c r="H43" s="5" t="s">
        <v>1923</v>
      </c>
      <c r="I43" s="8" t="s">
        <v>763</v>
      </c>
      <c r="J43" s="5" t="s">
        <v>32</v>
      </c>
      <c r="K43" s="5" t="n">
        <v>2013</v>
      </c>
      <c r="L43" s="30"/>
      <c r="M43" s="30"/>
      <c r="N43" s="30"/>
    </row>
    <row r="44" customFormat="false" ht="22.5" hidden="false" customHeight="false" outlineLevel="0" collapsed="false">
      <c r="A44" s="5" t="n">
        <f aca="false">IF(B44&lt;&gt;"", COUNTA($B$2:B44), "")</f>
        <v>43</v>
      </c>
      <c r="B44" s="7" t="s">
        <v>27</v>
      </c>
      <c r="C44" s="12" t="s">
        <v>1892</v>
      </c>
      <c r="D44" s="78" t="s">
        <v>1925</v>
      </c>
      <c r="E44" s="16" t="n">
        <v>2010</v>
      </c>
      <c r="F44" s="15" t="s">
        <v>1897</v>
      </c>
      <c r="G44" s="10" t="n">
        <v>2.5</v>
      </c>
      <c r="H44" s="5" t="s">
        <v>1923</v>
      </c>
      <c r="I44" s="8" t="s">
        <v>763</v>
      </c>
      <c r="J44" s="5" t="s">
        <v>32</v>
      </c>
      <c r="K44" s="5" t="n">
        <v>2013</v>
      </c>
      <c r="L44" s="30"/>
      <c r="M44" s="30"/>
      <c r="N44" s="30"/>
    </row>
    <row r="45" customFormat="false" ht="22.5" hidden="false" customHeight="false" outlineLevel="0" collapsed="false">
      <c r="A45" s="5" t="n">
        <f aca="false">IF(B45&lt;&gt;"", COUNTA($B$2:B45), "")</f>
        <v>44</v>
      </c>
      <c r="B45" s="7" t="s">
        <v>27</v>
      </c>
      <c r="C45" s="12" t="s">
        <v>1886</v>
      </c>
      <c r="D45" s="78" t="s">
        <v>1926</v>
      </c>
      <c r="E45" s="16" t="n">
        <v>2010</v>
      </c>
      <c r="F45" s="5" t="s">
        <v>1888</v>
      </c>
      <c r="G45" s="10" t="n">
        <v>1.6</v>
      </c>
      <c r="H45" s="5" t="s">
        <v>1927</v>
      </c>
      <c r="I45" s="8" t="s">
        <v>763</v>
      </c>
      <c r="J45" s="5" t="s">
        <v>32</v>
      </c>
      <c r="K45" s="5" t="n">
        <v>2013</v>
      </c>
      <c r="L45" s="30"/>
      <c r="M45" s="30"/>
      <c r="N45" s="30"/>
    </row>
    <row r="46" customFormat="false" ht="22.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12" t="s">
        <v>1886</v>
      </c>
      <c r="D46" s="78" t="s">
        <v>1928</v>
      </c>
      <c r="E46" s="16" t="n">
        <v>2010</v>
      </c>
      <c r="F46" s="5" t="s">
        <v>1888</v>
      </c>
      <c r="G46" s="10" t="n">
        <v>1.6</v>
      </c>
      <c r="H46" s="5" t="s">
        <v>1929</v>
      </c>
      <c r="I46" s="8" t="s">
        <v>763</v>
      </c>
      <c r="J46" s="5" t="s">
        <v>32</v>
      </c>
      <c r="K46" s="5" t="n">
        <v>2013</v>
      </c>
      <c r="L46" s="30"/>
      <c r="M46" s="30"/>
      <c r="N46" s="30"/>
    </row>
    <row r="47" customFormat="false" ht="22.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8" t="s">
        <v>1879</v>
      </c>
      <c r="D47" s="8" t="s">
        <v>1930</v>
      </c>
      <c r="E47" s="16" t="n">
        <v>2010</v>
      </c>
      <c r="F47" s="5" t="s">
        <v>1866</v>
      </c>
      <c r="G47" s="19" t="s">
        <v>987</v>
      </c>
      <c r="H47" s="5" t="s">
        <v>1881</v>
      </c>
      <c r="I47" s="8" t="s">
        <v>911</v>
      </c>
      <c r="J47" s="5" t="s">
        <v>32</v>
      </c>
      <c r="K47" s="5" t="n">
        <v>2012</v>
      </c>
      <c r="L47" s="30"/>
      <c r="M47" s="30"/>
      <c r="N47" s="30"/>
    </row>
    <row r="48" customFormat="false" ht="22.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8" t="s">
        <v>1882</v>
      </c>
      <c r="D48" s="8" t="n">
        <v>84997</v>
      </c>
      <c r="E48" s="16" t="n">
        <v>2010</v>
      </c>
      <c r="F48" s="5" t="s">
        <v>1857</v>
      </c>
      <c r="G48" s="19" t="s">
        <v>1883</v>
      </c>
      <c r="H48" s="5" t="s">
        <v>1884</v>
      </c>
      <c r="I48" s="8" t="s">
        <v>911</v>
      </c>
      <c r="J48" s="5" t="s">
        <v>32</v>
      </c>
      <c r="K48" s="5" t="n">
        <v>2012</v>
      </c>
      <c r="L48" s="30"/>
      <c r="M48" s="30"/>
      <c r="N48" s="30"/>
    </row>
    <row r="49" customFormat="false" ht="22.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8" t="s">
        <v>1882</v>
      </c>
      <c r="D49" s="10" t="n">
        <v>85010</v>
      </c>
      <c r="E49" s="16" t="n">
        <v>2010</v>
      </c>
      <c r="F49" s="5" t="s">
        <v>1885</v>
      </c>
      <c r="G49" s="19" t="s">
        <v>1883</v>
      </c>
      <c r="H49" s="5" t="s">
        <v>1904</v>
      </c>
      <c r="I49" s="8" t="s">
        <v>911</v>
      </c>
      <c r="J49" s="5" t="s">
        <v>32</v>
      </c>
      <c r="K49" s="5" t="n">
        <v>2012</v>
      </c>
      <c r="L49" s="30"/>
      <c r="M49" s="30"/>
      <c r="N49" s="30"/>
    </row>
    <row r="50" customFormat="false" ht="22.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12" t="s">
        <v>1886</v>
      </c>
      <c r="D50" s="78" t="s">
        <v>1931</v>
      </c>
      <c r="E50" s="16" t="n">
        <v>2010</v>
      </c>
      <c r="F50" s="5" t="s">
        <v>1888</v>
      </c>
      <c r="G50" s="10" t="n">
        <v>1.6</v>
      </c>
      <c r="H50" s="5" t="s">
        <v>1932</v>
      </c>
      <c r="I50" s="8" t="s">
        <v>911</v>
      </c>
      <c r="J50" s="5" t="s">
        <v>32</v>
      </c>
      <c r="K50" s="5" t="n">
        <v>2013</v>
      </c>
      <c r="L50" s="30"/>
      <c r="M50" s="30"/>
      <c r="N50" s="30"/>
    </row>
    <row r="51" customFormat="false" ht="22.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12" t="s">
        <v>1886</v>
      </c>
      <c r="D51" s="78" t="s">
        <v>1933</v>
      </c>
      <c r="E51" s="16" t="n">
        <v>2010</v>
      </c>
      <c r="F51" s="5" t="s">
        <v>1888</v>
      </c>
      <c r="G51" s="10" t="n">
        <v>1.6</v>
      </c>
      <c r="H51" s="5" t="s">
        <v>1934</v>
      </c>
      <c r="I51" s="8" t="s">
        <v>911</v>
      </c>
      <c r="J51" s="5" t="s">
        <v>32</v>
      </c>
      <c r="K51" s="5" t="n">
        <v>2013</v>
      </c>
      <c r="L51" s="30"/>
      <c r="M51" s="30"/>
      <c r="N51" s="30"/>
    </row>
    <row r="52" customFormat="false" ht="22.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12" t="s">
        <v>1892</v>
      </c>
      <c r="D52" s="78" t="s">
        <v>1935</v>
      </c>
      <c r="E52" s="16" t="n">
        <v>2010</v>
      </c>
      <c r="F52" s="15" t="s">
        <v>1894</v>
      </c>
      <c r="G52" s="10" t="n">
        <v>1.6</v>
      </c>
      <c r="H52" s="5" t="s">
        <v>1936</v>
      </c>
      <c r="I52" s="8" t="s">
        <v>911</v>
      </c>
      <c r="J52" s="5" t="s">
        <v>32</v>
      </c>
      <c r="K52" s="5" t="n">
        <v>2013</v>
      </c>
      <c r="L52" s="30"/>
      <c r="M52" s="30"/>
      <c r="N52" s="30"/>
    </row>
    <row r="53" customFormat="false" ht="22.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12" t="s">
        <v>1892</v>
      </c>
      <c r="D53" s="78" t="s">
        <v>1937</v>
      </c>
      <c r="E53" s="16" t="n">
        <v>2010</v>
      </c>
      <c r="F53" s="15" t="s">
        <v>1897</v>
      </c>
      <c r="G53" s="10" t="n">
        <v>2.5</v>
      </c>
      <c r="H53" s="5" t="s">
        <v>1936</v>
      </c>
      <c r="I53" s="8" t="s">
        <v>911</v>
      </c>
      <c r="J53" s="5" t="s">
        <v>32</v>
      </c>
      <c r="K53" s="5" t="n">
        <v>2013</v>
      </c>
      <c r="L53" s="30"/>
      <c r="M53" s="30"/>
      <c r="N53" s="30"/>
    </row>
    <row r="54" customFormat="false" ht="22.5" hidden="false" customHeight="false" outlineLevel="0" collapsed="false">
      <c r="A54" s="5" t="n">
        <f aca="false">IF(B54&lt;&gt;"", COUNTA($B$2:B54), "")</f>
        <v>53</v>
      </c>
      <c r="B54" s="7" t="s">
        <v>27</v>
      </c>
      <c r="C54" s="12" t="s">
        <v>1892</v>
      </c>
      <c r="D54" s="78" t="s">
        <v>1938</v>
      </c>
      <c r="E54" s="16" t="n">
        <v>2010</v>
      </c>
      <c r="F54" s="15" t="s">
        <v>1897</v>
      </c>
      <c r="G54" s="10" t="n">
        <v>2.5</v>
      </c>
      <c r="H54" s="5" t="s">
        <v>1936</v>
      </c>
      <c r="I54" s="8" t="s">
        <v>911</v>
      </c>
      <c r="J54" s="5" t="s">
        <v>32</v>
      </c>
      <c r="K54" s="5" t="n">
        <v>2013</v>
      </c>
      <c r="L54" s="30"/>
      <c r="M54" s="30"/>
      <c r="N54" s="30"/>
    </row>
    <row r="55" customFormat="false" ht="22.5" hidden="false" customHeight="false" outlineLevel="0" collapsed="false">
      <c r="A55" s="5" t="n">
        <f aca="false">IF(B55&lt;&gt;"", COUNTA($B$2:B55), "")</f>
        <v>54</v>
      </c>
      <c r="B55" s="7" t="s">
        <v>27</v>
      </c>
      <c r="C55" s="12" t="s">
        <v>1886</v>
      </c>
      <c r="D55" s="78" t="s">
        <v>1939</v>
      </c>
      <c r="E55" s="16" t="n">
        <v>2010</v>
      </c>
      <c r="F55" s="5" t="s">
        <v>1888</v>
      </c>
      <c r="G55" s="10" t="n">
        <v>1.6</v>
      </c>
      <c r="H55" s="5" t="s">
        <v>1940</v>
      </c>
      <c r="I55" s="8" t="s">
        <v>911</v>
      </c>
      <c r="J55" s="5" t="s">
        <v>32</v>
      </c>
      <c r="K55" s="5" t="n">
        <v>2013</v>
      </c>
      <c r="L55" s="30"/>
      <c r="M55" s="30"/>
      <c r="N55" s="30"/>
    </row>
    <row r="56" customFormat="false" ht="22.5" hidden="false" customHeight="false" outlineLevel="0" collapsed="false">
      <c r="A56" s="5" t="n">
        <f aca="false">IF(B56&lt;&gt;"", COUNTA($B$2:B56), "")</f>
        <v>55</v>
      </c>
      <c r="B56" s="7" t="s">
        <v>27</v>
      </c>
      <c r="C56" s="12" t="s">
        <v>1886</v>
      </c>
      <c r="D56" s="78" t="s">
        <v>1941</v>
      </c>
      <c r="E56" s="16" t="n">
        <v>2010</v>
      </c>
      <c r="F56" s="5" t="s">
        <v>1888</v>
      </c>
      <c r="G56" s="10" t="n">
        <v>1.6</v>
      </c>
      <c r="H56" s="5" t="s">
        <v>1942</v>
      </c>
      <c r="I56" s="8" t="s">
        <v>911</v>
      </c>
      <c r="J56" s="5" t="s">
        <v>32</v>
      </c>
      <c r="K56" s="5" t="n">
        <v>2013</v>
      </c>
      <c r="L56" s="30"/>
      <c r="M56" s="30"/>
      <c r="N56" s="30"/>
    </row>
    <row r="57" customFormat="false" ht="22.5" hidden="false" customHeight="false" outlineLevel="0" collapsed="false">
      <c r="A57" s="5" t="n">
        <f aca="false">IF(B57&lt;&gt;"", COUNTA($B$2:B57), "")</f>
        <v>56</v>
      </c>
      <c r="B57" s="7" t="s">
        <v>27</v>
      </c>
      <c r="C57" s="12" t="s">
        <v>1886</v>
      </c>
      <c r="D57" s="78" t="s">
        <v>498</v>
      </c>
      <c r="E57" s="8" t="n">
        <v>2010</v>
      </c>
      <c r="F57" s="15" t="s">
        <v>1943</v>
      </c>
      <c r="G57" s="10" t="n">
        <v>1.6</v>
      </c>
      <c r="H57" s="5" t="s">
        <v>1944</v>
      </c>
      <c r="I57" s="5" t="s">
        <v>1068</v>
      </c>
      <c r="J57" s="5" t="s">
        <v>32</v>
      </c>
      <c r="K57" s="5" t="n">
        <v>2013</v>
      </c>
      <c r="L57" s="30"/>
      <c r="M57" s="30"/>
      <c r="N57" s="30"/>
    </row>
    <row r="58" customFormat="false" ht="22.5" hidden="false" customHeight="false" outlineLevel="0" collapsed="false">
      <c r="A58" s="5" t="n">
        <f aca="false">IF(B58&lt;&gt;"", COUNTA($B$2:B58), "")</f>
        <v>57</v>
      </c>
      <c r="B58" s="7" t="s">
        <v>27</v>
      </c>
      <c r="C58" s="12" t="s">
        <v>1882</v>
      </c>
      <c r="D58" s="78" t="s">
        <v>1945</v>
      </c>
      <c r="E58" s="8" t="n">
        <v>2010</v>
      </c>
      <c r="F58" s="5" t="s">
        <v>1857</v>
      </c>
      <c r="G58" s="10" t="n">
        <v>1.5</v>
      </c>
      <c r="H58" s="5" t="s">
        <v>1946</v>
      </c>
      <c r="I58" s="5" t="s">
        <v>1068</v>
      </c>
      <c r="J58" s="5" t="s">
        <v>32</v>
      </c>
      <c r="K58" s="5" t="n">
        <v>2013</v>
      </c>
      <c r="L58" s="30"/>
      <c r="M58" s="30"/>
      <c r="N58" s="30"/>
    </row>
    <row r="59" customFormat="false" ht="22.5" hidden="false" customHeight="false" outlineLevel="0" collapsed="false">
      <c r="A59" s="5" t="n">
        <f aca="false">IF(B59&lt;&gt;"", COUNTA($B$2:B59), "")</f>
        <v>58</v>
      </c>
      <c r="B59" s="7" t="s">
        <v>27</v>
      </c>
      <c r="C59" s="12" t="s">
        <v>1892</v>
      </c>
      <c r="D59" s="78" t="s">
        <v>1947</v>
      </c>
      <c r="E59" s="8" t="n">
        <v>2010</v>
      </c>
      <c r="F59" s="15" t="s">
        <v>1894</v>
      </c>
      <c r="G59" s="10" t="n">
        <v>1.6</v>
      </c>
      <c r="H59" s="5" t="s">
        <v>1946</v>
      </c>
      <c r="I59" s="5" t="s">
        <v>1068</v>
      </c>
      <c r="J59" s="5" t="s">
        <v>32</v>
      </c>
      <c r="K59" s="5" t="n">
        <v>2013</v>
      </c>
      <c r="L59" s="30"/>
      <c r="M59" s="30"/>
      <c r="N59" s="30"/>
    </row>
    <row r="60" customFormat="false" ht="22.5" hidden="false" customHeight="false" outlineLevel="0" collapsed="false">
      <c r="A60" s="5" t="n">
        <f aca="false">IF(B60&lt;&gt;"", COUNTA($B$2:B60), "")</f>
        <v>59</v>
      </c>
      <c r="B60" s="7" t="s">
        <v>27</v>
      </c>
      <c r="C60" s="12" t="s">
        <v>1892</v>
      </c>
      <c r="D60" s="78" t="s">
        <v>1948</v>
      </c>
      <c r="E60" s="8" t="n">
        <v>2010</v>
      </c>
      <c r="F60" s="15" t="s">
        <v>1897</v>
      </c>
      <c r="G60" s="10" t="n">
        <v>2.5</v>
      </c>
      <c r="H60" s="5" t="s">
        <v>1946</v>
      </c>
      <c r="I60" s="5" t="s">
        <v>1068</v>
      </c>
      <c r="J60" s="5" t="s">
        <v>32</v>
      </c>
      <c r="K60" s="5" t="n">
        <v>2013</v>
      </c>
      <c r="L60" s="30"/>
      <c r="M60" s="30"/>
      <c r="N60" s="30"/>
    </row>
    <row r="61" customFormat="false" ht="22.5" hidden="false" customHeight="false" outlineLevel="0" collapsed="false">
      <c r="A61" s="5" t="n">
        <f aca="false">IF(B61&lt;&gt;"", COUNTA($B$2:B61), "")</f>
        <v>60</v>
      </c>
      <c r="B61" s="7" t="s">
        <v>27</v>
      </c>
      <c r="C61" s="12" t="s">
        <v>1892</v>
      </c>
      <c r="D61" s="78" t="s">
        <v>1949</v>
      </c>
      <c r="E61" s="8" t="n">
        <v>2010</v>
      </c>
      <c r="F61" s="15" t="s">
        <v>1897</v>
      </c>
      <c r="G61" s="10" t="n">
        <v>2.5</v>
      </c>
      <c r="H61" s="5" t="s">
        <v>1946</v>
      </c>
      <c r="I61" s="5" t="s">
        <v>1068</v>
      </c>
      <c r="J61" s="5" t="s">
        <v>32</v>
      </c>
      <c r="K61" s="5" t="n">
        <v>2013</v>
      </c>
      <c r="L61" s="30"/>
      <c r="M61" s="30"/>
      <c r="N61" s="30"/>
    </row>
    <row r="62" customFormat="false" ht="22.5" hidden="false" customHeight="false" outlineLevel="0" collapsed="false">
      <c r="A62" s="5" t="n">
        <f aca="false">IF(B62&lt;&gt;"", COUNTA($B$2:B62), "")</f>
        <v>61</v>
      </c>
      <c r="B62" s="7" t="s">
        <v>27</v>
      </c>
      <c r="C62" s="12" t="s">
        <v>1886</v>
      </c>
      <c r="D62" s="78" t="s">
        <v>1950</v>
      </c>
      <c r="E62" s="8" t="n">
        <v>2010</v>
      </c>
      <c r="F62" s="5" t="s">
        <v>1888</v>
      </c>
      <c r="G62" s="10" t="n">
        <v>1.6</v>
      </c>
      <c r="H62" s="5" t="s">
        <v>1951</v>
      </c>
      <c r="I62" s="5" t="s">
        <v>1068</v>
      </c>
      <c r="J62" s="5" t="s">
        <v>32</v>
      </c>
      <c r="K62" s="5" t="n">
        <v>2013</v>
      </c>
      <c r="L62" s="30"/>
      <c r="M62" s="30"/>
      <c r="N62" s="30"/>
    </row>
    <row r="63" customFormat="false" ht="22.5" hidden="false" customHeight="false" outlineLevel="0" collapsed="false">
      <c r="A63" s="5" t="n">
        <f aca="false">IF(B63&lt;&gt;"", COUNTA($B$2:B63), "")</f>
        <v>62</v>
      </c>
      <c r="B63" s="7" t="s">
        <v>27</v>
      </c>
      <c r="C63" s="12" t="s">
        <v>1886</v>
      </c>
      <c r="D63" s="78" t="s">
        <v>1952</v>
      </c>
      <c r="E63" s="8" t="n">
        <v>2010</v>
      </c>
      <c r="F63" s="5" t="s">
        <v>1888</v>
      </c>
      <c r="G63" s="10" t="n">
        <v>1.6</v>
      </c>
      <c r="H63" s="5" t="s">
        <v>1953</v>
      </c>
      <c r="I63" s="5" t="s">
        <v>1068</v>
      </c>
      <c r="J63" s="5" t="s">
        <v>32</v>
      </c>
      <c r="K63" s="5" t="n">
        <v>2013</v>
      </c>
      <c r="L63" s="30"/>
      <c r="M63" s="30"/>
      <c r="N63" s="30"/>
    </row>
    <row r="64" customFormat="false" ht="22.5" hidden="false" customHeight="false" outlineLevel="0" collapsed="false">
      <c r="A64" s="5" t="n">
        <f aca="false">IF(B64&lt;&gt;"", COUNTA($B$2:B64), "")</f>
        <v>63</v>
      </c>
      <c r="B64" s="7" t="s">
        <v>27</v>
      </c>
      <c r="C64" s="12" t="s">
        <v>1886</v>
      </c>
      <c r="D64" s="78" t="s">
        <v>1954</v>
      </c>
      <c r="E64" s="8" t="n">
        <v>2010</v>
      </c>
      <c r="F64" s="5" t="s">
        <v>1888</v>
      </c>
      <c r="G64" s="10" t="n">
        <v>1.6</v>
      </c>
      <c r="H64" s="5" t="s">
        <v>1955</v>
      </c>
      <c r="I64" s="5" t="s">
        <v>1068</v>
      </c>
      <c r="J64" s="5" t="s">
        <v>32</v>
      </c>
      <c r="K64" s="5" t="n">
        <v>2013</v>
      </c>
      <c r="L64" s="30"/>
      <c r="M64" s="30"/>
      <c r="N64" s="30"/>
    </row>
    <row r="65" customFormat="false" ht="22.5" hidden="false" customHeight="false" outlineLevel="0" collapsed="false">
      <c r="A65" s="5" t="n">
        <f aca="false">IF(B65&lt;&gt;"", COUNTA($B$2:B65), "")</f>
        <v>64</v>
      </c>
      <c r="B65" s="7" t="s">
        <v>27</v>
      </c>
      <c r="C65" s="5" t="s">
        <v>1956</v>
      </c>
      <c r="D65" s="8" t="n">
        <v>15479</v>
      </c>
      <c r="E65" s="8" t="n">
        <v>2010</v>
      </c>
      <c r="F65" s="5" t="s">
        <v>1957</v>
      </c>
      <c r="G65" s="5" t="n">
        <v>1.6</v>
      </c>
      <c r="H65" s="5" t="s">
        <v>1958</v>
      </c>
      <c r="I65" s="5" t="s">
        <v>1073</v>
      </c>
      <c r="J65" s="5" t="s">
        <v>32</v>
      </c>
      <c r="K65" s="5" t="n">
        <v>2012</v>
      </c>
      <c r="L65" s="30"/>
      <c r="M65" s="30"/>
      <c r="N65" s="30"/>
    </row>
    <row r="66" customFormat="false" ht="22.5" hidden="false" customHeight="false" outlineLevel="0" collapsed="false">
      <c r="A66" s="5" t="n">
        <f aca="false">IF(B66&lt;&gt;"", COUNTA($B$2:B66), "")</f>
        <v>65</v>
      </c>
      <c r="B66" s="7" t="s">
        <v>27</v>
      </c>
      <c r="C66" s="5" t="s">
        <v>1956</v>
      </c>
      <c r="D66" s="8" t="n">
        <v>15480</v>
      </c>
      <c r="E66" s="8" t="n">
        <v>2010</v>
      </c>
      <c r="F66" s="5" t="s">
        <v>1957</v>
      </c>
      <c r="G66" s="5" t="n">
        <v>1.6</v>
      </c>
      <c r="H66" s="5" t="s">
        <v>1959</v>
      </c>
      <c r="I66" s="5" t="s">
        <v>1073</v>
      </c>
      <c r="J66" s="5" t="s">
        <v>32</v>
      </c>
      <c r="K66" s="5" t="n">
        <v>2012</v>
      </c>
      <c r="L66" s="30"/>
      <c r="M66" s="30"/>
      <c r="N66" s="30"/>
    </row>
    <row r="67" customFormat="false" ht="22.5" hidden="false" customHeight="false" outlineLevel="0" collapsed="false">
      <c r="A67" s="5" t="n">
        <f aca="false">IF(B67&lt;&gt;"", COUNTA($B$2:B67), "")</f>
        <v>66</v>
      </c>
      <c r="B67" s="7" t="s">
        <v>27</v>
      </c>
      <c r="C67" s="5" t="s">
        <v>1956</v>
      </c>
      <c r="D67" s="8" t="n">
        <v>15481</v>
      </c>
      <c r="E67" s="8" t="n">
        <v>2010</v>
      </c>
      <c r="F67" s="5" t="s">
        <v>1957</v>
      </c>
      <c r="G67" s="5" t="n">
        <v>1.6</v>
      </c>
      <c r="H67" s="5" t="s">
        <v>1960</v>
      </c>
      <c r="I67" s="5" t="s">
        <v>1073</v>
      </c>
      <c r="J67" s="5" t="s">
        <v>32</v>
      </c>
      <c r="K67" s="5" t="n">
        <v>2012</v>
      </c>
      <c r="L67" s="30"/>
      <c r="M67" s="30"/>
      <c r="N67" s="30"/>
    </row>
    <row r="68" customFormat="false" ht="22.5" hidden="false" customHeight="false" outlineLevel="0" collapsed="false">
      <c r="A68" s="5" t="n">
        <f aca="false">IF(B68&lt;&gt;"", COUNTA($B$2:B68), "")</f>
        <v>67</v>
      </c>
      <c r="B68" s="66" t="s">
        <v>27</v>
      </c>
      <c r="C68" s="69" t="s">
        <v>1956</v>
      </c>
      <c r="D68" s="67" t="n">
        <v>15482</v>
      </c>
      <c r="E68" s="67" t="n">
        <v>2010</v>
      </c>
      <c r="F68" s="5" t="s">
        <v>1957</v>
      </c>
      <c r="G68" s="69" t="n">
        <v>1.6</v>
      </c>
      <c r="H68" s="69" t="s">
        <v>1961</v>
      </c>
      <c r="I68" s="69" t="s">
        <v>1073</v>
      </c>
      <c r="J68" s="69" t="s">
        <v>32</v>
      </c>
      <c r="K68" s="69" t="n">
        <v>2012</v>
      </c>
      <c r="L68" s="30"/>
      <c r="M68" s="30"/>
      <c r="N68" s="30"/>
    </row>
    <row r="69" customFormat="false" ht="15" hidden="false" customHeight="true" outlineLevel="0" collapsed="false">
      <c r="A69" s="5"/>
      <c r="B69" s="7" t="s">
        <v>1962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Format="false" ht="22.5" hidden="false" customHeight="false" outlineLevel="0" collapsed="false">
      <c r="A70" s="5" t="n">
        <f aca="false">IF(B70&lt;&gt;"", COUNTA($B$2:B70), "")</f>
        <v>69</v>
      </c>
      <c r="B70" s="104" t="s">
        <v>27</v>
      </c>
      <c r="C70" s="12" t="s">
        <v>1882</v>
      </c>
      <c r="D70" s="19" t="s">
        <v>1963</v>
      </c>
      <c r="E70" s="8" t="n">
        <v>2018</v>
      </c>
      <c r="F70" s="5" t="s">
        <v>1866</v>
      </c>
      <c r="G70" s="10" t="n">
        <v>1.6</v>
      </c>
      <c r="H70" s="5" t="s">
        <v>1964</v>
      </c>
      <c r="I70" s="8" t="s">
        <v>1965</v>
      </c>
      <c r="J70" s="5" t="s">
        <v>1966</v>
      </c>
      <c r="K70" s="5" t="s">
        <v>1967</v>
      </c>
      <c r="L70" s="30"/>
      <c r="M70" s="30"/>
      <c r="N70" s="30"/>
    </row>
    <row r="71" customFormat="false" ht="22.5" hidden="false" customHeight="false" outlineLevel="0" collapsed="false">
      <c r="A71" s="5" t="n">
        <f aca="false">IF(B71&lt;&gt;"", COUNTA($B$2:B71), "")</f>
        <v>70</v>
      </c>
      <c r="B71" s="7" t="s">
        <v>27</v>
      </c>
      <c r="C71" s="12" t="s">
        <v>1882</v>
      </c>
      <c r="D71" s="8" t="s">
        <v>1968</v>
      </c>
      <c r="E71" s="8" t="n">
        <v>2018</v>
      </c>
      <c r="F71" s="5" t="s">
        <v>1969</v>
      </c>
      <c r="G71" s="10" t="n">
        <v>1.6</v>
      </c>
      <c r="H71" s="5" t="s">
        <v>1970</v>
      </c>
      <c r="I71" s="8" t="s">
        <v>1971</v>
      </c>
      <c r="J71" s="5" t="s">
        <v>1966</v>
      </c>
      <c r="K71" s="5" t="s">
        <v>1967</v>
      </c>
      <c r="L71" s="30"/>
      <c r="M71" s="30"/>
      <c r="N71" s="30"/>
    </row>
    <row r="72" customFormat="false" ht="22.5" hidden="false" customHeight="false" outlineLevel="0" collapsed="false">
      <c r="A72" s="5" t="n">
        <f aca="false">IF(B72&lt;&gt;"", COUNTA($B$2:B72), "")</f>
        <v>71</v>
      </c>
      <c r="B72" s="7" t="s">
        <v>27</v>
      </c>
      <c r="C72" s="8" t="s">
        <v>1972</v>
      </c>
      <c r="D72" s="78" t="s">
        <v>1973</v>
      </c>
      <c r="E72" s="8" t="n">
        <v>2018</v>
      </c>
      <c r="F72" s="8" t="s">
        <v>1974</v>
      </c>
      <c r="G72" s="10" t="n">
        <v>1.5</v>
      </c>
      <c r="H72" s="5" t="s">
        <v>1975</v>
      </c>
      <c r="I72" s="8" t="s">
        <v>1965</v>
      </c>
      <c r="J72" s="5" t="s">
        <v>1966</v>
      </c>
      <c r="K72" s="5" t="s">
        <v>1967</v>
      </c>
      <c r="L72" s="30"/>
      <c r="M72" s="30"/>
      <c r="N72" s="30"/>
    </row>
    <row r="73" customFormat="false" ht="22.5" hidden="false" customHeight="false" outlineLevel="0" collapsed="false">
      <c r="A73" s="5" t="n">
        <f aca="false">IF(B73&lt;&gt;"", COUNTA($B$2:B73), "")</f>
        <v>72</v>
      </c>
      <c r="B73" s="7" t="s">
        <v>27</v>
      </c>
      <c r="C73" s="8" t="s">
        <v>1972</v>
      </c>
      <c r="D73" s="78" t="s">
        <v>1976</v>
      </c>
      <c r="E73" s="8" t="n">
        <v>2018</v>
      </c>
      <c r="F73" s="8" t="s">
        <v>1974</v>
      </c>
      <c r="G73" s="10" t="n">
        <v>1.5</v>
      </c>
      <c r="H73" s="5" t="s">
        <v>1977</v>
      </c>
      <c r="I73" s="8" t="s">
        <v>1965</v>
      </c>
      <c r="J73" s="5" t="s">
        <v>1966</v>
      </c>
      <c r="K73" s="5" t="s">
        <v>1967</v>
      </c>
      <c r="L73" s="30"/>
      <c r="M73" s="30"/>
      <c r="N73" s="30"/>
    </row>
    <row r="74" customFormat="false" ht="22.5" hidden="false" customHeight="false" outlineLevel="0" collapsed="false">
      <c r="A74" s="5" t="n">
        <f aca="false">IF(B74&lt;&gt;"", COUNTA($B$2:B74), "")</f>
        <v>73</v>
      </c>
      <c r="B74" s="7" t="s">
        <v>27</v>
      </c>
      <c r="C74" s="8" t="s">
        <v>1972</v>
      </c>
      <c r="D74" s="19" t="s">
        <v>1978</v>
      </c>
      <c r="E74" s="8" t="n">
        <v>2018</v>
      </c>
      <c r="F74" s="8" t="s">
        <v>1974</v>
      </c>
      <c r="G74" s="10" t="n">
        <v>1.5</v>
      </c>
      <c r="H74" s="5" t="s">
        <v>1979</v>
      </c>
      <c r="I74" s="8" t="s">
        <v>1965</v>
      </c>
      <c r="J74" s="5" t="s">
        <v>1966</v>
      </c>
      <c r="K74" s="5" t="s">
        <v>1967</v>
      </c>
      <c r="L74" s="30"/>
      <c r="M74" s="30"/>
      <c r="N74" s="30"/>
    </row>
    <row r="75" customFormat="false" ht="22.5" hidden="false" customHeight="false" outlineLevel="0" collapsed="false">
      <c r="A75" s="5" t="n">
        <f aca="false">IF(B75&lt;&gt;"", COUNTA($B$2:B75), "")</f>
        <v>74</v>
      </c>
      <c r="B75" s="7" t="s">
        <v>27</v>
      </c>
      <c r="C75" s="8" t="s">
        <v>1972</v>
      </c>
      <c r="D75" s="19" t="s">
        <v>1980</v>
      </c>
      <c r="E75" s="8" t="n">
        <v>2018</v>
      </c>
      <c r="F75" s="8" t="s">
        <v>1974</v>
      </c>
      <c r="G75" s="10" t="n">
        <v>1.5</v>
      </c>
      <c r="H75" s="5" t="s">
        <v>1981</v>
      </c>
      <c r="I75" s="8" t="s">
        <v>1965</v>
      </c>
      <c r="J75" s="5" t="s">
        <v>1966</v>
      </c>
      <c r="K75" s="5" t="s">
        <v>1967</v>
      </c>
      <c r="L75" s="30"/>
      <c r="M75" s="30"/>
      <c r="N75" s="30"/>
    </row>
    <row r="76" customFormat="false" ht="22.5" hidden="false" customHeight="false" outlineLevel="0" collapsed="false">
      <c r="A76" s="5" t="n">
        <f aca="false">IF(B76&lt;&gt;"", COUNTA($B$2:B76), "")</f>
        <v>75</v>
      </c>
      <c r="B76" s="7" t="s">
        <v>27</v>
      </c>
      <c r="C76" s="12" t="s">
        <v>1882</v>
      </c>
      <c r="D76" s="8" t="n">
        <v>113550</v>
      </c>
      <c r="E76" s="8" t="n">
        <v>2018</v>
      </c>
      <c r="F76" s="5" t="s">
        <v>1888</v>
      </c>
      <c r="G76" s="10" t="n">
        <v>1.6</v>
      </c>
      <c r="H76" s="5" t="s">
        <v>1982</v>
      </c>
      <c r="I76" s="8" t="s">
        <v>1965</v>
      </c>
      <c r="J76" s="5" t="s">
        <v>1966</v>
      </c>
      <c r="K76" s="5" t="s">
        <v>1967</v>
      </c>
      <c r="L76" s="30"/>
      <c r="M76" s="30"/>
      <c r="N76" s="30"/>
    </row>
    <row r="77" customFormat="false" ht="22.5" hidden="false" customHeight="false" outlineLevel="0" collapsed="false">
      <c r="A77" s="5" t="n">
        <f aca="false">IF(B77&lt;&gt;"", COUNTA($B$2:B77), "")</f>
        <v>76</v>
      </c>
      <c r="B77" s="7" t="s">
        <v>27</v>
      </c>
      <c r="C77" s="12" t="s">
        <v>1882</v>
      </c>
      <c r="D77" s="8" t="n">
        <v>113528</v>
      </c>
      <c r="E77" s="8" t="n">
        <v>2018</v>
      </c>
      <c r="F77" s="5" t="s">
        <v>1983</v>
      </c>
      <c r="G77" s="10" t="n">
        <v>1.6</v>
      </c>
      <c r="H77" s="5" t="s">
        <v>1984</v>
      </c>
      <c r="I77" s="8" t="s">
        <v>1965</v>
      </c>
      <c r="J77" s="5" t="s">
        <v>1966</v>
      </c>
      <c r="K77" s="5" t="s">
        <v>1967</v>
      </c>
      <c r="L77" s="30"/>
      <c r="M77" s="30"/>
      <c r="N77" s="30"/>
    </row>
    <row r="78" customFormat="false" ht="22.5" hidden="false" customHeight="false" outlineLevel="0" collapsed="false">
      <c r="A78" s="5" t="n">
        <f aca="false">IF(B78&lt;&gt;"", COUNTA($B$2:B78), "")</f>
        <v>77</v>
      </c>
      <c r="B78" s="7" t="s">
        <v>27</v>
      </c>
      <c r="C78" s="8" t="s">
        <v>1985</v>
      </c>
      <c r="D78" s="8" t="s">
        <v>1986</v>
      </c>
      <c r="E78" s="8" t="n">
        <v>2018</v>
      </c>
      <c r="F78" s="5" t="s">
        <v>1866</v>
      </c>
      <c r="G78" s="10"/>
      <c r="H78" s="5" t="s">
        <v>1987</v>
      </c>
      <c r="I78" s="8" t="s">
        <v>1965</v>
      </c>
      <c r="J78" s="5" t="s">
        <v>1966</v>
      </c>
      <c r="K78" s="5" t="s">
        <v>1967</v>
      </c>
      <c r="L78" s="30"/>
      <c r="M78" s="30"/>
      <c r="N78" s="30"/>
    </row>
    <row r="79" customFormat="false" ht="22.5" hidden="false" customHeight="false" outlineLevel="0" collapsed="false">
      <c r="A79" s="5" t="n">
        <f aca="false">IF(B79&lt;&gt;"", COUNTA($B$2:B79), "")</f>
        <v>78</v>
      </c>
      <c r="B79" s="7" t="s">
        <v>27</v>
      </c>
      <c r="C79" s="12" t="s">
        <v>1882</v>
      </c>
      <c r="D79" s="8" t="n">
        <v>113538</v>
      </c>
      <c r="E79" s="8" t="n">
        <v>2018</v>
      </c>
      <c r="F79" s="5" t="s">
        <v>1983</v>
      </c>
      <c r="G79" s="10" t="n">
        <v>1.6</v>
      </c>
      <c r="H79" s="5" t="s">
        <v>1988</v>
      </c>
      <c r="I79" s="8" t="s">
        <v>1965</v>
      </c>
      <c r="J79" s="5" t="s">
        <v>1966</v>
      </c>
      <c r="K79" s="5" t="s">
        <v>1967</v>
      </c>
      <c r="L79" s="30"/>
      <c r="M79" s="30"/>
      <c r="N79" s="30"/>
    </row>
    <row r="80" customFormat="false" ht="22.5" hidden="false" customHeight="false" outlineLevel="0" collapsed="false">
      <c r="A80" s="5" t="n">
        <f aca="false">IF(B80&lt;&gt;"", COUNTA($B$2:B80), "")</f>
        <v>79</v>
      </c>
      <c r="B80" s="7" t="s">
        <v>27</v>
      </c>
      <c r="C80" s="8" t="s">
        <v>1882</v>
      </c>
      <c r="D80" s="78" t="s">
        <v>1989</v>
      </c>
      <c r="E80" s="8" t="n">
        <v>2018</v>
      </c>
      <c r="F80" s="5" t="s">
        <v>1888</v>
      </c>
      <c r="G80" s="10" t="n">
        <v>1.6</v>
      </c>
      <c r="H80" s="5" t="s">
        <v>1990</v>
      </c>
      <c r="I80" s="8" t="s">
        <v>1965</v>
      </c>
      <c r="J80" s="5" t="s">
        <v>1966</v>
      </c>
      <c r="K80" s="5"/>
      <c r="L80" s="30"/>
      <c r="M80" s="30"/>
      <c r="N80" s="30"/>
    </row>
    <row r="81" customFormat="false" ht="22.5" hidden="false" customHeight="false" outlineLevel="0" collapsed="false">
      <c r="A81" s="5" t="n">
        <f aca="false">IF(B81&lt;&gt;"", COUNTA($B$2:B81), "")</f>
        <v>80</v>
      </c>
      <c r="B81" s="7" t="s">
        <v>27</v>
      </c>
      <c r="C81" s="8" t="s">
        <v>1882</v>
      </c>
      <c r="D81" s="78" t="s">
        <v>1991</v>
      </c>
      <c r="E81" s="8" t="n">
        <v>2018</v>
      </c>
      <c r="F81" s="5" t="s">
        <v>1992</v>
      </c>
      <c r="G81" s="10" t="n">
        <v>1.6</v>
      </c>
      <c r="H81" s="5" t="s">
        <v>1993</v>
      </c>
      <c r="I81" s="8" t="s">
        <v>1965</v>
      </c>
      <c r="J81" s="5" t="s">
        <v>1966</v>
      </c>
      <c r="K81" s="5"/>
      <c r="L81" s="30"/>
      <c r="M81" s="30"/>
      <c r="N81" s="30"/>
    </row>
    <row r="82" customFormat="false" ht="22.5" hidden="false" customHeight="false" outlineLevel="0" collapsed="false">
      <c r="A82" s="5" t="n">
        <f aca="false">IF(B82&lt;&gt;"", COUNTA($B$2:B82), "")</f>
        <v>81</v>
      </c>
      <c r="B82" s="7" t="s">
        <v>27</v>
      </c>
      <c r="C82" s="8" t="s">
        <v>1882</v>
      </c>
      <c r="D82" s="78" t="s">
        <v>1994</v>
      </c>
      <c r="E82" s="8" t="n">
        <v>2018</v>
      </c>
      <c r="F82" s="5" t="s">
        <v>1885</v>
      </c>
      <c r="G82" s="10" t="n">
        <v>1.6</v>
      </c>
      <c r="H82" s="5" t="s">
        <v>1995</v>
      </c>
      <c r="I82" s="8" t="s">
        <v>1965</v>
      </c>
      <c r="J82" s="5" t="s">
        <v>1966</v>
      </c>
      <c r="K82" s="5"/>
      <c r="L82" s="30"/>
      <c r="M82" s="30"/>
      <c r="N82" s="30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7" t="s">
        <v>27</v>
      </c>
      <c r="C83" s="8" t="s">
        <v>1985</v>
      </c>
      <c r="D83" s="19" t="s">
        <v>1996</v>
      </c>
      <c r="E83" s="8" t="n">
        <v>2018</v>
      </c>
      <c r="F83" s="5" t="s">
        <v>1866</v>
      </c>
      <c r="G83" s="10"/>
      <c r="H83" s="5" t="s">
        <v>1997</v>
      </c>
      <c r="I83" s="8" t="s">
        <v>1965</v>
      </c>
      <c r="J83" s="5" t="s">
        <v>1966</v>
      </c>
      <c r="K83" s="5"/>
      <c r="L83" s="30"/>
      <c r="M83" s="30"/>
      <c r="N83" s="30"/>
    </row>
    <row r="84" customFormat="false" ht="22.5" hidden="false" customHeight="false" outlineLevel="0" collapsed="false">
      <c r="A84" s="5" t="n">
        <f aca="false">IF(B84&lt;&gt;"", COUNTA($B$2:B84), "")</f>
        <v>83</v>
      </c>
      <c r="B84" s="7" t="s">
        <v>27</v>
      </c>
      <c r="C84" s="8" t="s">
        <v>1985</v>
      </c>
      <c r="D84" s="78" t="s">
        <v>1998</v>
      </c>
      <c r="E84" s="8" t="n">
        <v>2018</v>
      </c>
      <c r="F84" s="5" t="s">
        <v>1999</v>
      </c>
      <c r="G84" s="10"/>
      <c r="H84" s="5" t="s">
        <v>2000</v>
      </c>
      <c r="I84" s="8" t="s">
        <v>1965</v>
      </c>
      <c r="J84" s="5" t="s">
        <v>1966</v>
      </c>
      <c r="K84" s="5"/>
      <c r="L84" s="30"/>
      <c r="M84" s="30"/>
      <c r="N84" s="30"/>
    </row>
    <row r="85" customFormat="false" ht="22.5" hidden="false" customHeight="false" outlineLevel="0" collapsed="false">
      <c r="A85" s="5" t="n">
        <f aca="false">IF(B85&lt;&gt;"", COUNTA($B$2:B85), "")</f>
        <v>84</v>
      </c>
      <c r="B85" s="7" t="s">
        <v>27</v>
      </c>
      <c r="C85" s="8" t="s">
        <v>1985</v>
      </c>
      <c r="D85" s="78" t="s">
        <v>2001</v>
      </c>
      <c r="E85" s="8" t="n">
        <v>2018</v>
      </c>
      <c r="F85" s="5" t="s">
        <v>1999</v>
      </c>
      <c r="G85" s="10"/>
      <c r="H85" s="5" t="s">
        <v>2000</v>
      </c>
      <c r="I85" s="8" t="s">
        <v>1965</v>
      </c>
      <c r="J85" s="5" t="s">
        <v>1966</v>
      </c>
      <c r="K85" s="5"/>
      <c r="L85" s="30"/>
      <c r="M85" s="30"/>
      <c r="N85" s="30"/>
    </row>
    <row r="86" customFormat="false" ht="22.5" hidden="false" customHeight="false" outlineLevel="0" collapsed="false">
      <c r="A86" s="5" t="n">
        <f aca="false">IF(B86&lt;&gt;"", COUNTA($B$2:B86), "")</f>
        <v>85</v>
      </c>
      <c r="B86" s="7" t="s">
        <v>27</v>
      </c>
      <c r="C86" s="12" t="s">
        <v>1882</v>
      </c>
      <c r="D86" s="19" t="s">
        <v>2002</v>
      </c>
      <c r="E86" s="17"/>
      <c r="F86" s="5" t="s">
        <v>1866</v>
      </c>
      <c r="G86" s="10" t="n">
        <v>1.6</v>
      </c>
      <c r="H86" s="5" t="s">
        <v>1964</v>
      </c>
      <c r="I86" s="8" t="s">
        <v>2003</v>
      </c>
      <c r="J86" s="5" t="s">
        <v>1966</v>
      </c>
      <c r="K86" s="5"/>
      <c r="L86" s="30"/>
      <c r="M86" s="30"/>
      <c r="N86" s="30"/>
    </row>
    <row r="87" customFormat="false" ht="22.5" hidden="false" customHeight="false" outlineLevel="0" collapsed="false">
      <c r="A87" s="5" t="n">
        <f aca="false">IF(B87&lt;&gt;"", COUNTA($B$2:B87), "")</f>
        <v>86</v>
      </c>
      <c r="B87" s="7" t="s">
        <v>27</v>
      </c>
      <c r="C87" s="12" t="s">
        <v>1882</v>
      </c>
      <c r="D87" s="8" t="s">
        <v>2004</v>
      </c>
      <c r="E87" s="17"/>
      <c r="F87" s="5" t="s">
        <v>1969</v>
      </c>
      <c r="G87" s="10" t="n">
        <v>1.6</v>
      </c>
      <c r="H87" s="5" t="s">
        <v>1970</v>
      </c>
      <c r="I87" s="8" t="s">
        <v>2003</v>
      </c>
      <c r="J87" s="5" t="s">
        <v>1966</v>
      </c>
      <c r="K87" s="5"/>
      <c r="L87" s="30"/>
      <c r="M87" s="30"/>
      <c r="N87" s="30"/>
    </row>
    <row r="88" customFormat="false" ht="22.5" hidden="false" customHeight="false" outlineLevel="0" collapsed="false">
      <c r="A88" s="5" t="n">
        <f aca="false">IF(B88&lt;&gt;"", COUNTA($B$2:B88), "")</f>
        <v>87</v>
      </c>
      <c r="B88" s="7" t="s">
        <v>27</v>
      </c>
      <c r="C88" s="8" t="s">
        <v>1972</v>
      </c>
      <c r="D88" s="78" t="s">
        <v>2005</v>
      </c>
      <c r="E88" s="8"/>
      <c r="F88" s="8" t="s">
        <v>1974</v>
      </c>
      <c r="G88" s="10" t="n">
        <v>1.5</v>
      </c>
      <c r="H88" s="5" t="s">
        <v>1975</v>
      </c>
      <c r="I88" s="8" t="s">
        <v>2003</v>
      </c>
      <c r="J88" s="5" t="s">
        <v>1966</v>
      </c>
      <c r="K88" s="5"/>
      <c r="L88" s="30"/>
      <c r="M88" s="30"/>
      <c r="N88" s="30"/>
    </row>
    <row r="89" customFormat="false" ht="22.5" hidden="false" customHeight="false" outlineLevel="0" collapsed="false">
      <c r="A89" s="5" t="n">
        <f aca="false">IF(B89&lt;&gt;"", COUNTA($B$2:B89), "")</f>
        <v>88</v>
      </c>
      <c r="B89" s="7" t="s">
        <v>27</v>
      </c>
      <c r="C89" s="8" t="s">
        <v>1972</v>
      </c>
      <c r="D89" s="78" t="s">
        <v>2006</v>
      </c>
      <c r="E89" s="8"/>
      <c r="F89" s="8" t="s">
        <v>1974</v>
      </c>
      <c r="G89" s="10" t="n">
        <v>1.5</v>
      </c>
      <c r="H89" s="5" t="s">
        <v>1977</v>
      </c>
      <c r="I89" s="8" t="s">
        <v>2003</v>
      </c>
      <c r="J89" s="5" t="s">
        <v>1966</v>
      </c>
      <c r="K89" s="5"/>
      <c r="L89" s="30"/>
      <c r="M89" s="30"/>
      <c r="N89" s="30"/>
    </row>
    <row r="90" customFormat="false" ht="22.5" hidden="false" customHeight="false" outlineLevel="0" collapsed="false">
      <c r="A90" s="5" t="n">
        <f aca="false">IF(B90&lt;&gt;"", COUNTA($B$2:B90), "")</f>
        <v>89</v>
      </c>
      <c r="B90" s="7" t="s">
        <v>27</v>
      </c>
      <c r="C90" s="8" t="s">
        <v>1972</v>
      </c>
      <c r="D90" s="19" t="s">
        <v>2007</v>
      </c>
      <c r="E90" s="17"/>
      <c r="F90" s="8" t="s">
        <v>1974</v>
      </c>
      <c r="G90" s="10" t="n">
        <v>1.5</v>
      </c>
      <c r="H90" s="5" t="s">
        <v>1979</v>
      </c>
      <c r="I90" s="8" t="s">
        <v>2003</v>
      </c>
      <c r="J90" s="5" t="s">
        <v>1966</v>
      </c>
      <c r="K90" s="5"/>
      <c r="L90" s="30"/>
      <c r="M90" s="30"/>
      <c r="N90" s="30"/>
    </row>
    <row r="91" customFormat="false" ht="22.5" hidden="false" customHeight="false" outlineLevel="0" collapsed="false">
      <c r="A91" s="5" t="n">
        <f aca="false">IF(B91&lt;&gt;"", COUNTA($B$2:B91), "")</f>
        <v>90</v>
      </c>
      <c r="B91" s="7" t="s">
        <v>27</v>
      </c>
      <c r="C91" s="8" t="s">
        <v>1972</v>
      </c>
      <c r="D91" s="19" t="s">
        <v>2008</v>
      </c>
      <c r="E91" s="17"/>
      <c r="F91" s="8" t="s">
        <v>1974</v>
      </c>
      <c r="G91" s="10" t="n">
        <v>1.5</v>
      </c>
      <c r="H91" s="5" t="s">
        <v>1981</v>
      </c>
      <c r="I91" s="8" t="s">
        <v>2003</v>
      </c>
      <c r="J91" s="5" t="s">
        <v>1966</v>
      </c>
      <c r="K91" s="5"/>
      <c r="L91" s="30"/>
      <c r="M91" s="30"/>
      <c r="N91" s="30"/>
    </row>
    <row r="92" customFormat="false" ht="22.5" hidden="false" customHeight="false" outlineLevel="0" collapsed="false">
      <c r="A92" s="5" t="n">
        <f aca="false">IF(B92&lt;&gt;"", COUNTA($B$2:B92), "")</f>
        <v>91</v>
      </c>
      <c r="B92" s="7" t="s">
        <v>27</v>
      </c>
      <c r="C92" s="12" t="s">
        <v>1882</v>
      </c>
      <c r="D92" s="8" t="n">
        <v>113548</v>
      </c>
      <c r="E92" s="8"/>
      <c r="F92" s="5" t="s">
        <v>1888</v>
      </c>
      <c r="G92" s="10" t="n">
        <v>1.6</v>
      </c>
      <c r="H92" s="5" t="s">
        <v>1982</v>
      </c>
      <c r="I92" s="8" t="s">
        <v>2003</v>
      </c>
      <c r="J92" s="5" t="s">
        <v>1966</v>
      </c>
      <c r="K92" s="5"/>
      <c r="L92" s="30"/>
      <c r="M92" s="30"/>
      <c r="N92" s="30"/>
    </row>
    <row r="93" customFormat="false" ht="22.5" hidden="false" customHeight="false" outlineLevel="0" collapsed="false">
      <c r="A93" s="5" t="n">
        <f aca="false">IF(B93&lt;&gt;"", COUNTA($B$2:B93), "")</f>
        <v>92</v>
      </c>
      <c r="B93" s="7" t="s">
        <v>27</v>
      </c>
      <c r="C93" s="12" t="s">
        <v>1882</v>
      </c>
      <c r="D93" s="8" t="n">
        <v>113542</v>
      </c>
      <c r="E93" s="8"/>
      <c r="F93" s="5" t="s">
        <v>1992</v>
      </c>
      <c r="G93" s="10" t="n">
        <v>1.6</v>
      </c>
      <c r="H93" s="5" t="s">
        <v>1984</v>
      </c>
      <c r="I93" s="8" t="s">
        <v>2003</v>
      </c>
      <c r="J93" s="5" t="s">
        <v>1966</v>
      </c>
      <c r="K93" s="5"/>
      <c r="L93" s="30"/>
      <c r="M93" s="30"/>
      <c r="N93" s="30"/>
    </row>
    <row r="94" customFormat="false" ht="22.5" hidden="false" customHeight="false" outlineLevel="0" collapsed="false">
      <c r="A94" s="5" t="n">
        <f aca="false">IF(B94&lt;&gt;"", COUNTA($B$2:B94), "")</f>
        <v>93</v>
      </c>
      <c r="B94" s="7" t="s">
        <v>27</v>
      </c>
      <c r="C94" s="8" t="s">
        <v>1985</v>
      </c>
      <c r="D94" s="8" t="s">
        <v>2009</v>
      </c>
      <c r="E94" s="8"/>
      <c r="F94" s="5" t="s">
        <v>1866</v>
      </c>
      <c r="G94" s="10"/>
      <c r="H94" s="5" t="s">
        <v>1987</v>
      </c>
      <c r="I94" s="8" t="s">
        <v>2003</v>
      </c>
      <c r="J94" s="5" t="s">
        <v>1966</v>
      </c>
      <c r="K94" s="5"/>
      <c r="L94" s="30"/>
      <c r="M94" s="30"/>
      <c r="N94" s="30"/>
    </row>
    <row r="95" customFormat="false" ht="22.5" hidden="false" customHeight="false" outlineLevel="0" collapsed="false">
      <c r="A95" s="5" t="n">
        <f aca="false">IF(B95&lt;&gt;"", COUNTA($B$2:B95), "")</f>
        <v>94</v>
      </c>
      <c r="B95" s="7" t="s">
        <v>27</v>
      </c>
      <c r="C95" s="12" t="s">
        <v>1882</v>
      </c>
      <c r="D95" s="8" t="n">
        <v>113541</v>
      </c>
      <c r="E95" s="8"/>
      <c r="F95" s="5" t="s">
        <v>1983</v>
      </c>
      <c r="G95" s="10" t="n">
        <v>1.6</v>
      </c>
      <c r="H95" s="5" t="s">
        <v>1988</v>
      </c>
      <c r="I95" s="8" t="s">
        <v>2003</v>
      </c>
      <c r="J95" s="5" t="s">
        <v>1966</v>
      </c>
      <c r="K95" s="5"/>
      <c r="L95" s="30"/>
      <c r="M95" s="30"/>
      <c r="N95" s="30"/>
    </row>
    <row r="96" customFormat="false" ht="22.5" hidden="false" customHeight="false" outlineLevel="0" collapsed="false">
      <c r="A96" s="5" t="n">
        <f aca="false">IF(B96&lt;&gt;"", COUNTA($B$2:B96), "")</f>
        <v>95</v>
      </c>
      <c r="B96" s="7" t="s">
        <v>27</v>
      </c>
      <c r="C96" s="8" t="s">
        <v>1882</v>
      </c>
      <c r="D96" s="78" t="s">
        <v>2010</v>
      </c>
      <c r="E96" s="8"/>
      <c r="F96" s="5" t="s">
        <v>1888</v>
      </c>
      <c r="G96" s="10" t="n">
        <v>1.6</v>
      </c>
      <c r="H96" s="5" t="s">
        <v>1990</v>
      </c>
      <c r="I96" s="8" t="s">
        <v>2003</v>
      </c>
      <c r="J96" s="5" t="s">
        <v>1966</v>
      </c>
      <c r="K96" s="5"/>
      <c r="L96" s="30"/>
      <c r="M96" s="30"/>
      <c r="N96" s="30"/>
    </row>
    <row r="97" customFormat="false" ht="22.5" hidden="false" customHeight="false" outlineLevel="0" collapsed="false">
      <c r="A97" s="5" t="n">
        <f aca="false">IF(B97&lt;&gt;"", COUNTA($B$2:B97), "")</f>
        <v>96</v>
      </c>
      <c r="B97" s="7" t="s">
        <v>27</v>
      </c>
      <c r="C97" s="8" t="s">
        <v>1882</v>
      </c>
      <c r="D97" s="78" t="s">
        <v>2011</v>
      </c>
      <c r="E97" s="8"/>
      <c r="F97" s="5" t="s">
        <v>1992</v>
      </c>
      <c r="G97" s="10" t="n">
        <v>1.6</v>
      </c>
      <c r="H97" s="5" t="s">
        <v>1993</v>
      </c>
      <c r="I97" s="8" t="s">
        <v>2003</v>
      </c>
      <c r="J97" s="5" t="s">
        <v>1966</v>
      </c>
      <c r="K97" s="5"/>
      <c r="L97" s="30"/>
      <c r="M97" s="30"/>
      <c r="N97" s="30"/>
    </row>
    <row r="98" customFormat="false" ht="22.5" hidden="false" customHeight="false" outlineLevel="0" collapsed="false">
      <c r="A98" s="5" t="n">
        <f aca="false">IF(B98&lt;&gt;"", COUNTA($B$2:B98), "")</f>
        <v>97</v>
      </c>
      <c r="B98" s="7" t="s">
        <v>27</v>
      </c>
      <c r="C98" s="8" t="s">
        <v>1882</v>
      </c>
      <c r="D98" s="19" t="s">
        <v>2012</v>
      </c>
      <c r="E98" s="17"/>
      <c r="F98" s="5" t="s">
        <v>1885</v>
      </c>
      <c r="G98" s="10" t="n">
        <v>1.6</v>
      </c>
      <c r="H98" s="5" t="s">
        <v>1995</v>
      </c>
      <c r="I98" s="8" t="s">
        <v>2003</v>
      </c>
      <c r="J98" s="5" t="s">
        <v>1966</v>
      </c>
      <c r="K98" s="5"/>
      <c r="L98" s="30"/>
      <c r="M98" s="30"/>
      <c r="N98" s="30"/>
    </row>
    <row r="99" customFormat="false" ht="22.5" hidden="false" customHeight="false" outlineLevel="0" collapsed="false">
      <c r="A99" s="5" t="n">
        <f aca="false">IF(B99&lt;&gt;"", COUNTA($B$2:B99), "")</f>
        <v>98</v>
      </c>
      <c r="B99" s="7" t="s">
        <v>27</v>
      </c>
      <c r="C99" s="8" t="s">
        <v>1985</v>
      </c>
      <c r="D99" s="19" t="s">
        <v>2013</v>
      </c>
      <c r="E99" s="17"/>
      <c r="F99" s="5" t="s">
        <v>1866</v>
      </c>
      <c r="G99" s="10"/>
      <c r="H99" s="5" t="s">
        <v>1997</v>
      </c>
      <c r="I99" s="8" t="s">
        <v>2003</v>
      </c>
      <c r="J99" s="5" t="s">
        <v>1966</v>
      </c>
      <c r="K99" s="5"/>
      <c r="L99" s="30"/>
      <c r="M99" s="30"/>
      <c r="N99" s="30"/>
    </row>
    <row r="100" customFormat="false" ht="22.5" hidden="false" customHeight="false" outlineLevel="0" collapsed="false">
      <c r="A100" s="5" t="n">
        <f aca="false">IF(B100&lt;&gt;"", COUNTA($B$2:B100), "")</f>
        <v>99</v>
      </c>
      <c r="B100" s="7" t="s">
        <v>27</v>
      </c>
      <c r="C100" s="8" t="s">
        <v>1985</v>
      </c>
      <c r="D100" s="12" t="n">
        <v>700298</v>
      </c>
      <c r="E100" s="8"/>
      <c r="F100" s="5" t="s">
        <v>1999</v>
      </c>
      <c r="G100" s="10"/>
      <c r="H100" s="5" t="s">
        <v>2000</v>
      </c>
      <c r="I100" s="8" t="s">
        <v>2003</v>
      </c>
      <c r="J100" s="5" t="s">
        <v>1966</v>
      </c>
      <c r="K100" s="5"/>
      <c r="L100" s="30"/>
      <c r="M100" s="30"/>
      <c r="N100" s="30"/>
    </row>
    <row r="101" customFormat="false" ht="22.5" hidden="false" customHeight="false" outlineLevel="0" collapsed="false">
      <c r="A101" s="5" t="n">
        <f aca="false">IF(B101&lt;&gt;"", COUNTA($B$2:B101), "")</f>
        <v>100</v>
      </c>
      <c r="B101" s="7" t="s">
        <v>27</v>
      </c>
      <c r="C101" s="8" t="s">
        <v>1985</v>
      </c>
      <c r="D101" s="16" t="n">
        <v>700299</v>
      </c>
      <c r="E101" s="17"/>
      <c r="F101" s="5" t="s">
        <v>1999</v>
      </c>
      <c r="G101" s="10"/>
      <c r="H101" s="5" t="s">
        <v>2000</v>
      </c>
      <c r="I101" s="8" t="s">
        <v>2003</v>
      </c>
      <c r="J101" s="5" t="s">
        <v>1966</v>
      </c>
      <c r="K101" s="5"/>
      <c r="L101" s="30"/>
      <c r="M101" s="30"/>
      <c r="N101" s="30"/>
    </row>
    <row r="102" customFormat="false" ht="22.5" hidden="false" customHeight="false" outlineLevel="0" collapsed="false">
      <c r="A102" s="5" t="n">
        <f aca="false">IF(B102&lt;&gt;"", COUNTA($B$2:B102), "")</f>
        <v>101</v>
      </c>
      <c r="B102" s="7" t="s">
        <v>27</v>
      </c>
      <c r="C102" s="12" t="s">
        <v>1882</v>
      </c>
      <c r="D102" s="19" t="s">
        <v>2014</v>
      </c>
      <c r="E102" s="17"/>
      <c r="F102" s="5" t="s">
        <v>1866</v>
      </c>
      <c r="G102" s="10" t="n">
        <v>1.6</v>
      </c>
      <c r="H102" s="5" t="s">
        <v>1964</v>
      </c>
      <c r="I102" s="8" t="s">
        <v>2015</v>
      </c>
      <c r="J102" s="5" t="s">
        <v>1966</v>
      </c>
      <c r="K102" s="5"/>
      <c r="L102" s="30"/>
      <c r="M102" s="30"/>
      <c r="N102" s="30"/>
    </row>
    <row r="103" customFormat="false" ht="22.5" hidden="false" customHeight="false" outlineLevel="0" collapsed="false">
      <c r="A103" s="5" t="n">
        <f aca="false">IF(B103&lt;&gt;"", COUNTA($B$2:B103), "")</f>
        <v>102</v>
      </c>
      <c r="B103" s="7" t="s">
        <v>27</v>
      </c>
      <c r="C103" s="12" t="s">
        <v>1882</v>
      </c>
      <c r="D103" s="8" t="s">
        <v>2016</v>
      </c>
      <c r="E103" s="17"/>
      <c r="F103" s="5" t="s">
        <v>1969</v>
      </c>
      <c r="G103" s="10" t="n">
        <v>1.6</v>
      </c>
      <c r="H103" s="5" t="s">
        <v>1970</v>
      </c>
      <c r="I103" s="8" t="s">
        <v>2015</v>
      </c>
      <c r="J103" s="5" t="s">
        <v>1966</v>
      </c>
      <c r="K103" s="5"/>
      <c r="L103" s="30"/>
      <c r="M103" s="30"/>
      <c r="N103" s="30"/>
    </row>
    <row r="104" customFormat="false" ht="22.5" hidden="false" customHeight="false" outlineLevel="0" collapsed="false">
      <c r="A104" s="5" t="n">
        <f aca="false">IF(B104&lt;&gt;"", COUNTA($B$2:B104), "")</f>
        <v>103</v>
      </c>
      <c r="B104" s="7" t="s">
        <v>27</v>
      </c>
      <c r="C104" s="8" t="s">
        <v>1972</v>
      </c>
      <c r="D104" s="78" t="s">
        <v>2017</v>
      </c>
      <c r="E104" s="8"/>
      <c r="F104" s="8" t="s">
        <v>1974</v>
      </c>
      <c r="G104" s="10" t="n">
        <v>1.5</v>
      </c>
      <c r="H104" s="5" t="s">
        <v>1975</v>
      </c>
      <c r="I104" s="8" t="s">
        <v>2015</v>
      </c>
      <c r="J104" s="5" t="s">
        <v>1966</v>
      </c>
      <c r="K104" s="5"/>
      <c r="L104" s="30"/>
      <c r="M104" s="30"/>
      <c r="N104" s="30"/>
    </row>
    <row r="105" customFormat="false" ht="22.5" hidden="false" customHeight="false" outlineLevel="0" collapsed="false">
      <c r="A105" s="5" t="n">
        <f aca="false">IF(B105&lt;&gt;"", COUNTA($B$2:B105), "")</f>
        <v>104</v>
      </c>
      <c r="B105" s="7" t="s">
        <v>27</v>
      </c>
      <c r="C105" s="8" t="s">
        <v>1972</v>
      </c>
      <c r="D105" s="78" t="s">
        <v>2018</v>
      </c>
      <c r="E105" s="8"/>
      <c r="F105" s="8" t="s">
        <v>1974</v>
      </c>
      <c r="G105" s="10" t="n">
        <v>1.5</v>
      </c>
      <c r="H105" s="5" t="s">
        <v>1977</v>
      </c>
      <c r="I105" s="8" t="s">
        <v>2015</v>
      </c>
      <c r="J105" s="5" t="s">
        <v>1966</v>
      </c>
      <c r="K105" s="5"/>
      <c r="L105" s="30"/>
      <c r="M105" s="30"/>
      <c r="N105" s="30"/>
    </row>
    <row r="106" customFormat="false" ht="22.5" hidden="false" customHeight="false" outlineLevel="0" collapsed="false">
      <c r="A106" s="5" t="n">
        <f aca="false">IF(B106&lt;&gt;"", COUNTA($B$2:B106), "")</f>
        <v>105</v>
      </c>
      <c r="B106" s="7" t="s">
        <v>27</v>
      </c>
      <c r="C106" s="8" t="s">
        <v>1972</v>
      </c>
      <c r="D106" s="19" t="s">
        <v>2019</v>
      </c>
      <c r="E106" s="17"/>
      <c r="F106" s="8" t="s">
        <v>1974</v>
      </c>
      <c r="G106" s="10" t="n">
        <v>1.5</v>
      </c>
      <c r="H106" s="5" t="s">
        <v>1979</v>
      </c>
      <c r="I106" s="8" t="s">
        <v>2015</v>
      </c>
      <c r="J106" s="5" t="s">
        <v>1966</v>
      </c>
      <c r="K106" s="5"/>
      <c r="L106" s="30"/>
      <c r="M106" s="30"/>
      <c r="N106" s="30"/>
    </row>
    <row r="107" customFormat="false" ht="22.5" hidden="false" customHeight="false" outlineLevel="0" collapsed="false">
      <c r="A107" s="5" t="n">
        <f aca="false">IF(B107&lt;&gt;"", COUNTA($B$2:B107), "")</f>
        <v>106</v>
      </c>
      <c r="B107" s="7" t="s">
        <v>27</v>
      </c>
      <c r="C107" s="8" t="s">
        <v>1972</v>
      </c>
      <c r="D107" s="19" t="s">
        <v>2020</v>
      </c>
      <c r="E107" s="17"/>
      <c r="F107" s="8" t="s">
        <v>1974</v>
      </c>
      <c r="G107" s="10" t="n">
        <v>1.5</v>
      </c>
      <c r="H107" s="5" t="s">
        <v>1981</v>
      </c>
      <c r="I107" s="8" t="s">
        <v>2015</v>
      </c>
      <c r="J107" s="5" t="s">
        <v>1966</v>
      </c>
      <c r="K107" s="5"/>
      <c r="L107" s="30"/>
      <c r="M107" s="30"/>
      <c r="N107" s="30"/>
    </row>
    <row r="108" customFormat="false" ht="22.5" hidden="false" customHeight="false" outlineLevel="0" collapsed="false">
      <c r="A108" s="5" t="n">
        <f aca="false">IF(B108&lt;&gt;"", COUNTA($B$2:B108), "")</f>
        <v>107</v>
      </c>
      <c r="B108" s="7" t="s">
        <v>27</v>
      </c>
      <c r="C108" s="12" t="s">
        <v>1882</v>
      </c>
      <c r="D108" s="8" t="n">
        <v>113543</v>
      </c>
      <c r="E108" s="8"/>
      <c r="F108" s="5" t="s">
        <v>1888</v>
      </c>
      <c r="G108" s="10" t="n">
        <v>1.6</v>
      </c>
      <c r="H108" s="5" t="s">
        <v>1982</v>
      </c>
      <c r="I108" s="8" t="s">
        <v>2015</v>
      </c>
      <c r="J108" s="5" t="s">
        <v>1966</v>
      </c>
      <c r="K108" s="5"/>
      <c r="L108" s="30"/>
      <c r="M108" s="30"/>
      <c r="N108" s="30"/>
    </row>
    <row r="109" customFormat="false" ht="22.5" hidden="false" customHeight="false" outlineLevel="0" collapsed="false">
      <c r="A109" s="5" t="n">
        <f aca="false">IF(B109&lt;&gt;"", COUNTA($B$2:B109), "")</f>
        <v>108</v>
      </c>
      <c r="B109" s="7" t="s">
        <v>27</v>
      </c>
      <c r="C109" s="12" t="s">
        <v>1882</v>
      </c>
      <c r="D109" s="8" t="n">
        <v>2038956</v>
      </c>
      <c r="E109" s="8"/>
      <c r="F109" s="5" t="s">
        <v>1983</v>
      </c>
      <c r="G109" s="10" t="n">
        <v>1.6</v>
      </c>
      <c r="H109" s="5" t="s">
        <v>1984</v>
      </c>
      <c r="I109" s="8" t="s">
        <v>2015</v>
      </c>
      <c r="J109" s="5" t="s">
        <v>1966</v>
      </c>
      <c r="K109" s="5"/>
      <c r="L109" s="30"/>
      <c r="M109" s="30"/>
      <c r="N109" s="30"/>
    </row>
    <row r="110" customFormat="false" ht="22.5" hidden="false" customHeight="false" outlineLevel="0" collapsed="false">
      <c r="A110" s="5" t="n">
        <f aca="false">IF(B110&lt;&gt;"", COUNTA($B$2:B110), "")</f>
        <v>109</v>
      </c>
      <c r="B110" s="7" t="s">
        <v>27</v>
      </c>
      <c r="C110" s="8" t="s">
        <v>1985</v>
      </c>
      <c r="D110" s="8" t="s">
        <v>2021</v>
      </c>
      <c r="E110" s="8"/>
      <c r="F110" s="5" t="s">
        <v>1866</v>
      </c>
      <c r="G110" s="10"/>
      <c r="H110" s="5" t="s">
        <v>1987</v>
      </c>
      <c r="I110" s="8" t="s">
        <v>2015</v>
      </c>
      <c r="J110" s="5" t="s">
        <v>1966</v>
      </c>
      <c r="K110" s="5"/>
      <c r="L110" s="30"/>
      <c r="M110" s="30"/>
      <c r="N110" s="30"/>
    </row>
    <row r="111" customFormat="false" ht="22.5" hidden="false" customHeight="false" outlineLevel="0" collapsed="false">
      <c r="A111" s="5" t="n">
        <f aca="false">IF(B111&lt;&gt;"", COUNTA($B$2:B111), "")</f>
        <v>110</v>
      </c>
      <c r="B111" s="7" t="s">
        <v>27</v>
      </c>
      <c r="C111" s="12" t="s">
        <v>1882</v>
      </c>
      <c r="D111" s="8" t="n">
        <v>113535</v>
      </c>
      <c r="E111" s="8"/>
      <c r="F111" s="5" t="s">
        <v>1983</v>
      </c>
      <c r="G111" s="10" t="n">
        <v>1.6</v>
      </c>
      <c r="H111" s="5" t="s">
        <v>1988</v>
      </c>
      <c r="I111" s="8" t="s">
        <v>2015</v>
      </c>
      <c r="J111" s="5" t="s">
        <v>1966</v>
      </c>
      <c r="K111" s="5"/>
      <c r="L111" s="30"/>
      <c r="M111" s="30"/>
      <c r="N111" s="30"/>
    </row>
    <row r="112" customFormat="false" ht="22.5" hidden="false" customHeight="false" outlineLevel="0" collapsed="false">
      <c r="A112" s="5" t="n">
        <f aca="false">IF(B112&lt;&gt;"", COUNTA($B$2:B112), "")</f>
        <v>111</v>
      </c>
      <c r="B112" s="7" t="s">
        <v>27</v>
      </c>
      <c r="C112" s="8" t="s">
        <v>1882</v>
      </c>
      <c r="D112" s="78" t="s">
        <v>2022</v>
      </c>
      <c r="E112" s="8"/>
      <c r="F112" s="5" t="s">
        <v>1888</v>
      </c>
      <c r="G112" s="10" t="n">
        <v>1.6</v>
      </c>
      <c r="H112" s="5" t="s">
        <v>2023</v>
      </c>
      <c r="I112" s="8" t="s">
        <v>2015</v>
      </c>
      <c r="J112" s="5" t="s">
        <v>1966</v>
      </c>
      <c r="K112" s="5"/>
      <c r="L112" s="30"/>
      <c r="M112" s="30"/>
      <c r="N112" s="30"/>
    </row>
    <row r="113" customFormat="false" ht="22.5" hidden="false" customHeight="false" outlineLevel="0" collapsed="false">
      <c r="A113" s="5" t="n">
        <f aca="false">IF(B113&lt;&gt;"", COUNTA($B$2:B113), "")</f>
        <v>112</v>
      </c>
      <c r="B113" s="7" t="s">
        <v>27</v>
      </c>
      <c r="C113" s="8" t="s">
        <v>1882</v>
      </c>
      <c r="D113" s="78" t="s">
        <v>2024</v>
      </c>
      <c r="E113" s="8"/>
      <c r="F113" s="5" t="s">
        <v>1992</v>
      </c>
      <c r="G113" s="10" t="n">
        <v>1.6</v>
      </c>
      <c r="H113" s="5" t="s">
        <v>2025</v>
      </c>
      <c r="I113" s="8" t="s">
        <v>2015</v>
      </c>
      <c r="J113" s="5" t="s">
        <v>1966</v>
      </c>
      <c r="K113" s="5"/>
      <c r="L113" s="30"/>
      <c r="M113" s="30"/>
      <c r="N113" s="30"/>
    </row>
    <row r="114" customFormat="false" ht="22.5" hidden="false" customHeight="false" outlineLevel="0" collapsed="false">
      <c r="A114" s="5" t="n">
        <f aca="false">IF(B114&lt;&gt;"", COUNTA($B$2:B114), "")</f>
        <v>113</v>
      </c>
      <c r="B114" s="7" t="s">
        <v>27</v>
      </c>
      <c r="C114" s="8" t="s">
        <v>1882</v>
      </c>
      <c r="D114" s="78" t="s">
        <v>2026</v>
      </c>
      <c r="E114" s="17"/>
      <c r="F114" s="5" t="s">
        <v>1885</v>
      </c>
      <c r="G114" s="10" t="n">
        <v>1.6</v>
      </c>
      <c r="H114" s="5" t="s">
        <v>1995</v>
      </c>
      <c r="I114" s="8" t="s">
        <v>2015</v>
      </c>
      <c r="J114" s="5" t="s">
        <v>1966</v>
      </c>
      <c r="K114" s="5"/>
      <c r="L114" s="30"/>
      <c r="M114" s="30"/>
      <c r="N114" s="30"/>
    </row>
    <row r="115" customFormat="false" ht="22.5" hidden="false" customHeight="false" outlineLevel="0" collapsed="false">
      <c r="A115" s="5" t="n">
        <f aca="false">IF(B115&lt;&gt;"", COUNTA($B$2:B115), "")</f>
        <v>114</v>
      </c>
      <c r="B115" s="7" t="s">
        <v>27</v>
      </c>
      <c r="C115" s="8" t="s">
        <v>1985</v>
      </c>
      <c r="D115" s="78" t="s">
        <v>2027</v>
      </c>
      <c r="E115" s="17"/>
      <c r="F115" s="5" t="s">
        <v>1866</v>
      </c>
      <c r="G115" s="10"/>
      <c r="H115" s="5" t="s">
        <v>1997</v>
      </c>
      <c r="I115" s="8" t="s">
        <v>2015</v>
      </c>
      <c r="J115" s="5" t="s">
        <v>1966</v>
      </c>
      <c r="K115" s="5"/>
      <c r="L115" s="30"/>
      <c r="M115" s="30"/>
      <c r="N115" s="30"/>
    </row>
    <row r="116" customFormat="false" ht="22.5" hidden="false" customHeight="false" outlineLevel="0" collapsed="false">
      <c r="A116" s="5" t="n">
        <f aca="false">IF(B116&lt;&gt;"", COUNTA($B$2:B116), "")</f>
        <v>115</v>
      </c>
      <c r="B116" s="7" t="s">
        <v>27</v>
      </c>
      <c r="C116" s="8" t="s">
        <v>1985</v>
      </c>
      <c r="D116" s="78" t="s">
        <v>2028</v>
      </c>
      <c r="E116" s="8"/>
      <c r="F116" s="5" t="s">
        <v>1999</v>
      </c>
      <c r="G116" s="10"/>
      <c r="H116" s="5" t="s">
        <v>2000</v>
      </c>
      <c r="I116" s="8" t="s">
        <v>2015</v>
      </c>
      <c r="J116" s="5" t="s">
        <v>1966</v>
      </c>
      <c r="K116" s="5"/>
      <c r="L116" s="30"/>
      <c r="M116" s="30"/>
      <c r="N116" s="30"/>
    </row>
    <row r="117" customFormat="false" ht="22.5" hidden="false" customHeight="false" outlineLevel="0" collapsed="false">
      <c r="A117" s="5" t="n">
        <f aca="false">IF(B117&lt;&gt;"", COUNTA($B$2:B117), "")</f>
        <v>116</v>
      </c>
      <c r="B117" s="7" t="s">
        <v>27</v>
      </c>
      <c r="C117" s="8" t="s">
        <v>1985</v>
      </c>
      <c r="D117" s="78" t="s">
        <v>2029</v>
      </c>
      <c r="E117" s="17"/>
      <c r="F117" s="5" t="s">
        <v>1999</v>
      </c>
      <c r="G117" s="10"/>
      <c r="H117" s="5" t="s">
        <v>2000</v>
      </c>
      <c r="I117" s="8" t="s">
        <v>2015</v>
      </c>
      <c r="J117" s="5" t="s">
        <v>1966</v>
      </c>
      <c r="K117" s="5"/>
      <c r="L117" s="30"/>
      <c r="M117" s="30"/>
      <c r="N117" s="30"/>
    </row>
    <row r="118" customFormat="false" ht="22.5" hidden="false" customHeight="false" outlineLevel="0" collapsed="false">
      <c r="A118" s="5" t="n">
        <f aca="false">IF(B118&lt;&gt;"", COUNTA($B$2:B118), "")</f>
        <v>117</v>
      </c>
      <c r="B118" s="7" t="s">
        <v>27</v>
      </c>
      <c r="C118" s="5" t="s">
        <v>1882</v>
      </c>
      <c r="D118" s="12" t="n">
        <v>700305</v>
      </c>
      <c r="E118" s="16"/>
      <c r="F118" s="5" t="s">
        <v>1885</v>
      </c>
      <c r="G118" s="10" t="n">
        <v>1.6</v>
      </c>
      <c r="H118" s="5" t="s">
        <v>2030</v>
      </c>
      <c r="I118" s="5" t="s">
        <v>1063</v>
      </c>
      <c r="J118" s="5" t="s">
        <v>1966</v>
      </c>
      <c r="K118" s="5"/>
      <c r="L118" s="30"/>
      <c r="M118" s="30"/>
      <c r="N118" s="30"/>
    </row>
    <row r="119" customFormat="false" ht="22.5" hidden="false" customHeight="false" outlineLevel="0" collapsed="false">
      <c r="A119" s="5" t="n">
        <f aca="false">IF(B119&lt;&gt;"", COUNTA($B$2:B119), "")</f>
        <v>118</v>
      </c>
      <c r="B119" s="7" t="s">
        <v>27</v>
      </c>
      <c r="C119" s="5" t="s">
        <v>1882</v>
      </c>
      <c r="D119" s="12" t="n">
        <v>700306</v>
      </c>
      <c r="E119" s="17"/>
      <c r="F119" s="5" t="s">
        <v>1992</v>
      </c>
      <c r="G119" s="10" t="n">
        <v>1.6</v>
      </c>
      <c r="H119" s="5" t="s">
        <v>2030</v>
      </c>
      <c r="I119" s="5" t="s">
        <v>1063</v>
      </c>
      <c r="J119" s="5" t="s">
        <v>1966</v>
      </c>
      <c r="K119" s="5"/>
      <c r="L119" s="30"/>
      <c r="M119" s="30"/>
      <c r="N119" s="30"/>
    </row>
    <row r="120" customFormat="false" ht="22.5" hidden="false" customHeight="false" outlineLevel="0" collapsed="false">
      <c r="A120" s="5" t="n">
        <f aca="false">IF(B120&lt;&gt;"", COUNTA($B$2:B120), "")</f>
        <v>119</v>
      </c>
      <c r="B120" s="7" t="s">
        <v>27</v>
      </c>
      <c r="C120" s="12" t="s">
        <v>1985</v>
      </c>
      <c r="D120" s="5" t="s">
        <v>2031</v>
      </c>
      <c r="E120" s="8"/>
      <c r="F120" s="5" t="s">
        <v>1992</v>
      </c>
      <c r="G120" s="10"/>
      <c r="H120" s="5" t="s">
        <v>2030</v>
      </c>
      <c r="I120" s="5" t="s">
        <v>1063</v>
      </c>
      <c r="J120" s="5" t="s">
        <v>1966</v>
      </c>
      <c r="K120" s="5"/>
      <c r="L120" s="30"/>
      <c r="M120" s="30"/>
      <c r="N120" s="30"/>
    </row>
    <row r="121" customFormat="false" ht="22.5" hidden="false" customHeight="false" outlineLevel="0" collapsed="false">
      <c r="A121" s="5" t="n">
        <f aca="false">IF(B121&lt;&gt;"", COUNTA($B$2:B121), "")</f>
        <v>120</v>
      </c>
      <c r="B121" s="7" t="s">
        <v>27</v>
      </c>
      <c r="C121" s="12" t="s">
        <v>1985</v>
      </c>
      <c r="D121" s="12" t="n">
        <v>700307</v>
      </c>
      <c r="E121" s="8"/>
      <c r="F121" s="5" t="s">
        <v>1999</v>
      </c>
      <c r="G121" s="10"/>
      <c r="H121" s="5" t="s">
        <v>2030</v>
      </c>
      <c r="I121" s="5" t="s">
        <v>1063</v>
      </c>
      <c r="J121" s="5" t="s">
        <v>1966</v>
      </c>
      <c r="K121" s="5"/>
      <c r="L121" s="30"/>
      <c r="M121" s="30"/>
      <c r="N121" s="30"/>
    </row>
    <row r="122" customFormat="false" ht="22.5" hidden="false" customHeight="false" outlineLevel="0" collapsed="false">
      <c r="A122" s="5" t="n">
        <f aca="false">IF(B122&lt;&gt;"", COUNTA($B$2:B122), "")</f>
        <v>121</v>
      </c>
      <c r="B122" s="7" t="s">
        <v>27</v>
      </c>
      <c r="C122" s="12" t="s">
        <v>1985</v>
      </c>
      <c r="D122" s="12" t="n">
        <v>700308</v>
      </c>
      <c r="E122" s="8"/>
      <c r="F122" s="5" t="s">
        <v>1999</v>
      </c>
      <c r="G122" s="10"/>
      <c r="H122" s="5" t="s">
        <v>2030</v>
      </c>
      <c r="I122" s="5" t="s">
        <v>1063</v>
      </c>
      <c r="J122" s="5" t="s">
        <v>1966</v>
      </c>
      <c r="K122" s="5"/>
      <c r="L122" s="30"/>
      <c r="M122" s="30"/>
      <c r="N122" s="30"/>
    </row>
    <row r="123" customFormat="false" ht="22.5" hidden="false" customHeight="false" outlineLevel="0" collapsed="false">
      <c r="A123" s="5" t="n">
        <f aca="false">IF(B123&lt;&gt;"", COUNTA($B$2:B123), "")</f>
        <v>122</v>
      </c>
      <c r="B123" s="7" t="s">
        <v>27</v>
      </c>
      <c r="C123" s="8" t="s">
        <v>1972</v>
      </c>
      <c r="D123" s="78" t="s">
        <v>2032</v>
      </c>
      <c r="E123" s="8"/>
      <c r="F123" s="8" t="s">
        <v>1974</v>
      </c>
      <c r="G123" s="10" t="n">
        <v>1.5</v>
      </c>
      <c r="H123" s="5" t="s">
        <v>2033</v>
      </c>
      <c r="I123" s="5" t="s">
        <v>1063</v>
      </c>
      <c r="J123" s="5" t="s">
        <v>1966</v>
      </c>
      <c r="K123" s="5"/>
      <c r="L123" s="30"/>
      <c r="M123" s="30"/>
      <c r="N123" s="30"/>
    </row>
    <row r="124" customFormat="false" ht="22.5" hidden="false" customHeight="false" outlineLevel="0" collapsed="false">
      <c r="A124" s="5" t="n">
        <f aca="false">IF(B124&lt;&gt;"", COUNTA($B$2:B124), "")</f>
        <v>123</v>
      </c>
      <c r="B124" s="7" t="s">
        <v>27</v>
      </c>
      <c r="C124" s="8" t="s">
        <v>1972</v>
      </c>
      <c r="D124" s="19" t="s">
        <v>2034</v>
      </c>
      <c r="E124" s="17"/>
      <c r="F124" s="8" t="s">
        <v>1974</v>
      </c>
      <c r="G124" s="10" t="n">
        <v>1.5</v>
      </c>
      <c r="H124" s="5" t="s">
        <v>2035</v>
      </c>
      <c r="I124" s="5" t="s">
        <v>1063</v>
      </c>
      <c r="J124" s="5" t="s">
        <v>1966</v>
      </c>
      <c r="K124" s="5"/>
      <c r="L124" s="30"/>
      <c r="M124" s="30"/>
      <c r="N124" s="30"/>
    </row>
    <row r="125" customFormat="false" ht="22.5" hidden="false" customHeight="false" outlineLevel="0" collapsed="false">
      <c r="A125" s="5" t="n">
        <f aca="false">IF(B125&lt;&gt;"", COUNTA($B$2:B125), "")</f>
        <v>124</v>
      </c>
      <c r="B125" s="7" t="s">
        <v>27</v>
      </c>
      <c r="C125" s="8" t="s">
        <v>1972</v>
      </c>
      <c r="D125" s="19" t="s">
        <v>2036</v>
      </c>
      <c r="E125" s="17"/>
      <c r="F125" s="8" t="s">
        <v>1974</v>
      </c>
      <c r="G125" s="10" t="n">
        <v>1.5</v>
      </c>
      <c r="H125" s="5" t="s">
        <v>2037</v>
      </c>
      <c r="I125" s="5" t="s">
        <v>1063</v>
      </c>
      <c r="J125" s="5" t="s">
        <v>1966</v>
      </c>
      <c r="K125" s="5"/>
      <c r="L125" s="30"/>
      <c r="M125" s="30"/>
      <c r="N125" s="30"/>
    </row>
    <row r="126" customFormat="false" ht="22.5" hidden="false" customHeight="false" outlineLevel="0" collapsed="false">
      <c r="A126" s="5" t="n">
        <f aca="false">IF(B126&lt;&gt;"", COUNTA($B$2:B126), "")</f>
        <v>125</v>
      </c>
      <c r="B126" s="7" t="s">
        <v>27</v>
      </c>
      <c r="C126" s="12" t="s">
        <v>2038</v>
      </c>
      <c r="D126" s="78" t="s">
        <v>2039</v>
      </c>
      <c r="E126" s="8"/>
      <c r="F126" s="5" t="s">
        <v>1857</v>
      </c>
      <c r="G126" s="10"/>
      <c r="H126" s="5" t="s">
        <v>2040</v>
      </c>
      <c r="I126" s="5" t="s">
        <v>2041</v>
      </c>
      <c r="J126" s="5" t="s">
        <v>1966</v>
      </c>
      <c r="K126" s="5"/>
      <c r="L126" s="30"/>
      <c r="M126" s="30"/>
      <c r="N126" s="30"/>
    </row>
    <row r="127" customFormat="false" ht="22.5" hidden="false" customHeight="false" outlineLevel="0" collapsed="false">
      <c r="A127" s="5" t="n">
        <f aca="false">IF(B127&lt;&gt;"", COUNTA($B$2:B127), "")</f>
        <v>126</v>
      </c>
      <c r="B127" s="7" t="s">
        <v>27</v>
      </c>
      <c r="C127" s="12" t="s">
        <v>2038</v>
      </c>
      <c r="D127" s="78" t="s">
        <v>2042</v>
      </c>
      <c r="E127" s="8"/>
      <c r="F127" s="5" t="s">
        <v>1857</v>
      </c>
      <c r="G127" s="10"/>
      <c r="H127" s="5" t="s">
        <v>2040</v>
      </c>
      <c r="I127" s="5" t="s">
        <v>2041</v>
      </c>
      <c r="J127" s="5" t="s">
        <v>1966</v>
      </c>
      <c r="K127" s="5"/>
      <c r="L127" s="30"/>
      <c r="M127" s="30"/>
      <c r="N127" s="30"/>
    </row>
    <row r="128" customFormat="false" ht="22.5" hidden="false" customHeight="false" outlineLevel="0" collapsed="false">
      <c r="A128" s="5" t="n">
        <f aca="false">IF(B128&lt;&gt;"", COUNTA($B$2:B128), "")</f>
        <v>127</v>
      </c>
      <c r="B128" s="7" t="s">
        <v>27</v>
      </c>
      <c r="C128" s="12" t="s">
        <v>1882</v>
      </c>
      <c r="D128" s="78" t="s">
        <v>2043</v>
      </c>
      <c r="E128" s="8"/>
      <c r="F128" s="5" t="s">
        <v>1957</v>
      </c>
      <c r="G128" s="10" t="n">
        <v>1.6</v>
      </c>
      <c r="H128" s="5" t="s">
        <v>2044</v>
      </c>
      <c r="I128" s="5" t="s">
        <v>2041</v>
      </c>
      <c r="J128" s="5" t="s">
        <v>1966</v>
      </c>
      <c r="K128" s="5"/>
      <c r="L128" s="30"/>
      <c r="M128" s="30"/>
      <c r="N128" s="30"/>
    </row>
    <row r="129" customFormat="false" ht="22.5" hidden="false" customHeight="false" outlineLevel="0" collapsed="false">
      <c r="A129" s="5" t="n">
        <f aca="false">IF(B129&lt;&gt;"", COUNTA($B$2:B129), "")</f>
        <v>128</v>
      </c>
      <c r="B129" s="7" t="s">
        <v>27</v>
      </c>
      <c r="C129" s="12" t="s">
        <v>1882</v>
      </c>
      <c r="D129" s="78" t="s">
        <v>2045</v>
      </c>
      <c r="E129" s="8"/>
      <c r="F129" s="5" t="s">
        <v>2046</v>
      </c>
      <c r="G129" s="10" t="n">
        <v>1.6</v>
      </c>
      <c r="H129" s="5" t="s">
        <v>2047</v>
      </c>
      <c r="I129" s="5" t="s">
        <v>2041</v>
      </c>
      <c r="J129" s="5" t="s">
        <v>1966</v>
      </c>
      <c r="K129" s="5"/>
      <c r="L129" s="30"/>
      <c r="M129" s="30"/>
      <c r="N129" s="30"/>
    </row>
    <row r="130" customFormat="false" ht="22.5" hidden="false" customHeight="false" outlineLevel="0" collapsed="false">
      <c r="A130" s="5" t="n">
        <f aca="false">IF(B130&lt;&gt;"", COUNTA($B$2:B130), "")</f>
        <v>129</v>
      </c>
      <c r="B130" s="7" t="s">
        <v>27</v>
      </c>
      <c r="C130" s="5" t="s">
        <v>2048</v>
      </c>
      <c r="D130" s="8" t="n">
        <v>163257</v>
      </c>
      <c r="E130" s="8" t="n">
        <v>2010</v>
      </c>
      <c r="F130" s="15" t="s">
        <v>2049</v>
      </c>
      <c r="G130" s="5" t="n">
        <v>1.5</v>
      </c>
      <c r="H130" s="5" t="s">
        <v>2050</v>
      </c>
      <c r="I130" s="5" t="s">
        <v>1073</v>
      </c>
      <c r="J130" s="5" t="s">
        <v>1966</v>
      </c>
      <c r="K130" s="5" t="n">
        <v>2012</v>
      </c>
      <c r="L130" s="30"/>
      <c r="M130" s="30"/>
      <c r="N130" s="30"/>
    </row>
    <row r="131" customFormat="false" ht="22.5" hidden="false" customHeight="false" outlineLevel="0" collapsed="false">
      <c r="A131" s="5" t="n">
        <f aca="false">IF(B131&lt;&gt;"", COUNTA($B$2:B131), "")</f>
        <v>130</v>
      </c>
      <c r="B131" s="7" t="s">
        <v>27</v>
      </c>
      <c r="C131" s="5" t="s">
        <v>2048</v>
      </c>
      <c r="D131" s="8" t="n">
        <v>163255</v>
      </c>
      <c r="E131" s="8" t="n">
        <v>2010</v>
      </c>
      <c r="F131" s="15" t="s">
        <v>2049</v>
      </c>
      <c r="G131" s="5" t="n">
        <v>1.5</v>
      </c>
      <c r="H131" s="5" t="s">
        <v>2051</v>
      </c>
      <c r="I131" s="5" t="s">
        <v>1073</v>
      </c>
      <c r="J131" s="5" t="s">
        <v>1966</v>
      </c>
      <c r="K131" s="5" t="n">
        <v>2012</v>
      </c>
      <c r="L131" s="30"/>
      <c r="M131" s="30"/>
      <c r="N131" s="30"/>
    </row>
    <row r="132" customFormat="false" ht="22.5" hidden="false" customHeight="false" outlineLevel="0" collapsed="false">
      <c r="A132" s="5" t="n">
        <f aca="false">IF(B132&lt;&gt;"", COUNTA($B$2:B132), "")</f>
        <v>131</v>
      </c>
      <c r="B132" s="7" t="s">
        <v>27</v>
      </c>
      <c r="C132" s="5" t="s">
        <v>2048</v>
      </c>
      <c r="D132" s="8" t="n">
        <v>163254</v>
      </c>
      <c r="E132" s="8" t="n">
        <v>2010</v>
      </c>
      <c r="F132" s="15" t="s">
        <v>2049</v>
      </c>
      <c r="G132" s="5" t="n">
        <v>1.5</v>
      </c>
      <c r="H132" s="5" t="s">
        <v>2052</v>
      </c>
      <c r="I132" s="5" t="s">
        <v>1073</v>
      </c>
      <c r="J132" s="5" t="s">
        <v>1966</v>
      </c>
      <c r="K132" s="5" t="n">
        <v>2012</v>
      </c>
      <c r="L132" s="30"/>
      <c r="M132" s="30"/>
      <c r="N132" s="30"/>
    </row>
    <row r="133" customFormat="false" ht="22.5" hidden="false" customHeight="false" outlineLevel="0" collapsed="false">
      <c r="A133" s="5" t="n">
        <f aca="false">IF(B133&lt;&gt;"", COUNTA($B$2:B133), "")</f>
        <v>132</v>
      </c>
      <c r="B133" s="7" t="s">
        <v>27</v>
      </c>
      <c r="C133" s="5" t="s">
        <v>2048</v>
      </c>
      <c r="D133" s="8" t="n">
        <v>118408</v>
      </c>
      <c r="E133" s="8" t="n">
        <v>2010</v>
      </c>
      <c r="F133" s="15" t="s">
        <v>2049</v>
      </c>
      <c r="G133" s="5" t="n">
        <v>1.5</v>
      </c>
      <c r="H133" s="5" t="s">
        <v>2053</v>
      </c>
      <c r="I133" s="5" t="s">
        <v>1073</v>
      </c>
      <c r="J133" s="5" t="s">
        <v>1966</v>
      </c>
      <c r="K133" s="5" t="n">
        <v>2012</v>
      </c>
      <c r="L133" s="30"/>
      <c r="M133" s="30"/>
      <c r="N133" s="30"/>
    </row>
    <row r="134" customFormat="false" ht="22.5" hidden="false" customHeight="false" outlineLevel="0" collapsed="false">
      <c r="A134" s="5" t="n">
        <f aca="false">IF(B134&lt;&gt;"", COUNTA($B$2:B134), "")</f>
        <v>133</v>
      </c>
      <c r="B134" s="7" t="s">
        <v>27</v>
      </c>
      <c r="C134" s="5" t="s">
        <v>2048</v>
      </c>
      <c r="D134" s="19" t="s">
        <v>2054</v>
      </c>
      <c r="E134" s="8" t="n">
        <v>2010</v>
      </c>
      <c r="F134" s="15" t="s">
        <v>2049</v>
      </c>
      <c r="G134" s="5" t="n">
        <v>1.5</v>
      </c>
      <c r="H134" s="5" t="s">
        <v>2055</v>
      </c>
      <c r="I134" s="5" t="s">
        <v>1073</v>
      </c>
      <c r="J134" s="5" t="s">
        <v>1966</v>
      </c>
      <c r="K134" s="5" t="n">
        <v>2012</v>
      </c>
      <c r="L134" s="30"/>
      <c r="M134" s="30"/>
      <c r="N134" s="30"/>
    </row>
  </sheetData>
  <mergeCells count="2">
    <mergeCell ref="B16:N16"/>
    <mergeCell ref="B69:N69"/>
  </mergeCells>
  <conditionalFormatting sqref="D87">
    <cfRule type="duplicateValues" priority="2" aboveAverage="0" equalAverage="0" bottom="0" percent="0" rank="0" text="" dxfId="21"/>
  </conditionalFormatting>
  <conditionalFormatting sqref="D101 D98:D99">
    <cfRule type="duplicateValues" priority="3" aboveAverage="0" equalAverage="0" bottom="0" percent="0" rank="0" text="" dxfId="22"/>
  </conditionalFormatting>
  <conditionalFormatting sqref="D102">
    <cfRule type="duplicateValues" priority="4" aboveAverage="0" equalAverage="0" bottom="0" percent="0" rank="0" text="" dxfId="23"/>
  </conditionalFormatting>
  <conditionalFormatting sqref="D103">
    <cfRule type="duplicateValues" priority="5" aboveAverage="0" equalAverage="0" bottom="0" percent="0" rank="0" text="" dxfId="24"/>
  </conditionalFormatting>
  <conditionalFormatting sqref="D86">
    <cfRule type="duplicateValues" priority="6" aboveAverage="0" equalAverage="0" bottom="0" percent="0" rank="0" text="" dxfId="25"/>
  </conditionalFormatting>
  <conditionalFormatting sqref="D90:D91">
    <cfRule type="duplicateValues" priority="7" aboveAverage="0" equalAverage="0" bottom="0" percent="0" rank="0" text="" dxfId="26"/>
  </conditionalFormatting>
  <conditionalFormatting sqref="D106:D107">
    <cfRule type="duplicateValues" priority="8" aboveAverage="0" equalAverage="0" bottom="0" percent="0" rank="0" text="" dxfId="27"/>
  </conditionalFormatting>
  <conditionalFormatting sqref="D124:D125">
    <cfRule type="duplicateValues" priority="9" aboveAverage="0" equalAverage="0" bottom="0" percent="0" rank="0" text="" dxfId="28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7.58"/>
    <col collapsed="false" customWidth="true" hidden="false" outlineLevel="0" max="2" min="2" style="0" width="14.57"/>
    <col collapsed="false" customWidth="true" hidden="false" outlineLevel="0" max="3" min="3" style="0" width="9.29"/>
    <col collapsed="false" customWidth="true" hidden="false" outlineLevel="0" max="4" min="4" style="0" width="6.57"/>
    <col collapsed="false" customWidth="true" hidden="false" outlineLevel="0" max="5" min="5" style="0" width="10.99"/>
    <col collapsed="false" customWidth="true" hidden="false" outlineLevel="0" max="6" min="6" style="0" width="7.42"/>
    <col collapsed="false" customWidth="true" hidden="false" outlineLevel="0" max="7" min="7" style="0" width="20.86"/>
    <col collapsed="false" customWidth="true" hidden="false" outlineLevel="0" max="8" min="8" style="0" width="11.29"/>
  </cols>
  <sheetData>
    <row r="1" customFormat="false" ht="22.5" hidden="false" customHeight="false" outlineLevel="0" collapsed="false">
      <c r="A1" s="7" t="s">
        <v>27</v>
      </c>
      <c r="B1" s="8" t="s">
        <v>1985</v>
      </c>
      <c r="C1" s="8" t="s">
        <v>1986</v>
      </c>
      <c r="D1" s="8" t="n">
        <v>2018</v>
      </c>
      <c r="E1" s="5" t="s">
        <v>1866</v>
      </c>
      <c r="F1" s="10"/>
      <c r="G1" s="5" t="s">
        <v>1987</v>
      </c>
      <c r="H1" s="8" t="s">
        <v>1965</v>
      </c>
    </row>
    <row r="2" customFormat="false" ht="22.5" hidden="false" customHeight="false" outlineLevel="0" collapsed="false">
      <c r="A2" s="7" t="s">
        <v>27</v>
      </c>
      <c r="B2" s="12" t="s">
        <v>1882</v>
      </c>
      <c r="C2" s="8" t="n">
        <v>113538</v>
      </c>
      <c r="D2" s="8" t="n">
        <v>2018</v>
      </c>
      <c r="E2" s="5" t="s">
        <v>1983</v>
      </c>
      <c r="F2" s="10" t="n">
        <v>1.6</v>
      </c>
      <c r="G2" s="5" t="s">
        <v>1988</v>
      </c>
      <c r="H2" s="8" t="s">
        <v>1965</v>
      </c>
    </row>
    <row r="3" customFormat="false" ht="22.5" hidden="false" customHeight="false" outlineLevel="0" collapsed="false">
      <c r="A3" s="7" t="s">
        <v>27</v>
      </c>
      <c r="B3" s="12" t="s">
        <v>1882</v>
      </c>
      <c r="C3" s="8" t="n">
        <v>113548</v>
      </c>
      <c r="D3" s="8"/>
      <c r="E3" s="5" t="s">
        <v>1888</v>
      </c>
      <c r="F3" s="10" t="n">
        <v>1.6</v>
      </c>
      <c r="G3" s="5" t="s">
        <v>1982</v>
      </c>
      <c r="H3" s="8" t="s">
        <v>2003</v>
      </c>
    </row>
    <row r="4" customFormat="false" ht="22.5" hidden="false" customHeight="false" outlineLevel="0" collapsed="false">
      <c r="A4" s="7" t="s">
        <v>27</v>
      </c>
      <c r="B4" s="12" t="s">
        <v>1882</v>
      </c>
      <c r="C4" s="8" t="n">
        <v>113542</v>
      </c>
      <c r="D4" s="8"/>
      <c r="E4" s="5" t="s">
        <v>1983</v>
      </c>
      <c r="F4" s="10" t="n">
        <v>1.6</v>
      </c>
      <c r="G4" s="5" t="s">
        <v>1984</v>
      </c>
      <c r="H4" s="8" t="s">
        <v>2003</v>
      </c>
    </row>
    <row r="5" customFormat="false" ht="22.5" hidden="false" customHeight="false" outlineLevel="0" collapsed="false">
      <c r="A5" s="7" t="s">
        <v>27</v>
      </c>
      <c r="B5" s="8" t="s">
        <v>1985</v>
      </c>
      <c r="C5" s="8" t="s">
        <v>2021</v>
      </c>
      <c r="D5" s="8"/>
      <c r="E5" s="5" t="s">
        <v>1866</v>
      </c>
      <c r="F5" s="10"/>
      <c r="G5" s="5" t="s">
        <v>1987</v>
      </c>
      <c r="H5" s="8" t="s">
        <v>2015</v>
      </c>
    </row>
    <row r="6" customFormat="false" ht="22.5" hidden="false" customHeight="false" outlineLevel="0" collapsed="false">
      <c r="A6" s="7" t="s">
        <v>27</v>
      </c>
      <c r="B6" s="12" t="s">
        <v>1882</v>
      </c>
      <c r="C6" s="8" t="n">
        <v>113535</v>
      </c>
      <c r="D6" s="8"/>
      <c r="E6" s="5" t="s">
        <v>1983</v>
      </c>
      <c r="F6" s="10" t="n">
        <v>1.6</v>
      </c>
      <c r="G6" s="5" t="s">
        <v>1988</v>
      </c>
      <c r="H6" s="8" t="s">
        <v>2015</v>
      </c>
    </row>
    <row r="7" customFormat="false" ht="22.5" hidden="false" customHeight="false" outlineLevel="0" collapsed="false">
      <c r="A7" s="7" t="s">
        <v>27</v>
      </c>
      <c r="B7" s="5" t="s">
        <v>1882</v>
      </c>
      <c r="C7" s="12" t="n">
        <v>700305</v>
      </c>
      <c r="D7" s="16"/>
      <c r="E7" s="5" t="s">
        <v>1866</v>
      </c>
      <c r="F7" s="10" t="n">
        <v>1.6</v>
      </c>
      <c r="G7" s="5" t="s">
        <v>2030</v>
      </c>
      <c r="H7" s="5" t="s">
        <v>1063</v>
      </c>
    </row>
    <row r="8" customFormat="false" ht="22.5" hidden="false" customHeight="false" outlineLevel="0" collapsed="false">
      <c r="A8" s="7" t="s">
        <v>27</v>
      </c>
      <c r="B8" s="5" t="s">
        <v>1882</v>
      </c>
      <c r="C8" s="12" t="n">
        <v>700306</v>
      </c>
      <c r="D8" s="17"/>
      <c r="E8" s="5" t="s">
        <v>1969</v>
      </c>
      <c r="F8" s="10" t="n">
        <v>1.6</v>
      </c>
      <c r="G8" s="5" t="s">
        <v>2030</v>
      </c>
      <c r="H8" s="5" t="s">
        <v>1063</v>
      </c>
    </row>
    <row r="9" customFormat="false" ht="22.5" hidden="false" customHeight="false" outlineLevel="0" collapsed="false">
      <c r="A9" s="7" t="s">
        <v>27</v>
      </c>
      <c r="B9" s="12" t="s">
        <v>1985</v>
      </c>
      <c r="C9" s="5" t="s">
        <v>2031</v>
      </c>
      <c r="D9" s="8"/>
      <c r="E9" s="5" t="s">
        <v>1866</v>
      </c>
      <c r="F9" s="10"/>
      <c r="G9" s="5" t="s">
        <v>2030</v>
      </c>
      <c r="H9" s="5" t="s">
        <v>1063</v>
      </c>
    </row>
    <row r="10" customFormat="false" ht="22.5" hidden="false" customHeight="false" outlineLevel="0" collapsed="false">
      <c r="A10" s="7" t="s">
        <v>27</v>
      </c>
      <c r="B10" s="12" t="s">
        <v>1985</v>
      </c>
      <c r="C10" s="12" t="n">
        <v>700307</v>
      </c>
      <c r="D10" s="8"/>
      <c r="E10" s="5" t="s">
        <v>1999</v>
      </c>
      <c r="F10" s="10"/>
      <c r="G10" s="5" t="s">
        <v>2030</v>
      </c>
      <c r="H10" s="5" t="s">
        <v>1063</v>
      </c>
    </row>
    <row r="11" customFormat="false" ht="22.5" hidden="false" customHeight="false" outlineLevel="0" collapsed="false">
      <c r="A11" s="7" t="s">
        <v>27</v>
      </c>
      <c r="B11" s="12" t="s">
        <v>1985</v>
      </c>
      <c r="C11" s="12" t="n">
        <v>700308</v>
      </c>
      <c r="D11" s="8"/>
      <c r="E11" s="5" t="s">
        <v>1999</v>
      </c>
      <c r="F11" s="10"/>
      <c r="G11" s="5" t="s">
        <v>2030</v>
      </c>
      <c r="H11" s="5" t="s">
        <v>1063</v>
      </c>
    </row>
    <row r="12" customFormat="false" ht="22.5" hidden="false" customHeight="false" outlineLevel="0" collapsed="false">
      <c r="A12" s="7" t="s">
        <v>27</v>
      </c>
      <c r="B12" s="8" t="s">
        <v>1972</v>
      </c>
      <c r="C12" s="78" t="s">
        <v>2032</v>
      </c>
      <c r="D12" s="8"/>
      <c r="E12" s="8" t="s">
        <v>1974</v>
      </c>
      <c r="F12" s="10" t="n">
        <v>1.5</v>
      </c>
      <c r="G12" s="5" t="s">
        <v>2033</v>
      </c>
      <c r="H12" s="5" t="s">
        <v>1063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8" activePane="bottomLeft" state="frozen"/>
      <selection pane="topLeft" activeCell="A1" activeCellId="0" sqref="A1"/>
      <selection pane="bottomLeft" activeCell="D68" activeCellId="0" sqref="D68"/>
    </sheetView>
  </sheetViews>
  <sheetFormatPr defaultColWidth="9.15625" defaultRowHeight="11.25" zeroHeight="false" outlineLevelRow="0" outlineLevelCol="0"/>
  <cols>
    <col collapsed="false" customWidth="true" hidden="false" outlineLevel="0" max="1" min="1" style="108" width="3.57"/>
    <col collapsed="false" customWidth="true" hidden="false" outlineLevel="0" max="2" min="2" style="108" width="22.28"/>
    <col collapsed="false" customWidth="true" hidden="false" outlineLevel="0" max="3" min="3" style="108" width="13.43"/>
    <col collapsed="false" customWidth="true" hidden="false" outlineLevel="0" max="4" min="4" style="109" width="8.71"/>
    <col collapsed="false" customWidth="true" hidden="false" outlineLevel="0" max="5" min="5" style="108" width="6.57"/>
    <col collapsed="false" customWidth="true" hidden="false" outlineLevel="0" max="6" min="6" style="108" width="11.57"/>
    <col collapsed="false" customWidth="true" hidden="false" outlineLevel="0" max="7" min="7" style="108" width="7.42"/>
    <col collapsed="false" customWidth="true" hidden="false" outlineLevel="0" max="8" min="8" style="108" width="10"/>
    <col collapsed="false" customWidth="true" hidden="false" outlineLevel="0" max="9" min="9" style="108" width="10.58"/>
    <col collapsed="false" customWidth="true" hidden="false" outlineLevel="0" max="10" min="10" style="108" width="11.71"/>
    <col collapsed="false" customWidth="true" hidden="false" outlineLevel="0" max="11" min="11" style="108" width="16.29"/>
    <col collapsed="false" customWidth="false" hidden="false" outlineLevel="0" max="12" min="12" style="72" width="9.14"/>
    <col collapsed="false" customWidth="true" hidden="false" outlineLevel="0" max="13" min="13" style="72" width="67.71"/>
    <col collapsed="false" customWidth="false" hidden="false" outlineLevel="0" max="1024" min="14" style="72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6" t="s">
        <v>16</v>
      </c>
      <c r="E1" s="6" t="s">
        <v>17</v>
      </c>
      <c r="F1" s="5" t="s">
        <v>18</v>
      </c>
      <c r="G1" s="5" t="s">
        <v>19</v>
      </c>
      <c r="H1" s="5" t="s">
        <v>2056</v>
      </c>
      <c r="I1" s="5" t="s">
        <v>24</v>
      </c>
      <c r="J1" s="6" t="s">
        <v>25</v>
      </c>
      <c r="K1" s="5" t="s">
        <v>2057</v>
      </c>
    </row>
    <row r="2" customFormat="false" ht="11.25" hidden="false" customHeight="false" outlineLevel="0" collapsed="false">
      <c r="A2" s="110" t="n">
        <f aca="false">IF(B2&lt;&gt;"", COUNTA($B$2:B2), "")</f>
        <v>1</v>
      </c>
      <c r="B2" s="110" t="s">
        <v>1218</v>
      </c>
      <c r="C2" s="110" t="s">
        <v>2058</v>
      </c>
      <c r="D2" s="111" t="s">
        <v>1561</v>
      </c>
      <c r="E2" s="110"/>
      <c r="F2" s="110" t="s">
        <v>2059</v>
      </c>
      <c r="G2" s="110" t="n">
        <v>1.5</v>
      </c>
      <c r="H2" s="110" t="s">
        <v>2060</v>
      </c>
      <c r="I2" s="110" t="n">
        <v>12</v>
      </c>
      <c r="J2" s="110" t="s">
        <v>2061</v>
      </c>
      <c r="K2" s="110" t="s">
        <v>2062</v>
      </c>
    </row>
    <row r="3" customFormat="false" ht="11.25" hidden="false" customHeight="false" outlineLevel="0" collapsed="false">
      <c r="A3" s="110" t="n">
        <f aca="false">IF(B3&lt;&gt;"", COUNTA($B$2:B3), "")</f>
        <v>2</v>
      </c>
      <c r="B3" s="110" t="s">
        <v>27</v>
      </c>
      <c r="C3" s="110" t="s">
        <v>2063</v>
      </c>
      <c r="D3" s="111" t="s">
        <v>2064</v>
      </c>
      <c r="E3" s="110"/>
      <c r="F3" s="110" t="s">
        <v>2065</v>
      </c>
      <c r="G3" s="110" t="n">
        <v>1</v>
      </c>
      <c r="H3" s="110" t="s">
        <v>2060</v>
      </c>
      <c r="I3" s="110" t="n">
        <v>12</v>
      </c>
      <c r="J3" s="110" t="s">
        <v>2066</v>
      </c>
      <c r="K3" s="110" t="s">
        <v>2062</v>
      </c>
    </row>
    <row r="4" customFormat="false" ht="11.25" hidden="false" customHeight="false" outlineLevel="0" collapsed="false">
      <c r="A4" s="110" t="n">
        <f aca="false">IF(B4&lt;&gt;"", COUNTA($B$2:B4), "")</f>
        <v>3</v>
      </c>
      <c r="B4" s="110" t="s">
        <v>27</v>
      </c>
      <c r="C4" s="110" t="s">
        <v>2063</v>
      </c>
      <c r="D4" s="111" t="s">
        <v>2067</v>
      </c>
      <c r="E4" s="110"/>
      <c r="F4" s="110" t="s">
        <v>2065</v>
      </c>
      <c r="G4" s="110" t="n">
        <v>1</v>
      </c>
      <c r="H4" s="110" t="s">
        <v>2060</v>
      </c>
      <c r="I4" s="110" t="n">
        <v>12</v>
      </c>
      <c r="J4" s="110" t="s">
        <v>2066</v>
      </c>
      <c r="K4" s="110" t="s">
        <v>2062</v>
      </c>
    </row>
    <row r="5" customFormat="false" ht="11.25" hidden="false" customHeight="false" outlineLevel="0" collapsed="false">
      <c r="A5" s="110" t="n">
        <f aca="false">IF(B5&lt;&gt;"", COUNTA($B$2:B5), "")</f>
        <v>4</v>
      </c>
      <c r="B5" s="110" t="s">
        <v>27</v>
      </c>
      <c r="C5" s="110" t="s">
        <v>2063</v>
      </c>
      <c r="D5" s="111" t="s">
        <v>2068</v>
      </c>
      <c r="E5" s="110"/>
      <c r="F5" s="110" t="s">
        <v>2065</v>
      </c>
      <c r="G5" s="110" t="n">
        <v>1</v>
      </c>
      <c r="H5" s="110" t="s">
        <v>2060</v>
      </c>
      <c r="I5" s="110" t="n">
        <v>12</v>
      </c>
      <c r="J5" s="110" t="s">
        <v>2066</v>
      </c>
      <c r="K5" s="110" t="s">
        <v>2062</v>
      </c>
    </row>
    <row r="6" customFormat="false" ht="11.25" hidden="false" customHeight="false" outlineLevel="0" collapsed="false">
      <c r="A6" s="110" t="n">
        <f aca="false">IF(B6&lt;&gt;"", COUNTA($B$2:B6), "")</f>
        <v>5</v>
      </c>
      <c r="B6" s="110" t="s">
        <v>27</v>
      </c>
      <c r="C6" s="110" t="s">
        <v>2063</v>
      </c>
      <c r="D6" s="111" t="s">
        <v>2069</v>
      </c>
      <c r="E6" s="110"/>
      <c r="F6" s="110" t="s">
        <v>2065</v>
      </c>
      <c r="G6" s="110" t="n">
        <v>1</v>
      </c>
      <c r="H6" s="110" t="s">
        <v>2060</v>
      </c>
      <c r="I6" s="110" t="n">
        <v>12</v>
      </c>
      <c r="J6" s="110" t="s">
        <v>2066</v>
      </c>
      <c r="K6" s="110" t="s">
        <v>2062</v>
      </c>
    </row>
    <row r="7" customFormat="false" ht="11.25" hidden="false" customHeight="false" outlineLevel="0" collapsed="false">
      <c r="A7" s="110" t="n">
        <f aca="false">IF(B7&lt;&gt;"", COUNTA($B$2:B7), "")</f>
        <v>6</v>
      </c>
      <c r="B7" s="110" t="s">
        <v>27</v>
      </c>
      <c r="C7" s="110" t="s">
        <v>2063</v>
      </c>
      <c r="D7" s="111" t="s">
        <v>2070</v>
      </c>
      <c r="E7" s="110"/>
      <c r="F7" s="110" t="s">
        <v>2065</v>
      </c>
      <c r="G7" s="110" t="n">
        <v>1</v>
      </c>
      <c r="H7" s="110" t="s">
        <v>2060</v>
      </c>
      <c r="I7" s="110" t="n">
        <v>12</v>
      </c>
      <c r="J7" s="110" t="s">
        <v>2066</v>
      </c>
      <c r="K7" s="110" t="s">
        <v>2062</v>
      </c>
    </row>
    <row r="8" customFormat="false" ht="11.25" hidden="false" customHeight="false" outlineLevel="0" collapsed="false">
      <c r="A8" s="110" t="n">
        <f aca="false">IF(B8&lt;&gt;"", COUNTA($B$2:B8), "")</f>
        <v>7</v>
      </c>
      <c r="B8" s="110" t="s">
        <v>27</v>
      </c>
      <c r="C8" s="110" t="s">
        <v>2063</v>
      </c>
      <c r="D8" s="111" t="s">
        <v>2071</v>
      </c>
      <c r="E8" s="110"/>
      <c r="F8" s="110" t="s">
        <v>2065</v>
      </c>
      <c r="G8" s="110" t="n">
        <v>1</v>
      </c>
      <c r="H8" s="110" t="s">
        <v>2060</v>
      </c>
      <c r="I8" s="110" t="n">
        <v>12</v>
      </c>
      <c r="J8" s="110" t="s">
        <v>2066</v>
      </c>
      <c r="K8" s="110" t="s">
        <v>2062</v>
      </c>
    </row>
    <row r="9" customFormat="false" ht="11.25" hidden="false" customHeight="false" outlineLevel="0" collapsed="false">
      <c r="A9" s="110" t="n">
        <f aca="false">IF(B9&lt;&gt;"", COUNTA($B$2:B9), "")</f>
        <v>8</v>
      </c>
      <c r="B9" s="110" t="s">
        <v>27</v>
      </c>
      <c r="C9" s="110" t="s">
        <v>2063</v>
      </c>
      <c r="D9" s="111" t="s">
        <v>2072</v>
      </c>
      <c r="E9" s="110"/>
      <c r="F9" s="110" t="s">
        <v>2065</v>
      </c>
      <c r="G9" s="110" t="n">
        <v>1</v>
      </c>
      <c r="H9" s="110" t="s">
        <v>2060</v>
      </c>
      <c r="I9" s="110" t="n">
        <v>12</v>
      </c>
      <c r="J9" s="110" t="s">
        <v>2066</v>
      </c>
      <c r="K9" s="110" t="s">
        <v>2062</v>
      </c>
    </row>
    <row r="10" customFormat="false" ht="11.25" hidden="false" customHeight="false" outlineLevel="0" collapsed="false">
      <c r="A10" s="110" t="n">
        <f aca="false">IF(B10&lt;&gt;"", COUNTA($B$2:B10), "")</f>
        <v>9</v>
      </c>
      <c r="B10" s="110" t="s">
        <v>27</v>
      </c>
      <c r="C10" s="110" t="s">
        <v>2063</v>
      </c>
      <c r="D10" s="111" t="s">
        <v>2073</v>
      </c>
      <c r="E10" s="110"/>
      <c r="F10" s="110" t="s">
        <v>2065</v>
      </c>
      <c r="G10" s="110" t="n">
        <v>1</v>
      </c>
      <c r="H10" s="110" t="s">
        <v>2060</v>
      </c>
      <c r="I10" s="110" t="n">
        <v>12</v>
      </c>
      <c r="J10" s="110" t="s">
        <v>2066</v>
      </c>
      <c r="K10" s="110" t="s">
        <v>2062</v>
      </c>
    </row>
    <row r="11" customFormat="false" ht="11.25" hidden="false" customHeight="false" outlineLevel="0" collapsed="false">
      <c r="A11" s="110" t="n">
        <f aca="false">IF(B11&lt;&gt;"", COUNTA($B$2:B11), "")</f>
        <v>10</v>
      </c>
      <c r="B11" s="110" t="s">
        <v>27</v>
      </c>
      <c r="C11" s="110" t="s">
        <v>2063</v>
      </c>
      <c r="D11" s="111" t="s">
        <v>2074</v>
      </c>
      <c r="E11" s="110"/>
      <c r="F11" s="110" t="s">
        <v>2065</v>
      </c>
      <c r="G11" s="110" t="n">
        <v>1</v>
      </c>
      <c r="H11" s="110" t="s">
        <v>2060</v>
      </c>
      <c r="I11" s="110" t="n">
        <v>12</v>
      </c>
      <c r="J11" s="110" t="s">
        <v>2066</v>
      </c>
      <c r="K11" s="110" t="s">
        <v>2062</v>
      </c>
    </row>
    <row r="12" customFormat="false" ht="11.25" hidden="false" customHeight="false" outlineLevel="0" collapsed="false">
      <c r="A12" s="110" t="n">
        <f aca="false">IF(B12&lt;&gt;"", COUNTA($B$2:B12), "")</f>
        <v>11</v>
      </c>
      <c r="B12" s="110" t="s">
        <v>27</v>
      </c>
      <c r="C12" s="110" t="s">
        <v>2063</v>
      </c>
      <c r="D12" s="111" t="s">
        <v>2075</v>
      </c>
      <c r="E12" s="110"/>
      <c r="F12" s="110" t="s">
        <v>2065</v>
      </c>
      <c r="G12" s="110" t="n">
        <v>1</v>
      </c>
      <c r="H12" s="110" t="s">
        <v>2060</v>
      </c>
      <c r="I12" s="110" t="n">
        <v>12</v>
      </c>
      <c r="J12" s="110" t="s">
        <v>2066</v>
      </c>
      <c r="K12" s="110" t="s">
        <v>2062</v>
      </c>
    </row>
    <row r="13" customFormat="false" ht="11.25" hidden="false" customHeight="false" outlineLevel="0" collapsed="false">
      <c r="A13" s="110" t="n">
        <f aca="false">IF(B13&lt;&gt;"", COUNTA($B$2:B13), "")</f>
        <v>12</v>
      </c>
      <c r="B13" s="110" t="s">
        <v>27</v>
      </c>
      <c r="C13" s="110" t="s">
        <v>2063</v>
      </c>
      <c r="D13" s="111" t="s">
        <v>2076</v>
      </c>
      <c r="E13" s="110"/>
      <c r="F13" s="110" t="s">
        <v>2065</v>
      </c>
      <c r="G13" s="110" t="n">
        <v>1</v>
      </c>
      <c r="H13" s="110" t="s">
        <v>2060</v>
      </c>
      <c r="I13" s="110" t="n">
        <v>12</v>
      </c>
      <c r="J13" s="110" t="s">
        <v>2066</v>
      </c>
      <c r="K13" s="110" t="s">
        <v>2062</v>
      </c>
    </row>
    <row r="14" customFormat="false" ht="11.25" hidden="false" customHeight="false" outlineLevel="0" collapsed="false">
      <c r="A14" s="110" t="n">
        <f aca="false">IF(B14&lt;&gt;"", COUNTA($B$2:B14), "")</f>
        <v>13</v>
      </c>
      <c r="B14" s="110" t="s">
        <v>27</v>
      </c>
      <c r="C14" s="110" t="s">
        <v>2063</v>
      </c>
      <c r="D14" s="111" t="s">
        <v>2077</v>
      </c>
      <c r="E14" s="110"/>
      <c r="F14" s="110" t="s">
        <v>2065</v>
      </c>
      <c r="G14" s="110" t="n">
        <v>1</v>
      </c>
      <c r="H14" s="110" t="s">
        <v>2060</v>
      </c>
      <c r="I14" s="110" t="n">
        <v>12</v>
      </c>
      <c r="J14" s="110" t="s">
        <v>2066</v>
      </c>
      <c r="K14" s="110" t="s">
        <v>2062</v>
      </c>
    </row>
    <row r="15" customFormat="false" ht="11.25" hidden="false" customHeight="false" outlineLevel="0" collapsed="false">
      <c r="A15" s="110" t="n">
        <f aca="false">IF(B15&lt;&gt;"", COUNTA($B$2:B15), "")</f>
        <v>14</v>
      </c>
      <c r="B15" s="110" t="s">
        <v>27</v>
      </c>
      <c r="C15" s="110" t="s">
        <v>1324</v>
      </c>
      <c r="D15" s="111" t="n">
        <v>7000242</v>
      </c>
      <c r="E15" s="110"/>
      <c r="F15" s="110" t="s">
        <v>2078</v>
      </c>
      <c r="G15" s="110" t="n">
        <v>1.5</v>
      </c>
      <c r="H15" s="110" t="s">
        <v>2079</v>
      </c>
      <c r="I15" s="110" t="n">
        <v>12</v>
      </c>
      <c r="J15" s="110" t="s">
        <v>1291</v>
      </c>
      <c r="K15" s="110" t="s">
        <v>2062</v>
      </c>
    </row>
    <row r="16" customFormat="false" ht="11.25" hidden="false" customHeight="false" outlineLevel="0" collapsed="false">
      <c r="A16" s="110" t="n">
        <f aca="false">IF(B16&lt;&gt;"", COUNTA($B$2:B16), "")</f>
        <v>15</v>
      </c>
      <c r="B16" s="110" t="s">
        <v>27</v>
      </c>
      <c r="C16" s="110" t="s">
        <v>28</v>
      </c>
      <c r="D16" s="111" t="n">
        <v>15330</v>
      </c>
      <c r="E16" s="110"/>
      <c r="F16" s="110" t="s">
        <v>2080</v>
      </c>
      <c r="G16" s="110" t="n">
        <v>1.5</v>
      </c>
      <c r="H16" s="110" t="s">
        <v>2060</v>
      </c>
      <c r="I16" s="110" t="n">
        <v>12</v>
      </c>
      <c r="J16" s="110" t="s">
        <v>1291</v>
      </c>
      <c r="K16" s="110" t="s">
        <v>2081</v>
      </c>
    </row>
    <row r="17" customFormat="false" ht="11.25" hidden="false" customHeight="false" outlineLevel="0" collapsed="false">
      <c r="A17" s="110" t="n">
        <f aca="false">IF(B17&lt;&gt;"", COUNTA($B$2:B17), "")</f>
        <v>16</v>
      </c>
      <c r="B17" s="110" t="s">
        <v>27</v>
      </c>
      <c r="C17" s="110" t="s">
        <v>28</v>
      </c>
      <c r="D17" s="111" t="n">
        <v>15346</v>
      </c>
      <c r="E17" s="110"/>
      <c r="F17" s="110" t="s">
        <v>2080</v>
      </c>
      <c r="G17" s="110" t="n">
        <v>1.5</v>
      </c>
      <c r="H17" s="110" t="s">
        <v>2060</v>
      </c>
      <c r="I17" s="110" t="n">
        <v>12</v>
      </c>
      <c r="J17" s="110" t="s">
        <v>1291</v>
      </c>
      <c r="K17" s="110" t="s">
        <v>2081</v>
      </c>
    </row>
    <row r="18" customFormat="false" ht="11.25" hidden="false" customHeight="false" outlineLevel="0" collapsed="false">
      <c r="A18" s="110" t="n">
        <f aca="false">IF(B18&lt;&gt;"", COUNTA($B$2:B18), "")</f>
        <v>17</v>
      </c>
      <c r="B18" s="110" t="s">
        <v>27</v>
      </c>
      <c r="C18" s="110" t="s">
        <v>28</v>
      </c>
      <c r="D18" s="111" t="n">
        <v>6313</v>
      </c>
      <c r="E18" s="110"/>
      <c r="F18" s="110" t="s">
        <v>2082</v>
      </c>
      <c r="G18" s="110" t="n">
        <v>1.5</v>
      </c>
      <c r="H18" s="110" t="s">
        <v>2060</v>
      </c>
      <c r="I18" s="110" t="n">
        <v>12</v>
      </c>
      <c r="J18" s="110" t="s">
        <v>2083</v>
      </c>
      <c r="K18" s="110" t="s">
        <v>2062</v>
      </c>
    </row>
    <row r="19" customFormat="false" ht="11.25" hidden="false" customHeight="false" outlineLevel="0" collapsed="false">
      <c r="A19" s="110" t="n">
        <f aca="false">IF(B19&lt;&gt;"", COUNTA($B$2:B19), "")</f>
        <v>18</v>
      </c>
      <c r="B19" s="110" t="s">
        <v>27</v>
      </c>
      <c r="C19" s="110" t="s">
        <v>28</v>
      </c>
      <c r="D19" s="111" t="n">
        <v>212032693</v>
      </c>
      <c r="E19" s="110"/>
      <c r="F19" s="110" t="s">
        <v>2059</v>
      </c>
      <c r="G19" s="110" t="n">
        <v>1</v>
      </c>
      <c r="H19" s="110" t="s">
        <v>2060</v>
      </c>
      <c r="I19" s="110" t="n">
        <v>12</v>
      </c>
      <c r="J19" s="110" t="s">
        <v>2083</v>
      </c>
      <c r="K19" s="110" t="s">
        <v>2062</v>
      </c>
    </row>
    <row r="20" customFormat="false" ht="11.25" hidden="false" customHeight="false" outlineLevel="0" collapsed="false">
      <c r="A20" s="110" t="n">
        <f aca="false">IF(B20&lt;&gt;"", COUNTA($B$2:B20), "")</f>
        <v>19</v>
      </c>
      <c r="B20" s="110" t="s">
        <v>27</v>
      </c>
      <c r="C20" s="110" t="s">
        <v>1115</v>
      </c>
      <c r="D20" s="111" t="n">
        <v>5658</v>
      </c>
      <c r="E20" s="110"/>
      <c r="F20" s="110" t="s">
        <v>2082</v>
      </c>
      <c r="G20" s="110" t="n">
        <v>1.5</v>
      </c>
      <c r="H20" s="110" t="s">
        <v>2060</v>
      </c>
      <c r="I20" s="110" t="n">
        <v>12</v>
      </c>
      <c r="J20" s="110" t="s">
        <v>1291</v>
      </c>
      <c r="K20" s="110" t="s">
        <v>2062</v>
      </c>
    </row>
    <row r="21" customFormat="false" ht="11.25" hidden="false" customHeight="false" outlineLevel="0" collapsed="false">
      <c r="A21" s="110" t="n">
        <f aca="false">IF(B21&lt;&gt;"", COUNTA($B$2:B21), "")</f>
        <v>20</v>
      </c>
      <c r="B21" s="110" t="s">
        <v>27</v>
      </c>
      <c r="C21" s="110" t="s">
        <v>28</v>
      </c>
      <c r="D21" s="111" t="n">
        <v>15253</v>
      </c>
      <c r="E21" s="110"/>
      <c r="F21" s="110" t="s">
        <v>2084</v>
      </c>
      <c r="G21" s="110" t="n">
        <v>1.5</v>
      </c>
      <c r="H21" s="110" t="s">
        <v>2060</v>
      </c>
      <c r="I21" s="110" t="n">
        <v>12</v>
      </c>
      <c r="J21" s="110" t="s">
        <v>2085</v>
      </c>
      <c r="K21" s="110" t="s">
        <v>2062</v>
      </c>
    </row>
    <row r="22" customFormat="false" ht="11.25" hidden="false" customHeight="false" outlineLevel="0" collapsed="false">
      <c r="A22" s="110" t="n">
        <f aca="false">IF(B22&lt;&gt;"", COUNTA($B$2:B22), "")</f>
        <v>21</v>
      </c>
      <c r="B22" s="110" t="s">
        <v>27</v>
      </c>
      <c r="C22" s="110" t="s">
        <v>500</v>
      </c>
      <c r="D22" s="111" t="n">
        <v>212027980</v>
      </c>
      <c r="E22" s="110"/>
      <c r="F22" s="110" t="s">
        <v>2065</v>
      </c>
      <c r="G22" s="110" t="n">
        <v>1</v>
      </c>
      <c r="H22" s="110" t="s">
        <v>2060</v>
      </c>
      <c r="I22" s="110" t="n">
        <v>12</v>
      </c>
      <c r="J22" s="110" t="s">
        <v>2086</v>
      </c>
      <c r="K22" s="110" t="s">
        <v>2062</v>
      </c>
    </row>
    <row r="23" customFormat="false" ht="11.25" hidden="false" customHeight="false" outlineLevel="0" collapsed="false">
      <c r="A23" s="110" t="n">
        <f aca="false">IF(B23&lt;&gt;"", COUNTA($B$2:B23), "")</f>
        <v>22</v>
      </c>
      <c r="B23" s="110" t="s">
        <v>27</v>
      </c>
      <c r="C23" s="110" t="s">
        <v>500</v>
      </c>
      <c r="D23" s="111" t="n">
        <v>212027934</v>
      </c>
      <c r="E23" s="110"/>
      <c r="F23" s="110" t="s">
        <v>2065</v>
      </c>
      <c r="G23" s="110" t="n">
        <v>1</v>
      </c>
      <c r="H23" s="110" t="s">
        <v>2060</v>
      </c>
      <c r="I23" s="110" t="n">
        <v>12</v>
      </c>
      <c r="J23" s="110" t="s">
        <v>1291</v>
      </c>
      <c r="K23" s="110" t="s">
        <v>2062</v>
      </c>
    </row>
    <row r="24" customFormat="false" ht="11.25" hidden="false" customHeight="false" outlineLevel="0" collapsed="false">
      <c r="A24" s="110" t="n">
        <f aca="false">IF(B24&lt;&gt;"", COUNTA($B$2:B24), "")</f>
        <v>23</v>
      </c>
      <c r="B24" s="110" t="s">
        <v>27</v>
      </c>
      <c r="C24" s="110" t="s">
        <v>1324</v>
      </c>
      <c r="D24" s="111" t="n">
        <v>15099</v>
      </c>
      <c r="E24" s="110"/>
      <c r="F24" s="110" t="s">
        <v>2080</v>
      </c>
      <c r="G24" s="110" t="n">
        <v>1.5</v>
      </c>
      <c r="H24" s="110" t="s">
        <v>2060</v>
      </c>
      <c r="I24" s="110" t="n">
        <v>12</v>
      </c>
      <c r="J24" s="110" t="s">
        <v>2087</v>
      </c>
      <c r="K24" s="110" t="s">
        <v>2062</v>
      </c>
    </row>
    <row r="25" customFormat="false" ht="11.25" hidden="false" customHeight="false" outlineLevel="0" collapsed="false">
      <c r="A25" s="110" t="n">
        <f aca="false">IF(B25&lt;&gt;"", COUNTA($B$2:B25), "")</f>
        <v>24</v>
      </c>
      <c r="B25" s="110" t="s">
        <v>27</v>
      </c>
      <c r="C25" s="110" t="s">
        <v>1615</v>
      </c>
      <c r="D25" s="111" t="n">
        <v>15218</v>
      </c>
      <c r="E25" s="110"/>
      <c r="F25" s="110" t="s">
        <v>2080</v>
      </c>
      <c r="G25" s="110" t="n">
        <v>1.5</v>
      </c>
      <c r="H25" s="110" t="s">
        <v>2060</v>
      </c>
      <c r="I25" s="110" t="n">
        <v>12</v>
      </c>
      <c r="J25" s="110" t="s">
        <v>2087</v>
      </c>
      <c r="K25" s="110" t="s">
        <v>2062</v>
      </c>
    </row>
    <row r="26" customFormat="false" ht="11.25" hidden="false" customHeight="false" outlineLevel="0" collapsed="false">
      <c r="A26" s="110" t="n">
        <f aca="false">IF(B26&lt;&gt;"", COUNTA($B$2:B26), "")</f>
        <v>25</v>
      </c>
      <c r="B26" s="110" t="s">
        <v>27</v>
      </c>
      <c r="C26" s="110" t="s">
        <v>1000</v>
      </c>
      <c r="D26" s="111" t="s">
        <v>2088</v>
      </c>
      <c r="E26" s="110"/>
      <c r="F26" s="110" t="s">
        <v>2089</v>
      </c>
      <c r="G26" s="110" t="n">
        <v>1.5</v>
      </c>
      <c r="H26" s="110" t="s">
        <v>2060</v>
      </c>
      <c r="I26" s="110" t="n">
        <v>12</v>
      </c>
      <c r="J26" s="110" t="s">
        <v>2083</v>
      </c>
      <c r="K26" s="110" t="s">
        <v>2062</v>
      </c>
    </row>
    <row r="27" customFormat="false" ht="11.25" hidden="false" customHeight="false" outlineLevel="0" collapsed="false">
      <c r="A27" s="110" t="n">
        <f aca="false">IF(B27&lt;&gt;"", COUNTA($B$2:B27), "")</f>
        <v>26</v>
      </c>
      <c r="B27" s="110" t="s">
        <v>27</v>
      </c>
      <c r="C27" s="110" t="s">
        <v>28</v>
      </c>
      <c r="D27" s="111" t="s">
        <v>2090</v>
      </c>
      <c r="E27" s="110"/>
      <c r="F27" s="110" t="s">
        <v>2089</v>
      </c>
      <c r="G27" s="110" t="n">
        <v>1.5</v>
      </c>
      <c r="H27" s="110" t="s">
        <v>2060</v>
      </c>
      <c r="I27" s="110" t="n">
        <v>12</v>
      </c>
      <c r="J27" s="110" t="s">
        <v>2083</v>
      </c>
      <c r="K27" s="110" t="s">
        <v>2062</v>
      </c>
    </row>
    <row r="28" customFormat="false" ht="11.25" hidden="false" customHeight="false" outlineLevel="0" collapsed="false">
      <c r="A28" s="110" t="n">
        <f aca="false">IF(B28&lt;&gt;"", COUNTA($B$2:B28), "")</f>
        <v>27</v>
      </c>
      <c r="B28" s="110" t="s">
        <v>27</v>
      </c>
      <c r="C28" s="110" t="s">
        <v>28</v>
      </c>
      <c r="D28" s="111" t="s">
        <v>2091</v>
      </c>
      <c r="E28" s="110"/>
      <c r="F28" s="110" t="s">
        <v>2089</v>
      </c>
      <c r="G28" s="110" t="n">
        <v>1.5</v>
      </c>
      <c r="H28" s="110" t="s">
        <v>2060</v>
      </c>
      <c r="I28" s="110" t="n">
        <v>12</v>
      </c>
      <c r="J28" s="110" t="s">
        <v>2083</v>
      </c>
      <c r="K28" s="110" t="s">
        <v>2062</v>
      </c>
    </row>
    <row r="29" customFormat="false" ht="11.25" hidden="false" customHeight="false" outlineLevel="0" collapsed="false">
      <c r="A29" s="110" t="n">
        <f aca="false">IF(B29&lt;&gt;"", COUNTA($B$2:B29), "")</f>
        <v>28</v>
      </c>
      <c r="B29" s="110" t="s">
        <v>27</v>
      </c>
      <c r="C29" s="110" t="s">
        <v>2092</v>
      </c>
      <c r="D29" s="111" t="s">
        <v>2093</v>
      </c>
      <c r="E29" s="110"/>
      <c r="F29" s="110" t="s">
        <v>2089</v>
      </c>
      <c r="G29" s="110" t="n">
        <v>1.5</v>
      </c>
      <c r="H29" s="110" t="s">
        <v>2060</v>
      </c>
      <c r="I29" s="110" t="n">
        <v>12</v>
      </c>
      <c r="J29" s="110" t="s">
        <v>2083</v>
      </c>
      <c r="K29" s="110" t="s">
        <v>2062</v>
      </c>
    </row>
    <row r="30" customFormat="false" ht="11.25" hidden="false" customHeight="false" outlineLevel="0" collapsed="false">
      <c r="A30" s="110" t="n">
        <f aca="false">IF(B30&lt;&gt;"", COUNTA($B$2:B30), "")</f>
        <v>29</v>
      </c>
      <c r="B30" s="110" t="s">
        <v>27</v>
      </c>
      <c r="C30" s="110" t="s">
        <v>28</v>
      </c>
      <c r="D30" s="111" t="n">
        <v>15144</v>
      </c>
      <c r="E30" s="110"/>
      <c r="F30" s="110" t="s">
        <v>2089</v>
      </c>
      <c r="G30" s="110" t="n">
        <v>1.5</v>
      </c>
      <c r="H30" s="110" t="s">
        <v>2060</v>
      </c>
      <c r="I30" s="110" t="n">
        <v>12</v>
      </c>
      <c r="J30" s="110" t="s">
        <v>1291</v>
      </c>
      <c r="K30" s="110" t="s">
        <v>2062</v>
      </c>
    </row>
    <row r="31" customFormat="false" ht="11.25" hidden="false" customHeight="false" outlineLevel="0" collapsed="false">
      <c r="A31" s="110" t="n">
        <f aca="false">IF(B31&lt;&gt;"", COUNTA($B$2:B31), "")</f>
        <v>30</v>
      </c>
      <c r="B31" s="110" t="s">
        <v>27</v>
      </c>
      <c r="C31" s="110" t="s">
        <v>121</v>
      </c>
      <c r="D31" s="111" t="n">
        <v>15160</v>
      </c>
      <c r="E31" s="110"/>
      <c r="F31" s="110" t="s">
        <v>2094</v>
      </c>
      <c r="G31" s="110" t="n">
        <v>1.5</v>
      </c>
      <c r="H31" s="110" t="s">
        <v>2060</v>
      </c>
      <c r="I31" s="110" t="n">
        <v>12</v>
      </c>
      <c r="J31" s="110" t="s">
        <v>2095</v>
      </c>
      <c r="K31" s="110" t="s">
        <v>2062</v>
      </c>
    </row>
    <row r="32" customFormat="false" ht="11.25" hidden="false" customHeight="false" outlineLevel="0" collapsed="false">
      <c r="A32" s="110" t="n">
        <f aca="false">IF(B32&lt;&gt;"", COUNTA($B$2:B32), "")</f>
        <v>31</v>
      </c>
      <c r="B32" s="110" t="s">
        <v>27</v>
      </c>
      <c r="C32" s="110" t="s">
        <v>121</v>
      </c>
      <c r="D32" s="111" t="n">
        <v>15159</v>
      </c>
      <c r="E32" s="110"/>
      <c r="F32" s="110" t="s">
        <v>2094</v>
      </c>
      <c r="G32" s="110" t="n">
        <v>1.5</v>
      </c>
      <c r="H32" s="110" t="s">
        <v>2060</v>
      </c>
      <c r="I32" s="110" t="n">
        <v>12</v>
      </c>
      <c r="J32" s="110" t="s">
        <v>2061</v>
      </c>
      <c r="K32" s="110" t="s">
        <v>2062</v>
      </c>
    </row>
    <row r="33" customFormat="false" ht="11.25" hidden="false" customHeight="false" outlineLevel="0" collapsed="false">
      <c r="A33" s="110" t="n">
        <f aca="false">IF(B33&lt;&gt;"", COUNTA($B$2:B33), "")</f>
        <v>32</v>
      </c>
      <c r="B33" s="110" t="s">
        <v>27</v>
      </c>
      <c r="C33" s="110" t="s">
        <v>121</v>
      </c>
      <c r="D33" s="111" t="n">
        <v>15165</v>
      </c>
      <c r="E33" s="110"/>
      <c r="F33" s="110" t="s">
        <v>2094</v>
      </c>
      <c r="G33" s="110" t="n">
        <v>1.5</v>
      </c>
      <c r="H33" s="110" t="s">
        <v>2060</v>
      </c>
      <c r="I33" s="110" t="n">
        <v>12</v>
      </c>
      <c r="J33" s="110" t="s">
        <v>2061</v>
      </c>
      <c r="K33" s="110" t="s">
        <v>2062</v>
      </c>
    </row>
    <row r="34" customFormat="false" ht="11.25" hidden="false" customHeight="false" outlineLevel="0" collapsed="false">
      <c r="A34" s="110" t="n">
        <f aca="false">IF(B34&lt;&gt;"", COUNTA($B$2:B34), "")</f>
        <v>33</v>
      </c>
      <c r="B34" s="110" t="s">
        <v>27</v>
      </c>
      <c r="C34" s="110" t="s">
        <v>28</v>
      </c>
      <c r="D34" s="111" t="n">
        <v>15556</v>
      </c>
      <c r="E34" s="110"/>
      <c r="F34" s="110" t="s">
        <v>2096</v>
      </c>
      <c r="G34" s="110" t="n">
        <v>1.5</v>
      </c>
      <c r="H34" s="110" t="s">
        <v>2060</v>
      </c>
      <c r="I34" s="110" t="n">
        <v>12</v>
      </c>
      <c r="J34" s="110" t="s">
        <v>2086</v>
      </c>
      <c r="K34" s="110" t="s">
        <v>2062</v>
      </c>
    </row>
    <row r="35" customFormat="false" ht="11.25" hidden="false" customHeight="false" outlineLevel="0" collapsed="false">
      <c r="A35" s="110" t="n">
        <f aca="false">IF(B35&lt;&gt;"", COUNTA($B$2:B35), "")</f>
        <v>34</v>
      </c>
      <c r="B35" s="110" t="s">
        <v>27</v>
      </c>
      <c r="C35" s="110" t="s">
        <v>1324</v>
      </c>
      <c r="D35" s="111" t="n">
        <v>7000230</v>
      </c>
      <c r="E35" s="110"/>
      <c r="F35" s="110" t="s">
        <v>2078</v>
      </c>
      <c r="G35" s="110" t="n">
        <v>1.5</v>
      </c>
      <c r="H35" s="110" t="s">
        <v>2079</v>
      </c>
      <c r="I35" s="110" t="n">
        <v>12</v>
      </c>
      <c r="J35" s="110" t="s">
        <v>2083</v>
      </c>
      <c r="K35" s="110" t="s">
        <v>2062</v>
      </c>
    </row>
    <row r="36" customFormat="false" ht="11.25" hidden="false" customHeight="false" outlineLevel="0" collapsed="false">
      <c r="A36" s="110" t="n">
        <f aca="false">IF(B36&lt;&gt;"", COUNTA($B$2:B36), "")</f>
        <v>35</v>
      </c>
      <c r="B36" s="110" t="s">
        <v>27</v>
      </c>
      <c r="C36" s="110" t="s">
        <v>1324</v>
      </c>
      <c r="D36" s="111" t="n">
        <v>7000247</v>
      </c>
      <c r="E36" s="110"/>
      <c r="F36" s="110" t="s">
        <v>2078</v>
      </c>
      <c r="G36" s="110" t="n">
        <v>1.5</v>
      </c>
      <c r="H36" s="110" t="s">
        <v>2079</v>
      </c>
      <c r="I36" s="110" t="n">
        <v>12</v>
      </c>
      <c r="J36" s="110" t="s">
        <v>1291</v>
      </c>
      <c r="K36" s="110" t="s">
        <v>2062</v>
      </c>
    </row>
    <row r="37" customFormat="false" ht="11.25" hidden="false" customHeight="false" outlineLevel="0" collapsed="false">
      <c r="A37" s="110" t="n">
        <f aca="false">IF(B37&lt;&gt;"", COUNTA($B$2:B37), "")</f>
        <v>36</v>
      </c>
      <c r="B37" s="110" t="s">
        <v>27</v>
      </c>
      <c r="C37" s="110" t="s">
        <v>1324</v>
      </c>
      <c r="D37" s="111" t="n">
        <v>7000217</v>
      </c>
      <c r="E37" s="110"/>
      <c r="F37" s="110" t="s">
        <v>2078</v>
      </c>
      <c r="G37" s="110" t="n">
        <v>1.5</v>
      </c>
      <c r="H37" s="110" t="s">
        <v>2079</v>
      </c>
      <c r="I37" s="110" t="n">
        <v>12</v>
      </c>
      <c r="J37" s="110" t="s">
        <v>2083</v>
      </c>
      <c r="K37" s="110" t="s">
        <v>2062</v>
      </c>
    </row>
    <row r="38" customFormat="false" ht="11.25" hidden="false" customHeight="false" outlineLevel="0" collapsed="false">
      <c r="A38" s="110" t="n">
        <f aca="false">IF(B38&lt;&gt;"", COUNTA($B$2:B38), "")</f>
        <v>37</v>
      </c>
      <c r="B38" s="110" t="s">
        <v>27</v>
      </c>
      <c r="C38" s="110" t="s">
        <v>1324</v>
      </c>
      <c r="D38" s="111" t="n">
        <v>7000240</v>
      </c>
      <c r="E38" s="110"/>
      <c r="F38" s="110" t="s">
        <v>2078</v>
      </c>
      <c r="G38" s="110" t="n">
        <v>1.5</v>
      </c>
      <c r="H38" s="110" t="s">
        <v>2079</v>
      </c>
      <c r="I38" s="110" t="n">
        <v>12</v>
      </c>
      <c r="J38" s="110" t="s">
        <v>2083</v>
      </c>
      <c r="K38" s="110" t="s">
        <v>2062</v>
      </c>
    </row>
    <row r="39" customFormat="false" ht="11.25" hidden="false" customHeight="false" outlineLevel="0" collapsed="false">
      <c r="A39" s="110" t="n">
        <f aca="false">IF(B39&lt;&gt;"", COUNTA($B$2:B39), "")</f>
        <v>38</v>
      </c>
      <c r="B39" s="110" t="s">
        <v>27</v>
      </c>
      <c r="C39" s="110" t="s">
        <v>1324</v>
      </c>
      <c r="D39" s="111" t="n">
        <v>7000223</v>
      </c>
      <c r="E39" s="110"/>
      <c r="F39" s="110" t="s">
        <v>2078</v>
      </c>
      <c r="G39" s="110" t="n">
        <v>1.5</v>
      </c>
      <c r="H39" s="110" t="s">
        <v>2079</v>
      </c>
      <c r="I39" s="110" t="n">
        <v>12</v>
      </c>
      <c r="J39" s="110" t="s">
        <v>2083</v>
      </c>
      <c r="K39" s="110" t="s">
        <v>2062</v>
      </c>
    </row>
    <row r="40" customFormat="false" ht="11.25" hidden="false" customHeight="false" outlineLevel="0" collapsed="false">
      <c r="A40" s="110" t="n">
        <f aca="false">IF(B40&lt;&gt;"", COUNTA($B$2:B40), "")</f>
        <v>39</v>
      </c>
      <c r="B40" s="110" t="s">
        <v>27</v>
      </c>
      <c r="C40" s="110" t="s">
        <v>1324</v>
      </c>
      <c r="D40" s="111" t="n">
        <v>7000245</v>
      </c>
      <c r="E40" s="110"/>
      <c r="F40" s="110" t="s">
        <v>2078</v>
      </c>
      <c r="G40" s="110" t="n">
        <v>1.5</v>
      </c>
      <c r="H40" s="110" t="s">
        <v>2079</v>
      </c>
      <c r="I40" s="110" t="n">
        <v>12</v>
      </c>
      <c r="J40" s="110" t="s">
        <v>2083</v>
      </c>
      <c r="K40" s="110" t="s">
        <v>2062</v>
      </c>
    </row>
    <row r="41" customFormat="false" ht="11.25" hidden="false" customHeight="false" outlineLevel="0" collapsed="false">
      <c r="A41" s="110" t="n">
        <f aca="false">IF(B41&lt;&gt;"", COUNTA($B$2:B41), "")</f>
        <v>40</v>
      </c>
      <c r="B41" s="110" t="s">
        <v>27</v>
      </c>
      <c r="C41" s="110" t="s">
        <v>1324</v>
      </c>
      <c r="D41" s="111" t="n">
        <v>7000214</v>
      </c>
      <c r="E41" s="110"/>
      <c r="F41" s="110" t="s">
        <v>2078</v>
      </c>
      <c r="G41" s="110" t="n">
        <v>1.5</v>
      </c>
      <c r="H41" s="110" t="s">
        <v>2079</v>
      </c>
      <c r="I41" s="110" t="n">
        <v>12</v>
      </c>
      <c r="J41" s="110" t="s">
        <v>1291</v>
      </c>
      <c r="K41" s="110" t="s">
        <v>2062</v>
      </c>
    </row>
    <row r="42" customFormat="false" ht="11.25" hidden="false" customHeight="false" outlineLevel="0" collapsed="false">
      <c r="A42" s="110" t="n">
        <f aca="false">IF(B42&lt;&gt;"", COUNTA($B$2:B42), "")</f>
        <v>41</v>
      </c>
      <c r="B42" s="110" t="s">
        <v>27</v>
      </c>
      <c r="C42" s="110" t="s">
        <v>1324</v>
      </c>
      <c r="D42" s="111" t="n">
        <v>7000234</v>
      </c>
      <c r="E42" s="110"/>
      <c r="F42" s="110" t="s">
        <v>2078</v>
      </c>
      <c r="G42" s="110" t="n">
        <v>1.5</v>
      </c>
      <c r="H42" s="110" t="s">
        <v>2079</v>
      </c>
      <c r="I42" s="110" t="n">
        <v>12</v>
      </c>
      <c r="J42" s="110" t="s">
        <v>1291</v>
      </c>
      <c r="K42" s="110" t="s">
        <v>2062</v>
      </c>
    </row>
    <row r="43" customFormat="false" ht="11.25" hidden="false" customHeight="false" outlineLevel="0" collapsed="false">
      <c r="A43" s="110" t="n">
        <f aca="false">IF(B43&lt;&gt;"", COUNTA($B$2:B43), "")</f>
        <v>42</v>
      </c>
      <c r="B43" s="110" t="s">
        <v>27</v>
      </c>
      <c r="C43" s="110" t="s">
        <v>1324</v>
      </c>
      <c r="D43" s="111" t="n">
        <v>7000226</v>
      </c>
      <c r="E43" s="110"/>
      <c r="F43" s="110" t="s">
        <v>2078</v>
      </c>
      <c r="G43" s="110" t="n">
        <v>1.5</v>
      </c>
      <c r="H43" s="110" t="s">
        <v>2079</v>
      </c>
      <c r="I43" s="110" t="n">
        <v>12</v>
      </c>
      <c r="J43" s="110" t="s">
        <v>1291</v>
      </c>
      <c r="K43" s="110" t="s">
        <v>2062</v>
      </c>
    </row>
    <row r="44" customFormat="false" ht="11.25" hidden="false" customHeight="false" outlineLevel="0" collapsed="false">
      <c r="A44" s="110" t="n">
        <f aca="false">IF(B44&lt;&gt;"", COUNTA($B$2:B44), "")</f>
        <v>43</v>
      </c>
      <c r="B44" s="110" t="s">
        <v>27</v>
      </c>
      <c r="C44" s="110" t="s">
        <v>1324</v>
      </c>
      <c r="D44" s="111" t="n">
        <v>7000232</v>
      </c>
      <c r="E44" s="110"/>
      <c r="F44" s="110" t="s">
        <v>2078</v>
      </c>
      <c r="G44" s="110" t="n">
        <v>1.5</v>
      </c>
      <c r="H44" s="110" t="s">
        <v>2079</v>
      </c>
      <c r="I44" s="110" t="n">
        <v>12</v>
      </c>
      <c r="J44" s="110" t="s">
        <v>1291</v>
      </c>
      <c r="K44" s="110" t="s">
        <v>2062</v>
      </c>
    </row>
    <row r="45" customFormat="false" ht="11.25" hidden="false" customHeight="false" outlineLevel="0" collapsed="false">
      <c r="A45" s="110" t="n">
        <f aca="false">IF(B45&lt;&gt;"", COUNTA($B$2:B45), "")</f>
        <v>44</v>
      </c>
      <c r="B45" s="110" t="s">
        <v>27</v>
      </c>
      <c r="C45" s="110" t="s">
        <v>1324</v>
      </c>
      <c r="D45" s="111" t="n">
        <v>7000220</v>
      </c>
      <c r="E45" s="110"/>
      <c r="F45" s="110" t="s">
        <v>2078</v>
      </c>
      <c r="G45" s="110" t="n">
        <v>1.5</v>
      </c>
      <c r="H45" s="110" t="s">
        <v>2079</v>
      </c>
      <c r="I45" s="110" t="n">
        <v>12</v>
      </c>
      <c r="J45" s="110" t="s">
        <v>1291</v>
      </c>
      <c r="K45" s="110" t="s">
        <v>2062</v>
      </c>
    </row>
    <row r="46" customFormat="false" ht="11.25" hidden="false" customHeight="false" outlineLevel="0" collapsed="false">
      <c r="A46" s="110" t="n">
        <f aca="false">IF(B46&lt;&gt;"", COUNTA($B$2:B46), "")</f>
        <v>45</v>
      </c>
      <c r="B46" s="110" t="s">
        <v>27</v>
      </c>
      <c r="C46" s="110" t="s">
        <v>1324</v>
      </c>
      <c r="D46" s="111" t="n">
        <v>7000241</v>
      </c>
      <c r="E46" s="110"/>
      <c r="F46" s="110" t="s">
        <v>2078</v>
      </c>
      <c r="G46" s="110" t="n">
        <v>1.5</v>
      </c>
      <c r="H46" s="110" t="s">
        <v>2079</v>
      </c>
      <c r="I46" s="110" t="n">
        <v>12</v>
      </c>
      <c r="J46" s="110" t="s">
        <v>1291</v>
      </c>
      <c r="K46" s="110" t="s">
        <v>2062</v>
      </c>
    </row>
    <row r="47" customFormat="false" ht="11.25" hidden="false" customHeight="false" outlineLevel="0" collapsed="false">
      <c r="A47" s="110" t="n">
        <f aca="false">IF(B47&lt;&gt;"", COUNTA($B$2:B47), "")</f>
        <v>46</v>
      </c>
      <c r="B47" s="110" t="s">
        <v>27</v>
      </c>
      <c r="C47" s="110" t="s">
        <v>1324</v>
      </c>
      <c r="D47" s="111" t="n">
        <v>903</v>
      </c>
      <c r="E47" s="110"/>
      <c r="F47" s="110" t="s">
        <v>2078</v>
      </c>
      <c r="G47" s="110" t="n">
        <v>1.5</v>
      </c>
      <c r="H47" s="110" t="s">
        <v>2079</v>
      </c>
      <c r="I47" s="110" t="n">
        <v>12</v>
      </c>
      <c r="J47" s="110" t="s">
        <v>1291</v>
      </c>
      <c r="K47" s="110" t="s">
        <v>2062</v>
      </c>
    </row>
    <row r="48" customFormat="false" ht="11.25" hidden="false" customHeight="false" outlineLevel="0" collapsed="false">
      <c r="A48" s="110" t="n">
        <f aca="false">IF(B48&lt;&gt;"", COUNTA($B$2:B48), "")</f>
        <v>47</v>
      </c>
      <c r="B48" s="110" t="s">
        <v>27</v>
      </c>
      <c r="C48" s="110" t="s">
        <v>1324</v>
      </c>
      <c r="D48" s="111" t="n">
        <v>7000244</v>
      </c>
      <c r="E48" s="110"/>
      <c r="F48" s="110" t="s">
        <v>2078</v>
      </c>
      <c r="G48" s="110" t="n">
        <v>1.5</v>
      </c>
      <c r="H48" s="110" t="s">
        <v>2079</v>
      </c>
      <c r="I48" s="110" t="n">
        <v>12</v>
      </c>
      <c r="J48" s="110" t="s">
        <v>2083</v>
      </c>
      <c r="K48" s="110" t="s">
        <v>2062</v>
      </c>
    </row>
    <row r="49" customFormat="false" ht="11.25" hidden="false" customHeight="false" outlineLevel="0" collapsed="false">
      <c r="A49" s="110" t="n">
        <f aca="false">IF(B49&lt;&gt;"", COUNTA($B$2:B49), "")</f>
        <v>48</v>
      </c>
      <c r="B49" s="110" t="s">
        <v>27</v>
      </c>
      <c r="C49" s="110" t="s">
        <v>1324</v>
      </c>
      <c r="D49" s="111" t="n">
        <v>7000218</v>
      </c>
      <c r="E49" s="110"/>
      <c r="F49" s="110" t="s">
        <v>2078</v>
      </c>
      <c r="G49" s="110" t="n">
        <v>1.5</v>
      </c>
      <c r="H49" s="110" t="s">
        <v>2079</v>
      </c>
      <c r="I49" s="110" t="n">
        <v>12</v>
      </c>
      <c r="J49" s="110" t="s">
        <v>2083</v>
      </c>
      <c r="K49" s="110" t="s">
        <v>2062</v>
      </c>
    </row>
    <row r="50" customFormat="false" ht="11.25" hidden="false" customHeight="false" outlineLevel="0" collapsed="false">
      <c r="A50" s="110" t="n">
        <f aca="false">IF(B50&lt;&gt;"", COUNTA($B$2:B50), "")</f>
        <v>49</v>
      </c>
      <c r="B50" s="110" t="s">
        <v>27</v>
      </c>
      <c r="C50" s="110" t="s">
        <v>1324</v>
      </c>
      <c r="D50" s="111" t="n">
        <v>7099</v>
      </c>
      <c r="E50" s="110"/>
      <c r="F50" s="110" t="s">
        <v>2078</v>
      </c>
      <c r="G50" s="110" t="n">
        <v>1.5</v>
      </c>
      <c r="H50" s="110" t="s">
        <v>2079</v>
      </c>
      <c r="I50" s="110" t="n">
        <v>12</v>
      </c>
      <c r="J50" s="110" t="s">
        <v>2061</v>
      </c>
      <c r="K50" s="110" t="s">
        <v>2062</v>
      </c>
    </row>
    <row r="51" customFormat="false" ht="11.25" hidden="false" customHeight="false" outlineLevel="0" collapsed="false">
      <c r="A51" s="110" t="n">
        <f aca="false">IF(B51&lt;&gt;"", COUNTA($B$2:B51), "")</f>
        <v>50</v>
      </c>
      <c r="B51" s="110" t="s">
        <v>27</v>
      </c>
      <c r="C51" s="110" t="s">
        <v>1324</v>
      </c>
      <c r="D51" s="111" t="n">
        <v>7000228</v>
      </c>
      <c r="E51" s="110"/>
      <c r="F51" s="110" t="s">
        <v>2078</v>
      </c>
      <c r="G51" s="110" t="n">
        <v>1.5</v>
      </c>
      <c r="H51" s="110" t="s">
        <v>2079</v>
      </c>
      <c r="I51" s="110" t="n">
        <v>12</v>
      </c>
      <c r="J51" s="110" t="s">
        <v>2061</v>
      </c>
      <c r="K51" s="110" t="s">
        <v>2062</v>
      </c>
    </row>
    <row r="52" customFormat="false" ht="11.25" hidden="false" customHeight="false" outlineLevel="0" collapsed="false">
      <c r="A52" s="110" t="n">
        <f aca="false">IF(B52&lt;&gt;"", COUNTA($B$2:B52), "")</f>
        <v>51</v>
      </c>
      <c r="B52" s="110" t="s">
        <v>27</v>
      </c>
      <c r="C52" s="110" t="s">
        <v>500</v>
      </c>
      <c r="D52" s="111" t="n">
        <v>50494</v>
      </c>
      <c r="E52" s="110"/>
      <c r="F52" s="110" t="s">
        <v>2089</v>
      </c>
      <c r="G52" s="110" t="n">
        <v>1.5</v>
      </c>
      <c r="H52" s="110" t="s">
        <v>2060</v>
      </c>
      <c r="I52" s="110" t="n">
        <v>12</v>
      </c>
      <c r="J52" s="110" t="s">
        <v>2095</v>
      </c>
      <c r="K52" s="110" t="s">
        <v>2062</v>
      </c>
    </row>
    <row r="53" customFormat="false" ht="11.25" hidden="false" customHeight="false" outlineLevel="0" collapsed="false">
      <c r="A53" s="110" t="n">
        <f aca="false">IF(B53&lt;&gt;"", COUNTA($B$2:B53), "")</f>
        <v>52</v>
      </c>
      <c r="B53" s="110" t="s">
        <v>27</v>
      </c>
      <c r="C53" s="110" t="s">
        <v>1000</v>
      </c>
      <c r="D53" s="111" t="n">
        <v>1322145</v>
      </c>
      <c r="E53" s="110"/>
      <c r="F53" s="110" t="s">
        <v>2089</v>
      </c>
      <c r="G53" s="110" t="n">
        <v>1.5</v>
      </c>
      <c r="H53" s="110" t="s">
        <v>2060</v>
      </c>
      <c r="I53" s="110" t="n">
        <v>12</v>
      </c>
      <c r="J53" s="110" t="s">
        <v>1291</v>
      </c>
      <c r="K53" s="110" t="s">
        <v>2062</v>
      </c>
    </row>
    <row r="54" customFormat="false" ht="11.25" hidden="false" customHeight="false" outlineLevel="0" collapsed="false">
      <c r="A54" s="110" t="n">
        <f aca="false">IF(B54&lt;&gt;"", COUNTA($B$2:B54), "")</f>
        <v>53</v>
      </c>
      <c r="B54" s="110" t="s">
        <v>27</v>
      </c>
      <c r="C54" s="110" t="s">
        <v>1000</v>
      </c>
      <c r="D54" s="111" t="n">
        <v>1322127</v>
      </c>
      <c r="E54" s="110"/>
      <c r="F54" s="110" t="s">
        <v>2089</v>
      </c>
      <c r="G54" s="110" t="n">
        <v>1.5</v>
      </c>
      <c r="H54" s="110" t="s">
        <v>2060</v>
      </c>
      <c r="I54" s="110" t="n">
        <v>12</v>
      </c>
      <c r="J54" s="110" t="s">
        <v>2061</v>
      </c>
      <c r="K54" s="110" t="s">
        <v>2062</v>
      </c>
    </row>
    <row r="55" customFormat="false" ht="11.25" hidden="false" customHeight="false" outlineLevel="0" collapsed="false">
      <c r="A55" s="110" t="n">
        <f aca="false">IF(B55&lt;&gt;"", COUNTA($B$2:B55), "")</f>
        <v>54</v>
      </c>
      <c r="B55" s="110" t="s">
        <v>27</v>
      </c>
      <c r="C55" s="110" t="s">
        <v>1324</v>
      </c>
      <c r="D55" s="111" t="n">
        <v>7000199</v>
      </c>
      <c r="E55" s="110"/>
      <c r="F55" s="110" t="s">
        <v>2078</v>
      </c>
      <c r="G55" s="110" t="n">
        <v>1.5</v>
      </c>
      <c r="H55" s="110" t="s">
        <v>2060</v>
      </c>
      <c r="I55" s="110" t="n">
        <v>12</v>
      </c>
      <c r="J55" s="110" t="s">
        <v>2061</v>
      </c>
      <c r="K55" s="110" t="s">
        <v>2062</v>
      </c>
    </row>
    <row r="56" customFormat="false" ht="11.25" hidden="false" customHeight="false" outlineLevel="0" collapsed="false">
      <c r="A56" s="110" t="n">
        <f aca="false">IF(B56&lt;&gt;"", COUNTA($B$2:B56), "")</f>
        <v>55</v>
      </c>
      <c r="B56" s="110" t="s">
        <v>27</v>
      </c>
      <c r="C56" s="110" t="s">
        <v>28</v>
      </c>
      <c r="D56" s="111" t="n">
        <v>15301</v>
      </c>
      <c r="E56" s="110"/>
      <c r="F56" s="110" t="s">
        <v>2089</v>
      </c>
      <c r="G56" s="110" t="n">
        <v>1.5</v>
      </c>
      <c r="H56" s="110" t="s">
        <v>2060</v>
      </c>
      <c r="I56" s="110" t="n">
        <v>12</v>
      </c>
      <c r="J56" s="112" t="s">
        <v>2095</v>
      </c>
      <c r="K56" s="110" t="s">
        <v>2062</v>
      </c>
    </row>
    <row r="57" customFormat="false" ht="11.25" hidden="false" customHeight="false" outlineLevel="0" collapsed="false">
      <c r="A57" s="110" t="n">
        <f aca="false">IF(B57&lt;&gt;"", COUNTA($B$2:B57), "")</f>
        <v>56</v>
      </c>
      <c r="B57" s="110" t="s">
        <v>27</v>
      </c>
      <c r="C57" s="110" t="s">
        <v>28</v>
      </c>
      <c r="D57" s="111" t="s">
        <v>2097</v>
      </c>
      <c r="E57" s="110"/>
      <c r="F57" s="110" t="s">
        <v>2089</v>
      </c>
      <c r="G57" s="110" t="n">
        <v>1.5</v>
      </c>
      <c r="H57" s="110" t="s">
        <v>2060</v>
      </c>
      <c r="I57" s="110" t="n">
        <v>12</v>
      </c>
      <c r="J57" s="112" t="s">
        <v>2061</v>
      </c>
      <c r="K57" s="110" t="s">
        <v>2062</v>
      </c>
    </row>
    <row r="58" customFormat="false" ht="11.25" hidden="false" customHeight="false" outlineLevel="0" collapsed="false">
      <c r="A58" s="110" t="n">
        <f aca="false">IF(B58&lt;&gt;"", COUNTA($B$2:B58), "")</f>
        <v>57</v>
      </c>
      <c r="B58" s="110" t="s">
        <v>27</v>
      </c>
      <c r="C58" s="110" t="s">
        <v>28</v>
      </c>
      <c r="D58" s="111" t="n">
        <v>212032715</v>
      </c>
      <c r="E58" s="110"/>
      <c r="F58" s="110" t="s">
        <v>2059</v>
      </c>
      <c r="G58" s="110" t="n">
        <v>1</v>
      </c>
      <c r="H58" s="110" t="s">
        <v>2060</v>
      </c>
      <c r="I58" s="110" t="n">
        <v>12</v>
      </c>
      <c r="J58" s="110" t="s">
        <v>2083</v>
      </c>
      <c r="K58" s="110" t="s">
        <v>2062</v>
      </c>
    </row>
    <row r="59" customFormat="false" ht="11.25" hidden="false" customHeight="false" outlineLevel="0" collapsed="false">
      <c r="A59" s="110" t="n">
        <f aca="false">IF(B59&lt;&gt;"", COUNTA($B$2:B59), "")</f>
        <v>58</v>
      </c>
      <c r="B59" s="110" t="s">
        <v>27</v>
      </c>
      <c r="C59" s="110" t="s">
        <v>1324</v>
      </c>
      <c r="D59" s="111" t="n">
        <v>1115</v>
      </c>
      <c r="E59" s="110"/>
      <c r="F59" s="110" t="s">
        <v>2098</v>
      </c>
      <c r="G59" s="110" t="n">
        <v>1.5</v>
      </c>
      <c r="H59" s="110" t="s">
        <v>2079</v>
      </c>
      <c r="I59" s="110" t="n">
        <v>12</v>
      </c>
      <c r="J59" s="110" t="s">
        <v>2083</v>
      </c>
      <c r="K59" s="110" t="s">
        <v>2062</v>
      </c>
    </row>
    <row r="60" customFormat="false" ht="11.25" hidden="false" customHeight="false" outlineLevel="0" collapsed="false">
      <c r="A60" s="110" t="n">
        <f aca="false">IF(B60&lt;&gt;"", COUNTA($B$2:B60), "")</f>
        <v>59</v>
      </c>
      <c r="B60" s="110" t="s">
        <v>27</v>
      </c>
      <c r="C60" s="110" t="s">
        <v>1324</v>
      </c>
      <c r="D60" s="111" t="n">
        <v>1110</v>
      </c>
      <c r="E60" s="110"/>
      <c r="F60" s="110" t="s">
        <v>2098</v>
      </c>
      <c r="G60" s="110" t="n">
        <v>1.5</v>
      </c>
      <c r="H60" s="110" t="s">
        <v>2079</v>
      </c>
      <c r="I60" s="110" t="n">
        <v>12</v>
      </c>
      <c r="J60" s="110" t="s">
        <v>2083</v>
      </c>
      <c r="K60" s="110" t="s">
        <v>2062</v>
      </c>
    </row>
    <row r="61" customFormat="false" ht="11.25" hidden="false" customHeight="false" outlineLevel="0" collapsed="false">
      <c r="A61" s="110" t="n">
        <f aca="false">IF(B61&lt;&gt;"", COUNTA($B$2:B61), "")</f>
        <v>60</v>
      </c>
      <c r="B61" s="110" t="s">
        <v>27</v>
      </c>
      <c r="C61" s="110" t="s">
        <v>121</v>
      </c>
      <c r="D61" s="111" t="n">
        <v>15163</v>
      </c>
      <c r="E61" s="110" t="n">
        <v>2012</v>
      </c>
      <c r="F61" s="110" t="s">
        <v>2094</v>
      </c>
      <c r="G61" s="110" t="n">
        <v>1.5</v>
      </c>
      <c r="H61" s="110" t="s">
        <v>2060</v>
      </c>
      <c r="I61" s="110" t="n">
        <v>12</v>
      </c>
      <c r="J61" s="112" t="s">
        <v>2061</v>
      </c>
      <c r="K61" s="110" t="s">
        <v>2062</v>
      </c>
    </row>
    <row r="62" customFormat="false" ht="11.25" hidden="false" customHeight="false" outlineLevel="0" collapsed="false">
      <c r="A62" s="110" t="n">
        <f aca="false">IF(B62&lt;&gt;"", COUNTA($B$2:B62), "")</f>
        <v>61</v>
      </c>
      <c r="B62" s="110" t="s">
        <v>27</v>
      </c>
      <c r="C62" s="110" t="s">
        <v>2099</v>
      </c>
      <c r="D62" s="111" t="n">
        <v>8461</v>
      </c>
      <c r="E62" s="110"/>
      <c r="F62" s="110" t="s">
        <v>2089</v>
      </c>
      <c r="G62" s="110" t="n">
        <v>1</v>
      </c>
      <c r="H62" s="110" t="s">
        <v>2060</v>
      </c>
      <c r="I62" s="110" t="n">
        <v>12</v>
      </c>
      <c r="J62" s="110" t="s">
        <v>2083</v>
      </c>
      <c r="K62" s="110" t="s">
        <v>2062</v>
      </c>
    </row>
    <row r="63" customFormat="false" ht="11.25" hidden="false" customHeight="false" outlineLevel="0" collapsed="false">
      <c r="A63" s="110" t="n">
        <f aca="false">IF(B63&lt;&gt;"", COUNTA($B$2:B63), "")</f>
        <v>62</v>
      </c>
      <c r="B63" s="110" t="s">
        <v>27</v>
      </c>
      <c r="C63" s="110" t="s">
        <v>1312</v>
      </c>
      <c r="D63" s="111" t="n">
        <v>15442</v>
      </c>
      <c r="E63" s="110"/>
      <c r="F63" s="15" t="s">
        <v>2100</v>
      </c>
      <c r="G63" s="110" t="n">
        <v>1.5</v>
      </c>
      <c r="H63" s="110" t="s">
        <v>2060</v>
      </c>
      <c r="I63" s="110" t="n">
        <v>12</v>
      </c>
      <c r="J63" s="110" t="s">
        <v>2061</v>
      </c>
      <c r="K63" s="110" t="s">
        <v>2062</v>
      </c>
    </row>
    <row r="64" customFormat="false" ht="11.25" hidden="false" customHeight="false" outlineLevel="0" collapsed="false">
      <c r="A64" s="110" t="n">
        <f aca="false">IF(B64&lt;&gt;"", COUNTA($B$2:B64), "")</f>
        <v>63</v>
      </c>
      <c r="B64" s="110" t="s">
        <v>27</v>
      </c>
      <c r="C64" s="110" t="s">
        <v>2101</v>
      </c>
      <c r="D64" s="111" t="n">
        <v>600064</v>
      </c>
      <c r="E64" s="110" t="n">
        <v>1991</v>
      </c>
      <c r="F64" s="15" t="s">
        <v>2100</v>
      </c>
      <c r="G64" s="110" t="n">
        <v>1.5</v>
      </c>
      <c r="H64" s="110" t="s">
        <v>2060</v>
      </c>
      <c r="I64" s="110" t="n">
        <v>12</v>
      </c>
      <c r="J64" s="110" t="s">
        <v>2061</v>
      </c>
      <c r="K64" s="110" t="s">
        <v>2062</v>
      </c>
    </row>
    <row r="65" customFormat="false" ht="11.25" hidden="false" customHeight="false" outlineLevel="0" collapsed="false">
      <c r="A65" s="110" t="n">
        <f aca="false">IF(B65&lt;&gt;"", COUNTA($B$2:B65), "")</f>
        <v>64</v>
      </c>
      <c r="B65" s="110" t="s">
        <v>27</v>
      </c>
      <c r="C65" s="110" t="s">
        <v>500</v>
      </c>
      <c r="D65" s="111" t="n">
        <v>50140</v>
      </c>
      <c r="E65" s="110"/>
      <c r="F65" s="110" t="s">
        <v>2082</v>
      </c>
      <c r="G65" s="110" t="n">
        <v>1.5</v>
      </c>
      <c r="H65" s="110" t="s">
        <v>2060</v>
      </c>
      <c r="I65" s="110" t="n">
        <v>12</v>
      </c>
      <c r="J65" s="110" t="s">
        <v>2087</v>
      </c>
      <c r="K65" s="110" t="s">
        <v>2062</v>
      </c>
    </row>
    <row r="66" customFormat="false" ht="11.25" hidden="false" customHeight="false" outlineLevel="0" collapsed="false">
      <c r="A66" s="110" t="n">
        <f aca="false">IF(B66&lt;&gt;"", COUNTA($B$2:B66), "")</f>
        <v>65</v>
      </c>
      <c r="B66" s="110" t="s">
        <v>27</v>
      </c>
      <c r="C66" s="110" t="s">
        <v>500</v>
      </c>
      <c r="D66" s="111" t="n">
        <v>211222291</v>
      </c>
      <c r="E66" s="110"/>
      <c r="F66" s="110" t="s">
        <v>2078</v>
      </c>
      <c r="G66" s="110" t="n">
        <v>1.5</v>
      </c>
      <c r="H66" s="110" t="s">
        <v>2060</v>
      </c>
      <c r="I66" s="110" t="n">
        <v>12</v>
      </c>
      <c r="J66" s="110" t="s">
        <v>1291</v>
      </c>
      <c r="K66" s="110" t="s">
        <v>2062</v>
      </c>
    </row>
    <row r="67" customFormat="false" ht="11.25" hidden="false" customHeight="false" outlineLevel="0" collapsed="false">
      <c r="A67" s="110" t="n">
        <f aca="false">IF(B67&lt;&gt;"", COUNTA($B$2:B67), "")</f>
        <v>66</v>
      </c>
      <c r="B67" s="110" t="s">
        <v>27</v>
      </c>
      <c r="C67" s="110" t="s">
        <v>1324</v>
      </c>
      <c r="D67" s="111" t="n">
        <v>15425</v>
      </c>
      <c r="E67" s="110"/>
      <c r="F67" s="110" t="s">
        <v>2089</v>
      </c>
      <c r="G67" s="110" t="n">
        <v>1.5</v>
      </c>
      <c r="H67" s="110" t="s">
        <v>2079</v>
      </c>
      <c r="I67" s="110" t="n">
        <v>12</v>
      </c>
      <c r="J67" s="110" t="s">
        <v>2061</v>
      </c>
      <c r="K67" s="110" t="s">
        <v>2062</v>
      </c>
    </row>
    <row r="68" customFormat="false" ht="11.25" hidden="false" customHeight="false" outlineLevel="0" collapsed="false">
      <c r="A68" s="110" t="n">
        <f aca="false">IF(B68&lt;&gt;"", COUNTA($B$2:B68), "")</f>
        <v>67</v>
      </c>
      <c r="B68" s="110" t="s">
        <v>27</v>
      </c>
      <c r="C68" s="110" t="s">
        <v>500</v>
      </c>
      <c r="D68" s="111" t="n">
        <v>15532</v>
      </c>
      <c r="E68" s="110"/>
      <c r="F68" s="110" t="s">
        <v>2089</v>
      </c>
      <c r="G68" s="110" t="n">
        <v>1.5</v>
      </c>
      <c r="H68" s="110" t="s">
        <v>2060</v>
      </c>
      <c r="I68" s="110" t="n">
        <v>12</v>
      </c>
      <c r="J68" s="110" t="s">
        <v>1291</v>
      </c>
      <c r="K68" s="110" t="s">
        <v>2062</v>
      </c>
    </row>
    <row r="69" customFormat="false" ht="11.25" hidden="false" customHeight="false" outlineLevel="0" collapsed="false">
      <c r="A69" s="110" t="n">
        <f aca="false">IF(B69&lt;&gt;"", COUNTA($B$2:B69), "")</f>
        <v>68</v>
      </c>
      <c r="B69" s="110" t="s">
        <v>27</v>
      </c>
      <c r="C69" s="110" t="s">
        <v>500</v>
      </c>
      <c r="D69" s="111" t="n">
        <v>15533</v>
      </c>
      <c r="E69" s="110"/>
      <c r="F69" s="110" t="s">
        <v>2089</v>
      </c>
      <c r="G69" s="110" t="n">
        <v>1.5</v>
      </c>
      <c r="H69" s="110" t="s">
        <v>2060</v>
      </c>
      <c r="I69" s="110" t="n">
        <v>12</v>
      </c>
      <c r="J69" s="110" t="s">
        <v>2083</v>
      </c>
      <c r="K69" s="110" t="s">
        <v>2062</v>
      </c>
    </row>
    <row r="70" customFormat="false" ht="11.25" hidden="false" customHeight="false" outlineLevel="0" collapsed="false">
      <c r="A70" s="110" t="n">
        <f aca="false">IF(B70&lt;&gt;"", COUNTA($B$2:B70), "")</f>
        <v>69</v>
      </c>
      <c r="B70" s="110" t="s">
        <v>27</v>
      </c>
      <c r="C70" s="110" t="s">
        <v>500</v>
      </c>
      <c r="D70" s="111" t="n">
        <v>211222323</v>
      </c>
      <c r="E70" s="110"/>
      <c r="F70" s="110" t="s">
        <v>2078</v>
      </c>
      <c r="G70" s="110" t="n">
        <v>1.5</v>
      </c>
      <c r="H70" s="110" t="s">
        <v>2060</v>
      </c>
      <c r="I70" s="110" t="n">
        <v>12</v>
      </c>
      <c r="J70" s="110" t="s">
        <v>2083</v>
      </c>
      <c r="K70" s="110" t="s">
        <v>2062</v>
      </c>
    </row>
    <row r="71" customFormat="false" ht="11.25" hidden="false" customHeight="false" outlineLevel="0" collapsed="false">
      <c r="A71" s="110" t="n">
        <f aca="false">IF(B71&lt;&gt;"", COUNTA($B$2:B71), "")</f>
        <v>70</v>
      </c>
      <c r="B71" s="110" t="s">
        <v>27</v>
      </c>
      <c r="C71" s="110" t="s">
        <v>1324</v>
      </c>
      <c r="D71" s="111" t="n">
        <v>3293</v>
      </c>
      <c r="E71" s="110"/>
      <c r="F71" s="110" t="s">
        <v>2102</v>
      </c>
      <c r="G71" s="110" t="n">
        <v>1.5</v>
      </c>
      <c r="H71" s="110" t="s">
        <v>2060</v>
      </c>
      <c r="I71" s="110" t="n">
        <v>12</v>
      </c>
      <c r="J71" s="110" t="s">
        <v>2103</v>
      </c>
      <c r="K71" s="110" t="s">
        <v>2081</v>
      </c>
    </row>
    <row r="72" customFormat="false" ht="11.25" hidden="false" customHeight="false" outlineLevel="0" collapsed="false">
      <c r="A72" s="110" t="n">
        <f aca="false">IF(B72&lt;&gt;"", COUNTA($B$2:B72), "")</f>
        <v>71</v>
      </c>
      <c r="B72" s="110" t="s">
        <v>27</v>
      </c>
      <c r="C72" s="110" t="s">
        <v>1370</v>
      </c>
      <c r="D72" s="111" t="n">
        <v>15151</v>
      </c>
      <c r="E72" s="110"/>
      <c r="F72" s="15" t="s">
        <v>2104</v>
      </c>
      <c r="G72" s="110" t="n">
        <v>1.5</v>
      </c>
      <c r="H72" s="110" t="s">
        <v>2079</v>
      </c>
      <c r="I72" s="110" t="n">
        <v>12</v>
      </c>
      <c r="J72" s="110" t="s">
        <v>2087</v>
      </c>
      <c r="K72" s="110" t="s">
        <v>2062</v>
      </c>
    </row>
    <row r="73" customFormat="false" ht="11.25" hidden="false" customHeight="false" outlineLevel="0" collapsed="false">
      <c r="A73" s="110" t="n">
        <f aca="false">IF(B73&lt;&gt;"", COUNTA($B$2:B73), "")</f>
        <v>72</v>
      </c>
      <c r="B73" s="110" t="s">
        <v>27</v>
      </c>
      <c r="C73" s="110" t="s">
        <v>1324</v>
      </c>
      <c r="D73" s="111" t="n">
        <v>7000167</v>
      </c>
      <c r="E73" s="110"/>
      <c r="F73" s="110" t="s">
        <v>2105</v>
      </c>
      <c r="G73" s="110" t="n">
        <v>1.5</v>
      </c>
      <c r="H73" s="110" t="s">
        <v>2060</v>
      </c>
      <c r="I73" s="110" t="n">
        <v>12</v>
      </c>
      <c r="J73" s="110" t="s">
        <v>2083</v>
      </c>
      <c r="K73" s="110" t="s">
        <v>2081</v>
      </c>
    </row>
    <row r="74" customFormat="false" ht="11.25" hidden="false" customHeight="false" outlineLevel="0" collapsed="false">
      <c r="A74" s="110" t="n">
        <f aca="false">IF(B74&lt;&gt;"", COUNTA($B$2:B74), "")</f>
        <v>73</v>
      </c>
      <c r="B74" s="110" t="s">
        <v>27</v>
      </c>
      <c r="C74" s="110" t="s">
        <v>1324</v>
      </c>
      <c r="D74" s="111" t="n">
        <v>7000191</v>
      </c>
      <c r="E74" s="110"/>
      <c r="F74" s="110" t="s">
        <v>2106</v>
      </c>
      <c r="G74" s="110" t="n">
        <v>1.5</v>
      </c>
      <c r="H74" s="110" t="s">
        <v>2079</v>
      </c>
      <c r="I74" s="110" t="n">
        <v>12</v>
      </c>
      <c r="J74" s="110" t="s">
        <v>6</v>
      </c>
      <c r="K74" s="110" t="s">
        <v>2062</v>
      </c>
    </row>
    <row r="75" customFormat="false" ht="11.25" hidden="false" customHeight="false" outlineLevel="0" collapsed="false">
      <c r="A75" s="110" t="n">
        <f aca="false">IF(B75&lt;&gt;"", COUNTA($B$2:B75), "")</f>
        <v>74</v>
      </c>
      <c r="B75" s="110" t="s">
        <v>27</v>
      </c>
      <c r="C75" s="110" t="s">
        <v>1370</v>
      </c>
      <c r="D75" s="111" t="n">
        <v>15283</v>
      </c>
      <c r="E75" s="110"/>
      <c r="F75" s="110" t="s">
        <v>2107</v>
      </c>
      <c r="G75" s="110" t="n">
        <v>1.5</v>
      </c>
      <c r="H75" s="110" t="s">
        <v>2079</v>
      </c>
      <c r="I75" s="110" t="n">
        <v>12</v>
      </c>
      <c r="J75" s="110" t="s">
        <v>9</v>
      </c>
      <c r="K75" s="110" t="s">
        <v>2062</v>
      </c>
    </row>
    <row r="76" customFormat="false" ht="11.25" hidden="false" customHeight="false" outlineLevel="0" collapsed="false">
      <c r="A76" s="110" t="n">
        <f aca="false">IF(B76&lt;&gt;"", COUNTA($B$2:B76), "")</f>
        <v>75</v>
      </c>
      <c r="B76" s="110" t="s">
        <v>27</v>
      </c>
      <c r="C76" s="110" t="s">
        <v>1615</v>
      </c>
      <c r="D76" s="111" t="n">
        <v>15282</v>
      </c>
      <c r="E76" s="110"/>
      <c r="F76" s="110" t="s">
        <v>2102</v>
      </c>
      <c r="G76" s="110" t="n">
        <v>1.5</v>
      </c>
      <c r="H76" s="110" t="s">
        <v>2060</v>
      </c>
      <c r="I76" s="110" t="n">
        <v>12</v>
      </c>
      <c r="J76" s="110" t="s">
        <v>1291</v>
      </c>
      <c r="K76" s="110" t="s">
        <v>2062</v>
      </c>
    </row>
    <row r="77" customFormat="false" ht="11.25" hidden="false" customHeight="false" outlineLevel="0" collapsed="false">
      <c r="A77" s="110" t="n">
        <f aca="false">IF(B77&lt;&gt;"", COUNTA($B$2:B77), "")</f>
        <v>76</v>
      </c>
      <c r="B77" s="110" t="s">
        <v>27</v>
      </c>
      <c r="C77" s="110" t="s">
        <v>1312</v>
      </c>
      <c r="D77" s="111" t="n">
        <v>7000167</v>
      </c>
      <c r="E77" s="110"/>
      <c r="F77" s="110" t="s">
        <v>139</v>
      </c>
      <c r="G77" s="110" t="n">
        <v>1.5</v>
      </c>
      <c r="H77" s="110" t="s">
        <v>2060</v>
      </c>
      <c r="I77" s="110" t="n">
        <v>12</v>
      </c>
      <c r="J77" s="110" t="s">
        <v>2108</v>
      </c>
      <c r="K77" s="110" t="s">
        <v>2062</v>
      </c>
    </row>
    <row r="78" customFormat="false" ht="11.25" hidden="false" customHeight="false" outlineLevel="0" collapsed="false">
      <c r="A78" s="110" t="n">
        <f aca="false">IF(B78&lt;&gt;"", COUNTA($B$2:B78), "")</f>
        <v>77</v>
      </c>
      <c r="B78" s="110" t="s">
        <v>27</v>
      </c>
      <c r="C78" s="110" t="s">
        <v>2109</v>
      </c>
      <c r="D78" s="111" t="n">
        <v>455163</v>
      </c>
      <c r="E78" s="110"/>
      <c r="F78" s="110" t="s">
        <v>2110</v>
      </c>
      <c r="G78" s="110" t="n">
        <v>1.5</v>
      </c>
      <c r="H78" s="110" t="s">
        <v>2060</v>
      </c>
      <c r="I78" s="110" t="n">
        <v>12</v>
      </c>
      <c r="J78" s="110" t="s">
        <v>2111</v>
      </c>
      <c r="K78" s="110" t="s">
        <v>2062</v>
      </c>
    </row>
    <row r="79" customFormat="false" ht="11.25" hidden="false" customHeight="false" outlineLevel="0" collapsed="false">
      <c r="A79" s="110" t="n">
        <f aca="false">IF(B79&lt;&gt;"", COUNTA($B$2:B79), "")</f>
        <v>78</v>
      </c>
      <c r="B79" s="110" t="s">
        <v>27</v>
      </c>
      <c r="C79" s="110" t="s">
        <v>1115</v>
      </c>
      <c r="D79" s="111" t="n">
        <v>101</v>
      </c>
      <c r="E79" s="110"/>
      <c r="F79" s="110" t="s">
        <v>2110</v>
      </c>
      <c r="G79" s="110" t="n">
        <v>1</v>
      </c>
      <c r="H79" s="110" t="s">
        <v>2060</v>
      </c>
      <c r="I79" s="110" t="n">
        <v>12</v>
      </c>
      <c r="J79" s="110" t="s">
        <v>2083</v>
      </c>
      <c r="K79" s="110" t="s">
        <v>2062</v>
      </c>
    </row>
    <row r="80" customFormat="false" ht="11.25" hidden="false" customHeight="false" outlineLevel="0" collapsed="false">
      <c r="A80" s="110" t="n">
        <f aca="false">IF(B80&lt;&gt;"", COUNTA($B$2:B80), "")</f>
        <v>79</v>
      </c>
      <c r="B80" s="110" t="s">
        <v>27</v>
      </c>
      <c r="C80" s="110" t="s">
        <v>28</v>
      </c>
      <c r="D80" s="111" t="n">
        <v>30035</v>
      </c>
      <c r="E80" s="110"/>
      <c r="F80" s="110" t="s">
        <v>2110</v>
      </c>
      <c r="G80" s="110" t="n">
        <v>1.5</v>
      </c>
      <c r="H80" s="110" t="s">
        <v>2060</v>
      </c>
      <c r="I80" s="110" t="n">
        <v>12</v>
      </c>
      <c r="J80" s="112" t="s">
        <v>2112</v>
      </c>
      <c r="K80" s="110" t="s">
        <v>2062</v>
      </c>
    </row>
    <row r="81" customFormat="false" ht="11.25" hidden="false" customHeight="false" outlineLevel="0" collapsed="false">
      <c r="A81" s="110" t="n">
        <f aca="false">IF(B81&lt;&gt;"", COUNTA($B$2:B81), "")</f>
        <v>80</v>
      </c>
      <c r="B81" s="110" t="s">
        <v>27</v>
      </c>
      <c r="C81" s="110" t="s">
        <v>28</v>
      </c>
      <c r="D81" s="111" t="n">
        <v>30033</v>
      </c>
      <c r="E81" s="110"/>
      <c r="F81" s="110" t="s">
        <v>2110</v>
      </c>
      <c r="G81" s="110" t="n">
        <v>1.5</v>
      </c>
      <c r="H81" s="110" t="s">
        <v>2060</v>
      </c>
      <c r="I81" s="110" t="n">
        <v>12</v>
      </c>
      <c r="J81" s="112" t="s">
        <v>2112</v>
      </c>
      <c r="K81" s="110" t="s">
        <v>2062</v>
      </c>
    </row>
    <row r="82" customFormat="false" ht="11.25" hidden="false" customHeight="false" outlineLevel="0" collapsed="false">
      <c r="A82" s="110" t="n">
        <f aca="false">IF(B82&lt;&gt;"", COUNTA($B$2:B82), "")</f>
        <v>81</v>
      </c>
      <c r="B82" s="110" t="s">
        <v>27</v>
      </c>
      <c r="C82" s="110" t="s">
        <v>28</v>
      </c>
      <c r="D82" s="111" t="n">
        <v>15651</v>
      </c>
      <c r="E82" s="110"/>
      <c r="F82" s="110" t="s">
        <v>2113</v>
      </c>
      <c r="G82" s="110" t="n">
        <v>1.5</v>
      </c>
      <c r="H82" s="110" t="s">
        <v>2060</v>
      </c>
      <c r="I82" s="110" t="n">
        <v>12</v>
      </c>
      <c r="J82" s="110" t="s">
        <v>1291</v>
      </c>
      <c r="K82" s="110" t="s">
        <v>2062</v>
      </c>
    </row>
    <row r="83" customFormat="false" ht="11.25" hidden="false" customHeight="false" outlineLevel="0" collapsed="false">
      <c r="A83" s="110" t="n">
        <f aca="false">IF(B83&lt;&gt;"", COUNTA($B$2:B83), "")</f>
        <v>82</v>
      </c>
      <c r="B83" s="110" t="s">
        <v>27</v>
      </c>
      <c r="C83" s="110" t="s">
        <v>28</v>
      </c>
      <c r="D83" s="111" t="n">
        <v>15036</v>
      </c>
      <c r="E83" s="110"/>
      <c r="F83" s="110" t="s">
        <v>2113</v>
      </c>
      <c r="G83" s="110" t="n">
        <v>1.5</v>
      </c>
      <c r="H83" s="110" t="s">
        <v>2060</v>
      </c>
      <c r="I83" s="110" t="n">
        <v>12</v>
      </c>
      <c r="J83" s="110" t="s">
        <v>2095</v>
      </c>
      <c r="K83" s="110" t="s">
        <v>2062</v>
      </c>
    </row>
    <row r="84" s="4" customFormat="true" ht="9.75" hidden="false" customHeight="true" outlineLevel="0" collapsed="false">
      <c r="A84" s="110" t="n">
        <f aca="false">IF(B84&lt;&gt;"", COUNTA($B$2:B84), "")</f>
        <v>83</v>
      </c>
      <c r="B84" s="6" t="s">
        <v>27</v>
      </c>
      <c r="C84" s="19" t="s">
        <v>28</v>
      </c>
      <c r="D84" s="6" t="s">
        <v>2114</v>
      </c>
      <c r="E84" s="19"/>
      <c r="F84" s="5" t="s">
        <v>2115</v>
      </c>
      <c r="G84" s="5" t="n">
        <v>1.5</v>
      </c>
      <c r="H84" s="110" t="s">
        <v>2060</v>
      </c>
      <c r="I84" s="5" t="n">
        <v>12</v>
      </c>
      <c r="J84" s="5" t="s">
        <v>2066</v>
      </c>
      <c r="K84" s="113" t="s">
        <v>2062</v>
      </c>
      <c r="L84" s="114"/>
      <c r="M84" s="45"/>
      <c r="N84" s="44"/>
    </row>
    <row r="85" customFormat="false" ht="11.25" hidden="false" customHeight="false" outlineLevel="0" collapsed="false">
      <c r="A85" s="110" t="n">
        <f aca="false">IF(B85&lt;&gt;"", COUNTA($B$2:B85), "")</f>
        <v>84</v>
      </c>
      <c r="B85" s="110" t="s">
        <v>27</v>
      </c>
      <c r="C85" s="110" t="s">
        <v>28</v>
      </c>
      <c r="D85" s="111" t="n">
        <v>15390</v>
      </c>
      <c r="E85" s="110"/>
      <c r="F85" s="110" t="s">
        <v>2113</v>
      </c>
      <c r="G85" s="110" t="n">
        <v>1.5</v>
      </c>
      <c r="H85" s="110" t="s">
        <v>2060</v>
      </c>
      <c r="I85" s="110" t="n">
        <v>12</v>
      </c>
      <c r="J85" s="110" t="s">
        <v>1291</v>
      </c>
      <c r="K85" s="110" t="s">
        <v>2062</v>
      </c>
    </row>
    <row r="86" customFormat="false" ht="11.25" hidden="false" customHeight="false" outlineLevel="0" collapsed="false">
      <c r="A86" s="110" t="n">
        <f aca="false">IF(B86&lt;&gt;"", COUNTA($B$2:B86), "")</f>
        <v>85</v>
      </c>
      <c r="B86" s="110" t="s">
        <v>27</v>
      </c>
      <c r="C86" s="110" t="s">
        <v>28</v>
      </c>
      <c r="D86" s="111" t="n">
        <v>5311</v>
      </c>
      <c r="E86" s="110"/>
      <c r="F86" s="110" t="s">
        <v>2113</v>
      </c>
      <c r="G86" s="110" t="n">
        <v>1.5</v>
      </c>
      <c r="H86" s="110" t="s">
        <v>2060</v>
      </c>
      <c r="I86" s="110" t="n">
        <v>12</v>
      </c>
      <c r="J86" s="110" t="s">
        <v>1291</v>
      </c>
      <c r="K86" s="110" t="s">
        <v>2062</v>
      </c>
    </row>
    <row r="87" customFormat="false" ht="11.25" hidden="false" customHeight="false" outlineLevel="0" collapsed="false">
      <c r="A87" s="110" t="n">
        <f aca="false">IF(B87&lt;&gt;"", COUNTA($B$2:B87), "")</f>
        <v>86</v>
      </c>
      <c r="B87" s="110" t="s">
        <v>27</v>
      </c>
      <c r="C87" s="110" t="s">
        <v>28</v>
      </c>
      <c r="D87" s="111" t="n">
        <v>15176</v>
      </c>
      <c r="E87" s="110"/>
      <c r="F87" s="110" t="s">
        <v>2113</v>
      </c>
      <c r="G87" s="110" t="n">
        <v>1.5</v>
      </c>
      <c r="H87" s="110" t="s">
        <v>2060</v>
      </c>
      <c r="I87" s="110" t="n">
        <v>12</v>
      </c>
      <c r="J87" s="110" t="s">
        <v>1291</v>
      </c>
      <c r="K87" s="110" t="s">
        <v>2062</v>
      </c>
    </row>
    <row r="88" customFormat="false" ht="11.25" hidden="false" customHeight="false" outlineLevel="0" collapsed="false">
      <c r="A88" s="110" t="n">
        <f aca="false">IF(B88&lt;&gt;"", COUNTA($B$2:B88), "")</f>
        <v>87</v>
      </c>
      <c r="B88" s="110" t="s">
        <v>27</v>
      </c>
      <c r="C88" s="110" t="s">
        <v>28</v>
      </c>
      <c r="D88" s="111" t="s">
        <v>1015</v>
      </c>
      <c r="E88" s="110"/>
      <c r="F88" s="110" t="s">
        <v>2113</v>
      </c>
      <c r="G88" s="110" t="n">
        <v>1.5</v>
      </c>
      <c r="H88" s="110" t="s">
        <v>2060</v>
      </c>
      <c r="I88" s="110" t="n">
        <v>12</v>
      </c>
      <c r="J88" s="110" t="s">
        <v>1291</v>
      </c>
      <c r="K88" s="110" t="s">
        <v>2062</v>
      </c>
    </row>
    <row r="89" customFormat="false" ht="11.25" hidden="false" customHeight="false" outlineLevel="0" collapsed="false">
      <c r="A89" s="110" t="n">
        <f aca="false">IF(B89&lt;&gt;"", COUNTA($B$2:B89), "")</f>
        <v>88</v>
      </c>
      <c r="B89" s="110" t="s">
        <v>27</v>
      </c>
      <c r="C89" s="110" t="s">
        <v>28</v>
      </c>
      <c r="D89" s="111" t="n">
        <v>15407</v>
      </c>
      <c r="E89" s="110"/>
      <c r="F89" s="110" t="s">
        <v>2113</v>
      </c>
      <c r="G89" s="110" t="n">
        <v>1</v>
      </c>
      <c r="H89" s="110" t="s">
        <v>2060</v>
      </c>
      <c r="I89" s="110" t="n">
        <v>12</v>
      </c>
      <c r="J89" s="110" t="s">
        <v>1291</v>
      </c>
      <c r="K89" s="110" t="s">
        <v>2062</v>
      </c>
    </row>
    <row r="90" customFormat="false" ht="11.25" hidden="false" customHeight="false" outlineLevel="0" collapsed="false">
      <c r="A90" s="110" t="n">
        <f aca="false">IF(B90&lt;&gt;"", COUNTA($B$2:B90), "")</f>
        <v>89</v>
      </c>
      <c r="B90" s="110" t="s">
        <v>27</v>
      </c>
      <c r="C90" s="110" t="s">
        <v>28</v>
      </c>
      <c r="D90" s="111" t="n">
        <v>15311</v>
      </c>
      <c r="E90" s="110"/>
      <c r="F90" s="110" t="s">
        <v>2096</v>
      </c>
      <c r="G90" s="110" t="n">
        <v>1.5</v>
      </c>
      <c r="H90" s="110" t="s">
        <v>2060</v>
      </c>
      <c r="I90" s="110" t="n">
        <v>12</v>
      </c>
      <c r="J90" s="110" t="s">
        <v>2116</v>
      </c>
      <c r="K90" s="110" t="s">
        <v>2062</v>
      </c>
    </row>
    <row r="91" customFormat="false" ht="11.25" hidden="false" customHeight="false" outlineLevel="0" collapsed="false">
      <c r="A91" s="110" t="n">
        <f aca="false">IF(B91&lt;&gt;"", COUNTA($B$2:B91), "")</f>
        <v>90</v>
      </c>
      <c r="B91" s="110" t="s">
        <v>27</v>
      </c>
      <c r="C91" s="110" t="s">
        <v>28</v>
      </c>
      <c r="D91" s="111" t="n">
        <v>15658</v>
      </c>
      <c r="E91" s="110"/>
      <c r="F91" s="110" t="s">
        <v>2117</v>
      </c>
      <c r="G91" s="110" t="n">
        <v>1.5</v>
      </c>
      <c r="H91" s="110" t="s">
        <v>2060</v>
      </c>
      <c r="I91" s="110" t="n">
        <v>12</v>
      </c>
      <c r="J91" s="110" t="s">
        <v>1291</v>
      </c>
      <c r="K91" s="110" t="s">
        <v>2062</v>
      </c>
    </row>
    <row r="92" customFormat="false" ht="11.25" hidden="false" customHeight="false" outlineLevel="0" collapsed="false">
      <c r="A92" s="110" t="n">
        <f aca="false">IF(B92&lt;&gt;"", COUNTA($B$2:B92), "")</f>
        <v>91</v>
      </c>
      <c r="B92" s="110" t="s">
        <v>27</v>
      </c>
      <c r="C92" s="110" t="s">
        <v>28</v>
      </c>
      <c r="D92" s="111" t="n">
        <v>40129</v>
      </c>
      <c r="E92" s="110"/>
      <c r="F92" s="110" t="s">
        <v>2118</v>
      </c>
      <c r="G92" s="110" t="n">
        <v>1.5</v>
      </c>
      <c r="H92" s="110" t="s">
        <v>2060</v>
      </c>
      <c r="I92" s="110" t="n">
        <v>12</v>
      </c>
      <c r="J92" s="110" t="s">
        <v>1291</v>
      </c>
      <c r="K92" s="110" t="s">
        <v>2062</v>
      </c>
    </row>
    <row r="93" customFormat="false" ht="11.25" hidden="false" customHeight="false" outlineLevel="0" collapsed="false">
      <c r="A93" s="110" t="n">
        <f aca="false">IF(B93&lt;&gt;"", COUNTA($B$2:B93), "")</f>
        <v>92</v>
      </c>
      <c r="B93" s="110" t="s">
        <v>27</v>
      </c>
      <c r="C93" s="110" t="s">
        <v>28</v>
      </c>
      <c r="D93" s="111" t="n">
        <v>212032338</v>
      </c>
      <c r="E93" s="110"/>
      <c r="F93" s="110" t="s">
        <v>2065</v>
      </c>
      <c r="G93" s="110" t="n">
        <v>1.5</v>
      </c>
      <c r="H93" s="110" t="s">
        <v>2060</v>
      </c>
      <c r="I93" s="110" t="n">
        <v>12</v>
      </c>
      <c r="J93" s="110" t="s">
        <v>1291</v>
      </c>
      <c r="K93" s="110" t="s">
        <v>2062</v>
      </c>
    </row>
    <row r="94" customFormat="false" ht="11.25" hidden="false" customHeight="false" outlineLevel="0" collapsed="false">
      <c r="A94" s="110" t="n">
        <f aca="false">IF(B94&lt;&gt;"", COUNTA($B$2:B94), "")</f>
        <v>93</v>
      </c>
      <c r="B94" s="110" t="s">
        <v>27</v>
      </c>
      <c r="C94" s="110" t="s">
        <v>1115</v>
      </c>
      <c r="D94" s="111" t="n">
        <v>100</v>
      </c>
      <c r="E94" s="110"/>
      <c r="F94" s="110" t="s">
        <v>2110</v>
      </c>
      <c r="G94" s="110" t="n">
        <v>1</v>
      </c>
      <c r="H94" s="110" t="s">
        <v>2060</v>
      </c>
      <c r="I94" s="110" t="n">
        <v>12</v>
      </c>
      <c r="J94" s="110" t="s">
        <v>2061</v>
      </c>
      <c r="K94" s="110" t="s">
        <v>2062</v>
      </c>
    </row>
    <row r="95" customFormat="false" ht="11.25" hidden="false" customHeight="false" outlineLevel="0" collapsed="false">
      <c r="A95" s="110" t="n">
        <f aca="false">IF(B95&lt;&gt;"", COUNTA($B$2:B95), "")</f>
        <v>94</v>
      </c>
      <c r="B95" s="110" t="s">
        <v>27</v>
      </c>
      <c r="C95" s="110" t="s">
        <v>1115</v>
      </c>
      <c r="D95" s="111" t="n">
        <v>63</v>
      </c>
      <c r="E95" s="110"/>
      <c r="F95" s="110" t="s">
        <v>2110</v>
      </c>
      <c r="G95" s="110" t="n">
        <v>1</v>
      </c>
      <c r="H95" s="110" t="s">
        <v>2060</v>
      </c>
      <c r="I95" s="110" t="n">
        <v>12</v>
      </c>
      <c r="J95" s="110" t="s">
        <v>2108</v>
      </c>
      <c r="K95" s="110" t="s">
        <v>2062</v>
      </c>
    </row>
    <row r="96" customFormat="false" ht="11.25" hidden="false" customHeight="false" outlineLevel="0" collapsed="false">
      <c r="A96" s="110" t="n">
        <f aca="false">IF(B96&lt;&gt;"", COUNTA($B$2:B96), "")</f>
        <v>95</v>
      </c>
      <c r="B96" s="110" t="s">
        <v>27</v>
      </c>
      <c r="C96" s="110" t="s">
        <v>500</v>
      </c>
      <c r="D96" s="111" t="n">
        <v>15649</v>
      </c>
      <c r="E96" s="110"/>
      <c r="F96" s="110" t="s">
        <v>2065</v>
      </c>
      <c r="G96" s="110" t="n">
        <v>1.5</v>
      </c>
      <c r="H96" s="110" t="s">
        <v>2060</v>
      </c>
      <c r="I96" s="110" t="n">
        <v>12</v>
      </c>
      <c r="J96" s="110" t="s">
        <v>2086</v>
      </c>
      <c r="K96" s="110" t="s">
        <v>2062</v>
      </c>
    </row>
    <row r="97" customFormat="false" ht="11.25" hidden="false" customHeight="false" outlineLevel="0" collapsed="false">
      <c r="A97" s="110" t="n">
        <f aca="false">IF(B97&lt;&gt;"", COUNTA($B$2:B97), "")</f>
        <v>96</v>
      </c>
      <c r="B97" s="110" t="s">
        <v>27</v>
      </c>
      <c r="C97" s="110" t="s">
        <v>28</v>
      </c>
      <c r="D97" s="111" t="n">
        <v>1870798</v>
      </c>
      <c r="E97" s="110"/>
      <c r="F97" s="110" t="s">
        <v>2059</v>
      </c>
      <c r="G97" s="110" t="n">
        <v>1</v>
      </c>
      <c r="H97" s="110" t="s">
        <v>2060</v>
      </c>
      <c r="I97" s="110" t="n">
        <v>12</v>
      </c>
      <c r="J97" s="110" t="s">
        <v>2061</v>
      </c>
      <c r="K97" s="110" t="s">
        <v>2062</v>
      </c>
    </row>
    <row r="98" customFormat="false" ht="11.25" hidden="false" customHeight="false" outlineLevel="0" collapsed="false">
      <c r="A98" s="110" t="n">
        <f aca="false">IF(B98&lt;&gt;"", COUNTA($B$2:B98), "")</f>
        <v>97</v>
      </c>
      <c r="B98" s="110" t="s">
        <v>27</v>
      </c>
      <c r="C98" s="110" t="s">
        <v>28</v>
      </c>
      <c r="D98" s="111" t="n">
        <v>15281</v>
      </c>
      <c r="E98" s="110"/>
      <c r="F98" s="110" t="s">
        <v>2119</v>
      </c>
      <c r="G98" s="110" t="n">
        <v>1.5</v>
      </c>
      <c r="H98" s="110" t="s">
        <v>2060</v>
      </c>
      <c r="I98" s="110" t="n">
        <v>12</v>
      </c>
      <c r="J98" s="110" t="s">
        <v>2120</v>
      </c>
      <c r="K98" s="110" t="s">
        <v>2121</v>
      </c>
    </row>
    <row r="99" customFormat="false" ht="11.25" hidden="false" customHeight="false" outlineLevel="0" collapsed="false">
      <c r="A99" s="110" t="n">
        <f aca="false">IF(B99&lt;&gt;"", COUNTA($B$2:B99), "")</f>
        <v>98</v>
      </c>
      <c r="B99" s="110" t="s">
        <v>27</v>
      </c>
      <c r="C99" s="110" t="s">
        <v>28</v>
      </c>
      <c r="D99" s="111" t="n">
        <v>15288</v>
      </c>
      <c r="E99" s="110"/>
      <c r="F99" s="110" t="s">
        <v>2119</v>
      </c>
      <c r="G99" s="110" t="n">
        <v>1.5</v>
      </c>
      <c r="H99" s="110" t="s">
        <v>2060</v>
      </c>
      <c r="I99" s="110" t="n">
        <v>12</v>
      </c>
      <c r="J99" s="110" t="s">
        <v>2120</v>
      </c>
      <c r="K99" s="110" t="s">
        <v>2121</v>
      </c>
    </row>
    <row r="100" customFormat="false" ht="11.25" hidden="false" customHeight="false" outlineLevel="0" collapsed="false">
      <c r="A100" s="110" t="n">
        <f aca="false">IF(B100&lt;&gt;"", COUNTA($B$2:B100), "")</f>
        <v>99</v>
      </c>
      <c r="B100" s="110" t="s">
        <v>27</v>
      </c>
      <c r="C100" s="110" t="s">
        <v>28</v>
      </c>
      <c r="D100" s="111" t="n">
        <v>212032725</v>
      </c>
      <c r="E100" s="110"/>
      <c r="F100" s="110" t="s">
        <v>2059</v>
      </c>
      <c r="G100" s="110" t="n">
        <v>1</v>
      </c>
      <c r="H100" s="110" t="s">
        <v>2060</v>
      </c>
      <c r="I100" s="110" t="n">
        <v>12</v>
      </c>
      <c r="J100" s="110" t="s">
        <v>2086</v>
      </c>
      <c r="K100" s="110" t="s">
        <v>2062</v>
      </c>
    </row>
    <row r="101" customFormat="false" ht="11.25" hidden="false" customHeight="false" outlineLevel="0" collapsed="false">
      <c r="A101" s="110" t="n">
        <f aca="false">IF(B101&lt;&gt;"", COUNTA($B$2:B101), "")</f>
        <v>100</v>
      </c>
      <c r="B101" s="110" t="s">
        <v>27</v>
      </c>
      <c r="C101" s="110" t="s">
        <v>2122</v>
      </c>
      <c r="D101" s="111" t="n">
        <v>15415</v>
      </c>
      <c r="E101" s="110"/>
      <c r="F101" s="15" t="s">
        <v>2123</v>
      </c>
      <c r="G101" s="110" t="n">
        <v>1.5</v>
      </c>
      <c r="H101" s="110" t="s">
        <v>2060</v>
      </c>
      <c r="I101" s="110" t="n">
        <v>12</v>
      </c>
      <c r="J101" s="110" t="s">
        <v>2120</v>
      </c>
      <c r="K101" s="110" t="s">
        <v>2062</v>
      </c>
    </row>
    <row r="102" customFormat="false" ht="11.25" hidden="false" customHeight="false" outlineLevel="0" collapsed="false">
      <c r="A102" s="110" t="n">
        <f aca="false">IF(B102&lt;&gt;"", COUNTA($B$2:B102), "")</f>
        <v>101</v>
      </c>
      <c r="B102" s="110" t="s">
        <v>27</v>
      </c>
      <c r="C102" s="110" t="s">
        <v>489</v>
      </c>
      <c r="D102" s="111" t="n">
        <v>15318</v>
      </c>
      <c r="E102" s="110"/>
      <c r="F102" s="15" t="s">
        <v>2100</v>
      </c>
      <c r="G102" s="110" t="n">
        <v>1.5</v>
      </c>
      <c r="H102" s="110" t="s">
        <v>2060</v>
      </c>
      <c r="I102" s="110" t="n">
        <v>12</v>
      </c>
      <c r="J102" s="110" t="s">
        <v>2120</v>
      </c>
      <c r="K102" s="110" t="s">
        <v>2062</v>
      </c>
    </row>
    <row r="103" customFormat="false" ht="11.25" hidden="false" customHeight="false" outlineLevel="0" collapsed="false">
      <c r="A103" s="110" t="n">
        <f aca="false">IF(B103&lt;&gt;"", COUNTA($B$2:B103), "")</f>
        <v>102</v>
      </c>
      <c r="B103" s="110" t="s">
        <v>27</v>
      </c>
      <c r="C103" s="110" t="s">
        <v>2124</v>
      </c>
      <c r="D103" s="111" t="s">
        <v>2125</v>
      </c>
      <c r="E103" s="110"/>
      <c r="F103" s="110" t="s">
        <v>309</v>
      </c>
      <c r="G103" s="110" t="n">
        <v>1</v>
      </c>
      <c r="H103" s="110" t="s">
        <v>2060</v>
      </c>
      <c r="I103" s="110" t="n">
        <v>12</v>
      </c>
      <c r="J103" s="110" t="s">
        <v>2066</v>
      </c>
      <c r="K103" s="110" t="s">
        <v>2062</v>
      </c>
    </row>
    <row r="104" customFormat="false" ht="11.25" hidden="false" customHeight="false" outlineLevel="0" collapsed="false">
      <c r="A104" s="110" t="n">
        <f aca="false">IF(B104&lt;&gt;"", COUNTA($B$2:B104), "")</f>
        <v>103</v>
      </c>
      <c r="B104" s="110" t="s">
        <v>27</v>
      </c>
      <c r="C104" s="110" t="s">
        <v>1112</v>
      </c>
      <c r="D104" s="111" t="n">
        <v>15505</v>
      </c>
      <c r="E104" s="110"/>
      <c r="F104" s="110" t="s">
        <v>2113</v>
      </c>
      <c r="G104" s="110" t="n">
        <v>1.5</v>
      </c>
      <c r="H104" s="110" t="s">
        <v>2060</v>
      </c>
      <c r="I104" s="110" t="n">
        <v>12</v>
      </c>
      <c r="J104" s="110" t="s">
        <v>1291</v>
      </c>
      <c r="K104" s="110" t="s">
        <v>2062</v>
      </c>
    </row>
    <row r="105" customFormat="false" ht="11.25" hidden="false" customHeight="false" outlineLevel="0" collapsed="false">
      <c r="A105" s="110" t="n">
        <f aca="false">IF(B105&lt;&gt;"", COUNTA($B$2:B105), "")</f>
        <v>104</v>
      </c>
      <c r="B105" s="110" t="s">
        <v>27</v>
      </c>
      <c r="C105" s="110" t="s">
        <v>860</v>
      </c>
      <c r="D105" s="111" t="n">
        <v>20125880</v>
      </c>
      <c r="E105" s="110"/>
      <c r="F105" s="110" t="s">
        <v>2126</v>
      </c>
      <c r="G105" s="110" t="n">
        <v>1</v>
      </c>
      <c r="H105" s="110" t="s">
        <v>2060</v>
      </c>
      <c r="I105" s="110" t="n">
        <v>12</v>
      </c>
      <c r="J105" s="110" t="s">
        <v>2066</v>
      </c>
      <c r="K105" s="110" t="s">
        <v>2062</v>
      </c>
    </row>
    <row r="106" customFormat="false" ht="11.25" hidden="false" customHeight="false" outlineLevel="0" collapsed="false">
      <c r="A106" s="110" t="n">
        <f aca="false">IF(B106&lt;&gt;"", COUNTA($B$2:B106), "")</f>
        <v>105</v>
      </c>
      <c r="B106" s="110" t="s">
        <v>27</v>
      </c>
      <c r="C106" s="110" t="s">
        <v>28</v>
      </c>
      <c r="D106" s="111" t="n">
        <v>700047</v>
      </c>
      <c r="E106" s="110"/>
      <c r="F106" s="110" t="s">
        <v>1015</v>
      </c>
      <c r="G106" s="110" t="n">
        <v>1.5</v>
      </c>
      <c r="H106" s="110" t="s">
        <v>2060</v>
      </c>
      <c r="I106" s="110" t="n">
        <v>12</v>
      </c>
      <c r="J106" s="110" t="s">
        <v>2061</v>
      </c>
      <c r="K106" s="110" t="s">
        <v>2121</v>
      </c>
    </row>
    <row r="107" customFormat="false" ht="11.25" hidden="false" customHeight="false" outlineLevel="0" collapsed="false">
      <c r="A107" s="110" t="n">
        <f aca="false">IF(B107&lt;&gt;"", COUNTA($B$2:B107), "")</f>
        <v>106</v>
      </c>
      <c r="B107" s="110" t="s">
        <v>27</v>
      </c>
      <c r="C107" s="110" t="s">
        <v>2127</v>
      </c>
      <c r="D107" s="111" t="n">
        <v>700001</v>
      </c>
      <c r="E107" s="110"/>
      <c r="F107" s="110" t="s">
        <v>2065</v>
      </c>
      <c r="G107" s="110" t="n">
        <v>1.5</v>
      </c>
      <c r="H107" s="110" t="s">
        <v>2060</v>
      </c>
      <c r="I107" s="110" t="n">
        <v>12</v>
      </c>
      <c r="J107" s="110" t="s">
        <v>1291</v>
      </c>
      <c r="K107" s="110" t="s">
        <v>2062</v>
      </c>
    </row>
    <row r="108" customFormat="false" ht="11.25" hidden="false" customHeight="false" outlineLevel="0" collapsed="false">
      <c r="A108" s="110" t="n">
        <f aca="false">IF(B108&lt;&gt;"", COUNTA($B$2:B108), "")</f>
        <v>107</v>
      </c>
      <c r="B108" s="110" t="s">
        <v>27</v>
      </c>
      <c r="C108" s="110" t="s">
        <v>28</v>
      </c>
      <c r="D108" s="111" t="n">
        <v>15659</v>
      </c>
      <c r="E108" s="110"/>
      <c r="F108" s="110" t="s">
        <v>2128</v>
      </c>
      <c r="G108" s="110" t="n">
        <v>1.5</v>
      </c>
      <c r="H108" s="110" t="s">
        <v>2060</v>
      </c>
      <c r="I108" s="110" t="n">
        <v>12</v>
      </c>
      <c r="J108" s="110" t="s">
        <v>1291</v>
      </c>
      <c r="K108" s="110" t="s">
        <v>2062</v>
      </c>
    </row>
    <row r="109" customFormat="false" ht="11.25" hidden="false" customHeight="false" outlineLevel="0" collapsed="false">
      <c r="A109" s="110" t="n">
        <f aca="false">IF(B109&lt;&gt;"", COUNTA($B$2:B109), "")</f>
        <v>108</v>
      </c>
      <c r="B109" s="110" t="s">
        <v>27</v>
      </c>
      <c r="C109" s="110" t="s">
        <v>500</v>
      </c>
      <c r="D109" s="111" t="n">
        <v>75550</v>
      </c>
      <c r="E109" s="110"/>
      <c r="F109" s="110" t="s">
        <v>2065</v>
      </c>
      <c r="G109" s="110" t="n">
        <v>1.5</v>
      </c>
      <c r="H109" s="110" t="s">
        <v>2060</v>
      </c>
      <c r="I109" s="110" t="n">
        <v>12</v>
      </c>
      <c r="J109" s="110" t="s">
        <v>1291</v>
      </c>
      <c r="K109" s="110" t="s">
        <v>2062</v>
      </c>
    </row>
    <row r="110" customFormat="false" ht="11.25" hidden="false" customHeight="false" outlineLevel="0" collapsed="false">
      <c r="A110" s="110" t="n">
        <f aca="false">IF(B110&lt;&gt;"", COUNTA($B$2:B110), "")</f>
        <v>109</v>
      </c>
      <c r="B110" s="110" t="s">
        <v>27</v>
      </c>
      <c r="C110" s="110" t="s">
        <v>1312</v>
      </c>
      <c r="D110" s="111" t="n">
        <v>7000166</v>
      </c>
      <c r="E110" s="110"/>
      <c r="F110" s="110" t="s">
        <v>139</v>
      </c>
      <c r="G110" s="110" t="n">
        <v>1.5</v>
      </c>
      <c r="H110" s="110" t="s">
        <v>2060</v>
      </c>
      <c r="I110" s="110" t="n">
        <v>12</v>
      </c>
      <c r="J110" s="110" t="s">
        <v>2087</v>
      </c>
      <c r="K110" s="110" t="s">
        <v>2062</v>
      </c>
    </row>
    <row r="111" customFormat="false" ht="11.25" hidden="false" customHeight="false" outlineLevel="0" collapsed="false">
      <c r="A111" s="110" t="n">
        <f aca="false">IF(B111&lt;&gt;"", COUNTA($B$2:B111), "")</f>
        <v>110</v>
      </c>
      <c r="B111" s="110" t="s">
        <v>27</v>
      </c>
      <c r="C111" s="110" t="s">
        <v>500</v>
      </c>
      <c r="D111" s="111" t="n">
        <v>600281</v>
      </c>
      <c r="E111" s="110"/>
      <c r="F111" s="110" t="s">
        <v>2119</v>
      </c>
      <c r="G111" s="110" t="n">
        <v>1.5</v>
      </c>
      <c r="H111" s="110" t="s">
        <v>2060</v>
      </c>
      <c r="I111" s="110" t="n">
        <v>12</v>
      </c>
      <c r="J111" s="110" t="s">
        <v>2066</v>
      </c>
      <c r="K111" s="110" t="s">
        <v>2062</v>
      </c>
    </row>
    <row r="112" customFormat="false" ht="11.25" hidden="false" customHeight="false" outlineLevel="0" collapsed="false">
      <c r="A112" s="110" t="n">
        <f aca="false">IF(B112&lt;&gt;"", COUNTA($B$2:B112), "")</f>
        <v>111</v>
      </c>
      <c r="B112" s="110" t="s">
        <v>27</v>
      </c>
      <c r="C112" s="110" t="s">
        <v>28</v>
      </c>
      <c r="D112" s="111" t="n">
        <v>40074</v>
      </c>
      <c r="E112" s="110" t="n">
        <v>2008</v>
      </c>
      <c r="F112" s="110" t="s">
        <v>2094</v>
      </c>
      <c r="G112" s="110" t="n">
        <v>1.5</v>
      </c>
      <c r="H112" s="110" t="s">
        <v>2060</v>
      </c>
      <c r="I112" s="110" t="n">
        <v>12</v>
      </c>
      <c r="J112" s="110" t="s">
        <v>1291</v>
      </c>
      <c r="K112" s="110" t="s">
        <v>2062</v>
      </c>
    </row>
    <row r="113" customFormat="false" ht="11.25" hidden="false" customHeight="false" outlineLevel="0" collapsed="false">
      <c r="A113" s="110" t="n">
        <f aca="false">IF(B113&lt;&gt;"", COUNTA($B$2:B113), "")</f>
        <v>112</v>
      </c>
      <c r="B113" s="110" t="s">
        <v>27</v>
      </c>
      <c r="C113" s="110" t="s">
        <v>28</v>
      </c>
      <c r="D113" s="111" t="n">
        <v>15313</v>
      </c>
      <c r="E113" s="110"/>
      <c r="F113" s="110" t="s">
        <v>2113</v>
      </c>
      <c r="G113" s="110" t="n">
        <v>1.5</v>
      </c>
      <c r="H113" s="110" t="s">
        <v>2060</v>
      </c>
      <c r="I113" s="110" t="n">
        <v>12</v>
      </c>
      <c r="J113" s="110" t="s">
        <v>2103</v>
      </c>
      <c r="K113" s="110" t="s">
        <v>2062</v>
      </c>
    </row>
    <row r="114" customFormat="false" ht="11.25" hidden="false" customHeight="false" outlineLevel="0" collapsed="false">
      <c r="A114" s="110" t="n">
        <f aca="false">IF(B114&lt;&gt;"", COUNTA($B$2:B114), "")</f>
        <v>113</v>
      </c>
      <c r="B114" s="110" t="s">
        <v>27</v>
      </c>
      <c r="C114" s="110" t="s">
        <v>28</v>
      </c>
      <c r="D114" s="111" t="n">
        <v>15507</v>
      </c>
      <c r="E114" s="110"/>
      <c r="F114" s="110" t="s">
        <v>2113</v>
      </c>
      <c r="G114" s="110" t="n">
        <v>1.5</v>
      </c>
      <c r="H114" s="110" t="s">
        <v>2060</v>
      </c>
      <c r="I114" s="110" t="n">
        <v>12</v>
      </c>
      <c r="J114" s="110" t="s">
        <v>2095</v>
      </c>
      <c r="K114" s="110" t="s">
        <v>2062</v>
      </c>
    </row>
    <row r="115" customFormat="false" ht="11.25" hidden="false" customHeight="false" outlineLevel="0" collapsed="false">
      <c r="A115" s="110" t="n">
        <f aca="false">IF(B115&lt;&gt;"", COUNTA($B$2:B115), "")</f>
        <v>114</v>
      </c>
      <c r="B115" s="110" t="s">
        <v>27</v>
      </c>
      <c r="C115" s="110" t="s">
        <v>2124</v>
      </c>
      <c r="D115" s="111" t="n">
        <v>312452</v>
      </c>
      <c r="E115" s="110"/>
      <c r="F115" s="110" t="s">
        <v>2065</v>
      </c>
      <c r="G115" s="110" t="n">
        <v>1</v>
      </c>
      <c r="H115" s="110" t="s">
        <v>2060</v>
      </c>
      <c r="I115" s="110" t="n">
        <v>12</v>
      </c>
      <c r="J115" s="110" t="s">
        <v>2095</v>
      </c>
      <c r="K115" s="110" t="s">
        <v>2062</v>
      </c>
    </row>
    <row r="116" customFormat="false" ht="11.25" hidden="false" customHeight="false" outlineLevel="0" collapsed="false">
      <c r="A116" s="110" t="n">
        <f aca="false">IF(B116&lt;&gt;"", COUNTA($B$2:B116), "")</f>
        <v>115</v>
      </c>
      <c r="B116" s="110" t="s">
        <v>27</v>
      </c>
      <c r="C116" s="110" t="s">
        <v>28</v>
      </c>
      <c r="D116" s="111" t="n">
        <v>15307</v>
      </c>
      <c r="E116" s="110"/>
      <c r="F116" s="110" t="s">
        <v>2113</v>
      </c>
      <c r="G116" s="110" t="n">
        <v>1</v>
      </c>
      <c r="H116" s="110" t="s">
        <v>2060</v>
      </c>
      <c r="I116" s="110" t="n">
        <v>12</v>
      </c>
      <c r="J116" s="110" t="s">
        <v>2061</v>
      </c>
      <c r="K116" s="110" t="s">
        <v>2062</v>
      </c>
    </row>
    <row r="117" customFormat="false" ht="11.25" hidden="false" customHeight="false" outlineLevel="0" collapsed="false">
      <c r="A117" s="110" t="n">
        <f aca="false">IF(B117&lt;&gt;"", COUNTA($B$2:B117), "")</f>
        <v>116</v>
      </c>
      <c r="B117" s="110" t="s">
        <v>27</v>
      </c>
      <c r="C117" s="110" t="s">
        <v>144</v>
      </c>
      <c r="D117" s="111" t="n">
        <v>7000188</v>
      </c>
      <c r="E117" s="110"/>
      <c r="F117" s="110" t="s">
        <v>260</v>
      </c>
      <c r="G117" s="110" t="n">
        <v>1</v>
      </c>
      <c r="H117" s="110" t="s">
        <v>2060</v>
      </c>
      <c r="I117" s="110" t="n">
        <v>12</v>
      </c>
      <c r="J117" s="110" t="s">
        <v>2083</v>
      </c>
      <c r="K117" s="110" t="s">
        <v>2062</v>
      </c>
    </row>
    <row r="118" customFormat="false" ht="11.25" hidden="false" customHeight="false" outlineLevel="0" collapsed="false">
      <c r="A118" s="110" t="n">
        <f aca="false">IF(B118&lt;&gt;"", COUNTA($B$2:B118), "")</f>
        <v>117</v>
      </c>
      <c r="B118" s="110" t="s">
        <v>27</v>
      </c>
      <c r="C118" s="110" t="s">
        <v>28</v>
      </c>
      <c r="D118" s="111" t="n">
        <v>15134</v>
      </c>
      <c r="E118" s="110"/>
      <c r="F118" s="110" t="s">
        <v>2113</v>
      </c>
      <c r="G118" s="110" t="n">
        <v>1.5</v>
      </c>
      <c r="H118" s="110" t="s">
        <v>2060</v>
      </c>
      <c r="I118" s="110" t="n">
        <v>12</v>
      </c>
      <c r="J118" s="110" t="s">
        <v>2061</v>
      </c>
      <c r="K118" s="110" t="s">
        <v>2062</v>
      </c>
    </row>
    <row r="119" customFormat="false" ht="11.25" hidden="false" customHeight="false" outlineLevel="0" collapsed="false">
      <c r="A119" s="110" t="n">
        <f aca="false">IF(B119&lt;&gt;"", COUNTA($B$2:B119), "")</f>
        <v>118</v>
      </c>
      <c r="B119" s="110" t="s">
        <v>27</v>
      </c>
      <c r="C119" s="110" t="s">
        <v>28</v>
      </c>
      <c r="D119" s="111" t="n">
        <v>15326</v>
      </c>
      <c r="E119" s="110"/>
      <c r="F119" s="110" t="s">
        <v>2113</v>
      </c>
      <c r="G119" s="110" t="n">
        <v>1</v>
      </c>
      <c r="H119" s="110" t="s">
        <v>2060</v>
      </c>
      <c r="I119" s="110" t="n">
        <v>12</v>
      </c>
      <c r="J119" s="110" t="s">
        <v>2061</v>
      </c>
      <c r="K119" s="110" t="s">
        <v>2062</v>
      </c>
    </row>
    <row r="120" customFormat="false" ht="11.25" hidden="false" customHeight="false" outlineLevel="0" collapsed="false">
      <c r="A120" s="110" t="n">
        <f aca="false">IF(B120&lt;&gt;"", COUNTA($B$2:B120), "")</f>
        <v>119</v>
      </c>
      <c r="B120" s="110" t="s">
        <v>27</v>
      </c>
      <c r="C120" s="110" t="s">
        <v>28</v>
      </c>
      <c r="D120" s="111" t="n">
        <v>15576</v>
      </c>
      <c r="E120" s="110"/>
      <c r="F120" s="110" t="s">
        <v>2129</v>
      </c>
      <c r="G120" s="110" t="n">
        <v>1.5</v>
      </c>
      <c r="H120" s="110" t="s">
        <v>2060</v>
      </c>
      <c r="I120" s="110" t="n">
        <v>12</v>
      </c>
      <c r="J120" s="110" t="s">
        <v>2061</v>
      </c>
      <c r="K120" s="110" t="s">
        <v>2062</v>
      </c>
    </row>
    <row r="121" customFormat="false" ht="11.25" hidden="false" customHeight="false" outlineLevel="0" collapsed="false">
      <c r="A121" s="110" t="n">
        <f aca="false">IF(B121&lt;&gt;"", COUNTA($B$2:B121), "")</f>
        <v>120</v>
      </c>
      <c r="B121" s="110" t="s">
        <v>27</v>
      </c>
      <c r="C121" s="110" t="s">
        <v>28</v>
      </c>
      <c r="D121" s="111" t="s">
        <v>2130</v>
      </c>
      <c r="E121" s="110"/>
      <c r="F121" s="110" t="s">
        <v>2113</v>
      </c>
      <c r="G121" s="110" t="n">
        <v>1.5</v>
      </c>
      <c r="H121" s="110" t="s">
        <v>2060</v>
      </c>
      <c r="I121" s="110" t="n">
        <v>12</v>
      </c>
      <c r="J121" s="110" t="s">
        <v>2061</v>
      </c>
      <c r="K121" s="110" t="s">
        <v>2062</v>
      </c>
    </row>
    <row r="122" customFormat="false" ht="11.25" hidden="false" customHeight="false" outlineLevel="0" collapsed="false">
      <c r="A122" s="110" t="n">
        <f aca="false">IF(B122&lt;&gt;"", COUNTA($B$2:B122), "")</f>
        <v>121</v>
      </c>
      <c r="B122" s="110" t="s">
        <v>27</v>
      </c>
      <c r="C122" s="110" t="s">
        <v>28</v>
      </c>
      <c r="D122" s="111" t="n">
        <v>6205</v>
      </c>
      <c r="E122" s="110"/>
      <c r="F122" s="110" t="s">
        <v>2094</v>
      </c>
      <c r="G122" s="110" t="n">
        <v>1.5</v>
      </c>
      <c r="H122" s="110" t="s">
        <v>2060</v>
      </c>
      <c r="I122" s="110" t="n">
        <v>12</v>
      </c>
      <c r="J122" s="110" t="s">
        <v>2086</v>
      </c>
      <c r="K122" s="110" t="s">
        <v>2062</v>
      </c>
    </row>
    <row r="123" customFormat="false" ht="11.25" hidden="false" customHeight="false" outlineLevel="0" collapsed="false">
      <c r="A123" s="110" t="n">
        <f aca="false">IF(B123&lt;&gt;"", COUNTA($B$2:B123), "")</f>
        <v>122</v>
      </c>
      <c r="B123" s="110" t="s">
        <v>27</v>
      </c>
      <c r="C123" s="110" t="s">
        <v>28</v>
      </c>
      <c r="D123" s="111" t="n">
        <v>7000122</v>
      </c>
      <c r="E123" s="110"/>
      <c r="F123" s="110" t="s">
        <v>192</v>
      </c>
      <c r="G123" s="110" t="n">
        <v>1.5</v>
      </c>
      <c r="H123" s="110" t="s">
        <v>2060</v>
      </c>
      <c r="I123" s="110" t="n">
        <v>12</v>
      </c>
      <c r="J123" s="110" t="s">
        <v>2111</v>
      </c>
      <c r="K123" s="110" t="s">
        <v>2062</v>
      </c>
    </row>
    <row r="124" customFormat="false" ht="11.25" hidden="false" customHeight="false" outlineLevel="0" collapsed="false">
      <c r="A124" s="110" t="n">
        <f aca="false">IF(B124&lt;&gt;"", COUNTA($B$2:B124), "")</f>
        <v>123</v>
      </c>
      <c r="B124" s="110" t="s">
        <v>27</v>
      </c>
      <c r="C124" s="110" t="s">
        <v>28</v>
      </c>
      <c r="D124" s="111" t="n">
        <v>700035</v>
      </c>
      <c r="E124" s="110"/>
      <c r="F124" s="110" t="s">
        <v>192</v>
      </c>
      <c r="G124" s="110" t="n">
        <v>1</v>
      </c>
      <c r="H124" s="110" t="s">
        <v>2060</v>
      </c>
      <c r="I124" s="110" t="n">
        <v>12</v>
      </c>
      <c r="J124" s="110" t="s">
        <v>2066</v>
      </c>
      <c r="K124" s="110" t="s">
        <v>2062</v>
      </c>
    </row>
    <row r="125" customFormat="false" ht="11.25" hidden="false" customHeight="false" outlineLevel="0" collapsed="false">
      <c r="A125" s="110" t="n">
        <f aca="false">IF(B125&lt;&gt;"", COUNTA($B$2:B125), "")</f>
        <v>124</v>
      </c>
      <c r="B125" s="110" t="s">
        <v>27</v>
      </c>
      <c r="C125" s="110" t="s">
        <v>28</v>
      </c>
      <c r="D125" s="111" t="n">
        <v>700021</v>
      </c>
      <c r="E125" s="110"/>
      <c r="F125" s="110" t="s">
        <v>192</v>
      </c>
      <c r="G125" s="110" t="n">
        <v>1</v>
      </c>
      <c r="H125" s="110" t="s">
        <v>2060</v>
      </c>
      <c r="I125" s="110" t="n">
        <v>12</v>
      </c>
      <c r="J125" s="110" t="s">
        <v>2066</v>
      </c>
      <c r="K125" s="110" t="s">
        <v>2062</v>
      </c>
    </row>
    <row r="126" customFormat="false" ht="11.25" hidden="false" customHeight="false" outlineLevel="0" collapsed="false">
      <c r="A126" s="110" t="n">
        <f aca="false">IF(B126&lt;&gt;"", COUNTA($B$2:B126), "")</f>
        <v>125</v>
      </c>
      <c r="B126" s="110" t="s">
        <v>27</v>
      </c>
      <c r="C126" s="110" t="s">
        <v>28</v>
      </c>
      <c r="D126" s="111" t="n">
        <v>700022</v>
      </c>
      <c r="E126" s="110"/>
      <c r="F126" s="110" t="s">
        <v>192</v>
      </c>
      <c r="G126" s="110" t="n">
        <v>1</v>
      </c>
      <c r="H126" s="110" t="s">
        <v>2060</v>
      </c>
      <c r="I126" s="110" t="n">
        <v>12</v>
      </c>
      <c r="J126" s="110" t="s">
        <v>2083</v>
      </c>
      <c r="K126" s="110" t="s">
        <v>2062</v>
      </c>
    </row>
    <row r="127" customFormat="false" ht="11.25" hidden="false" customHeight="false" outlineLevel="0" collapsed="false">
      <c r="A127" s="110" t="n">
        <f aca="false">IF(B127&lt;&gt;"", COUNTA($B$2:B127), "")</f>
        <v>126</v>
      </c>
      <c r="B127" s="110" t="s">
        <v>27</v>
      </c>
      <c r="C127" s="110" t="s">
        <v>28</v>
      </c>
      <c r="D127" s="111" t="n">
        <v>80396</v>
      </c>
      <c r="E127" s="110"/>
      <c r="F127" s="110" t="s">
        <v>2113</v>
      </c>
      <c r="G127" s="110" t="n">
        <v>1.5</v>
      </c>
      <c r="H127" s="110" t="s">
        <v>2060</v>
      </c>
      <c r="I127" s="110" t="n">
        <v>12</v>
      </c>
      <c r="J127" s="110" t="s">
        <v>2061</v>
      </c>
      <c r="K127" s="110" t="s">
        <v>2062</v>
      </c>
    </row>
    <row r="128" customFormat="false" ht="11.25" hidden="false" customHeight="false" outlineLevel="0" collapsed="false">
      <c r="A128" s="110" t="n">
        <f aca="false">IF(B128&lt;&gt;"", COUNTA($B$2:B128), "")</f>
        <v>127</v>
      </c>
      <c r="B128" s="110" t="s">
        <v>27</v>
      </c>
      <c r="C128" s="110" t="s">
        <v>28</v>
      </c>
      <c r="D128" s="111" t="n">
        <v>7000281</v>
      </c>
      <c r="E128" s="110"/>
      <c r="F128" s="110" t="s">
        <v>192</v>
      </c>
      <c r="G128" s="110" t="n">
        <v>1</v>
      </c>
      <c r="H128" s="110" t="s">
        <v>2060</v>
      </c>
      <c r="I128" s="110" t="n">
        <v>12</v>
      </c>
      <c r="J128" s="110" t="s">
        <v>2108</v>
      </c>
      <c r="K128" s="110" t="s">
        <v>2062</v>
      </c>
    </row>
    <row r="129" customFormat="false" ht="11.25" hidden="false" customHeight="false" outlineLevel="0" collapsed="false">
      <c r="A129" s="110" t="n">
        <f aca="false">IF(B129&lt;&gt;"", COUNTA($B$2:B129), "")</f>
        <v>128</v>
      </c>
      <c r="B129" s="110" t="s">
        <v>27</v>
      </c>
      <c r="C129" s="110" t="s">
        <v>28</v>
      </c>
      <c r="D129" s="111" t="n">
        <v>15379</v>
      </c>
      <c r="E129" s="110"/>
      <c r="F129" s="110" t="s">
        <v>2113</v>
      </c>
      <c r="G129" s="110" t="n">
        <v>1.5</v>
      </c>
      <c r="H129" s="110" t="s">
        <v>2060</v>
      </c>
      <c r="I129" s="110" t="n">
        <v>12</v>
      </c>
      <c r="J129" s="110" t="s">
        <v>2095</v>
      </c>
      <c r="K129" s="110" t="s">
        <v>2062</v>
      </c>
    </row>
    <row r="130" customFormat="false" ht="11.25" hidden="false" customHeight="false" outlineLevel="0" collapsed="false">
      <c r="A130" s="110" t="n">
        <f aca="false">IF(B130&lt;&gt;"", COUNTA($B$2:B130), "")</f>
        <v>129</v>
      </c>
      <c r="B130" s="110" t="s">
        <v>27</v>
      </c>
      <c r="C130" s="110" t="s">
        <v>28</v>
      </c>
      <c r="D130" s="111" t="n">
        <v>700061</v>
      </c>
      <c r="E130" s="110"/>
      <c r="F130" s="110" t="s">
        <v>2126</v>
      </c>
      <c r="G130" s="110" t="n">
        <v>1.5</v>
      </c>
      <c r="H130" s="110" t="s">
        <v>2060</v>
      </c>
      <c r="I130" s="110" t="n">
        <v>12</v>
      </c>
      <c r="J130" s="110" t="s">
        <v>2061</v>
      </c>
      <c r="K130" s="110" t="s">
        <v>2062</v>
      </c>
    </row>
    <row r="131" customFormat="false" ht="11.25" hidden="false" customHeight="false" outlineLevel="0" collapsed="false">
      <c r="A131" s="110" t="n">
        <f aca="false">IF(B131&lt;&gt;"", COUNTA($B$2:B131), "")</f>
        <v>130</v>
      </c>
      <c r="B131" s="110" t="s">
        <v>27</v>
      </c>
      <c r="C131" s="110" t="s">
        <v>860</v>
      </c>
      <c r="D131" s="111" t="n">
        <v>700087</v>
      </c>
      <c r="E131" s="110"/>
      <c r="F131" s="110" t="s">
        <v>192</v>
      </c>
      <c r="G131" s="110" t="n">
        <v>1</v>
      </c>
      <c r="H131" s="110" t="s">
        <v>2060</v>
      </c>
      <c r="I131" s="110" t="n">
        <v>12</v>
      </c>
      <c r="J131" s="110" t="s">
        <v>2095</v>
      </c>
      <c r="K131" s="110" t="s">
        <v>2062</v>
      </c>
    </row>
    <row r="132" customFormat="false" ht="11.25" hidden="false" customHeight="false" outlineLevel="0" collapsed="false">
      <c r="A132" s="110" t="n">
        <f aca="false">IF(B132&lt;&gt;"", COUNTA($B$2:B132), "")</f>
        <v>131</v>
      </c>
      <c r="B132" s="110" t="s">
        <v>27</v>
      </c>
      <c r="C132" s="110" t="s">
        <v>28</v>
      </c>
      <c r="D132" s="111" t="n">
        <v>211228069</v>
      </c>
      <c r="E132" s="110"/>
      <c r="F132" s="110" t="s">
        <v>501</v>
      </c>
      <c r="G132" s="110" t="n">
        <v>1</v>
      </c>
      <c r="H132" s="110" t="s">
        <v>2060</v>
      </c>
      <c r="I132" s="110" t="n">
        <v>12</v>
      </c>
      <c r="J132" s="110" t="s">
        <v>2095</v>
      </c>
      <c r="K132" s="110" t="s">
        <v>2062</v>
      </c>
    </row>
    <row r="133" customFormat="false" ht="11.25" hidden="false" customHeight="false" outlineLevel="0" collapsed="false">
      <c r="A133" s="110" t="n">
        <f aca="false">IF(B133&lt;&gt;"", COUNTA($B$2:B133), "")</f>
        <v>132</v>
      </c>
      <c r="B133" s="110" t="s">
        <v>27</v>
      </c>
      <c r="C133" s="110" t="s">
        <v>860</v>
      </c>
      <c r="D133" s="111" t="n">
        <v>700083</v>
      </c>
      <c r="E133" s="110"/>
      <c r="F133" s="110" t="s">
        <v>2128</v>
      </c>
      <c r="G133" s="110" t="n">
        <v>1</v>
      </c>
      <c r="H133" s="110" t="s">
        <v>2060</v>
      </c>
      <c r="I133" s="110" t="n">
        <v>12</v>
      </c>
      <c r="J133" s="110" t="s">
        <v>2108</v>
      </c>
      <c r="K133" s="110" t="s">
        <v>2062</v>
      </c>
    </row>
    <row r="134" customFormat="false" ht="11.25" hidden="false" customHeight="false" outlineLevel="0" collapsed="false">
      <c r="A134" s="110" t="n">
        <f aca="false">IF(B134&lt;&gt;"", COUNTA($B$2:B134), "")</f>
        <v>133</v>
      </c>
      <c r="B134" s="110" t="s">
        <v>27</v>
      </c>
      <c r="C134" s="110" t="s">
        <v>860</v>
      </c>
      <c r="D134" s="111" t="n">
        <v>7000176</v>
      </c>
      <c r="E134" s="110"/>
      <c r="F134" s="110" t="s">
        <v>260</v>
      </c>
      <c r="G134" s="110" t="n">
        <v>1</v>
      </c>
      <c r="H134" s="110" t="s">
        <v>2060</v>
      </c>
      <c r="I134" s="110" t="n">
        <v>12</v>
      </c>
      <c r="J134" s="110" t="s">
        <v>2083</v>
      </c>
      <c r="K134" s="110" t="s">
        <v>2062</v>
      </c>
    </row>
    <row r="135" customFormat="false" ht="11.25" hidden="false" customHeight="false" outlineLevel="0" collapsed="false">
      <c r="A135" s="110" t="n">
        <f aca="false">IF(B135&lt;&gt;"", COUNTA($B$2:B135), "")</f>
        <v>134</v>
      </c>
      <c r="B135" s="110" t="s">
        <v>27</v>
      </c>
      <c r="C135" s="110" t="s">
        <v>860</v>
      </c>
      <c r="D135" s="111" t="n">
        <v>20125864</v>
      </c>
      <c r="E135" s="110"/>
      <c r="F135" s="110" t="s">
        <v>2126</v>
      </c>
      <c r="G135" s="110" t="n">
        <v>1</v>
      </c>
      <c r="H135" s="110" t="s">
        <v>2060</v>
      </c>
      <c r="I135" s="110" t="n">
        <v>12</v>
      </c>
      <c r="J135" s="110" t="s">
        <v>2108</v>
      </c>
      <c r="K135" s="110" t="s">
        <v>2062</v>
      </c>
    </row>
    <row r="136" customFormat="false" ht="11.25" hidden="false" customHeight="false" outlineLevel="0" collapsed="false">
      <c r="A136" s="110" t="n">
        <f aca="false">IF(B136&lt;&gt;"", COUNTA($B$2:B136), "")</f>
        <v>135</v>
      </c>
      <c r="B136" s="110" t="s">
        <v>27</v>
      </c>
      <c r="C136" s="110" t="s">
        <v>28</v>
      </c>
      <c r="D136" s="111" t="n">
        <v>700292</v>
      </c>
      <c r="E136" s="110"/>
      <c r="F136" s="110" t="s">
        <v>2113</v>
      </c>
      <c r="G136" s="110" t="n">
        <v>1</v>
      </c>
      <c r="H136" s="110" t="s">
        <v>2060</v>
      </c>
      <c r="I136" s="110" t="n">
        <v>12</v>
      </c>
      <c r="J136" s="110" t="s">
        <v>2066</v>
      </c>
      <c r="K136" s="110" t="s">
        <v>2062</v>
      </c>
    </row>
    <row r="137" customFormat="false" ht="11.25" hidden="false" customHeight="false" outlineLevel="0" collapsed="false">
      <c r="A137" s="110" t="n">
        <f aca="false">IF(B137&lt;&gt;"", COUNTA($B$2:B137), "")</f>
        <v>136</v>
      </c>
      <c r="B137" s="110" t="s">
        <v>27</v>
      </c>
      <c r="C137" s="110" t="s">
        <v>28</v>
      </c>
      <c r="D137" s="111" t="n">
        <v>15577</v>
      </c>
      <c r="E137" s="110"/>
      <c r="F137" s="110" t="s">
        <v>2129</v>
      </c>
      <c r="G137" s="110" t="n">
        <v>1.5</v>
      </c>
      <c r="H137" s="110" t="s">
        <v>2060</v>
      </c>
      <c r="I137" s="110" t="n">
        <v>12</v>
      </c>
      <c r="J137" s="110" t="s">
        <v>2061</v>
      </c>
      <c r="K137" s="110" t="s">
        <v>2062</v>
      </c>
    </row>
    <row r="138" customFormat="false" ht="11.25" hidden="false" customHeight="false" outlineLevel="0" collapsed="false">
      <c r="A138" s="110" t="n">
        <f aca="false">IF(B138&lt;&gt;"", COUNTA($B$2:B138), "")</f>
        <v>137</v>
      </c>
      <c r="B138" s="110" t="s">
        <v>27</v>
      </c>
      <c r="C138" s="110" t="s">
        <v>28</v>
      </c>
      <c r="D138" s="111" t="n">
        <v>15558</v>
      </c>
      <c r="E138" s="110"/>
      <c r="F138" s="110" t="s">
        <v>2129</v>
      </c>
      <c r="G138" s="110" t="n">
        <v>1.5</v>
      </c>
      <c r="H138" s="110" t="s">
        <v>2060</v>
      </c>
      <c r="I138" s="110" t="n">
        <v>12</v>
      </c>
      <c r="J138" s="110" t="s">
        <v>2061</v>
      </c>
      <c r="K138" s="110" t="s">
        <v>2062</v>
      </c>
    </row>
    <row r="139" customFormat="false" ht="11.25" hidden="false" customHeight="false" outlineLevel="0" collapsed="false">
      <c r="A139" s="110" t="n">
        <f aca="false">IF(B139&lt;&gt;"", COUNTA($B$2:B139), "")</f>
        <v>138</v>
      </c>
      <c r="B139" s="110" t="s">
        <v>27</v>
      </c>
      <c r="C139" s="110" t="s">
        <v>28</v>
      </c>
      <c r="D139" s="111" t="n">
        <v>700028</v>
      </c>
      <c r="E139" s="110"/>
      <c r="F139" s="110" t="s">
        <v>192</v>
      </c>
      <c r="G139" s="110" t="n">
        <v>1</v>
      </c>
      <c r="H139" s="110" t="s">
        <v>2060</v>
      </c>
      <c r="I139" s="110" t="n">
        <v>12</v>
      </c>
      <c r="J139" s="110" t="s">
        <v>2087</v>
      </c>
      <c r="K139" s="110" t="s">
        <v>2062</v>
      </c>
    </row>
    <row r="140" customFormat="false" ht="11.25" hidden="false" customHeight="false" outlineLevel="0" collapsed="false">
      <c r="A140" s="110" t="n">
        <f aca="false">IF(B140&lt;&gt;"", COUNTA($B$2:B140), "")</f>
        <v>139</v>
      </c>
      <c r="B140" s="110" t="s">
        <v>27</v>
      </c>
      <c r="C140" s="110" t="s">
        <v>28</v>
      </c>
      <c r="D140" s="111" t="n">
        <v>7000305</v>
      </c>
      <c r="E140" s="110"/>
      <c r="F140" s="110" t="s">
        <v>192</v>
      </c>
      <c r="G140" s="110" t="n">
        <v>1</v>
      </c>
      <c r="H140" s="110" t="s">
        <v>2060</v>
      </c>
      <c r="I140" s="110" t="n">
        <v>12</v>
      </c>
      <c r="J140" s="110" t="s">
        <v>2066</v>
      </c>
      <c r="K140" s="110" t="s">
        <v>2062</v>
      </c>
    </row>
    <row r="141" customFormat="false" ht="11.25" hidden="false" customHeight="false" outlineLevel="0" collapsed="false">
      <c r="A141" s="110" t="n">
        <f aca="false">IF(B141&lt;&gt;"", COUNTA($B$2:B141), "")</f>
        <v>140</v>
      </c>
      <c r="B141" s="110" t="s">
        <v>27</v>
      </c>
      <c r="C141" s="110" t="s">
        <v>28</v>
      </c>
      <c r="D141" s="111" t="n">
        <v>700062</v>
      </c>
      <c r="E141" s="110"/>
      <c r="F141" s="110" t="s">
        <v>2126</v>
      </c>
      <c r="G141" s="110" t="n">
        <v>1.5</v>
      </c>
      <c r="H141" s="110" t="s">
        <v>2060</v>
      </c>
      <c r="I141" s="110" t="n">
        <v>12</v>
      </c>
      <c r="J141" s="110" t="s">
        <v>2066</v>
      </c>
      <c r="K141" s="110" t="s">
        <v>2062</v>
      </c>
    </row>
    <row r="142" customFormat="false" ht="11.25" hidden="false" customHeight="false" outlineLevel="0" collapsed="false">
      <c r="A142" s="110" t="n">
        <f aca="false">IF(B142&lt;&gt;"", COUNTA($B$2:B142), "")</f>
        <v>141</v>
      </c>
      <c r="B142" s="110" t="s">
        <v>27</v>
      </c>
      <c r="C142" s="110" t="s">
        <v>28</v>
      </c>
      <c r="D142" s="111" t="n">
        <v>13913</v>
      </c>
      <c r="E142" s="110"/>
      <c r="F142" s="110" t="s">
        <v>2094</v>
      </c>
      <c r="G142" s="110" t="n">
        <v>1</v>
      </c>
      <c r="H142" s="110" t="s">
        <v>2060</v>
      </c>
      <c r="I142" s="110" t="n">
        <v>12</v>
      </c>
      <c r="J142" s="110" t="s">
        <v>2061</v>
      </c>
      <c r="K142" s="110" t="s">
        <v>2062</v>
      </c>
    </row>
    <row r="143" customFormat="false" ht="11.25" hidden="false" customHeight="false" outlineLevel="0" collapsed="false">
      <c r="A143" s="110" t="n">
        <f aca="false">IF(B143&lt;&gt;"", COUNTA($B$2:B143), "")</f>
        <v>142</v>
      </c>
      <c r="B143" s="110" t="s">
        <v>27</v>
      </c>
      <c r="C143" s="110" t="s">
        <v>2124</v>
      </c>
      <c r="D143" s="111" t="s">
        <v>2131</v>
      </c>
      <c r="E143" s="110"/>
      <c r="F143" s="110" t="s">
        <v>309</v>
      </c>
      <c r="G143" s="110" t="n">
        <v>1</v>
      </c>
      <c r="H143" s="110" t="s">
        <v>2060</v>
      </c>
      <c r="I143" s="110" t="n">
        <v>12</v>
      </c>
      <c r="J143" s="110" t="s">
        <v>2061</v>
      </c>
      <c r="K143" s="110" t="s">
        <v>2062</v>
      </c>
    </row>
    <row r="144" customFormat="false" ht="11.25" hidden="false" customHeight="false" outlineLevel="0" collapsed="false">
      <c r="A144" s="110" t="n">
        <f aca="false">IF(B144&lt;&gt;"", COUNTA($B$2:B144), "")</f>
        <v>143</v>
      </c>
      <c r="B144" s="110" t="s">
        <v>27</v>
      </c>
      <c r="C144" s="110" t="s">
        <v>28</v>
      </c>
      <c r="D144" s="111" t="n">
        <v>212032687</v>
      </c>
      <c r="E144" s="110"/>
      <c r="F144" s="110" t="s">
        <v>260</v>
      </c>
      <c r="G144" s="110" t="n">
        <v>1</v>
      </c>
      <c r="H144" s="110" t="s">
        <v>2060</v>
      </c>
      <c r="I144" s="110" t="n">
        <v>12</v>
      </c>
      <c r="J144" s="110" t="s">
        <v>2095</v>
      </c>
      <c r="K144" s="110" t="s">
        <v>2062</v>
      </c>
    </row>
    <row r="145" customFormat="false" ht="11.25" hidden="false" customHeight="false" outlineLevel="0" collapsed="false">
      <c r="A145" s="110" t="n">
        <f aca="false">IF(B145&lt;&gt;"", COUNTA($B$2:B145), "")</f>
        <v>144</v>
      </c>
      <c r="B145" s="110" t="s">
        <v>27</v>
      </c>
      <c r="C145" s="110" t="s">
        <v>28</v>
      </c>
      <c r="D145" s="111" t="n">
        <v>14615</v>
      </c>
      <c r="E145" s="110"/>
      <c r="F145" s="110" t="s">
        <v>192</v>
      </c>
      <c r="G145" s="110" t="n">
        <v>1</v>
      </c>
      <c r="H145" s="110" t="s">
        <v>2060</v>
      </c>
      <c r="I145" s="110" t="n">
        <v>12</v>
      </c>
      <c r="J145" s="110" t="s">
        <v>2086</v>
      </c>
      <c r="K145" s="110" t="s">
        <v>2062</v>
      </c>
    </row>
    <row r="146" customFormat="false" ht="11.25" hidden="false" customHeight="false" outlineLevel="0" collapsed="false">
      <c r="A146" s="110" t="n">
        <f aca="false">IF(B146&lt;&gt;"", COUNTA($B$2:B146), "")</f>
        <v>145</v>
      </c>
      <c r="B146" s="110" t="s">
        <v>27</v>
      </c>
      <c r="C146" s="110" t="s">
        <v>28</v>
      </c>
      <c r="D146" s="111" t="n">
        <v>50502</v>
      </c>
      <c r="E146" s="110" t="n">
        <v>1996</v>
      </c>
      <c r="F146" s="110" t="s">
        <v>2132</v>
      </c>
      <c r="G146" s="110" t="n">
        <v>1.5</v>
      </c>
      <c r="H146" s="110" t="s">
        <v>2060</v>
      </c>
      <c r="I146" s="110" t="n">
        <v>12</v>
      </c>
      <c r="J146" s="110" t="s">
        <v>2066</v>
      </c>
      <c r="K146" s="110" t="s">
        <v>2062</v>
      </c>
    </row>
    <row r="147" customFormat="false" ht="11.25" hidden="false" customHeight="false" outlineLevel="0" collapsed="false">
      <c r="A147" s="110" t="n">
        <f aca="false">IF(B147&lt;&gt;"", COUNTA($B$2:B147), "")</f>
        <v>146</v>
      </c>
      <c r="B147" s="110" t="s">
        <v>27</v>
      </c>
      <c r="C147" s="110" t="s">
        <v>28</v>
      </c>
      <c r="D147" s="111" t="n">
        <v>700037</v>
      </c>
      <c r="E147" s="110"/>
      <c r="F147" s="110" t="s">
        <v>192</v>
      </c>
      <c r="G147" s="110" t="n">
        <v>1</v>
      </c>
      <c r="H147" s="110" t="s">
        <v>2060</v>
      </c>
      <c r="I147" s="110" t="n">
        <v>12</v>
      </c>
      <c r="J147" s="110" t="s">
        <v>2066</v>
      </c>
      <c r="K147" s="110" t="s">
        <v>2062</v>
      </c>
    </row>
    <row r="148" customFormat="false" ht="11.25" hidden="false" customHeight="false" outlineLevel="0" collapsed="false">
      <c r="A148" s="110" t="n">
        <f aca="false">IF(B148&lt;&gt;"", COUNTA($B$2:B148), "")</f>
        <v>147</v>
      </c>
      <c r="B148" s="110" t="s">
        <v>27</v>
      </c>
      <c r="C148" s="110" t="s">
        <v>28</v>
      </c>
      <c r="D148" s="111" t="n">
        <v>15376</v>
      </c>
      <c r="E148" s="110"/>
      <c r="F148" s="110" t="s">
        <v>2113</v>
      </c>
      <c r="G148" s="110" t="n">
        <v>1</v>
      </c>
      <c r="H148" s="110" t="s">
        <v>2060</v>
      </c>
      <c r="I148" s="110" t="n">
        <v>12</v>
      </c>
      <c r="J148" s="110" t="s">
        <v>2087</v>
      </c>
      <c r="K148" s="110" t="s">
        <v>2062</v>
      </c>
    </row>
    <row r="149" customFormat="false" ht="11.25" hidden="false" customHeight="false" outlineLevel="0" collapsed="false">
      <c r="A149" s="110" t="n">
        <f aca="false">IF(B149&lt;&gt;"", COUNTA($B$2:B149), "")</f>
        <v>148</v>
      </c>
      <c r="B149" s="110" t="s">
        <v>27</v>
      </c>
      <c r="C149" s="110" t="s">
        <v>28</v>
      </c>
      <c r="D149" s="111" t="n">
        <v>15380</v>
      </c>
      <c r="E149" s="110"/>
      <c r="F149" s="110" t="s">
        <v>2113</v>
      </c>
      <c r="G149" s="110" t="n">
        <v>1</v>
      </c>
      <c r="H149" s="110" t="s">
        <v>2060</v>
      </c>
      <c r="I149" s="110" t="n">
        <v>12</v>
      </c>
      <c r="J149" s="110" t="s">
        <v>2095</v>
      </c>
      <c r="K149" s="110" t="s">
        <v>2062</v>
      </c>
    </row>
    <row r="150" customFormat="false" ht="11.25" hidden="false" customHeight="false" outlineLevel="0" collapsed="false">
      <c r="A150" s="110" t="n">
        <f aca="false">IF(B150&lt;&gt;"", COUNTA($B$2:B150), "")</f>
        <v>149</v>
      </c>
      <c r="B150" s="110" t="s">
        <v>27</v>
      </c>
      <c r="C150" s="110" t="s">
        <v>860</v>
      </c>
      <c r="D150" s="111" t="n">
        <v>211016823</v>
      </c>
      <c r="E150" s="110"/>
      <c r="F150" s="110" t="s">
        <v>2126</v>
      </c>
      <c r="G150" s="110" t="n">
        <v>1</v>
      </c>
      <c r="H150" s="110" t="s">
        <v>2060</v>
      </c>
      <c r="I150" s="110" t="n">
        <v>12</v>
      </c>
      <c r="J150" s="110" t="s">
        <v>2066</v>
      </c>
      <c r="K150" s="110" t="s">
        <v>2062</v>
      </c>
    </row>
    <row r="151" customFormat="false" ht="11.25" hidden="false" customHeight="false" outlineLevel="0" collapsed="false">
      <c r="A151" s="110" t="n">
        <f aca="false">IF(B151&lt;&gt;"", COUNTA($B$2:B151), "")</f>
        <v>150</v>
      </c>
      <c r="B151" s="110" t="s">
        <v>27</v>
      </c>
      <c r="C151" s="110" t="s">
        <v>2124</v>
      </c>
      <c r="D151" s="111" t="n">
        <v>311234</v>
      </c>
      <c r="E151" s="110"/>
      <c r="F151" s="110" t="s">
        <v>192</v>
      </c>
      <c r="G151" s="110" t="n">
        <v>1</v>
      </c>
      <c r="H151" s="110" t="s">
        <v>2060</v>
      </c>
      <c r="I151" s="110" t="n">
        <v>12</v>
      </c>
      <c r="J151" s="110" t="s">
        <v>2095</v>
      </c>
      <c r="K151" s="110" t="s">
        <v>2062</v>
      </c>
    </row>
    <row r="152" customFormat="false" ht="11.25" hidden="false" customHeight="false" outlineLevel="0" collapsed="false">
      <c r="A152" s="110" t="n">
        <f aca="false">IF(B152&lt;&gt;"", COUNTA($B$2:B152), "")</f>
        <v>151</v>
      </c>
      <c r="B152" s="110" t="s">
        <v>27</v>
      </c>
      <c r="C152" s="110" t="s">
        <v>28</v>
      </c>
      <c r="D152" s="111" t="n">
        <v>700025</v>
      </c>
      <c r="E152" s="110"/>
      <c r="F152" s="110" t="s">
        <v>192</v>
      </c>
      <c r="G152" s="110" t="n">
        <v>1</v>
      </c>
      <c r="H152" s="110" t="s">
        <v>2060</v>
      </c>
      <c r="I152" s="110" t="n">
        <v>12</v>
      </c>
      <c r="J152" s="110" t="s">
        <v>2066</v>
      </c>
      <c r="K152" s="110" t="s">
        <v>2062</v>
      </c>
    </row>
    <row r="153" customFormat="false" ht="11.25" hidden="false" customHeight="false" outlineLevel="0" collapsed="false">
      <c r="A153" s="110" t="n">
        <f aca="false">IF(B153&lt;&gt;"", COUNTA($B$2:B153), "")</f>
        <v>152</v>
      </c>
      <c r="B153" s="110" t="s">
        <v>27</v>
      </c>
      <c r="C153" s="110" t="s">
        <v>860</v>
      </c>
      <c r="D153" s="111" t="n">
        <v>211016822</v>
      </c>
      <c r="E153" s="110"/>
      <c r="F153" s="110" t="s">
        <v>2126</v>
      </c>
      <c r="G153" s="110" t="n">
        <v>1</v>
      </c>
      <c r="H153" s="110" t="s">
        <v>2060</v>
      </c>
      <c r="I153" s="110" t="n">
        <v>12</v>
      </c>
      <c r="J153" s="110" t="s">
        <v>2066</v>
      </c>
      <c r="K153" s="110" t="s">
        <v>2062</v>
      </c>
    </row>
    <row r="154" customFormat="false" ht="11.25" hidden="false" customHeight="false" outlineLevel="0" collapsed="false">
      <c r="A154" s="110" t="n">
        <f aca="false">IF(B154&lt;&gt;"", COUNTA($B$2:B154), "")</f>
        <v>153</v>
      </c>
      <c r="B154" s="110" t="s">
        <v>27</v>
      </c>
      <c r="C154" s="110" t="s">
        <v>860</v>
      </c>
      <c r="D154" s="111" t="n">
        <v>700098</v>
      </c>
      <c r="E154" s="110"/>
      <c r="F154" s="110" t="s">
        <v>309</v>
      </c>
      <c r="G154" s="110" t="n">
        <v>1</v>
      </c>
      <c r="H154" s="110" t="s">
        <v>2060</v>
      </c>
      <c r="I154" s="110" t="n">
        <v>12</v>
      </c>
      <c r="J154" s="110" t="s">
        <v>2133</v>
      </c>
      <c r="K154" s="110" t="s">
        <v>2062</v>
      </c>
    </row>
    <row r="155" customFormat="false" ht="11.25" hidden="false" customHeight="false" outlineLevel="0" collapsed="false">
      <c r="A155" s="110" t="n">
        <f aca="false">IF(B155&lt;&gt;"", COUNTA($B$2:B155), "")</f>
        <v>154</v>
      </c>
      <c r="B155" s="110" t="s">
        <v>27</v>
      </c>
      <c r="C155" s="110" t="s">
        <v>28</v>
      </c>
      <c r="D155" s="111" t="n">
        <v>15404</v>
      </c>
      <c r="E155" s="110"/>
      <c r="F155" s="110" t="s">
        <v>2113</v>
      </c>
      <c r="G155" s="110" t="n">
        <v>1</v>
      </c>
      <c r="H155" s="110" t="s">
        <v>2060</v>
      </c>
      <c r="I155" s="110" t="n">
        <v>12</v>
      </c>
      <c r="J155" s="110" t="s">
        <v>2095</v>
      </c>
      <c r="K155" s="110" t="s">
        <v>2062</v>
      </c>
    </row>
    <row r="156" customFormat="false" ht="11.25" hidden="false" customHeight="false" outlineLevel="0" collapsed="false">
      <c r="A156" s="110" t="n">
        <f aca="false">IF(B156&lt;&gt;"", COUNTA($B$2:B156), "")</f>
        <v>155</v>
      </c>
      <c r="B156" s="110" t="s">
        <v>27</v>
      </c>
      <c r="C156" s="110" t="s">
        <v>28</v>
      </c>
      <c r="D156" s="111" t="n">
        <v>700030</v>
      </c>
      <c r="E156" s="110"/>
      <c r="F156" s="110" t="s">
        <v>192</v>
      </c>
      <c r="G156" s="110" t="n">
        <v>1</v>
      </c>
      <c r="H156" s="110" t="s">
        <v>2060</v>
      </c>
      <c r="I156" s="110" t="n">
        <v>12</v>
      </c>
      <c r="J156" s="110" t="s">
        <v>2066</v>
      </c>
      <c r="K156" s="110" t="s">
        <v>2062</v>
      </c>
    </row>
    <row r="157" customFormat="false" ht="11.25" hidden="false" customHeight="false" outlineLevel="0" collapsed="false">
      <c r="A157" s="110" t="n">
        <f aca="false">IF(B157&lt;&gt;"", COUNTA($B$2:B157), "")</f>
        <v>156</v>
      </c>
      <c r="B157" s="110" t="s">
        <v>27</v>
      </c>
      <c r="C157" s="110" t="s">
        <v>28</v>
      </c>
      <c r="D157" s="111" t="n">
        <v>15581</v>
      </c>
      <c r="E157" s="110"/>
      <c r="F157" s="110" t="s">
        <v>2129</v>
      </c>
      <c r="G157" s="110" t="n">
        <v>1.5</v>
      </c>
      <c r="H157" s="110" t="s">
        <v>2060</v>
      </c>
      <c r="I157" s="110" t="n">
        <v>12</v>
      </c>
      <c r="J157" s="110" t="s">
        <v>2061</v>
      </c>
      <c r="K157" s="110" t="s">
        <v>2062</v>
      </c>
    </row>
    <row r="158" customFormat="false" ht="11.25" hidden="false" customHeight="false" outlineLevel="0" collapsed="false">
      <c r="A158" s="110" t="n">
        <f aca="false">IF(B158&lt;&gt;"", COUNTA($B$2:B158), "")</f>
        <v>157</v>
      </c>
      <c r="B158" s="110" t="s">
        <v>27</v>
      </c>
      <c r="C158" s="110" t="s">
        <v>28</v>
      </c>
      <c r="D158" s="111" t="n">
        <v>212032706</v>
      </c>
      <c r="E158" s="110"/>
      <c r="F158" s="110" t="s">
        <v>260</v>
      </c>
      <c r="G158" s="110" t="n">
        <v>1</v>
      </c>
      <c r="H158" s="110" t="s">
        <v>2060</v>
      </c>
      <c r="I158" s="110" t="n">
        <v>12</v>
      </c>
      <c r="J158" s="110" t="s">
        <v>2095</v>
      </c>
      <c r="K158" s="110" t="s">
        <v>2062</v>
      </c>
    </row>
    <row r="159" customFormat="false" ht="11.25" hidden="false" customHeight="false" outlineLevel="0" collapsed="false">
      <c r="A159" s="110" t="n">
        <f aca="false">IF(B159&lt;&gt;"", COUNTA($B$2:B159), "")</f>
        <v>158</v>
      </c>
      <c r="B159" s="110" t="s">
        <v>27</v>
      </c>
      <c r="C159" s="110" t="s">
        <v>1112</v>
      </c>
      <c r="D159" s="111" t="n">
        <v>7000159</v>
      </c>
      <c r="E159" s="110"/>
      <c r="F159" s="110" t="s">
        <v>2134</v>
      </c>
      <c r="G159" s="110" t="n">
        <v>1</v>
      </c>
      <c r="H159" s="110" t="s">
        <v>2060</v>
      </c>
      <c r="I159" s="110" t="n">
        <v>12</v>
      </c>
      <c r="J159" s="110" t="s">
        <v>2095</v>
      </c>
      <c r="K159" s="110" t="s">
        <v>2062</v>
      </c>
    </row>
    <row r="160" customFormat="false" ht="11.25" hidden="false" customHeight="false" outlineLevel="0" collapsed="false">
      <c r="A160" s="110" t="n">
        <f aca="false">IF(B160&lt;&gt;"", COUNTA($B$2:B160), "")</f>
        <v>159</v>
      </c>
      <c r="B160" s="110" t="s">
        <v>27</v>
      </c>
      <c r="C160" s="110" t="s">
        <v>2124</v>
      </c>
      <c r="D160" s="111" t="n">
        <v>311121</v>
      </c>
      <c r="E160" s="110"/>
      <c r="F160" s="110" t="s">
        <v>192</v>
      </c>
      <c r="G160" s="110" t="n">
        <v>1</v>
      </c>
      <c r="H160" s="110" t="s">
        <v>2060</v>
      </c>
      <c r="I160" s="110" t="n">
        <v>12</v>
      </c>
      <c r="J160" s="110" t="s">
        <v>1291</v>
      </c>
      <c r="K160" s="110" t="s">
        <v>2062</v>
      </c>
    </row>
    <row r="161" customFormat="false" ht="11.25" hidden="false" customHeight="false" outlineLevel="0" collapsed="false">
      <c r="A161" s="110" t="n">
        <f aca="false">IF(B161&lt;&gt;"", COUNTA($B$2:B161), "")</f>
        <v>160</v>
      </c>
      <c r="B161" s="110" t="s">
        <v>27</v>
      </c>
      <c r="C161" s="110" t="s">
        <v>28</v>
      </c>
      <c r="D161" s="111" t="n">
        <v>15671</v>
      </c>
      <c r="E161" s="110"/>
      <c r="F161" s="110" t="s">
        <v>2126</v>
      </c>
      <c r="G161" s="110" t="n">
        <v>1.5</v>
      </c>
      <c r="H161" s="110" t="s">
        <v>2060</v>
      </c>
      <c r="I161" s="110" t="n">
        <v>12</v>
      </c>
      <c r="J161" s="110" t="s">
        <v>1291</v>
      </c>
      <c r="K161" s="110" t="s">
        <v>2062</v>
      </c>
    </row>
    <row r="162" customFormat="false" ht="11.25" hidden="false" customHeight="false" outlineLevel="0" collapsed="false">
      <c r="A162" s="110" t="n">
        <f aca="false">IF(B162&lt;&gt;"", COUNTA($B$2:B162), "")</f>
        <v>161</v>
      </c>
      <c r="B162" s="110" t="s">
        <v>27</v>
      </c>
      <c r="C162" s="110" t="s">
        <v>28</v>
      </c>
      <c r="D162" s="111" t="n">
        <v>15439</v>
      </c>
      <c r="E162" s="110" t="n">
        <v>2005</v>
      </c>
      <c r="F162" s="110" t="s">
        <v>2118</v>
      </c>
      <c r="G162" s="110" t="n">
        <v>1.5</v>
      </c>
      <c r="H162" s="110" t="s">
        <v>2060</v>
      </c>
      <c r="I162" s="110" t="n">
        <v>12</v>
      </c>
      <c r="J162" s="110" t="s">
        <v>1291</v>
      </c>
      <c r="K162" s="110" t="s">
        <v>2062</v>
      </c>
    </row>
    <row r="163" customFormat="false" ht="11.25" hidden="false" customHeight="false" outlineLevel="0" collapsed="false">
      <c r="A163" s="110" t="n">
        <f aca="false">IF(B163&lt;&gt;"", COUNTA($B$2:B163), "")</f>
        <v>162</v>
      </c>
      <c r="B163" s="110" t="s">
        <v>27</v>
      </c>
      <c r="C163" s="110" t="s">
        <v>28</v>
      </c>
      <c r="D163" s="111" t="n">
        <v>80517</v>
      </c>
      <c r="E163" s="110"/>
      <c r="F163" s="110" t="s">
        <v>192</v>
      </c>
      <c r="G163" s="110" t="n">
        <v>1</v>
      </c>
      <c r="H163" s="110" t="s">
        <v>2060</v>
      </c>
      <c r="I163" s="110" t="n">
        <v>12</v>
      </c>
      <c r="J163" s="110" t="s">
        <v>2103</v>
      </c>
      <c r="K163" s="110" t="s">
        <v>2062</v>
      </c>
    </row>
    <row r="164" customFormat="false" ht="11.25" hidden="false" customHeight="false" outlineLevel="0" collapsed="false">
      <c r="A164" s="110" t="n">
        <f aca="false">IF(B164&lt;&gt;"", COUNTA($B$2:B164), "")</f>
        <v>163</v>
      </c>
      <c r="B164" s="110" t="s">
        <v>27</v>
      </c>
      <c r="C164" s="110" t="s">
        <v>28</v>
      </c>
      <c r="D164" s="111" t="n">
        <v>15513</v>
      </c>
      <c r="E164" s="110"/>
      <c r="F164" s="110" t="s">
        <v>2135</v>
      </c>
      <c r="G164" s="110" t="n">
        <v>1.5</v>
      </c>
      <c r="H164" s="110" t="s">
        <v>2060</v>
      </c>
      <c r="I164" s="110" t="n">
        <v>12</v>
      </c>
      <c r="J164" s="110" t="s">
        <v>1291</v>
      </c>
      <c r="K164" s="110" t="s">
        <v>2062</v>
      </c>
    </row>
    <row r="165" customFormat="false" ht="11.25" hidden="false" customHeight="false" outlineLevel="0" collapsed="false">
      <c r="A165" s="110" t="n">
        <f aca="false">IF(B165&lt;&gt;"", COUNTA($B$2:B165), "")</f>
        <v>164</v>
      </c>
      <c r="B165" s="110" t="s">
        <v>27</v>
      </c>
      <c r="C165" s="110" t="s">
        <v>28</v>
      </c>
      <c r="D165" s="111" t="n">
        <v>15512</v>
      </c>
      <c r="E165" s="110"/>
      <c r="F165" s="110" t="s">
        <v>2118</v>
      </c>
      <c r="G165" s="110" t="n">
        <v>1.5</v>
      </c>
      <c r="H165" s="110" t="s">
        <v>2060</v>
      </c>
      <c r="I165" s="110" t="n">
        <v>12</v>
      </c>
      <c r="J165" s="110" t="s">
        <v>1291</v>
      </c>
      <c r="K165" s="110" t="s">
        <v>2062</v>
      </c>
    </row>
    <row r="166" customFormat="false" ht="11.25" hidden="false" customHeight="false" outlineLevel="0" collapsed="false">
      <c r="A166" s="110" t="n">
        <f aca="false">IF(B166&lt;&gt;"", COUNTA($B$2:B166), "")</f>
        <v>165</v>
      </c>
      <c r="B166" s="110" t="s">
        <v>27</v>
      </c>
      <c r="C166" s="110" t="s">
        <v>28</v>
      </c>
      <c r="D166" s="111" t="n">
        <v>15174</v>
      </c>
      <c r="E166" s="110"/>
      <c r="F166" s="110" t="s">
        <v>2113</v>
      </c>
      <c r="G166" s="110" t="n">
        <v>1.5</v>
      </c>
      <c r="H166" s="110" t="s">
        <v>2060</v>
      </c>
      <c r="I166" s="110" t="n">
        <v>12</v>
      </c>
      <c r="J166" s="110" t="s">
        <v>1291</v>
      </c>
      <c r="K166" s="110" t="s">
        <v>2062</v>
      </c>
    </row>
    <row r="167" customFormat="false" ht="11.25" hidden="false" customHeight="false" outlineLevel="0" collapsed="false">
      <c r="A167" s="110" t="n">
        <f aca="false">IF(B167&lt;&gt;"", COUNTA($B$2:B167), "")</f>
        <v>166</v>
      </c>
      <c r="B167" s="110" t="s">
        <v>27</v>
      </c>
      <c r="C167" s="110" t="s">
        <v>1115</v>
      </c>
      <c r="D167" s="111" t="n">
        <v>325694</v>
      </c>
      <c r="E167" s="110" t="n">
        <v>1989</v>
      </c>
      <c r="F167" s="110" t="s">
        <v>2094</v>
      </c>
      <c r="G167" s="110" t="n">
        <v>1.5</v>
      </c>
      <c r="H167" s="110" t="s">
        <v>2060</v>
      </c>
      <c r="I167" s="110" t="n">
        <v>12</v>
      </c>
      <c r="J167" s="110" t="s">
        <v>2120</v>
      </c>
      <c r="K167" s="110" t="s">
        <v>2062</v>
      </c>
    </row>
    <row r="168" customFormat="false" ht="11.25" hidden="false" customHeight="false" outlineLevel="0" collapsed="false">
      <c r="A168" s="110" t="n">
        <f aca="false">IF(B168&lt;&gt;"", COUNTA($B$2:B168), "")</f>
        <v>167</v>
      </c>
      <c r="B168" s="110" t="s">
        <v>27</v>
      </c>
      <c r="C168" s="110" t="s">
        <v>2124</v>
      </c>
      <c r="D168" s="111" t="n">
        <v>312492</v>
      </c>
      <c r="E168" s="110"/>
      <c r="F168" s="110" t="s">
        <v>192</v>
      </c>
      <c r="G168" s="110" t="n">
        <v>1</v>
      </c>
      <c r="H168" s="110" t="s">
        <v>2060</v>
      </c>
      <c r="I168" s="110" t="n">
        <v>12</v>
      </c>
      <c r="J168" s="110" t="s">
        <v>1291</v>
      </c>
      <c r="K168" s="110" t="s">
        <v>2062</v>
      </c>
    </row>
    <row r="169" customFormat="false" ht="11.25" hidden="false" customHeight="false" outlineLevel="0" collapsed="false">
      <c r="A169" s="110" t="n">
        <f aca="false">IF(B169&lt;&gt;"", COUNTA($B$2:B169), "")</f>
        <v>168</v>
      </c>
      <c r="B169" s="110" t="s">
        <v>27</v>
      </c>
      <c r="C169" s="110" t="s">
        <v>2124</v>
      </c>
      <c r="D169" s="111" t="n">
        <v>312547</v>
      </c>
      <c r="E169" s="110"/>
      <c r="F169" s="110" t="s">
        <v>192</v>
      </c>
      <c r="G169" s="110" t="n">
        <v>1</v>
      </c>
      <c r="H169" s="110" t="s">
        <v>2060</v>
      </c>
      <c r="I169" s="110" t="n">
        <v>12</v>
      </c>
      <c r="J169" s="110" t="s">
        <v>1291</v>
      </c>
      <c r="K169" s="110" t="s">
        <v>2062</v>
      </c>
    </row>
    <row r="170" customFormat="false" ht="11.25" hidden="false" customHeight="false" outlineLevel="0" collapsed="false">
      <c r="A170" s="110" t="n">
        <f aca="false">IF(B170&lt;&gt;"", COUNTA($B$2:B170), "")</f>
        <v>169</v>
      </c>
      <c r="B170" s="110" t="s">
        <v>27</v>
      </c>
      <c r="C170" s="110" t="s">
        <v>2124</v>
      </c>
      <c r="D170" s="111" t="n">
        <v>312447</v>
      </c>
      <c r="E170" s="110"/>
      <c r="F170" s="110" t="s">
        <v>192</v>
      </c>
      <c r="G170" s="110" t="n">
        <v>1</v>
      </c>
      <c r="H170" s="110" t="s">
        <v>2060</v>
      </c>
      <c r="I170" s="110" t="n">
        <v>12</v>
      </c>
      <c r="J170" s="110" t="s">
        <v>1291</v>
      </c>
      <c r="K170" s="110" t="s">
        <v>2062</v>
      </c>
    </row>
    <row r="171" customFormat="false" ht="11.25" hidden="false" customHeight="false" outlineLevel="0" collapsed="false">
      <c r="A171" s="110" t="n">
        <f aca="false">IF(B171&lt;&gt;"", COUNTA($B$2:B171), "")</f>
        <v>170</v>
      </c>
      <c r="B171" s="110" t="s">
        <v>27</v>
      </c>
      <c r="C171" s="110" t="s">
        <v>2124</v>
      </c>
      <c r="D171" s="111" t="n">
        <v>311025</v>
      </c>
      <c r="E171" s="110"/>
      <c r="F171" s="110" t="s">
        <v>192</v>
      </c>
      <c r="G171" s="110" t="n">
        <v>1</v>
      </c>
      <c r="H171" s="110" t="s">
        <v>2060</v>
      </c>
      <c r="I171" s="110" t="n">
        <v>12</v>
      </c>
      <c r="J171" s="110" t="s">
        <v>1291</v>
      </c>
      <c r="K171" s="110" t="s">
        <v>2062</v>
      </c>
    </row>
    <row r="172" customFormat="false" ht="11.25" hidden="false" customHeight="false" outlineLevel="0" collapsed="false">
      <c r="A172" s="110" t="n">
        <f aca="false">IF(B172&lt;&gt;"", COUNTA($B$2:B172), "")</f>
        <v>171</v>
      </c>
      <c r="B172" s="110" t="s">
        <v>27</v>
      </c>
      <c r="C172" s="110" t="s">
        <v>2124</v>
      </c>
      <c r="D172" s="111" t="n">
        <v>310066</v>
      </c>
      <c r="E172" s="110"/>
      <c r="F172" s="110" t="s">
        <v>192</v>
      </c>
      <c r="G172" s="110" t="n">
        <v>1</v>
      </c>
      <c r="H172" s="110" t="s">
        <v>2060</v>
      </c>
      <c r="I172" s="110" t="n">
        <v>12</v>
      </c>
      <c r="J172" s="110" t="s">
        <v>1291</v>
      </c>
      <c r="K172" s="110" t="s">
        <v>2062</v>
      </c>
    </row>
    <row r="173" customFormat="false" ht="11.25" hidden="false" customHeight="false" outlineLevel="0" collapsed="false">
      <c r="A173" s="110" t="n">
        <f aca="false">IF(B173&lt;&gt;"", COUNTA($B$2:B173), "")</f>
        <v>172</v>
      </c>
      <c r="B173" s="110" t="s">
        <v>27</v>
      </c>
      <c r="C173" s="110" t="s">
        <v>2124</v>
      </c>
      <c r="D173" s="111" t="n">
        <v>312233</v>
      </c>
      <c r="E173" s="110"/>
      <c r="F173" s="110" t="s">
        <v>192</v>
      </c>
      <c r="G173" s="110" t="n">
        <v>1</v>
      </c>
      <c r="H173" s="110" t="s">
        <v>2060</v>
      </c>
      <c r="I173" s="110" t="n">
        <v>12</v>
      </c>
      <c r="J173" s="110" t="s">
        <v>1291</v>
      </c>
      <c r="K173" s="110" t="s">
        <v>2062</v>
      </c>
    </row>
    <row r="174" customFormat="false" ht="11.25" hidden="false" customHeight="false" outlineLevel="0" collapsed="false">
      <c r="A174" s="110" t="n">
        <f aca="false">IF(B174&lt;&gt;"", COUNTA($B$2:B174), "")</f>
        <v>173</v>
      </c>
      <c r="B174" s="110" t="s">
        <v>27</v>
      </c>
      <c r="C174" s="110" t="s">
        <v>28</v>
      </c>
      <c r="D174" s="111" t="n">
        <v>15167</v>
      </c>
      <c r="E174" s="110"/>
      <c r="F174" s="110" t="s">
        <v>2129</v>
      </c>
      <c r="G174" s="110" t="n">
        <v>1.5</v>
      </c>
      <c r="H174" s="110" t="s">
        <v>2060</v>
      </c>
      <c r="I174" s="110" t="n">
        <v>12</v>
      </c>
      <c r="J174" s="110" t="s">
        <v>2120</v>
      </c>
      <c r="K174" s="110" t="s">
        <v>2062</v>
      </c>
    </row>
    <row r="175" customFormat="false" ht="11.25" hidden="false" customHeight="false" outlineLevel="0" collapsed="false">
      <c r="A175" s="110" t="n">
        <f aca="false">IF(B175&lt;&gt;"", COUNTA($B$2:B175), "")</f>
        <v>174</v>
      </c>
      <c r="B175" s="110" t="s">
        <v>27</v>
      </c>
      <c r="C175" s="110" t="s">
        <v>28</v>
      </c>
      <c r="D175" s="111" t="n">
        <v>15001</v>
      </c>
      <c r="E175" s="110"/>
      <c r="F175" s="110" t="s">
        <v>2113</v>
      </c>
      <c r="G175" s="110" t="n">
        <v>1.5</v>
      </c>
      <c r="H175" s="110" t="s">
        <v>2060</v>
      </c>
      <c r="I175" s="110" t="n">
        <v>12</v>
      </c>
      <c r="J175" s="110" t="s">
        <v>1291</v>
      </c>
      <c r="K175" s="110" t="s">
        <v>2062</v>
      </c>
    </row>
    <row r="176" customFormat="false" ht="11.25" hidden="false" customHeight="false" outlineLevel="0" collapsed="false">
      <c r="A176" s="110" t="n">
        <f aca="false">IF(B176&lt;&gt;"", COUNTA($B$2:B176), "")</f>
        <v>175</v>
      </c>
      <c r="B176" s="110" t="s">
        <v>27</v>
      </c>
      <c r="C176" s="110" t="s">
        <v>860</v>
      </c>
      <c r="D176" s="111" t="n">
        <v>700081</v>
      </c>
      <c r="E176" s="110"/>
      <c r="F176" s="110" t="s">
        <v>260</v>
      </c>
      <c r="G176" s="110" t="n">
        <v>1</v>
      </c>
      <c r="H176" s="110" t="s">
        <v>2060</v>
      </c>
      <c r="I176" s="110" t="n">
        <v>12</v>
      </c>
      <c r="J176" s="110" t="s">
        <v>1291</v>
      </c>
      <c r="K176" s="110" t="s">
        <v>2062</v>
      </c>
    </row>
    <row r="177" customFormat="false" ht="11.25" hidden="false" customHeight="false" outlineLevel="0" collapsed="false">
      <c r="A177" s="110" t="n">
        <f aca="false">IF(B177&lt;&gt;"", COUNTA($B$2:B177), "")</f>
        <v>176</v>
      </c>
      <c r="B177" s="110" t="s">
        <v>27</v>
      </c>
      <c r="C177" s="110" t="s">
        <v>28</v>
      </c>
      <c r="D177" s="111" t="n">
        <v>15135</v>
      </c>
      <c r="E177" s="110"/>
      <c r="F177" s="110" t="s">
        <v>2113</v>
      </c>
      <c r="G177" s="110" t="n">
        <v>1.5</v>
      </c>
      <c r="H177" s="110" t="s">
        <v>2060</v>
      </c>
      <c r="I177" s="110" t="n">
        <v>12</v>
      </c>
      <c r="J177" s="110" t="s">
        <v>1291</v>
      </c>
      <c r="K177" s="110" t="s">
        <v>2062</v>
      </c>
    </row>
    <row r="178" customFormat="false" ht="11.25" hidden="false" customHeight="false" outlineLevel="0" collapsed="false">
      <c r="A178" s="110" t="n">
        <f aca="false">IF(B178&lt;&gt;"", COUNTA($B$2:B178), "")</f>
        <v>177</v>
      </c>
      <c r="B178" s="110" t="s">
        <v>27</v>
      </c>
      <c r="C178" s="110" t="s">
        <v>28</v>
      </c>
      <c r="D178" s="111" t="n">
        <v>15386</v>
      </c>
      <c r="E178" s="110"/>
      <c r="F178" s="110" t="s">
        <v>2113</v>
      </c>
      <c r="G178" s="110" t="n">
        <v>1</v>
      </c>
      <c r="H178" s="110" t="s">
        <v>2060</v>
      </c>
      <c r="I178" s="110" t="n">
        <v>12</v>
      </c>
      <c r="J178" s="110" t="s">
        <v>1291</v>
      </c>
      <c r="K178" s="110" t="s">
        <v>2062</v>
      </c>
    </row>
    <row r="179" customFormat="false" ht="11.25" hidden="false" customHeight="false" outlineLevel="0" collapsed="false">
      <c r="A179" s="110" t="n">
        <f aca="false">IF(B179&lt;&gt;"", COUNTA($B$2:B179), "")</f>
        <v>178</v>
      </c>
      <c r="B179" s="110" t="s">
        <v>27</v>
      </c>
      <c r="C179" s="110" t="s">
        <v>28</v>
      </c>
      <c r="D179" s="111" t="n">
        <v>10121</v>
      </c>
      <c r="E179" s="110"/>
      <c r="F179" s="110" t="s">
        <v>2094</v>
      </c>
      <c r="G179" s="110" t="n">
        <v>1.5</v>
      </c>
      <c r="H179" s="110" t="s">
        <v>2060</v>
      </c>
      <c r="I179" s="110" t="n">
        <v>12</v>
      </c>
      <c r="J179" s="110" t="s">
        <v>2120</v>
      </c>
      <c r="K179" s="110" t="s">
        <v>2062</v>
      </c>
    </row>
    <row r="180" customFormat="false" ht="11.25" hidden="false" customHeight="false" outlineLevel="0" collapsed="false">
      <c r="A180" s="110" t="n">
        <f aca="false">IF(B180&lt;&gt;"", COUNTA($B$2:B180), "")</f>
        <v>179</v>
      </c>
      <c r="B180" s="110" t="s">
        <v>27</v>
      </c>
      <c r="C180" s="110" t="s">
        <v>2124</v>
      </c>
      <c r="D180" s="111" t="n">
        <v>312221</v>
      </c>
      <c r="E180" s="110"/>
      <c r="F180" s="110" t="s">
        <v>192</v>
      </c>
      <c r="G180" s="110" t="n">
        <v>1</v>
      </c>
      <c r="H180" s="110" t="s">
        <v>2060</v>
      </c>
      <c r="I180" s="110" t="n">
        <v>12</v>
      </c>
      <c r="J180" s="110" t="s">
        <v>1291</v>
      </c>
      <c r="K180" s="110" t="s">
        <v>2062</v>
      </c>
    </row>
    <row r="181" customFormat="false" ht="11.25" hidden="false" customHeight="false" outlineLevel="0" collapsed="false">
      <c r="A181" s="110" t="n">
        <f aca="false">IF(B181&lt;&gt;"", COUNTA($B$2:B181), "")</f>
        <v>180</v>
      </c>
      <c r="B181" s="110" t="s">
        <v>27</v>
      </c>
      <c r="C181" s="110" t="s">
        <v>28</v>
      </c>
      <c r="D181" s="111" t="n">
        <v>700038</v>
      </c>
      <c r="E181" s="110"/>
      <c r="F181" s="110" t="s">
        <v>192</v>
      </c>
      <c r="G181" s="110" t="n">
        <v>1</v>
      </c>
      <c r="H181" s="110" t="s">
        <v>2060</v>
      </c>
      <c r="I181" s="110" t="n">
        <v>12</v>
      </c>
      <c r="J181" s="110" t="s">
        <v>2120</v>
      </c>
      <c r="K181" s="110" t="s">
        <v>2062</v>
      </c>
    </row>
    <row r="182" customFormat="false" ht="11.25" hidden="false" customHeight="false" outlineLevel="0" collapsed="false">
      <c r="A182" s="110" t="n">
        <f aca="false">IF(B182&lt;&gt;"", COUNTA($B$2:B182), "")</f>
        <v>181</v>
      </c>
      <c r="B182" s="110" t="s">
        <v>27</v>
      </c>
      <c r="C182" s="110" t="s">
        <v>28</v>
      </c>
      <c r="D182" s="111" t="n">
        <v>232015837</v>
      </c>
      <c r="E182" s="110"/>
      <c r="F182" s="110" t="s">
        <v>2113</v>
      </c>
      <c r="G182" s="110" t="n">
        <v>1</v>
      </c>
      <c r="H182" s="110" t="s">
        <v>2060</v>
      </c>
      <c r="I182" s="110" t="n">
        <v>12</v>
      </c>
      <c r="J182" s="110" t="s">
        <v>1291</v>
      </c>
      <c r="K182" s="110" t="s">
        <v>2062</v>
      </c>
    </row>
    <row r="183" customFormat="false" ht="11.25" hidden="false" customHeight="false" outlineLevel="0" collapsed="false">
      <c r="A183" s="110" t="n">
        <f aca="false">IF(B183&lt;&gt;"", COUNTA($B$2:B183), "")</f>
        <v>182</v>
      </c>
      <c r="B183" s="110" t="s">
        <v>27</v>
      </c>
      <c r="C183" s="110" t="s">
        <v>860</v>
      </c>
      <c r="D183" s="111" t="n">
        <v>700074</v>
      </c>
      <c r="E183" s="110"/>
      <c r="F183" s="110" t="s">
        <v>260</v>
      </c>
      <c r="G183" s="110" t="n">
        <v>1</v>
      </c>
      <c r="H183" s="110" t="s">
        <v>2060</v>
      </c>
      <c r="I183" s="110" t="n">
        <v>12</v>
      </c>
      <c r="J183" s="110" t="s">
        <v>2066</v>
      </c>
      <c r="K183" s="110" t="s">
        <v>2062</v>
      </c>
    </row>
    <row r="184" customFormat="false" ht="11.25" hidden="false" customHeight="false" outlineLevel="0" collapsed="false">
      <c r="A184" s="110" t="n">
        <f aca="false">IF(B184&lt;&gt;"", COUNTA($B$2:B184), "")</f>
        <v>183</v>
      </c>
      <c r="B184" s="110" t="s">
        <v>27</v>
      </c>
      <c r="C184" s="110" t="s">
        <v>28</v>
      </c>
      <c r="D184" s="111" t="n">
        <v>15534</v>
      </c>
      <c r="E184" s="110"/>
      <c r="F184" s="110" t="s">
        <v>2113</v>
      </c>
      <c r="G184" s="110" t="n">
        <v>1.5</v>
      </c>
      <c r="H184" s="110" t="s">
        <v>2060</v>
      </c>
      <c r="I184" s="110" t="n">
        <v>12</v>
      </c>
      <c r="J184" s="110" t="s">
        <v>1291</v>
      </c>
      <c r="K184" s="110" t="s">
        <v>2062</v>
      </c>
      <c r="M184" s="72" t="s">
        <v>1015</v>
      </c>
    </row>
    <row r="185" customFormat="false" ht="11.25" hidden="false" customHeight="false" outlineLevel="0" collapsed="false">
      <c r="A185" s="110" t="n">
        <f aca="false">IF(B185&lt;&gt;"", COUNTA($B$2:B185), "")</f>
        <v>184</v>
      </c>
      <c r="B185" s="110" t="s">
        <v>27</v>
      </c>
      <c r="C185" s="110" t="s">
        <v>28</v>
      </c>
      <c r="D185" s="111" t="n">
        <v>15110</v>
      </c>
      <c r="E185" s="110"/>
      <c r="F185" s="110" t="s">
        <v>2113</v>
      </c>
      <c r="G185" s="110" t="n">
        <v>1</v>
      </c>
      <c r="H185" s="110" t="s">
        <v>2060</v>
      </c>
      <c r="I185" s="110" t="n">
        <v>12</v>
      </c>
      <c r="J185" s="110" t="s">
        <v>1291</v>
      </c>
      <c r="K185" s="110" t="s">
        <v>2062</v>
      </c>
    </row>
    <row r="186" customFormat="false" ht="11.25" hidden="false" customHeight="false" outlineLevel="0" collapsed="false">
      <c r="A186" s="110" t="n">
        <f aca="false">IF(B186&lt;&gt;"", COUNTA($B$2:B186), "")</f>
        <v>185</v>
      </c>
      <c r="B186" s="110" t="s">
        <v>27</v>
      </c>
      <c r="C186" s="110" t="s">
        <v>860</v>
      </c>
      <c r="D186" s="111" t="n">
        <v>7000172</v>
      </c>
      <c r="E186" s="110"/>
      <c r="F186" s="110" t="s">
        <v>501</v>
      </c>
      <c r="G186" s="110" t="n">
        <v>1.5</v>
      </c>
      <c r="H186" s="110" t="s">
        <v>2060</v>
      </c>
      <c r="I186" s="110" t="n">
        <v>12</v>
      </c>
      <c r="J186" s="110" t="s">
        <v>2095</v>
      </c>
      <c r="K186" s="110" t="s">
        <v>2062</v>
      </c>
    </row>
    <row r="187" customFormat="false" ht="11.25" hidden="false" customHeight="false" outlineLevel="0" collapsed="false">
      <c r="A187" s="110" t="n">
        <f aca="false">IF(B187&lt;&gt;"", COUNTA($B$2:B187), "")</f>
        <v>186</v>
      </c>
      <c r="B187" s="110" t="s">
        <v>27</v>
      </c>
      <c r="C187" s="110" t="s">
        <v>28</v>
      </c>
      <c r="D187" s="111" t="n">
        <v>15675</v>
      </c>
      <c r="E187" s="110"/>
      <c r="F187" s="110" t="s">
        <v>2129</v>
      </c>
      <c r="G187" s="110" t="n">
        <v>1.5</v>
      </c>
      <c r="H187" s="110" t="s">
        <v>2060</v>
      </c>
      <c r="I187" s="110" t="n">
        <v>12</v>
      </c>
      <c r="J187" s="110" t="s">
        <v>2120</v>
      </c>
      <c r="K187" s="110" t="s">
        <v>2062</v>
      </c>
    </row>
    <row r="188" customFormat="false" ht="11.25" hidden="false" customHeight="false" outlineLevel="0" collapsed="false">
      <c r="A188" s="110" t="n">
        <f aca="false">IF(B188&lt;&gt;"", COUNTA($B$2:B188), "")</f>
        <v>187</v>
      </c>
      <c r="B188" s="110" t="s">
        <v>27</v>
      </c>
      <c r="C188" s="110" t="s">
        <v>28</v>
      </c>
      <c r="D188" s="111" t="n">
        <v>15517</v>
      </c>
      <c r="E188" s="110"/>
      <c r="F188" s="110" t="s">
        <v>2113</v>
      </c>
      <c r="G188" s="110" t="n">
        <v>1.5</v>
      </c>
      <c r="H188" s="110" t="s">
        <v>2060</v>
      </c>
      <c r="I188" s="110" t="n">
        <v>12</v>
      </c>
      <c r="J188" s="110" t="s">
        <v>2066</v>
      </c>
      <c r="K188" s="110" t="s">
        <v>2062</v>
      </c>
    </row>
    <row r="189" customFormat="false" ht="11.25" hidden="false" customHeight="false" outlineLevel="0" collapsed="false">
      <c r="A189" s="110" t="n">
        <f aca="false">IF(B189&lt;&gt;"", COUNTA($B$2:B189), "")</f>
        <v>188</v>
      </c>
      <c r="B189" s="110" t="s">
        <v>27</v>
      </c>
      <c r="C189" s="110" t="s">
        <v>28</v>
      </c>
      <c r="D189" s="111" t="n">
        <v>15579</v>
      </c>
      <c r="E189" s="110"/>
      <c r="F189" s="110" t="s">
        <v>2129</v>
      </c>
      <c r="G189" s="110" t="n">
        <v>1.5</v>
      </c>
      <c r="H189" s="110" t="s">
        <v>2060</v>
      </c>
      <c r="I189" s="110" t="n">
        <v>12</v>
      </c>
      <c r="J189" s="110" t="s">
        <v>2066</v>
      </c>
      <c r="K189" s="110" t="s">
        <v>2062</v>
      </c>
    </row>
    <row r="190" customFormat="false" ht="11.25" hidden="false" customHeight="false" outlineLevel="0" collapsed="false">
      <c r="A190" s="110" t="n">
        <f aca="false">IF(B190&lt;&gt;"", COUNTA($B$2:B190), "")</f>
        <v>189</v>
      </c>
      <c r="B190" s="110" t="s">
        <v>27</v>
      </c>
      <c r="C190" s="110" t="s">
        <v>860</v>
      </c>
      <c r="D190" s="111" t="n">
        <v>700076</v>
      </c>
      <c r="E190" s="110"/>
      <c r="F190" s="110" t="s">
        <v>260</v>
      </c>
      <c r="G190" s="110" t="n">
        <v>1</v>
      </c>
      <c r="H190" s="110" t="s">
        <v>2060</v>
      </c>
      <c r="I190" s="110" t="n">
        <v>12</v>
      </c>
      <c r="J190" s="110" t="s">
        <v>1291</v>
      </c>
      <c r="K190" s="110" t="s">
        <v>2062</v>
      </c>
    </row>
    <row r="191" customFormat="false" ht="11.25" hidden="false" customHeight="false" outlineLevel="0" collapsed="false">
      <c r="A191" s="110" t="n">
        <f aca="false">IF(B191&lt;&gt;"", COUNTA($B$2:B191), "")</f>
        <v>190</v>
      </c>
      <c r="B191" s="110" t="s">
        <v>27</v>
      </c>
      <c r="C191" s="110" t="s">
        <v>500</v>
      </c>
      <c r="D191" s="111" t="n">
        <v>80529</v>
      </c>
      <c r="E191" s="110"/>
      <c r="F191" s="110" t="s">
        <v>192</v>
      </c>
      <c r="G191" s="110" t="n">
        <v>1.5</v>
      </c>
      <c r="H191" s="110" t="s">
        <v>2060</v>
      </c>
      <c r="I191" s="110" t="n">
        <v>12</v>
      </c>
      <c r="J191" s="110" t="s">
        <v>1291</v>
      </c>
      <c r="K191" s="110" t="s">
        <v>2062</v>
      </c>
    </row>
    <row r="192" customFormat="false" ht="11.25" hidden="false" customHeight="false" outlineLevel="0" collapsed="false">
      <c r="A192" s="110" t="n">
        <f aca="false">IF(B192&lt;&gt;"", COUNTA($B$2:B192), "")</f>
        <v>191</v>
      </c>
      <c r="B192" s="110" t="s">
        <v>27</v>
      </c>
      <c r="C192" s="110" t="s">
        <v>733</v>
      </c>
      <c r="D192" s="111" t="n">
        <v>3591</v>
      </c>
      <c r="E192" s="110"/>
      <c r="F192" s="110" t="s">
        <v>192</v>
      </c>
      <c r="G192" s="110" t="n">
        <v>1.5</v>
      </c>
      <c r="H192" s="110" t="s">
        <v>2060</v>
      </c>
      <c r="I192" s="110" t="n">
        <v>12</v>
      </c>
      <c r="J192" s="110" t="s">
        <v>2087</v>
      </c>
      <c r="K192" s="110" t="s">
        <v>2062</v>
      </c>
    </row>
    <row r="193" customFormat="false" ht="11.25" hidden="false" customHeight="false" outlineLevel="0" collapsed="false">
      <c r="A193" s="110" t="n">
        <f aca="false">IF(B193&lt;&gt;"", COUNTA($B$2:B193), "")</f>
        <v>192</v>
      </c>
      <c r="B193" s="110" t="s">
        <v>27</v>
      </c>
      <c r="C193" s="110" t="s">
        <v>500</v>
      </c>
      <c r="D193" s="111" t="n">
        <v>20253</v>
      </c>
      <c r="E193" s="110"/>
      <c r="F193" s="110" t="s">
        <v>192</v>
      </c>
      <c r="G193" s="110" t="n">
        <v>1.5</v>
      </c>
      <c r="H193" s="110" t="s">
        <v>2060</v>
      </c>
      <c r="I193" s="110" t="n">
        <v>12</v>
      </c>
      <c r="J193" s="110" t="s">
        <v>2095</v>
      </c>
      <c r="K193" s="110" t="s">
        <v>2062</v>
      </c>
    </row>
    <row r="194" customFormat="false" ht="11.25" hidden="false" customHeight="false" outlineLevel="0" collapsed="false">
      <c r="A194" s="110" t="n">
        <f aca="false">IF(B194&lt;&gt;"", COUNTA($B$2:B194), "")</f>
        <v>193</v>
      </c>
      <c r="B194" s="110" t="s">
        <v>27</v>
      </c>
      <c r="C194" s="110" t="s">
        <v>733</v>
      </c>
      <c r="D194" s="111" t="n">
        <v>4718</v>
      </c>
      <c r="E194" s="110"/>
      <c r="F194" s="110" t="s">
        <v>192</v>
      </c>
      <c r="G194" s="110" t="n">
        <v>1.5</v>
      </c>
      <c r="H194" s="110" t="s">
        <v>2060</v>
      </c>
      <c r="I194" s="110" t="n">
        <v>12</v>
      </c>
      <c r="J194" s="110" t="s">
        <v>1291</v>
      </c>
      <c r="K194" s="110" t="s">
        <v>2062</v>
      </c>
    </row>
    <row r="195" customFormat="false" ht="11.25" hidden="false" customHeight="false" outlineLevel="0" collapsed="false">
      <c r="A195" s="110" t="n">
        <f aca="false">IF(B195&lt;&gt;"", COUNTA($B$2:B195), "")</f>
        <v>194</v>
      </c>
      <c r="B195" s="110" t="s">
        <v>27</v>
      </c>
      <c r="C195" s="5" t="s">
        <v>1833</v>
      </c>
      <c r="D195" s="111" t="n">
        <v>15587</v>
      </c>
      <c r="E195" s="110" t="n">
        <v>2018</v>
      </c>
      <c r="F195" s="110" t="s">
        <v>2094</v>
      </c>
      <c r="G195" s="110" t="n">
        <v>1.5</v>
      </c>
      <c r="H195" s="110" t="s">
        <v>2060</v>
      </c>
      <c r="I195" s="110" t="n">
        <v>12</v>
      </c>
      <c r="J195" s="110" t="s">
        <v>2111</v>
      </c>
      <c r="K195" s="110" t="s">
        <v>2062</v>
      </c>
    </row>
    <row r="196" customFormat="false" ht="11.25" hidden="false" customHeight="false" outlineLevel="0" collapsed="false">
      <c r="A196" s="110" t="n">
        <f aca="false">IF(B196&lt;&gt;"", COUNTA($B$2:B196), "")</f>
        <v>195</v>
      </c>
      <c r="B196" s="110" t="s">
        <v>27</v>
      </c>
      <c r="C196" s="110" t="s">
        <v>1324</v>
      </c>
      <c r="D196" s="111" t="n">
        <v>70153</v>
      </c>
      <c r="E196" s="110"/>
      <c r="F196" s="110" t="s">
        <v>501</v>
      </c>
      <c r="G196" s="110" t="n">
        <v>1.5</v>
      </c>
      <c r="H196" s="110" t="s">
        <v>2079</v>
      </c>
      <c r="I196" s="110" t="n">
        <v>12</v>
      </c>
      <c r="J196" s="110" t="s">
        <v>1291</v>
      </c>
      <c r="K196" s="110" t="s">
        <v>2062</v>
      </c>
    </row>
    <row r="197" customFormat="false" ht="11.25" hidden="false" customHeight="false" outlineLevel="0" collapsed="false">
      <c r="A197" s="110" t="n">
        <f aca="false">IF(B197&lt;&gt;"", COUNTA($B$2:B197), "")</f>
        <v>196</v>
      </c>
      <c r="B197" s="110" t="s">
        <v>27</v>
      </c>
      <c r="C197" s="110" t="s">
        <v>1324</v>
      </c>
      <c r="D197" s="111" t="n">
        <v>7000178</v>
      </c>
      <c r="E197" s="110"/>
      <c r="F197" s="110" t="s">
        <v>501</v>
      </c>
      <c r="G197" s="110" t="n">
        <v>1.5</v>
      </c>
      <c r="H197" s="110" t="s">
        <v>2079</v>
      </c>
      <c r="I197" s="110" t="n">
        <v>12</v>
      </c>
      <c r="J197" s="110" t="s">
        <v>1291</v>
      </c>
      <c r="K197" s="110" t="s">
        <v>2062</v>
      </c>
    </row>
    <row r="198" customFormat="false" ht="11.25" hidden="false" customHeight="false" outlineLevel="0" collapsed="false">
      <c r="A198" s="110" t="n">
        <f aca="false">IF(B198&lt;&gt;"", COUNTA($B$2:B198), "")</f>
        <v>197</v>
      </c>
      <c r="B198" s="110" t="s">
        <v>27</v>
      </c>
      <c r="C198" s="110" t="s">
        <v>144</v>
      </c>
      <c r="D198" s="111" t="n">
        <v>15213</v>
      </c>
      <c r="E198" s="110"/>
      <c r="F198" s="110" t="s">
        <v>2113</v>
      </c>
      <c r="G198" s="110" t="n">
        <v>1.5</v>
      </c>
      <c r="H198" s="110" t="s">
        <v>2060</v>
      </c>
      <c r="I198" s="110" t="n">
        <v>12</v>
      </c>
      <c r="J198" s="110" t="s">
        <v>1291</v>
      </c>
      <c r="K198" s="110" t="s">
        <v>2062</v>
      </c>
    </row>
    <row r="199" customFormat="false" ht="11.25" hidden="false" customHeight="false" outlineLevel="0" collapsed="false">
      <c r="A199" s="110" t="n">
        <f aca="false">IF(B199&lt;&gt;"", COUNTA($B$2:B199), "")</f>
        <v>198</v>
      </c>
      <c r="B199" s="110" t="s">
        <v>27</v>
      </c>
      <c r="C199" s="110" t="s">
        <v>1324</v>
      </c>
      <c r="D199" s="111" t="n">
        <v>80521</v>
      </c>
      <c r="E199" s="110"/>
      <c r="F199" s="110" t="s">
        <v>192</v>
      </c>
      <c r="G199" s="110" t="n">
        <v>1.5</v>
      </c>
      <c r="H199" s="110" t="s">
        <v>2079</v>
      </c>
      <c r="I199" s="110" t="n">
        <v>12</v>
      </c>
      <c r="J199" s="110" t="s">
        <v>1291</v>
      </c>
      <c r="K199" s="110" t="s">
        <v>2062</v>
      </c>
    </row>
    <row r="200" customFormat="false" ht="11.25" hidden="false" customHeight="false" outlineLevel="0" collapsed="false">
      <c r="A200" s="110" t="n">
        <f aca="false">IF(B200&lt;&gt;"", COUNTA($B$2:B200), "")</f>
        <v>199</v>
      </c>
      <c r="B200" s="110" t="s">
        <v>27</v>
      </c>
      <c r="C200" s="110" t="s">
        <v>28</v>
      </c>
      <c r="D200" s="111" t="n">
        <v>20254</v>
      </c>
      <c r="E200" s="110"/>
      <c r="F200" s="110" t="s">
        <v>192</v>
      </c>
      <c r="G200" s="110" t="n">
        <v>1.5</v>
      </c>
      <c r="H200" s="110" t="s">
        <v>2060</v>
      </c>
      <c r="I200" s="110" t="n">
        <v>12</v>
      </c>
      <c r="J200" s="110" t="s">
        <v>2061</v>
      </c>
      <c r="K200" s="110" t="s">
        <v>2062</v>
      </c>
    </row>
    <row r="201" customFormat="false" ht="11.25" hidden="false" customHeight="false" outlineLevel="0" collapsed="false">
      <c r="A201" s="110" t="n">
        <f aca="false">IF(B201&lt;&gt;"", COUNTA($B$2:B201), "")</f>
        <v>200</v>
      </c>
      <c r="B201" s="110" t="s">
        <v>27</v>
      </c>
      <c r="C201" s="110" t="s">
        <v>500</v>
      </c>
      <c r="D201" s="111" t="n">
        <v>700004</v>
      </c>
      <c r="E201" s="110"/>
      <c r="F201" s="110" t="s">
        <v>192</v>
      </c>
      <c r="G201" s="110" t="n">
        <v>1.5</v>
      </c>
      <c r="H201" s="110" t="s">
        <v>2060</v>
      </c>
      <c r="I201" s="110" t="n">
        <v>12</v>
      </c>
      <c r="J201" s="110" t="s">
        <v>2095</v>
      </c>
      <c r="K201" s="110" t="s">
        <v>2062</v>
      </c>
    </row>
    <row r="202" customFormat="false" ht="11.25" hidden="false" customHeight="false" outlineLevel="0" collapsed="false">
      <c r="A202" s="110" t="n">
        <f aca="false">IF(B202&lt;&gt;"", COUNTA($B$2:B202), "")</f>
        <v>201</v>
      </c>
      <c r="B202" s="110" t="s">
        <v>27</v>
      </c>
      <c r="C202" s="110" t="s">
        <v>733</v>
      </c>
      <c r="D202" s="111" t="n">
        <v>4721</v>
      </c>
      <c r="E202" s="110"/>
      <c r="F202" s="110" t="s">
        <v>192</v>
      </c>
      <c r="G202" s="110" t="n">
        <v>1.5</v>
      </c>
      <c r="H202" s="110" t="s">
        <v>2060</v>
      </c>
      <c r="I202" s="110" t="n">
        <v>12</v>
      </c>
      <c r="J202" s="110" t="s">
        <v>1291</v>
      </c>
      <c r="K202" s="110" t="s">
        <v>2062</v>
      </c>
    </row>
    <row r="203" customFormat="false" ht="11.25" hidden="false" customHeight="false" outlineLevel="0" collapsed="false">
      <c r="A203" s="110" t="n">
        <f aca="false">IF(B203&lt;&gt;"", COUNTA($B$2:B203), "")</f>
        <v>202</v>
      </c>
      <c r="B203" s="110" t="s">
        <v>27</v>
      </c>
      <c r="C203" s="110" t="s">
        <v>500</v>
      </c>
      <c r="D203" s="111" t="n">
        <v>700217</v>
      </c>
      <c r="E203" s="110"/>
      <c r="F203" s="110" t="s">
        <v>2119</v>
      </c>
      <c r="G203" s="110" t="n">
        <v>1.5</v>
      </c>
      <c r="H203" s="110" t="s">
        <v>2060</v>
      </c>
      <c r="I203" s="110" t="n">
        <v>12</v>
      </c>
      <c r="J203" s="110" t="s">
        <v>1291</v>
      </c>
      <c r="K203" s="110" t="s">
        <v>2062</v>
      </c>
    </row>
    <row r="204" customFormat="false" ht="11.25" hidden="false" customHeight="false" outlineLevel="0" collapsed="false">
      <c r="A204" s="110" t="n">
        <f aca="false">IF(B204&lt;&gt;"", COUNTA($B$2:B204), "")</f>
        <v>203</v>
      </c>
      <c r="B204" s="110" t="s">
        <v>27</v>
      </c>
      <c r="C204" s="110" t="s">
        <v>144</v>
      </c>
      <c r="D204" s="111" t="n">
        <v>212035202</v>
      </c>
      <c r="E204" s="110"/>
      <c r="F204" s="110" t="s">
        <v>192</v>
      </c>
      <c r="G204" s="110" t="n">
        <v>1.5</v>
      </c>
      <c r="H204" s="110" t="s">
        <v>2060</v>
      </c>
      <c r="I204" s="110" t="n">
        <v>12</v>
      </c>
      <c r="J204" s="110" t="s">
        <v>1291</v>
      </c>
      <c r="K204" s="110" t="s">
        <v>2062</v>
      </c>
    </row>
    <row r="205" customFormat="false" ht="11.25" hidden="false" customHeight="false" outlineLevel="0" collapsed="false">
      <c r="A205" s="110" t="n">
        <f aca="false">IF(B205&lt;&gt;"", COUNTA($B$2:B205), "")</f>
        <v>204</v>
      </c>
      <c r="B205" s="110" t="s">
        <v>27</v>
      </c>
      <c r="C205" s="110" t="s">
        <v>1324</v>
      </c>
      <c r="D205" s="111" t="n">
        <v>15653</v>
      </c>
      <c r="E205" s="110"/>
      <c r="F205" s="110" t="s">
        <v>192</v>
      </c>
      <c r="G205" s="110" t="n">
        <v>1.5</v>
      </c>
      <c r="H205" s="110" t="s">
        <v>2060</v>
      </c>
      <c r="I205" s="110" t="n">
        <v>12</v>
      </c>
      <c r="J205" s="110" t="s">
        <v>1291</v>
      </c>
      <c r="K205" s="110" t="s">
        <v>2062</v>
      </c>
    </row>
    <row r="206" customFormat="false" ht="11.25" hidden="false" customHeight="false" outlineLevel="0" collapsed="false">
      <c r="A206" s="110" t="n">
        <f aca="false">IF(B206&lt;&gt;"", COUNTA($B$2:B206), "")</f>
        <v>205</v>
      </c>
      <c r="B206" s="110" t="s">
        <v>27</v>
      </c>
      <c r="C206" s="110" t="s">
        <v>144</v>
      </c>
      <c r="D206" s="111" t="n">
        <v>212033562</v>
      </c>
      <c r="E206" s="110"/>
      <c r="F206" s="110" t="s">
        <v>192</v>
      </c>
      <c r="G206" s="110" t="n">
        <v>1.5</v>
      </c>
      <c r="H206" s="110" t="s">
        <v>2060</v>
      </c>
      <c r="I206" s="110" t="n">
        <v>12</v>
      </c>
      <c r="J206" s="110" t="s">
        <v>1291</v>
      </c>
      <c r="K206" s="110" t="s">
        <v>2062</v>
      </c>
    </row>
    <row r="207" customFormat="false" ht="11.25" hidden="false" customHeight="false" outlineLevel="0" collapsed="false">
      <c r="A207" s="110" t="n">
        <f aca="false">IF(B207&lt;&gt;"", COUNTA($B$2:B207), "")</f>
        <v>206</v>
      </c>
      <c r="B207" s="110" t="s">
        <v>27</v>
      </c>
      <c r="C207" s="110" t="s">
        <v>144</v>
      </c>
      <c r="D207" s="111" t="n">
        <v>212034403</v>
      </c>
      <c r="E207" s="110"/>
      <c r="F207" s="110" t="s">
        <v>192</v>
      </c>
      <c r="G207" s="110" t="n">
        <v>1.5</v>
      </c>
      <c r="H207" s="110" t="s">
        <v>2060</v>
      </c>
      <c r="I207" s="110" t="n">
        <v>12</v>
      </c>
      <c r="J207" s="110" t="s">
        <v>1291</v>
      </c>
      <c r="K207" s="110" t="s">
        <v>2062</v>
      </c>
    </row>
    <row r="208" customFormat="false" ht="11.25" hidden="false" customHeight="false" outlineLevel="0" collapsed="false">
      <c r="A208" s="110" t="n">
        <f aca="false">IF(B208&lt;&gt;"", COUNTA($B$2:B208), "")</f>
        <v>207</v>
      </c>
      <c r="B208" s="110" t="s">
        <v>27</v>
      </c>
      <c r="C208" s="110" t="s">
        <v>733</v>
      </c>
      <c r="D208" s="111" t="s">
        <v>2136</v>
      </c>
      <c r="E208" s="110"/>
      <c r="F208" s="110" t="s">
        <v>192</v>
      </c>
      <c r="G208" s="110" t="n">
        <v>1.5</v>
      </c>
      <c r="H208" s="110" t="s">
        <v>2060</v>
      </c>
      <c r="I208" s="110" t="n">
        <v>12</v>
      </c>
      <c r="J208" s="110" t="s">
        <v>1291</v>
      </c>
      <c r="K208" s="110" t="s">
        <v>2062</v>
      </c>
    </row>
    <row r="209" customFormat="false" ht="11.25" hidden="false" customHeight="false" outlineLevel="0" collapsed="false">
      <c r="A209" s="110" t="n">
        <f aca="false">IF(B209&lt;&gt;"", COUNTA($B$2:B209), "")</f>
        <v>208</v>
      </c>
      <c r="B209" s="110" t="s">
        <v>27</v>
      </c>
      <c r="C209" s="110" t="s">
        <v>144</v>
      </c>
      <c r="D209" s="111" t="s">
        <v>2137</v>
      </c>
      <c r="E209" s="110"/>
      <c r="F209" s="110" t="s">
        <v>192</v>
      </c>
      <c r="G209" s="110" t="n">
        <v>1.5</v>
      </c>
      <c r="H209" s="110" t="s">
        <v>2060</v>
      </c>
      <c r="I209" s="110" t="n">
        <v>12</v>
      </c>
      <c r="J209" s="110" t="s">
        <v>1291</v>
      </c>
      <c r="K209" s="110" t="s">
        <v>2062</v>
      </c>
    </row>
    <row r="210" customFormat="false" ht="11.25" hidden="false" customHeight="false" outlineLevel="0" collapsed="false">
      <c r="A210" s="110" t="n">
        <f aca="false">IF(B210&lt;&gt;"", COUNTA($B$2:B210), "")</f>
        <v>209</v>
      </c>
      <c r="B210" s="110" t="s">
        <v>27</v>
      </c>
      <c r="C210" s="110" t="s">
        <v>1833</v>
      </c>
      <c r="D210" s="111" t="s">
        <v>2138</v>
      </c>
      <c r="E210" s="110" t="n">
        <v>2017</v>
      </c>
      <c r="F210" s="110" t="s">
        <v>2094</v>
      </c>
      <c r="G210" s="110" t="n">
        <v>1.5</v>
      </c>
      <c r="H210" s="110" t="s">
        <v>2060</v>
      </c>
      <c r="I210" s="110" t="n">
        <v>12</v>
      </c>
      <c r="J210" s="110" t="s">
        <v>2111</v>
      </c>
      <c r="K210" s="110" t="s">
        <v>2062</v>
      </c>
    </row>
    <row r="211" customFormat="false" ht="11.25" hidden="false" customHeight="false" outlineLevel="0" collapsed="false">
      <c r="A211" s="110" t="n">
        <f aca="false">IF(B211&lt;&gt;"", COUNTA($B$2:B211), "")</f>
        <v>210</v>
      </c>
      <c r="B211" s="110" t="s">
        <v>27</v>
      </c>
      <c r="C211" s="110" t="s">
        <v>1833</v>
      </c>
      <c r="D211" s="111" t="s">
        <v>2139</v>
      </c>
      <c r="E211" s="110" t="n">
        <v>2012</v>
      </c>
      <c r="F211" s="110" t="s">
        <v>2094</v>
      </c>
      <c r="G211" s="110" t="n">
        <v>1.5</v>
      </c>
      <c r="H211" s="110" t="s">
        <v>2060</v>
      </c>
      <c r="I211" s="110" t="n">
        <v>12</v>
      </c>
      <c r="J211" s="110" t="s">
        <v>2061</v>
      </c>
      <c r="K211" s="110" t="s">
        <v>2062</v>
      </c>
    </row>
    <row r="212" customFormat="false" ht="11.25" hidden="false" customHeight="false" outlineLevel="0" collapsed="false">
      <c r="A212" s="110" t="n">
        <f aca="false">IF(B212&lt;&gt;"", COUNTA($B$2:B212), "")</f>
        <v>211</v>
      </c>
      <c r="B212" s="110" t="s">
        <v>27</v>
      </c>
      <c r="C212" s="110" t="s">
        <v>1833</v>
      </c>
      <c r="D212" s="111" t="s">
        <v>2140</v>
      </c>
      <c r="E212" s="110" t="n">
        <v>2010</v>
      </c>
      <c r="F212" s="110" t="s">
        <v>2094</v>
      </c>
      <c r="G212" s="110" t="n">
        <v>1.5</v>
      </c>
      <c r="H212" s="110" t="s">
        <v>2060</v>
      </c>
      <c r="I212" s="110" t="n">
        <v>12</v>
      </c>
      <c r="J212" s="110" t="s">
        <v>2061</v>
      </c>
      <c r="K212" s="110" t="s">
        <v>2062</v>
      </c>
    </row>
    <row r="213" customFormat="false" ht="11.25" hidden="false" customHeight="false" outlineLevel="0" collapsed="false">
      <c r="A213" s="110" t="n">
        <f aca="false">IF(B213&lt;&gt;"", COUNTA($B$2:B213), "")</f>
        <v>212</v>
      </c>
      <c r="B213" s="110" t="s">
        <v>27</v>
      </c>
      <c r="C213" s="110" t="s">
        <v>1833</v>
      </c>
      <c r="D213" s="111" t="s">
        <v>2141</v>
      </c>
      <c r="E213" s="110" t="n">
        <v>2012</v>
      </c>
      <c r="F213" s="110" t="s">
        <v>2094</v>
      </c>
      <c r="G213" s="110" t="n">
        <v>1.5</v>
      </c>
      <c r="H213" s="110" t="s">
        <v>2060</v>
      </c>
      <c r="I213" s="110" t="n">
        <v>12</v>
      </c>
      <c r="J213" s="110" t="s">
        <v>2061</v>
      </c>
      <c r="K213" s="110" t="s">
        <v>2062</v>
      </c>
    </row>
    <row r="214" customFormat="false" ht="11.25" hidden="false" customHeight="false" outlineLevel="0" collapsed="false">
      <c r="A214" s="110" t="n">
        <f aca="false">IF(B214&lt;&gt;"", COUNTA($B$2:B214), "")</f>
        <v>213</v>
      </c>
      <c r="B214" s="110" t="s">
        <v>27</v>
      </c>
      <c r="C214" s="110" t="s">
        <v>1833</v>
      </c>
      <c r="D214" s="111" t="s">
        <v>2142</v>
      </c>
      <c r="E214" s="110" t="n">
        <v>2010</v>
      </c>
      <c r="F214" s="110" t="s">
        <v>2094</v>
      </c>
      <c r="G214" s="110" t="n">
        <v>1.5</v>
      </c>
      <c r="H214" s="110" t="s">
        <v>2060</v>
      </c>
      <c r="I214" s="110" t="n">
        <v>12</v>
      </c>
      <c r="J214" s="110" t="s">
        <v>2066</v>
      </c>
      <c r="K214" s="110" t="s">
        <v>2062</v>
      </c>
    </row>
    <row r="215" customFormat="false" ht="11.25" hidden="false" customHeight="false" outlineLevel="0" collapsed="false">
      <c r="A215" s="110" t="n">
        <f aca="false">IF(B215&lt;&gt;"", COUNTA($B$2:B215), "")</f>
        <v>214</v>
      </c>
      <c r="B215" s="110" t="s">
        <v>27</v>
      </c>
      <c r="C215" s="110" t="s">
        <v>1833</v>
      </c>
      <c r="D215" s="111" t="s">
        <v>2143</v>
      </c>
      <c r="E215" s="110" t="n">
        <v>2018</v>
      </c>
      <c r="F215" s="110" t="s">
        <v>2094</v>
      </c>
      <c r="G215" s="110" t="n">
        <v>1.5</v>
      </c>
      <c r="H215" s="110" t="s">
        <v>2060</v>
      </c>
      <c r="I215" s="110" t="n">
        <v>12</v>
      </c>
      <c r="J215" s="110" t="s">
        <v>2095</v>
      </c>
      <c r="K215" s="110" t="s">
        <v>2062</v>
      </c>
    </row>
    <row r="216" customFormat="false" ht="11.25" hidden="false" customHeight="false" outlineLevel="0" collapsed="false">
      <c r="A216" s="110" t="n">
        <f aca="false">IF(B216&lt;&gt;"", COUNTA($B$2:B216), "")</f>
        <v>215</v>
      </c>
      <c r="B216" s="110" t="s">
        <v>27</v>
      </c>
      <c r="C216" s="110" t="s">
        <v>733</v>
      </c>
      <c r="D216" s="111" t="s">
        <v>2144</v>
      </c>
      <c r="E216" s="110"/>
      <c r="F216" s="110" t="s">
        <v>192</v>
      </c>
      <c r="G216" s="110" t="n">
        <v>1.5</v>
      </c>
      <c r="H216" s="110" t="s">
        <v>2060</v>
      </c>
      <c r="I216" s="110" t="n">
        <v>12</v>
      </c>
      <c r="J216" s="110" t="s">
        <v>2087</v>
      </c>
      <c r="K216" s="110" t="s">
        <v>2062</v>
      </c>
    </row>
    <row r="217" customFormat="false" ht="11.25" hidden="false" customHeight="false" outlineLevel="0" collapsed="false">
      <c r="A217" s="110" t="n">
        <f aca="false">IF(B217&lt;&gt;"", COUNTA($B$2:B217), "")</f>
        <v>216</v>
      </c>
      <c r="B217" s="110" t="s">
        <v>27</v>
      </c>
      <c r="C217" s="110" t="s">
        <v>1324</v>
      </c>
      <c r="D217" s="111" t="s">
        <v>2145</v>
      </c>
      <c r="E217" s="110"/>
      <c r="F217" s="110" t="s">
        <v>501</v>
      </c>
      <c r="G217" s="110" t="n">
        <v>1.5</v>
      </c>
      <c r="H217" s="110" t="s">
        <v>2060</v>
      </c>
      <c r="I217" s="110" t="n">
        <v>12</v>
      </c>
      <c r="J217" s="110" t="s">
        <v>2083</v>
      </c>
      <c r="K217" s="110" t="s">
        <v>2062</v>
      </c>
    </row>
    <row r="218" customFormat="false" ht="11.25" hidden="false" customHeight="false" outlineLevel="0" collapsed="false">
      <c r="A218" s="110" t="n">
        <f aca="false">IF(B218&lt;&gt;"", COUNTA($B$2:B218), "")</f>
        <v>217</v>
      </c>
      <c r="B218" s="110" t="s">
        <v>27</v>
      </c>
      <c r="C218" s="110" t="s">
        <v>500</v>
      </c>
      <c r="D218" s="111" t="s">
        <v>2146</v>
      </c>
      <c r="E218" s="110"/>
      <c r="F218" s="110" t="s">
        <v>192</v>
      </c>
      <c r="G218" s="110" t="n">
        <v>1.5</v>
      </c>
      <c r="H218" s="110" t="s">
        <v>2060</v>
      </c>
      <c r="I218" s="110" t="n">
        <v>12</v>
      </c>
      <c r="J218" s="110" t="s">
        <v>2061</v>
      </c>
      <c r="K218" s="110" t="s">
        <v>2062</v>
      </c>
    </row>
    <row r="219" customFormat="false" ht="11.25" hidden="false" customHeight="false" outlineLevel="0" collapsed="false">
      <c r="A219" s="110" t="n">
        <f aca="false">IF(B219&lt;&gt;"", COUNTA($B$2:B219), "")</f>
        <v>218</v>
      </c>
      <c r="B219" s="110" t="s">
        <v>27</v>
      </c>
      <c r="C219" s="110" t="s">
        <v>500</v>
      </c>
      <c r="D219" s="111" t="s">
        <v>2147</v>
      </c>
      <c r="E219" s="110"/>
      <c r="F219" s="110" t="s">
        <v>192</v>
      </c>
      <c r="G219" s="110" t="n">
        <v>1.5</v>
      </c>
      <c r="H219" s="110" t="s">
        <v>2060</v>
      </c>
      <c r="I219" s="110" t="n">
        <v>12</v>
      </c>
      <c r="J219" s="110" t="s">
        <v>2095</v>
      </c>
      <c r="K219" s="110" t="s">
        <v>2062</v>
      </c>
    </row>
    <row r="220" customFormat="false" ht="11.25" hidden="false" customHeight="false" outlineLevel="0" collapsed="false">
      <c r="A220" s="110" t="n">
        <f aca="false">IF(B220&lt;&gt;"", COUNTA($B$2:B220), "")</f>
        <v>219</v>
      </c>
      <c r="B220" s="110" t="s">
        <v>27</v>
      </c>
      <c r="C220" s="110" t="s">
        <v>1324</v>
      </c>
      <c r="D220" s="111" t="s">
        <v>2148</v>
      </c>
      <c r="E220" s="110"/>
      <c r="F220" s="110" t="s">
        <v>501</v>
      </c>
      <c r="G220" s="110" t="n">
        <v>1.5</v>
      </c>
      <c r="H220" s="110" t="s">
        <v>2060</v>
      </c>
      <c r="I220" s="110" t="n">
        <v>12</v>
      </c>
      <c r="J220" s="110" t="s">
        <v>1291</v>
      </c>
      <c r="K220" s="110" t="s">
        <v>2062</v>
      </c>
    </row>
    <row r="221" customFormat="false" ht="11.25" hidden="false" customHeight="false" outlineLevel="0" collapsed="false">
      <c r="A221" s="110" t="n">
        <f aca="false">IF(B221&lt;&gt;"", COUNTA($B$2:B221), "")</f>
        <v>220</v>
      </c>
      <c r="B221" s="110" t="s">
        <v>27</v>
      </c>
      <c r="C221" s="110" t="s">
        <v>1324</v>
      </c>
      <c r="D221" s="111" t="s">
        <v>2149</v>
      </c>
      <c r="E221" s="110"/>
      <c r="F221" s="110" t="s">
        <v>2150</v>
      </c>
      <c r="G221" s="110" t="n">
        <v>1.5</v>
      </c>
      <c r="H221" s="110" t="s">
        <v>2060</v>
      </c>
      <c r="I221" s="110" t="n">
        <v>12</v>
      </c>
      <c r="J221" s="110" t="s">
        <v>2061</v>
      </c>
      <c r="K221" s="110" t="s">
        <v>2062</v>
      </c>
    </row>
    <row r="222" customFormat="false" ht="11.25" hidden="false" customHeight="false" outlineLevel="0" collapsed="false">
      <c r="A222" s="110" t="n">
        <f aca="false">IF(B222&lt;&gt;"", COUNTA($B$2:B222), "")</f>
        <v>221</v>
      </c>
      <c r="B222" s="110" t="s">
        <v>27</v>
      </c>
      <c r="C222" s="110" t="s">
        <v>500</v>
      </c>
      <c r="D222" s="111" t="s">
        <v>2151</v>
      </c>
      <c r="E222" s="110"/>
      <c r="F222" s="110" t="s">
        <v>192</v>
      </c>
      <c r="G222" s="110" t="n">
        <v>1.5</v>
      </c>
      <c r="H222" s="110" t="s">
        <v>2060</v>
      </c>
      <c r="I222" s="110" t="n">
        <v>12</v>
      </c>
      <c r="J222" s="110" t="s">
        <v>2120</v>
      </c>
      <c r="K222" s="110" t="s">
        <v>2062</v>
      </c>
    </row>
    <row r="223" customFormat="false" ht="11.25" hidden="false" customHeight="false" outlineLevel="0" collapsed="false">
      <c r="A223" s="110" t="n">
        <f aca="false">IF(B223&lt;&gt;"", COUNTA($B$2:B223), "")</f>
        <v>222</v>
      </c>
      <c r="B223" s="110" t="s">
        <v>27</v>
      </c>
      <c r="C223" s="110" t="s">
        <v>500</v>
      </c>
      <c r="D223" s="111" t="s">
        <v>2152</v>
      </c>
      <c r="E223" s="110"/>
      <c r="F223" s="110" t="s">
        <v>192</v>
      </c>
      <c r="G223" s="110" t="n">
        <v>1.5</v>
      </c>
      <c r="H223" s="110" t="s">
        <v>2060</v>
      </c>
      <c r="I223" s="110" t="n">
        <v>12</v>
      </c>
      <c r="J223" s="110" t="s">
        <v>2120</v>
      </c>
      <c r="K223" s="110" t="s">
        <v>2062</v>
      </c>
    </row>
    <row r="224" customFormat="false" ht="11.25" hidden="false" customHeight="false" outlineLevel="0" collapsed="false">
      <c r="A224" s="110" t="n">
        <f aca="false">IF(B224&lt;&gt;"", COUNTA($B$2:B224), "")</f>
        <v>223</v>
      </c>
      <c r="B224" s="110" t="s">
        <v>27</v>
      </c>
      <c r="C224" s="110" t="s">
        <v>500</v>
      </c>
      <c r="D224" s="111" t="s">
        <v>2153</v>
      </c>
      <c r="E224" s="110"/>
      <c r="F224" s="110" t="s">
        <v>192</v>
      </c>
      <c r="G224" s="110" t="n">
        <v>1.5</v>
      </c>
      <c r="H224" s="110" t="s">
        <v>2060</v>
      </c>
      <c r="I224" s="110" t="n">
        <v>12</v>
      </c>
      <c r="J224" s="110" t="s">
        <v>2120</v>
      </c>
      <c r="K224" s="110" t="s">
        <v>2062</v>
      </c>
    </row>
    <row r="225" customFormat="false" ht="11.25" hidden="false" customHeight="false" outlineLevel="0" collapsed="false">
      <c r="A225" s="110" t="n">
        <f aca="false">IF(B225&lt;&gt;"", COUNTA($B$2:B225), "")</f>
        <v>224</v>
      </c>
      <c r="B225" s="110" t="s">
        <v>27</v>
      </c>
      <c r="C225" s="110" t="s">
        <v>500</v>
      </c>
      <c r="D225" s="111" t="s">
        <v>2154</v>
      </c>
      <c r="E225" s="110"/>
      <c r="F225" s="110" t="s">
        <v>192</v>
      </c>
      <c r="G225" s="110" t="n">
        <v>1.5</v>
      </c>
      <c r="H225" s="110" t="s">
        <v>2060</v>
      </c>
      <c r="I225" s="110" t="n">
        <v>12</v>
      </c>
      <c r="J225" s="110" t="s">
        <v>2120</v>
      </c>
      <c r="K225" s="110" t="s">
        <v>2062</v>
      </c>
    </row>
    <row r="226" customFormat="false" ht="11.25" hidden="false" customHeight="false" outlineLevel="0" collapsed="false">
      <c r="A226" s="110" t="n">
        <f aca="false">IF(B226&lt;&gt;"", COUNTA($B$2:B226), "")</f>
        <v>225</v>
      </c>
      <c r="B226" s="110" t="s">
        <v>27</v>
      </c>
      <c r="C226" s="110" t="s">
        <v>500</v>
      </c>
      <c r="D226" s="111" t="s">
        <v>2155</v>
      </c>
      <c r="E226" s="110" t="n">
        <v>2005</v>
      </c>
      <c r="F226" s="110" t="s">
        <v>2119</v>
      </c>
      <c r="G226" s="110" t="n">
        <v>1.5</v>
      </c>
      <c r="H226" s="110" t="s">
        <v>2060</v>
      </c>
      <c r="I226" s="110" t="n">
        <v>12</v>
      </c>
      <c r="J226" s="110" t="s">
        <v>2085</v>
      </c>
      <c r="K226" s="110" t="s">
        <v>2062</v>
      </c>
    </row>
    <row r="227" customFormat="false" ht="11.25" hidden="false" customHeight="false" outlineLevel="0" collapsed="false">
      <c r="A227" s="110" t="n">
        <f aca="false">IF(B227&lt;&gt;"", COUNTA($B$2:B227), "")</f>
        <v>226</v>
      </c>
      <c r="B227" s="110" t="s">
        <v>27</v>
      </c>
      <c r="C227" s="110" t="s">
        <v>733</v>
      </c>
      <c r="D227" s="111" t="s">
        <v>2156</v>
      </c>
      <c r="E227" s="110"/>
      <c r="F227" s="110" t="s">
        <v>192</v>
      </c>
      <c r="G227" s="110" t="n">
        <v>1.5</v>
      </c>
      <c r="H227" s="110" t="s">
        <v>2060</v>
      </c>
      <c r="I227" s="110" t="n">
        <v>12</v>
      </c>
      <c r="J227" s="110" t="s">
        <v>2087</v>
      </c>
      <c r="K227" s="110" t="s">
        <v>2062</v>
      </c>
    </row>
    <row r="228" customFormat="false" ht="11.25" hidden="false" customHeight="false" outlineLevel="0" collapsed="false">
      <c r="A228" s="110" t="n">
        <f aca="false">IF(B228&lt;&gt;"", COUNTA($B$2:B228), "")</f>
        <v>227</v>
      </c>
      <c r="B228" s="110" t="s">
        <v>27</v>
      </c>
      <c r="C228" s="110" t="s">
        <v>500</v>
      </c>
      <c r="D228" s="111" t="s">
        <v>2157</v>
      </c>
      <c r="E228" s="110"/>
      <c r="F228" s="110" t="s">
        <v>192</v>
      </c>
      <c r="G228" s="110" t="n">
        <v>1.5</v>
      </c>
      <c r="H228" s="110" t="s">
        <v>2060</v>
      </c>
      <c r="I228" s="110" t="n">
        <v>12</v>
      </c>
      <c r="J228" s="110" t="s">
        <v>2066</v>
      </c>
      <c r="K228" s="110" t="s">
        <v>2062</v>
      </c>
    </row>
    <row r="229" customFormat="false" ht="11.25" hidden="false" customHeight="false" outlineLevel="0" collapsed="false">
      <c r="A229" s="110" t="n">
        <f aca="false">IF(B229&lt;&gt;"", COUNTA($B$2:B229), "")</f>
        <v>228</v>
      </c>
      <c r="B229" s="110" t="s">
        <v>27</v>
      </c>
      <c r="C229" s="110" t="s">
        <v>500</v>
      </c>
      <c r="D229" s="111" t="s">
        <v>2158</v>
      </c>
      <c r="E229" s="110"/>
      <c r="F229" s="110" t="s">
        <v>192</v>
      </c>
      <c r="G229" s="110" t="n">
        <v>1.5</v>
      </c>
      <c r="H229" s="110" t="s">
        <v>2060</v>
      </c>
      <c r="I229" s="110" t="n">
        <v>12</v>
      </c>
      <c r="J229" s="110" t="s">
        <v>2120</v>
      </c>
      <c r="K229" s="110" t="s">
        <v>2062</v>
      </c>
    </row>
    <row r="230" customFormat="false" ht="11.25" hidden="false" customHeight="false" outlineLevel="0" collapsed="false">
      <c r="A230" s="110" t="n">
        <f aca="false">IF(B230&lt;&gt;"", COUNTA($B$2:B230), "")</f>
        <v>229</v>
      </c>
      <c r="B230" s="110" t="s">
        <v>27</v>
      </c>
      <c r="C230" s="110" t="s">
        <v>144</v>
      </c>
      <c r="D230" s="111" t="s">
        <v>2159</v>
      </c>
      <c r="E230" s="110"/>
      <c r="F230" s="110" t="s">
        <v>192</v>
      </c>
      <c r="G230" s="110" t="n">
        <v>1.5</v>
      </c>
      <c r="H230" s="110" t="s">
        <v>2060</v>
      </c>
      <c r="I230" s="110" t="n">
        <v>12</v>
      </c>
      <c r="J230" s="110" t="s">
        <v>2095</v>
      </c>
      <c r="K230" s="110" t="s">
        <v>2062</v>
      </c>
    </row>
    <row r="231" customFormat="false" ht="11.25" hidden="false" customHeight="false" outlineLevel="0" collapsed="false">
      <c r="A231" s="110" t="n">
        <f aca="false">IF(B231&lt;&gt;"", COUNTA($B$2:B231), "")</f>
        <v>230</v>
      </c>
      <c r="B231" s="110" t="s">
        <v>27</v>
      </c>
      <c r="C231" s="110" t="s">
        <v>1370</v>
      </c>
      <c r="D231" s="111" t="s">
        <v>2160</v>
      </c>
      <c r="E231" s="110"/>
      <c r="F231" s="110" t="s">
        <v>2098</v>
      </c>
      <c r="G231" s="110" t="n">
        <v>1.5</v>
      </c>
      <c r="H231" s="110" t="s">
        <v>2060</v>
      </c>
      <c r="I231" s="110" t="n">
        <v>12</v>
      </c>
      <c r="J231" s="110" t="s">
        <v>2061</v>
      </c>
      <c r="K231" s="110" t="s">
        <v>2062</v>
      </c>
    </row>
    <row r="232" customFormat="false" ht="11.25" hidden="false" customHeight="false" outlineLevel="0" collapsed="false">
      <c r="A232" s="110" t="n">
        <f aca="false">IF(B232&lt;&gt;"", COUNTA($B$2:B232), "")</f>
        <v>231</v>
      </c>
      <c r="B232" s="110" t="s">
        <v>27</v>
      </c>
      <c r="C232" s="110" t="s">
        <v>1324</v>
      </c>
      <c r="D232" s="111" t="s">
        <v>2161</v>
      </c>
      <c r="E232" s="110"/>
      <c r="F232" s="110" t="s">
        <v>501</v>
      </c>
      <c r="G232" s="110" t="n">
        <v>1.5</v>
      </c>
      <c r="H232" s="110" t="s">
        <v>2060</v>
      </c>
      <c r="I232" s="110" t="n">
        <v>12</v>
      </c>
      <c r="J232" s="110" t="s">
        <v>1291</v>
      </c>
      <c r="K232" s="110" t="s">
        <v>2062</v>
      </c>
    </row>
    <row r="233" customFormat="false" ht="11.25" hidden="false" customHeight="false" outlineLevel="0" collapsed="false">
      <c r="A233" s="110" t="n">
        <f aca="false">IF(B233&lt;&gt;"", COUNTA($B$2:B233), "")</f>
        <v>232</v>
      </c>
      <c r="B233" s="110" t="s">
        <v>27</v>
      </c>
      <c r="C233" s="110" t="s">
        <v>500</v>
      </c>
      <c r="D233" s="111" t="s">
        <v>2162</v>
      </c>
      <c r="E233" s="110"/>
      <c r="F233" s="110" t="s">
        <v>192</v>
      </c>
      <c r="G233" s="110" t="n">
        <v>1.5</v>
      </c>
      <c r="H233" s="110" t="s">
        <v>2060</v>
      </c>
      <c r="I233" s="110" t="n">
        <v>12</v>
      </c>
      <c r="J233" s="110" t="s">
        <v>2083</v>
      </c>
      <c r="K233" s="110" t="s">
        <v>2062</v>
      </c>
    </row>
    <row r="234" customFormat="false" ht="11.25" hidden="false" customHeight="false" outlineLevel="0" collapsed="false">
      <c r="A234" s="110" t="n">
        <f aca="false">IF(B234&lt;&gt;"", COUNTA($B$2:B234), "")</f>
        <v>233</v>
      </c>
      <c r="B234" s="110" t="s">
        <v>27</v>
      </c>
      <c r="C234" s="110" t="s">
        <v>500</v>
      </c>
      <c r="D234" s="111" t="s">
        <v>2163</v>
      </c>
      <c r="E234" s="110"/>
      <c r="F234" s="110" t="s">
        <v>192</v>
      </c>
      <c r="G234" s="110" t="n">
        <v>1.5</v>
      </c>
      <c r="H234" s="110" t="s">
        <v>2060</v>
      </c>
      <c r="I234" s="110" t="n">
        <v>12</v>
      </c>
      <c r="J234" s="110" t="s">
        <v>2085</v>
      </c>
      <c r="K234" s="110" t="s">
        <v>2062</v>
      </c>
    </row>
    <row r="235" customFormat="false" ht="11.25" hidden="false" customHeight="false" outlineLevel="0" collapsed="false">
      <c r="A235" s="110" t="n">
        <f aca="false">IF(B235&lt;&gt;"", COUNTA($B$2:B235), "")</f>
        <v>234</v>
      </c>
      <c r="B235" s="110" t="s">
        <v>27</v>
      </c>
      <c r="C235" s="110" t="s">
        <v>1324</v>
      </c>
      <c r="D235" s="111" t="s">
        <v>2164</v>
      </c>
      <c r="E235" s="110"/>
      <c r="F235" s="110" t="s">
        <v>501</v>
      </c>
      <c r="G235" s="110" t="n">
        <v>1.5</v>
      </c>
      <c r="H235" s="110" t="s">
        <v>2060</v>
      </c>
      <c r="I235" s="110" t="n">
        <v>12</v>
      </c>
      <c r="J235" s="110" t="s">
        <v>2087</v>
      </c>
      <c r="K235" s="110" t="s">
        <v>2062</v>
      </c>
    </row>
    <row r="236" customFormat="false" ht="11.25" hidden="false" customHeight="false" outlineLevel="0" collapsed="false">
      <c r="A236" s="110" t="n">
        <f aca="false">IF(B236&lt;&gt;"", COUNTA($B$2:B236), "")</f>
        <v>235</v>
      </c>
      <c r="B236" s="110" t="s">
        <v>27</v>
      </c>
      <c r="C236" s="110" t="s">
        <v>1324</v>
      </c>
      <c r="D236" s="111" t="s">
        <v>2165</v>
      </c>
      <c r="E236" s="110"/>
      <c r="F236" s="110" t="s">
        <v>2119</v>
      </c>
      <c r="G236" s="110" t="n">
        <v>1.5</v>
      </c>
      <c r="H236" s="110" t="s">
        <v>2060</v>
      </c>
      <c r="I236" s="110" t="n">
        <v>12</v>
      </c>
      <c r="J236" s="110" t="s">
        <v>2087</v>
      </c>
      <c r="K236" s="110" t="s">
        <v>2062</v>
      </c>
    </row>
    <row r="237" customFormat="false" ht="11.25" hidden="false" customHeight="false" outlineLevel="0" collapsed="false">
      <c r="A237" s="110" t="n">
        <f aca="false">IF(B237&lt;&gt;"", COUNTA($B$2:B237), "")</f>
        <v>236</v>
      </c>
      <c r="B237" s="110" t="s">
        <v>27</v>
      </c>
      <c r="C237" s="110" t="s">
        <v>1324</v>
      </c>
      <c r="D237" s="111" t="s">
        <v>2166</v>
      </c>
      <c r="E237" s="110"/>
      <c r="F237" s="110" t="s">
        <v>2102</v>
      </c>
      <c r="G237" s="110" t="n">
        <v>1.5</v>
      </c>
      <c r="H237" s="110" t="s">
        <v>2060</v>
      </c>
      <c r="I237" s="110" t="n">
        <v>12</v>
      </c>
      <c r="J237" s="110" t="s">
        <v>2061</v>
      </c>
      <c r="K237" s="110" t="s">
        <v>2081</v>
      </c>
    </row>
    <row r="238" customFormat="false" ht="11.25" hidden="false" customHeight="false" outlineLevel="0" collapsed="false">
      <c r="A238" s="110" t="n">
        <f aca="false">IF(B238&lt;&gt;"", COUNTA($B$2:B238), "")</f>
        <v>237</v>
      </c>
      <c r="B238" s="110" t="s">
        <v>27</v>
      </c>
      <c r="C238" s="110" t="s">
        <v>28</v>
      </c>
      <c r="D238" s="111" t="s">
        <v>2167</v>
      </c>
      <c r="E238" s="110"/>
      <c r="F238" s="110" t="s">
        <v>2110</v>
      </c>
      <c r="G238" s="110" t="n">
        <v>1.5</v>
      </c>
      <c r="H238" s="110" t="s">
        <v>2060</v>
      </c>
      <c r="I238" s="110" t="n">
        <v>12</v>
      </c>
      <c r="J238" s="110" t="s">
        <v>2116</v>
      </c>
      <c r="K238" s="110" t="s">
        <v>2062</v>
      </c>
    </row>
    <row r="239" customFormat="false" ht="11.25" hidden="false" customHeight="false" outlineLevel="0" collapsed="false">
      <c r="A239" s="110" t="n">
        <f aca="false">IF(B239&lt;&gt;"", COUNTA($B$2:B239), "")</f>
        <v>238</v>
      </c>
      <c r="B239" s="110" t="s">
        <v>27</v>
      </c>
      <c r="C239" s="110" t="s">
        <v>1869</v>
      </c>
      <c r="D239" s="111" t="s">
        <v>2168</v>
      </c>
      <c r="E239" s="110"/>
      <c r="F239" s="110" t="s">
        <v>2169</v>
      </c>
      <c r="G239" s="110" t="n">
        <v>1.5</v>
      </c>
      <c r="H239" s="110" t="s">
        <v>2079</v>
      </c>
      <c r="I239" s="110" t="n">
        <v>12</v>
      </c>
      <c r="J239" s="110" t="s">
        <v>2170</v>
      </c>
      <c r="K239" s="110" t="s">
        <v>2062</v>
      </c>
    </row>
    <row r="240" customFormat="false" ht="11.25" hidden="false" customHeight="false" outlineLevel="0" collapsed="false">
      <c r="A240" s="110" t="n">
        <f aca="false">IF(B240&lt;&gt;"", COUNTA($B$2:B240), "")</f>
        <v>239</v>
      </c>
      <c r="B240" s="110" t="s">
        <v>27</v>
      </c>
      <c r="C240" s="110" t="s">
        <v>705</v>
      </c>
      <c r="D240" s="111" t="s">
        <v>2171</v>
      </c>
      <c r="E240" s="110"/>
      <c r="F240" s="110" t="s">
        <v>2094</v>
      </c>
      <c r="G240" s="110" t="n">
        <v>1</v>
      </c>
      <c r="H240" s="110" t="s">
        <v>2060</v>
      </c>
      <c r="I240" s="110" t="n">
        <v>12</v>
      </c>
      <c r="J240" s="110" t="s">
        <v>2120</v>
      </c>
      <c r="K240" s="110" t="s">
        <v>2062</v>
      </c>
    </row>
    <row r="241" customFormat="false" ht="11.25" hidden="false" customHeight="false" outlineLevel="0" collapsed="false">
      <c r="A241" s="110" t="n">
        <f aca="false">IF(B241&lt;&gt;"", COUNTA($B$2:B241), "")</f>
        <v>240</v>
      </c>
      <c r="B241" s="110" t="s">
        <v>27</v>
      </c>
      <c r="C241" s="110" t="s">
        <v>28</v>
      </c>
      <c r="D241" s="111" t="s">
        <v>2172</v>
      </c>
      <c r="E241" s="110"/>
      <c r="F241" s="110" t="s">
        <v>2113</v>
      </c>
      <c r="G241" s="110" t="n">
        <v>1.5</v>
      </c>
      <c r="H241" s="110" t="s">
        <v>2060</v>
      </c>
      <c r="I241" s="110" t="n">
        <v>12</v>
      </c>
      <c r="J241" s="110" t="s">
        <v>2120</v>
      </c>
      <c r="K241" s="110" t="s">
        <v>2121</v>
      </c>
    </row>
    <row r="242" customFormat="false" ht="11.25" hidden="false" customHeight="false" outlineLevel="0" collapsed="false">
      <c r="A242" s="110" t="n">
        <f aca="false">IF(B242&lt;&gt;"", COUNTA($B$2:B242), "")</f>
        <v>241</v>
      </c>
      <c r="B242" s="110" t="s">
        <v>27</v>
      </c>
      <c r="C242" s="110" t="s">
        <v>28</v>
      </c>
      <c r="D242" s="111" t="s">
        <v>2173</v>
      </c>
      <c r="E242" s="110"/>
      <c r="F242" s="110" t="s">
        <v>2113</v>
      </c>
      <c r="G242" s="110" t="n">
        <v>1</v>
      </c>
      <c r="H242" s="110" t="s">
        <v>2060</v>
      </c>
      <c r="I242" s="110" t="n">
        <v>12</v>
      </c>
      <c r="J242" s="110" t="s">
        <v>2120</v>
      </c>
      <c r="K242" s="110" t="s">
        <v>2121</v>
      </c>
    </row>
    <row r="243" customFormat="false" ht="11.25" hidden="false" customHeight="false" outlineLevel="0" collapsed="false">
      <c r="A243" s="110" t="n">
        <f aca="false">IF(B243&lt;&gt;"", COUNTA($B$2:B243), "")</f>
        <v>242</v>
      </c>
      <c r="B243" s="110" t="s">
        <v>27</v>
      </c>
      <c r="C243" s="110" t="s">
        <v>28</v>
      </c>
      <c r="D243" s="111" t="n">
        <v>15181</v>
      </c>
      <c r="E243" s="110"/>
      <c r="F243" s="110" t="s">
        <v>2119</v>
      </c>
      <c r="G243" s="110" t="n">
        <v>1.5</v>
      </c>
      <c r="H243" s="110" t="s">
        <v>2060</v>
      </c>
      <c r="I243" s="110" t="n">
        <v>12</v>
      </c>
      <c r="J243" s="110" t="s">
        <v>2120</v>
      </c>
      <c r="K243" s="110" t="s">
        <v>2121</v>
      </c>
    </row>
    <row r="244" customFormat="false" ht="11.25" hidden="false" customHeight="false" outlineLevel="0" collapsed="false">
      <c r="A244" s="110" t="n">
        <f aca="false">IF(B244&lt;&gt;"", COUNTA($B$2:B244), "")</f>
        <v>243</v>
      </c>
      <c r="B244" s="110" t="s">
        <v>27</v>
      </c>
      <c r="C244" s="110" t="s">
        <v>28</v>
      </c>
      <c r="D244" s="111" t="s">
        <v>2174</v>
      </c>
      <c r="E244" s="110"/>
      <c r="F244" s="110" t="s">
        <v>2113</v>
      </c>
      <c r="G244" s="110" t="n">
        <v>1.5</v>
      </c>
      <c r="H244" s="110" t="s">
        <v>2060</v>
      </c>
      <c r="I244" s="110" t="n">
        <v>12</v>
      </c>
      <c r="J244" s="110" t="s">
        <v>2061</v>
      </c>
      <c r="K244" s="110" t="s">
        <v>2081</v>
      </c>
    </row>
    <row r="245" customFormat="false" ht="11.25" hidden="false" customHeight="false" outlineLevel="0" collapsed="false">
      <c r="A245" s="110" t="n">
        <f aca="false">IF(B245&lt;&gt;"", COUNTA($B$2:B245), "")</f>
        <v>244</v>
      </c>
      <c r="B245" s="110" t="s">
        <v>27</v>
      </c>
      <c r="C245" s="110" t="s">
        <v>28</v>
      </c>
      <c r="D245" s="111" t="s">
        <v>2175</v>
      </c>
      <c r="E245" s="110"/>
      <c r="F245" s="110" t="s">
        <v>2113</v>
      </c>
      <c r="G245" s="110" t="n">
        <v>1.5</v>
      </c>
      <c r="H245" s="110" t="s">
        <v>2060</v>
      </c>
      <c r="I245" s="110" t="n">
        <v>12</v>
      </c>
      <c r="J245" s="110" t="s">
        <v>1291</v>
      </c>
      <c r="K245" s="110" t="s">
        <v>2081</v>
      </c>
    </row>
    <row r="246" customFormat="false" ht="11.25" hidden="false" customHeight="false" outlineLevel="0" collapsed="false">
      <c r="A246" s="110" t="n">
        <f aca="false">IF(B246&lt;&gt;"", COUNTA($B$2:B246), "")</f>
        <v>245</v>
      </c>
      <c r="B246" s="110" t="s">
        <v>27</v>
      </c>
      <c r="C246" s="110" t="s">
        <v>28</v>
      </c>
      <c r="D246" s="111" t="s">
        <v>2176</v>
      </c>
      <c r="E246" s="110"/>
      <c r="F246" s="110" t="s">
        <v>2113</v>
      </c>
      <c r="G246" s="110" t="n">
        <v>1.5</v>
      </c>
      <c r="H246" s="110" t="s">
        <v>2060</v>
      </c>
      <c r="I246" s="110" t="n">
        <v>12</v>
      </c>
      <c r="J246" s="110" t="s">
        <v>1291</v>
      </c>
      <c r="K246" s="110" t="s">
        <v>2081</v>
      </c>
    </row>
    <row r="247" customFormat="false" ht="11.25" hidden="false" customHeight="false" outlineLevel="0" collapsed="false">
      <c r="A247" s="110" t="n">
        <f aca="false">IF(B247&lt;&gt;"", COUNTA($B$2:B247), "")</f>
        <v>246</v>
      </c>
      <c r="B247" s="110" t="s">
        <v>27</v>
      </c>
      <c r="C247" s="110" t="s">
        <v>28</v>
      </c>
      <c r="D247" s="111" t="s">
        <v>2177</v>
      </c>
      <c r="E247" s="110"/>
      <c r="F247" s="110" t="s">
        <v>2113</v>
      </c>
      <c r="G247" s="110" t="n">
        <v>1.5</v>
      </c>
      <c r="H247" s="110" t="s">
        <v>2060</v>
      </c>
      <c r="I247" s="110" t="n">
        <v>12</v>
      </c>
      <c r="J247" s="110" t="s">
        <v>1291</v>
      </c>
      <c r="K247" s="110" t="s">
        <v>2081</v>
      </c>
    </row>
    <row r="248" customFormat="false" ht="11.25" hidden="false" customHeight="false" outlineLevel="0" collapsed="false">
      <c r="A248" s="110" t="n">
        <f aca="false">IF(B248&lt;&gt;"", COUNTA($B$2:B248), "")</f>
        <v>247</v>
      </c>
      <c r="B248" s="110" t="s">
        <v>27</v>
      </c>
      <c r="C248" s="110" t="s">
        <v>28</v>
      </c>
      <c r="D248" s="111" t="s">
        <v>2178</v>
      </c>
      <c r="E248" s="110"/>
      <c r="F248" s="110" t="s">
        <v>2113</v>
      </c>
      <c r="G248" s="110" t="n">
        <v>1.5</v>
      </c>
      <c r="H248" s="110" t="s">
        <v>2060</v>
      </c>
      <c r="I248" s="110" t="n">
        <v>12</v>
      </c>
      <c r="J248" s="110" t="s">
        <v>1291</v>
      </c>
      <c r="K248" s="110" t="s">
        <v>2081</v>
      </c>
    </row>
    <row r="249" customFormat="false" ht="11.25" hidden="false" customHeight="false" outlineLevel="0" collapsed="false">
      <c r="A249" s="110" t="n">
        <f aca="false">IF(B249&lt;&gt;"", COUNTA($B$2:B249), "")</f>
        <v>248</v>
      </c>
      <c r="B249" s="110" t="s">
        <v>27</v>
      </c>
      <c r="C249" s="110" t="s">
        <v>28</v>
      </c>
      <c r="D249" s="111" t="s">
        <v>2179</v>
      </c>
      <c r="E249" s="110"/>
      <c r="F249" s="110" t="s">
        <v>2113</v>
      </c>
      <c r="G249" s="110" t="n">
        <v>1.5</v>
      </c>
      <c r="H249" s="110" t="s">
        <v>2060</v>
      </c>
      <c r="I249" s="110" t="n">
        <v>12</v>
      </c>
      <c r="J249" s="110" t="s">
        <v>1291</v>
      </c>
      <c r="K249" s="110" t="s">
        <v>2081</v>
      </c>
    </row>
    <row r="250" customFormat="false" ht="11.25" hidden="false" customHeight="false" outlineLevel="0" collapsed="false">
      <c r="A250" s="110" t="n">
        <f aca="false">IF(B250&lt;&gt;"", COUNTA($B$2:B250), "")</f>
        <v>249</v>
      </c>
      <c r="B250" s="110" t="s">
        <v>27</v>
      </c>
      <c r="C250" s="110" t="s">
        <v>28</v>
      </c>
      <c r="D250" s="111" t="s">
        <v>2180</v>
      </c>
      <c r="E250" s="110"/>
      <c r="F250" s="110" t="s">
        <v>2113</v>
      </c>
      <c r="G250" s="110" t="n">
        <v>1.5</v>
      </c>
      <c r="H250" s="110" t="s">
        <v>2060</v>
      </c>
      <c r="I250" s="110" t="n">
        <v>12</v>
      </c>
      <c r="J250" s="110" t="s">
        <v>1291</v>
      </c>
      <c r="K250" s="110" t="s">
        <v>2081</v>
      </c>
    </row>
    <row r="251" customFormat="false" ht="11.25" hidden="false" customHeight="false" outlineLevel="0" collapsed="false">
      <c r="A251" s="110" t="n">
        <f aca="false">IF(B251&lt;&gt;"", COUNTA($B$2:B251), "")</f>
        <v>250</v>
      </c>
      <c r="B251" s="110" t="s">
        <v>27</v>
      </c>
      <c r="C251" s="110" t="s">
        <v>28</v>
      </c>
      <c r="D251" s="111" t="s">
        <v>2181</v>
      </c>
      <c r="E251" s="110"/>
      <c r="F251" s="110" t="s">
        <v>2113</v>
      </c>
      <c r="G251" s="110" t="n">
        <v>1.5</v>
      </c>
      <c r="H251" s="110" t="s">
        <v>2060</v>
      </c>
      <c r="I251" s="110" t="n">
        <v>12</v>
      </c>
      <c r="J251" s="110" t="s">
        <v>1291</v>
      </c>
      <c r="K251" s="110" t="s">
        <v>2081</v>
      </c>
    </row>
    <row r="252" customFormat="false" ht="11.25" hidden="false" customHeight="false" outlineLevel="0" collapsed="false">
      <c r="A252" s="110" t="n">
        <f aca="false">IF(B252&lt;&gt;"", COUNTA($B$2:B252), "")</f>
        <v>251</v>
      </c>
      <c r="B252" s="110" t="s">
        <v>27</v>
      </c>
      <c r="C252" s="110" t="s">
        <v>28</v>
      </c>
      <c r="D252" s="111" t="s">
        <v>2182</v>
      </c>
      <c r="E252" s="110"/>
      <c r="F252" s="110" t="s">
        <v>2113</v>
      </c>
      <c r="G252" s="110" t="n">
        <v>1.5</v>
      </c>
      <c r="H252" s="110" t="s">
        <v>2060</v>
      </c>
      <c r="I252" s="110" t="n">
        <v>12</v>
      </c>
      <c r="J252" s="110" t="s">
        <v>1291</v>
      </c>
      <c r="K252" s="110" t="s">
        <v>2081</v>
      </c>
    </row>
    <row r="253" customFormat="false" ht="11.25" hidden="false" customHeight="false" outlineLevel="0" collapsed="false">
      <c r="A253" s="110" t="n">
        <f aca="false">IF(B253&lt;&gt;"", COUNTA($B$2:B253), "")</f>
        <v>252</v>
      </c>
      <c r="B253" s="110" t="s">
        <v>27</v>
      </c>
      <c r="C253" s="110" t="s">
        <v>28</v>
      </c>
      <c r="D253" s="111" t="s">
        <v>2183</v>
      </c>
      <c r="E253" s="110"/>
      <c r="F253" s="110" t="s">
        <v>2113</v>
      </c>
      <c r="G253" s="110" t="n">
        <v>1.5</v>
      </c>
      <c r="H253" s="110" t="s">
        <v>2060</v>
      </c>
      <c r="I253" s="110" t="n">
        <v>12</v>
      </c>
      <c r="J253" s="110" t="s">
        <v>1291</v>
      </c>
      <c r="K253" s="110" t="s">
        <v>2081</v>
      </c>
    </row>
    <row r="254" customFormat="false" ht="11.25" hidden="false" customHeight="false" outlineLevel="0" collapsed="false">
      <c r="A254" s="110" t="n">
        <f aca="false">IF(B254&lt;&gt;"", COUNTA($B$2:B254), "")</f>
        <v>253</v>
      </c>
      <c r="B254" s="110" t="s">
        <v>27</v>
      </c>
      <c r="C254" s="110" t="s">
        <v>28</v>
      </c>
      <c r="D254" s="111" t="s">
        <v>2184</v>
      </c>
      <c r="E254" s="110"/>
      <c r="F254" s="110" t="s">
        <v>2113</v>
      </c>
      <c r="G254" s="110" t="n">
        <v>1.5</v>
      </c>
      <c r="H254" s="110" t="s">
        <v>2060</v>
      </c>
      <c r="I254" s="110" t="n">
        <v>12</v>
      </c>
      <c r="J254" s="110" t="s">
        <v>1291</v>
      </c>
      <c r="K254" s="110" t="s">
        <v>2081</v>
      </c>
    </row>
    <row r="255" s="117" customFormat="true" ht="11.25" hidden="false" customHeight="false" outlineLevel="0" collapsed="false">
      <c r="A255" s="115" t="n">
        <f aca="false">IF(B255&lt;&gt;"", COUNTA($B$2:B255), "")</f>
        <v>254</v>
      </c>
      <c r="B255" s="115" t="s">
        <v>27</v>
      </c>
      <c r="C255" s="115" t="s">
        <v>500</v>
      </c>
      <c r="D255" s="116" t="s">
        <v>2185</v>
      </c>
      <c r="E255" s="115" t="n">
        <v>1999</v>
      </c>
      <c r="F255" s="115" t="s">
        <v>2094</v>
      </c>
      <c r="G255" s="115" t="n">
        <v>1.5</v>
      </c>
      <c r="H255" s="115" t="s">
        <v>2060</v>
      </c>
      <c r="I255" s="115" t="n">
        <v>12</v>
      </c>
      <c r="J255" s="115" t="s">
        <v>2120</v>
      </c>
      <c r="K255" s="115" t="s">
        <v>2062</v>
      </c>
    </row>
    <row r="256" s="117" customFormat="true" ht="11.25" hidden="false" customHeight="false" outlineLevel="0" collapsed="false">
      <c r="A256" s="115" t="n">
        <f aca="false">IF(B256&lt;&gt;"", COUNTA($B$2:B256), "")</f>
        <v>255</v>
      </c>
      <c r="B256" s="115" t="s">
        <v>27</v>
      </c>
      <c r="C256" s="115" t="s">
        <v>500</v>
      </c>
      <c r="D256" s="116" t="s">
        <v>2186</v>
      </c>
      <c r="E256" s="115"/>
      <c r="F256" s="115" t="s">
        <v>2126</v>
      </c>
      <c r="G256" s="115" t="n">
        <v>1.5</v>
      </c>
      <c r="H256" s="115" t="s">
        <v>2060</v>
      </c>
      <c r="I256" s="115" t="n">
        <v>12</v>
      </c>
      <c r="J256" s="115" t="s">
        <v>2120</v>
      </c>
      <c r="K256" s="115" t="s">
        <v>2062</v>
      </c>
    </row>
    <row r="257" s="117" customFormat="true" ht="11.25" hidden="false" customHeight="false" outlineLevel="0" collapsed="false">
      <c r="A257" s="115" t="n">
        <f aca="false">IF(B257&lt;&gt;"", COUNTA($B$2:B257), "")</f>
        <v>256</v>
      </c>
      <c r="B257" s="115" t="s">
        <v>27</v>
      </c>
      <c r="C257" s="115" t="s">
        <v>1000</v>
      </c>
      <c r="D257" s="116" t="s">
        <v>2187</v>
      </c>
      <c r="E257" s="115"/>
      <c r="F257" s="115" t="s">
        <v>2094</v>
      </c>
      <c r="G257" s="115" t="n">
        <v>1.5</v>
      </c>
      <c r="H257" s="115" t="s">
        <v>2060</v>
      </c>
      <c r="I257" s="115" t="n">
        <v>12</v>
      </c>
      <c r="J257" s="115" t="s">
        <v>2120</v>
      </c>
      <c r="K257" s="115" t="s">
        <v>2062</v>
      </c>
    </row>
    <row r="258" customFormat="false" ht="11.25" hidden="false" customHeight="false" outlineLevel="0" collapsed="false">
      <c r="A258" s="110" t="n">
        <f aca="false">IF(B258&lt;&gt;"", COUNTA($B$2:B258), "")</f>
        <v>257</v>
      </c>
      <c r="B258" s="110" t="s">
        <v>27</v>
      </c>
      <c r="C258" s="110" t="s">
        <v>28</v>
      </c>
      <c r="D258" s="111" t="s">
        <v>2188</v>
      </c>
      <c r="E258" s="110"/>
      <c r="F258" s="110" t="s">
        <v>2113</v>
      </c>
      <c r="G258" s="110" t="n">
        <v>1.5</v>
      </c>
      <c r="H258" s="110" t="s">
        <v>2060</v>
      </c>
      <c r="I258" s="110" t="n">
        <v>12</v>
      </c>
      <c r="J258" s="110" t="s">
        <v>1291</v>
      </c>
      <c r="K258" s="110" t="s">
        <v>2081</v>
      </c>
    </row>
    <row r="259" customFormat="false" ht="11.25" hidden="false" customHeight="false" outlineLevel="0" collapsed="false">
      <c r="A259" s="110" t="n">
        <f aca="false">IF(B259&lt;&gt;"", COUNTA($B$2:B259), "")</f>
        <v>258</v>
      </c>
      <c r="B259" s="110" t="s">
        <v>46</v>
      </c>
      <c r="C259" s="110" t="s">
        <v>2189</v>
      </c>
      <c r="D259" s="111" t="s">
        <v>2190</v>
      </c>
      <c r="E259" s="110"/>
      <c r="F259" s="110" t="s">
        <v>2191</v>
      </c>
      <c r="G259" s="110" t="n">
        <v>1.5</v>
      </c>
      <c r="H259" s="110" t="s">
        <v>2060</v>
      </c>
      <c r="I259" s="110" t="n">
        <v>24</v>
      </c>
      <c r="J259" s="110" t="s">
        <v>2086</v>
      </c>
      <c r="K259" s="110" t="s">
        <v>2192</v>
      </c>
    </row>
    <row r="260" customFormat="false" ht="11.25" hidden="false" customHeight="false" outlineLevel="0" collapsed="false">
      <c r="A260" s="110" t="n">
        <f aca="false">IF(B260&lt;&gt;"", COUNTA($B$2:B260), "")</f>
        <v>259</v>
      </c>
      <c r="B260" s="110" t="s">
        <v>46</v>
      </c>
      <c r="C260" s="110" t="s">
        <v>2189</v>
      </c>
      <c r="D260" s="111" t="s">
        <v>2193</v>
      </c>
      <c r="E260" s="110"/>
      <c r="F260" s="110" t="s">
        <v>2191</v>
      </c>
      <c r="G260" s="110" t="n">
        <v>1.5</v>
      </c>
      <c r="H260" s="110" t="s">
        <v>2060</v>
      </c>
      <c r="I260" s="110" t="n">
        <v>24</v>
      </c>
      <c r="J260" s="110" t="s">
        <v>2066</v>
      </c>
      <c r="K260" s="110" t="s">
        <v>2192</v>
      </c>
    </row>
    <row r="261" customFormat="false" ht="11.25" hidden="false" customHeight="false" outlineLevel="0" collapsed="false">
      <c r="A261" s="110" t="n">
        <f aca="false">IF(B261&lt;&gt;"", COUNTA($B$2:B261), "")</f>
        <v>260</v>
      </c>
      <c r="B261" s="110" t="s">
        <v>46</v>
      </c>
      <c r="C261" s="110" t="s">
        <v>47</v>
      </c>
      <c r="D261" s="111" t="s">
        <v>2194</v>
      </c>
      <c r="E261" s="110" t="n">
        <v>2012</v>
      </c>
      <c r="F261" s="110" t="s">
        <v>2195</v>
      </c>
      <c r="G261" s="110" t="n">
        <v>1</v>
      </c>
      <c r="H261" s="110" t="s">
        <v>2060</v>
      </c>
      <c r="I261" s="110" t="n">
        <v>24</v>
      </c>
      <c r="J261" s="110" t="s">
        <v>2086</v>
      </c>
      <c r="K261" s="110" t="s">
        <v>2192</v>
      </c>
    </row>
    <row r="262" customFormat="false" ht="11.25" hidden="false" customHeight="false" outlineLevel="0" collapsed="false">
      <c r="A262" s="110" t="n">
        <f aca="false">IF(B262&lt;&gt;"", COUNTA($B$2:B262), "")</f>
        <v>261</v>
      </c>
      <c r="B262" s="110" t="s">
        <v>46</v>
      </c>
      <c r="C262" s="110" t="s">
        <v>1755</v>
      </c>
      <c r="D262" s="111" t="s">
        <v>2196</v>
      </c>
      <c r="E262" s="110"/>
      <c r="F262" s="15" t="s">
        <v>2197</v>
      </c>
      <c r="G262" s="110" t="n">
        <v>1.5</v>
      </c>
      <c r="H262" s="110" t="s">
        <v>2060</v>
      </c>
      <c r="I262" s="110" t="n">
        <v>24</v>
      </c>
      <c r="J262" s="110" t="s">
        <v>2066</v>
      </c>
      <c r="K262" s="110" t="s">
        <v>2198</v>
      </c>
    </row>
    <row r="263" customFormat="false" ht="11.25" hidden="false" customHeight="false" outlineLevel="0" collapsed="false">
      <c r="A263" s="110" t="n">
        <f aca="false">IF(B263&lt;&gt;"", COUNTA($B$2:B263), "")</f>
        <v>262</v>
      </c>
      <c r="B263" s="110" t="s">
        <v>46</v>
      </c>
      <c r="C263" s="110" t="s">
        <v>2199</v>
      </c>
      <c r="D263" s="111" t="n">
        <v>112001890</v>
      </c>
      <c r="E263" s="110"/>
      <c r="F263" s="110" t="s">
        <v>2200</v>
      </c>
      <c r="G263" s="110" t="n">
        <v>1</v>
      </c>
      <c r="H263" s="110" t="s">
        <v>2060</v>
      </c>
      <c r="I263" s="110" t="n">
        <v>24</v>
      </c>
      <c r="J263" s="110" t="s">
        <v>2066</v>
      </c>
      <c r="K263" s="110" t="s">
        <v>2201</v>
      </c>
    </row>
    <row r="264" customFormat="false" ht="11.25" hidden="false" customHeight="false" outlineLevel="0" collapsed="false">
      <c r="A264" s="110" t="n">
        <f aca="false">IF(B264&lt;&gt;"", COUNTA($B$2:B264), "")</f>
        <v>263</v>
      </c>
      <c r="B264" s="110" t="s">
        <v>46</v>
      </c>
      <c r="C264" s="110" t="s">
        <v>2199</v>
      </c>
      <c r="D264" s="111" t="n">
        <v>112001889</v>
      </c>
      <c r="E264" s="110"/>
      <c r="F264" s="110" t="s">
        <v>2200</v>
      </c>
      <c r="G264" s="110" t="n">
        <v>1</v>
      </c>
      <c r="H264" s="110" t="s">
        <v>2060</v>
      </c>
      <c r="I264" s="110" t="n">
        <v>24</v>
      </c>
      <c r="J264" s="110" t="s">
        <v>2066</v>
      </c>
      <c r="K264" s="110" t="s">
        <v>2201</v>
      </c>
    </row>
    <row r="265" customFormat="false" ht="11.25" hidden="false" customHeight="false" outlineLevel="0" collapsed="false">
      <c r="A265" s="110" t="n">
        <f aca="false">IF(B265&lt;&gt;"", COUNTA($B$2:B265), "")</f>
        <v>264</v>
      </c>
      <c r="B265" s="110" t="s">
        <v>46</v>
      </c>
      <c r="C265" s="110" t="s">
        <v>2199</v>
      </c>
      <c r="D265" s="111" t="n">
        <v>112001894</v>
      </c>
      <c r="E265" s="110"/>
      <c r="F265" s="110" t="s">
        <v>2200</v>
      </c>
      <c r="G265" s="110" t="n">
        <v>1</v>
      </c>
      <c r="H265" s="110" t="s">
        <v>2060</v>
      </c>
      <c r="I265" s="110" t="n">
        <v>24</v>
      </c>
      <c r="J265" s="110" t="s">
        <v>2066</v>
      </c>
      <c r="K265" s="110" t="s">
        <v>2201</v>
      </c>
    </row>
    <row r="266" customFormat="false" ht="11.25" hidden="false" customHeight="false" outlineLevel="0" collapsed="false">
      <c r="A266" s="110" t="n">
        <f aca="false">IF(B266&lt;&gt;"", COUNTA($B$2:B266), "")</f>
        <v>265</v>
      </c>
      <c r="B266" s="110" t="s">
        <v>46</v>
      </c>
      <c r="C266" s="110" t="s">
        <v>1242</v>
      </c>
      <c r="D266" s="111" t="n">
        <v>6557</v>
      </c>
      <c r="E266" s="110"/>
      <c r="F266" s="110" t="s">
        <v>2195</v>
      </c>
      <c r="G266" s="110" t="n">
        <v>1</v>
      </c>
      <c r="H266" s="110" t="s">
        <v>2060</v>
      </c>
      <c r="I266" s="110" t="n">
        <v>24</v>
      </c>
      <c r="J266" s="110" t="s">
        <v>2066</v>
      </c>
      <c r="K266" s="110" t="s">
        <v>2202</v>
      </c>
    </row>
    <row r="267" customFormat="false" ht="11.25" hidden="false" customHeight="false" outlineLevel="0" collapsed="false">
      <c r="A267" s="110" t="n">
        <f aca="false">IF(B267&lt;&gt;"", COUNTA($B$2:B267), "")</f>
        <v>266</v>
      </c>
      <c r="B267" s="110" t="s">
        <v>46</v>
      </c>
      <c r="C267" s="110" t="s">
        <v>1242</v>
      </c>
      <c r="D267" s="111" t="n">
        <v>9450</v>
      </c>
      <c r="E267" s="110"/>
      <c r="F267" s="110" t="s">
        <v>2191</v>
      </c>
      <c r="G267" s="110" t="n">
        <v>1</v>
      </c>
      <c r="H267" s="110" t="s">
        <v>2060</v>
      </c>
      <c r="I267" s="110" t="n">
        <v>24</v>
      </c>
      <c r="J267" s="110" t="s">
        <v>2066</v>
      </c>
      <c r="K267" s="110" t="s">
        <v>2203</v>
      </c>
    </row>
    <row r="268" customFormat="false" ht="11.25" hidden="false" customHeight="false" outlineLevel="0" collapsed="false">
      <c r="A268" s="110" t="n">
        <f aca="false">IF(B268&lt;&gt;"", COUNTA($B$2:B268), "")</f>
        <v>267</v>
      </c>
      <c r="B268" s="110" t="s">
        <v>46</v>
      </c>
      <c r="C268" s="110" t="s">
        <v>1242</v>
      </c>
      <c r="D268" s="111" t="n">
        <v>725</v>
      </c>
      <c r="E268" s="110"/>
      <c r="F268" s="15" t="s">
        <v>2204</v>
      </c>
      <c r="G268" s="110" t="n">
        <v>1</v>
      </c>
      <c r="H268" s="110" t="s">
        <v>2060</v>
      </c>
      <c r="I268" s="110" t="n">
        <v>24</v>
      </c>
      <c r="J268" s="110" t="s">
        <v>2066</v>
      </c>
      <c r="K268" s="110" t="s">
        <v>2203</v>
      </c>
    </row>
    <row r="269" customFormat="false" ht="11.25" hidden="false" customHeight="false" outlineLevel="0" collapsed="false">
      <c r="A269" s="110" t="n">
        <f aca="false">IF(B269&lt;&gt;"", COUNTA($B$2:B269), "")</f>
        <v>268</v>
      </c>
      <c r="B269" s="110" t="s">
        <v>46</v>
      </c>
      <c r="C269" s="110" t="s">
        <v>1242</v>
      </c>
      <c r="D269" s="111" t="n">
        <v>6593</v>
      </c>
      <c r="E269" s="110"/>
      <c r="F269" s="110" t="s">
        <v>2195</v>
      </c>
      <c r="G269" s="110" t="n">
        <v>1</v>
      </c>
      <c r="H269" s="110" t="s">
        <v>2060</v>
      </c>
      <c r="I269" s="110" t="n">
        <v>24</v>
      </c>
      <c r="J269" s="110" t="s">
        <v>2066</v>
      </c>
      <c r="K269" s="110" t="s">
        <v>2205</v>
      </c>
    </row>
    <row r="270" customFormat="false" ht="11.25" hidden="false" customHeight="false" outlineLevel="0" collapsed="false">
      <c r="A270" s="110" t="n">
        <f aca="false">IF(B270&lt;&gt;"", COUNTA($B$2:B270), "")</f>
        <v>269</v>
      </c>
      <c r="B270" s="110" t="s">
        <v>46</v>
      </c>
      <c r="C270" s="110" t="s">
        <v>47</v>
      </c>
      <c r="D270" s="111" t="n">
        <v>5797</v>
      </c>
      <c r="E270" s="110"/>
      <c r="F270" s="110" t="s">
        <v>2191</v>
      </c>
      <c r="G270" s="110" t="n">
        <v>1</v>
      </c>
      <c r="H270" s="110" t="s">
        <v>2060</v>
      </c>
      <c r="I270" s="110" t="n">
        <v>24</v>
      </c>
      <c r="J270" s="110" t="s">
        <v>2066</v>
      </c>
      <c r="K270" s="110" t="s">
        <v>2205</v>
      </c>
    </row>
    <row r="271" customFormat="false" ht="11.25" hidden="false" customHeight="false" outlineLevel="0" collapsed="false">
      <c r="A271" s="110" t="n">
        <f aca="false">IF(B271&lt;&gt;"", COUNTA($B$2:B271), "")</f>
        <v>270</v>
      </c>
      <c r="B271" s="110" t="s">
        <v>46</v>
      </c>
      <c r="C271" s="110" t="s">
        <v>2189</v>
      </c>
      <c r="D271" s="111" t="n">
        <v>7598</v>
      </c>
      <c r="E271" s="110"/>
      <c r="F271" s="15" t="s">
        <v>2206</v>
      </c>
      <c r="G271" s="110" t="n">
        <v>1.5</v>
      </c>
      <c r="H271" s="110" t="s">
        <v>2060</v>
      </c>
      <c r="I271" s="110" t="n">
        <v>24</v>
      </c>
      <c r="J271" s="110" t="s">
        <v>2066</v>
      </c>
      <c r="K271" s="110" t="s">
        <v>2192</v>
      </c>
    </row>
    <row r="272" customFormat="false" ht="11.25" hidden="false" customHeight="false" outlineLevel="0" collapsed="false">
      <c r="A272" s="110" t="n">
        <f aca="false">IF(B272&lt;&gt;"", COUNTA($B$2:B272), "")</f>
        <v>271</v>
      </c>
      <c r="B272" s="110" t="s">
        <v>46</v>
      </c>
      <c r="C272" s="110" t="s">
        <v>47</v>
      </c>
      <c r="D272" s="111" t="n">
        <v>9645</v>
      </c>
      <c r="E272" s="110"/>
      <c r="F272" s="110" t="s">
        <v>2191</v>
      </c>
      <c r="G272" s="110" t="n">
        <v>1</v>
      </c>
      <c r="H272" s="110" t="s">
        <v>2060</v>
      </c>
      <c r="I272" s="110" t="n">
        <v>24</v>
      </c>
      <c r="J272" s="110" t="s">
        <v>2066</v>
      </c>
      <c r="K272" s="110" t="s">
        <v>2207</v>
      </c>
    </row>
    <row r="273" customFormat="false" ht="11.25" hidden="false" customHeight="false" outlineLevel="0" collapsed="false">
      <c r="A273" s="110" t="n">
        <f aca="false">IF(B273&lt;&gt;"", COUNTA($B$2:B273), "")</f>
        <v>272</v>
      </c>
      <c r="B273" s="110" t="s">
        <v>46</v>
      </c>
      <c r="C273" s="110" t="s">
        <v>47</v>
      </c>
      <c r="D273" s="111" t="n">
        <v>8960</v>
      </c>
      <c r="E273" s="110"/>
      <c r="F273" s="110" t="s">
        <v>2208</v>
      </c>
      <c r="G273" s="110" t="n">
        <v>1.5</v>
      </c>
      <c r="H273" s="110" t="s">
        <v>2060</v>
      </c>
      <c r="I273" s="110" t="n">
        <v>24</v>
      </c>
      <c r="J273" s="110" t="s">
        <v>2066</v>
      </c>
      <c r="K273" s="110" t="s">
        <v>2205</v>
      </c>
    </row>
    <row r="274" customFormat="false" ht="11.25" hidden="false" customHeight="false" outlineLevel="0" collapsed="false">
      <c r="A274" s="110" t="n">
        <f aca="false">IF(B274&lt;&gt;"", COUNTA($B$2:B274), "")</f>
        <v>273</v>
      </c>
      <c r="B274" s="110" t="s">
        <v>46</v>
      </c>
      <c r="C274" s="110" t="s">
        <v>1242</v>
      </c>
      <c r="D274" s="111" t="n">
        <v>6553</v>
      </c>
      <c r="E274" s="110"/>
      <c r="F274" s="110" t="s">
        <v>2195</v>
      </c>
      <c r="G274" s="110" t="n">
        <v>1</v>
      </c>
      <c r="H274" s="110" t="s">
        <v>2060</v>
      </c>
      <c r="I274" s="110" t="n">
        <v>24</v>
      </c>
      <c r="J274" s="110" t="s">
        <v>2066</v>
      </c>
      <c r="K274" s="110" t="s">
        <v>2202</v>
      </c>
    </row>
    <row r="275" customFormat="false" ht="11.25" hidden="false" customHeight="false" outlineLevel="0" collapsed="false">
      <c r="A275" s="110" t="n">
        <f aca="false">IF(B275&lt;&gt;"", COUNTA($B$2:B275), "")</f>
        <v>274</v>
      </c>
      <c r="B275" s="110" t="s">
        <v>46</v>
      </c>
      <c r="C275" s="110" t="s">
        <v>2209</v>
      </c>
      <c r="D275" s="111" t="n">
        <v>7315</v>
      </c>
      <c r="E275" s="110"/>
      <c r="F275" s="110" t="s">
        <v>2208</v>
      </c>
      <c r="G275" s="110" t="n">
        <v>1.5</v>
      </c>
      <c r="H275" s="110" t="s">
        <v>2060</v>
      </c>
      <c r="I275" s="110" t="n">
        <v>24</v>
      </c>
      <c r="J275" s="110" t="s">
        <v>2066</v>
      </c>
      <c r="K275" s="110" t="s">
        <v>2202</v>
      </c>
    </row>
    <row r="276" customFormat="false" ht="11.25" hidden="false" customHeight="false" outlineLevel="0" collapsed="false">
      <c r="A276" s="110" t="n">
        <f aca="false">IF(B276&lt;&gt;"", COUNTA($B$2:B276), "")</f>
        <v>275</v>
      </c>
      <c r="B276" s="110" t="s">
        <v>46</v>
      </c>
      <c r="C276" s="110" t="s">
        <v>1733</v>
      </c>
      <c r="D276" s="111" t="n">
        <v>1289</v>
      </c>
      <c r="E276" s="110"/>
      <c r="F276" s="110" t="s">
        <v>2191</v>
      </c>
      <c r="G276" s="110" t="n">
        <v>1.5</v>
      </c>
      <c r="H276" s="110" t="s">
        <v>2060</v>
      </c>
      <c r="I276" s="110" t="n">
        <v>24</v>
      </c>
      <c r="J276" s="110" t="s">
        <v>2066</v>
      </c>
      <c r="K276" s="110" t="s">
        <v>2203</v>
      </c>
    </row>
    <row r="277" customFormat="false" ht="11.25" hidden="false" customHeight="false" outlineLevel="0" collapsed="false">
      <c r="A277" s="110" t="n">
        <f aca="false">IF(B277&lt;&gt;"", COUNTA($B$2:B277), "")</f>
        <v>276</v>
      </c>
      <c r="B277" s="110" t="s">
        <v>46</v>
      </c>
      <c r="C277" s="110" t="s">
        <v>47</v>
      </c>
      <c r="D277" s="111" t="n">
        <v>5212</v>
      </c>
      <c r="E277" s="110"/>
      <c r="F277" s="110" t="s">
        <v>2191</v>
      </c>
      <c r="G277" s="110" t="n">
        <v>1</v>
      </c>
      <c r="H277" s="110" t="s">
        <v>2060</v>
      </c>
      <c r="I277" s="110" t="n">
        <v>24</v>
      </c>
      <c r="J277" s="110" t="s">
        <v>2066</v>
      </c>
      <c r="K277" s="110" t="s">
        <v>2207</v>
      </c>
    </row>
    <row r="278" customFormat="false" ht="11.25" hidden="false" customHeight="false" outlineLevel="0" collapsed="false">
      <c r="A278" s="110" t="n">
        <f aca="false">IF(B278&lt;&gt;"", COUNTA($B$2:B278), "")</f>
        <v>277</v>
      </c>
      <c r="B278" s="110" t="s">
        <v>46</v>
      </c>
      <c r="C278" s="110" t="s">
        <v>47</v>
      </c>
      <c r="D278" s="111" t="n">
        <v>3783</v>
      </c>
      <c r="E278" s="110"/>
      <c r="F278" s="110" t="s">
        <v>2200</v>
      </c>
      <c r="G278" s="110" t="n">
        <v>1</v>
      </c>
      <c r="H278" s="110" t="s">
        <v>2060</v>
      </c>
      <c r="I278" s="110" t="n">
        <v>24</v>
      </c>
      <c r="J278" s="110" t="s">
        <v>2066</v>
      </c>
      <c r="K278" s="110" t="s">
        <v>2202</v>
      </c>
    </row>
    <row r="279" customFormat="false" ht="11.25" hidden="false" customHeight="false" outlineLevel="0" collapsed="false">
      <c r="A279" s="110" t="n">
        <f aca="false">IF(B279&lt;&gt;"", COUNTA($B$2:B279), "")</f>
        <v>278</v>
      </c>
      <c r="B279" s="110" t="s">
        <v>46</v>
      </c>
      <c r="C279" s="110" t="s">
        <v>2189</v>
      </c>
      <c r="D279" s="111" t="n">
        <v>737</v>
      </c>
      <c r="E279" s="110"/>
      <c r="F279" s="15" t="s">
        <v>2206</v>
      </c>
      <c r="G279" s="110" t="n">
        <v>1.5</v>
      </c>
      <c r="H279" s="110" t="s">
        <v>2060</v>
      </c>
      <c r="I279" s="110" t="n">
        <v>24</v>
      </c>
      <c r="J279" s="110" t="s">
        <v>2066</v>
      </c>
      <c r="K279" s="110" t="s">
        <v>2192</v>
      </c>
    </row>
    <row r="280" customFormat="false" ht="11.25" hidden="false" customHeight="false" outlineLevel="0" collapsed="false">
      <c r="A280" s="110" t="n">
        <f aca="false">IF(B280&lt;&gt;"", COUNTA($B$2:B280), "")</f>
        <v>279</v>
      </c>
      <c r="B280" s="110" t="s">
        <v>46</v>
      </c>
      <c r="C280" s="110" t="s">
        <v>2189</v>
      </c>
      <c r="D280" s="111" t="n">
        <v>7575</v>
      </c>
      <c r="E280" s="110"/>
      <c r="F280" s="15" t="s">
        <v>2206</v>
      </c>
      <c r="G280" s="110" t="n">
        <v>1.5</v>
      </c>
      <c r="H280" s="110" t="s">
        <v>2060</v>
      </c>
      <c r="I280" s="110" t="n">
        <v>24</v>
      </c>
      <c r="J280" s="110" t="s">
        <v>2066</v>
      </c>
      <c r="K280" s="110" t="s">
        <v>2192</v>
      </c>
    </row>
    <row r="281" customFormat="false" ht="11.25" hidden="false" customHeight="false" outlineLevel="0" collapsed="false">
      <c r="A281" s="110" t="n">
        <f aca="false">IF(B281&lt;&gt;"", COUNTA($B$2:B281), "")</f>
        <v>280</v>
      </c>
      <c r="B281" s="110" t="s">
        <v>46</v>
      </c>
      <c r="C281" s="110" t="s">
        <v>2189</v>
      </c>
      <c r="D281" s="111" t="n">
        <v>7468</v>
      </c>
      <c r="E281" s="110"/>
      <c r="F281" s="110" t="s">
        <v>2195</v>
      </c>
      <c r="G281" s="110" t="n">
        <v>1.5</v>
      </c>
      <c r="H281" s="110" t="s">
        <v>2060</v>
      </c>
      <c r="I281" s="110" t="n">
        <v>24</v>
      </c>
      <c r="J281" s="110" t="s">
        <v>2066</v>
      </c>
      <c r="K281" s="110" t="s">
        <v>2192</v>
      </c>
    </row>
    <row r="282" customFormat="false" ht="11.25" hidden="false" customHeight="false" outlineLevel="0" collapsed="false">
      <c r="A282" s="110" t="n">
        <f aca="false">IF(B282&lt;&gt;"", COUNTA($B$2:B282), "")</f>
        <v>281</v>
      </c>
      <c r="B282" s="110" t="s">
        <v>46</v>
      </c>
      <c r="C282" s="110" t="s">
        <v>1733</v>
      </c>
      <c r="D282" s="111" t="n">
        <v>684</v>
      </c>
      <c r="E282" s="110" t="n">
        <v>2018</v>
      </c>
      <c r="F282" s="110" t="s">
        <v>2191</v>
      </c>
      <c r="G282" s="110" t="n">
        <v>1.5</v>
      </c>
      <c r="H282" s="110" t="s">
        <v>2060</v>
      </c>
      <c r="I282" s="110" t="n">
        <v>24</v>
      </c>
      <c r="J282" s="110" t="s">
        <v>2066</v>
      </c>
      <c r="K282" s="110" t="s">
        <v>2203</v>
      </c>
    </row>
    <row r="283" customFormat="false" ht="11.25" hidden="false" customHeight="false" outlineLevel="0" collapsed="false">
      <c r="A283" s="110" t="n">
        <f aca="false">IF(B283&lt;&gt;"", COUNTA($B$2:B283), "")</f>
        <v>282</v>
      </c>
      <c r="B283" s="110" t="s">
        <v>46</v>
      </c>
      <c r="C283" s="110" t="s">
        <v>47</v>
      </c>
      <c r="D283" s="111" t="n">
        <v>5971</v>
      </c>
      <c r="E283" s="110"/>
      <c r="F283" s="110" t="s">
        <v>2195</v>
      </c>
      <c r="G283" s="110" t="n">
        <v>1</v>
      </c>
      <c r="H283" s="110" t="s">
        <v>2060</v>
      </c>
      <c r="I283" s="110" t="n">
        <v>24</v>
      </c>
      <c r="J283" s="110" t="s">
        <v>2086</v>
      </c>
      <c r="K283" s="110" t="s">
        <v>2192</v>
      </c>
    </row>
    <row r="284" customFormat="false" ht="11.25" hidden="false" customHeight="false" outlineLevel="0" collapsed="false">
      <c r="A284" s="110" t="n">
        <f aca="false">IF(B284&lt;&gt;"", COUNTA($B$2:B284), "")</f>
        <v>283</v>
      </c>
      <c r="B284" s="110" t="s">
        <v>46</v>
      </c>
      <c r="C284" s="110" t="s">
        <v>2189</v>
      </c>
      <c r="D284" s="111" t="n">
        <v>704</v>
      </c>
      <c r="E284" s="110"/>
      <c r="F284" s="15" t="s">
        <v>2206</v>
      </c>
      <c r="G284" s="110" t="n">
        <v>1.5</v>
      </c>
      <c r="H284" s="110" t="s">
        <v>2060</v>
      </c>
      <c r="I284" s="110" t="n">
        <v>24</v>
      </c>
      <c r="J284" s="110" t="s">
        <v>2066</v>
      </c>
      <c r="K284" s="110" t="s">
        <v>2192</v>
      </c>
    </row>
    <row r="285" customFormat="false" ht="11.25" hidden="false" customHeight="false" outlineLevel="0" collapsed="false">
      <c r="A285" s="110" t="n">
        <f aca="false">IF(B285&lt;&gt;"", COUNTA($B$2:B285), "")</f>
        <v>284</v>
      </c>
      <c r="B285" s="110" t="s">
        <v>46</v>
      </c>
      <c r="C285" s="110" t="s">
        <v>2189</v>
      </c>
      <c r="D285" s="111" t="n">
        <v>1635</v>
      </c>
      <c r="E285" s="110"/>
      <c r="F285" s="15" t="s">
        <v>2210</v>
      </c>
      <c r="G285" s="110" t="n">
        <v>1</v>
      </c>
      <c r="H285" s="110" t="s">
        <v>2060</v>
      </c>
      <c r="I285" s="110" t="n">
        <v>24</v>
      </c>
      <c r="J285" s="110" t="s">
        <v>2086</v>
      </c>
      <c r="K285" s="110" t="s">
        <v>2192</v>
      </c>
    </row>
    <row r="286" customFormat="false" ht="11.25" hidden="false" customHeight="false" outlineLevel="0" collapsed="false">
      <c r="A286" s="110" t="n">
        <f aca="false">IF(B286&lt;&gt;"", COUNTA($B$2:B286), "")</f>
        <v>285</v>
      </c>
      <c r="B286" s="110" t="s">
        <v>46</v>
      </c>
      <c r="C286" s="110" t="s">
        <v>2189</v>
      </c>
      <c r="D286" s="111" t="n">
        <v>3432</v>
      </c>
      <c r="E286" s="110"/>
      <c r="F286" s="15" t="s">
        <v>2210</v>
      </c>
      <c r="G286" s="110" t="n">
        <v>1</v>
      </c>
      <c r="H286" s="110" t="s">
        <v>2060</v>
      </c>
      <c r="I286" s="110" t="n">
        <v>24</v>
      </c>
      <c r="J286" s="110" t="s">
        <v>2086</v>
      </c>
      <c r="K286" s="110" t="s">
        <v>2192</v>
      </c>
    </row>
    <row r="287" customFormat="false" ht="11.25" hidden="false" customHeight="false" outlineLevel="0" collapsed="false">
      <c r="A287" s="110" t="n">
        <f aca="false">IF(B287&lt;&gt;"", COUNTA($B$2:B287), "")</f>
        <v>286</v>
      </c>
      <c r="B287" s="110" t="s">
        <v>46</v>
      </c>
      <c r="C287" s="110" t="s">
        <v>47</v>
      </c>
      <c r="D287" s="111" t="n">
        <v>3047</v>
      </c>
      <c r="E287" s="110"/>
      <c r="F287" s="110" t="s">
        <v>2195</v>
      </c>
      <c r="G287" s="110" t="n">
        <v>1</v>
      </c>
      <c r="H287" s="110" t="s">
        <v>2060</v>
      </c>
      <c r="I287" s="110" t="n">
        <v>24</v>
      </c>
      <c r="J287" s="110" t="s">
        <v>2086</v>
      </c>
      <c r="K287" s="110" t="s">
        <v>2192</v>
      </c>
    </row>
    <row r="288" customFormat="false" ht="11.25" hidden="false" customHeight="false" outlineLevel="0" collapsed="false">
      <c r="A288" s="110" t="n">
        <f aca="false">IF(B288&lt;&gt;"", COUNTA($B$2:B288), "")</f>
        <v>287</v>
      </c>
      <c r="B288" s="110" t="s">
        <v>46</v>
      </c>
      <c r="C288" s="110" t="s">
        <v>2189</v>
      </c>
      <c r="D288" s="111" t="n">
        <v>7574</v>
      </c>
      <c r="E288" s="110"/>
      <c r="F288" s="15" t="s">
        <v>2206</v>
      </c>
      <c r="G288" s="110" t="n">
        <v>1.5</v>
      </c>
      <c r="H288" s="110" t="s">
        <v>2060</v>
      </c>
      <c r="I288" s="110" t="n">
        <v>24</v>
      </c>
      <c r="J288" s="110" t="s">
        <v>2066</v>
      </c>
      <c r="K288" s="110" t="s">
        <v>2192</v>
      </c>
    </row>
    <row r="289" customFormat="false" ht="11.25" hidden="false" customHeight="false" outlineLevel="0" collapsed="false">
      <c r="A289" s="110" t="n">
        <f aca="false">IF(B289&lt;&gt;"", COUNTA($B$2:B289), "")</f>
        <v>288</v>
      </c>
      <c r="B289" s="110" t="s">
        <v>46</v>
      </c>
      <c r="C289" s="110" t="s">
        <v>47</v>
      </c>
      <c r="D289" s="111" t="n">
        <v>5974</v>
      </c>
      <c r="E289" s="110"/>
      <c r="F289" s="110" t="s">
        <v>2195</v>
      </c>
      <c r="G289" s="110" t="n">
        <v>1</v>
      </c>
      <c r="H289" s="110" t="s">
        <v>2060</v>
      </c>
      <c r="I289" s="110" t="n">
        <v>24</v>
      </c>
      <c r="J289" s="110" t="s">
        <v>2086</v>
      </c>
      <c r="K289" s="110" t="s">
        <v>2192</v>
      </c>
    </row>
    <row r="290" customFormat="false" ht="11.25" hidden="false" customHeight="false" outlineLevel="0" collapsed="false">
      <c r="A290" s="110" t="n">
        <f aca="false">IF(B290&lt;&gt;"", COUNTA($B$2:B290), "")</f>
        <v>289</v>
      </c>
      <c r="B290" s="110" t="s">
        <v>46</v>
      </c>
      <c r="C290" s="110" t="s">
        <v>2189</v>
      </c>
      <c r="D290" s="111" t="n">
        <v>7576</v>
      </c>
      <c r="E290" s="110"/>
      <c r="F290" s="15" t="s">
        <v>2206</v>
      </c>
      <c r="G290" s="110" t="n">
        <v>1.5</v>
      </c>
      <c r="H290" s="110" t="s">
        <v>2060</v>
      </c>
      <c r="I290" s="110" t="n">
        <v>24</v>
      </c>
      <c r="J290" s="110" t="s">
        <v>2066</v>
      </c>
      <c r="K290" s="110" t="s">
        <v>2192</v>
      </c>
    </row>
    <row r="298" customFormat="false" ht="11.25" hidden="false" customHeight="false" outlineLevel="0" collapsed="false">
      <c r="F298" s="108" t="s">
        <v>1015</v>
      </c>
    </row>
  </sheetData>
  <conditionalFormatting sqref="J1">
    <cfRule type="expression" priority="2" aboveAverage="0" equalAverage="0" bottom="0" percent="0" rank="0" text="" dxfId="29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conditionalFormatting sqref="M84">
    <cfRule type="expression" priority="3" aboveAverage="0" equalAverage="0" bottom="0" percent="0" rank="0" text="" dxfId="30">
      <formula>OR(AND(IF(VALUE(LEFT(TEXT($M84,"0"),1))&lt;=INT((MONTH(TODAY())+2)/3),1),IF(VALUE(RIGHT(TEXT($M84,"0"),2))+($L84/12)&lt;=VALUE(TEXT(TODAY(),"ГГ")),1),OR($N84="К",$N84="K", ,$N84="П")),IFERROR(AND(IF(INT((MONTH($M84)+2)/3)&lt;=INT((MONTH(TODAY())+2)/3),1),IF(VALUE(TEXT($M84,"ГГ"))+($L84/12)&lt;=VALUE(TEXT(TODAY(),"ГГ")),1),OR($N84="К",$N84="K",$N84="П")),0))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1" topLeftCell="A26" activePane="bottomLeft" state="frozen"/>
      <selection pane="topLeft" activeCell="A1" activeCellId="0" sqref="A1"/>
      <selection pane="bottomLeft" activeCell="B44" activeCellId="0" sqref="B44"/>
    </sheetView>
  </sheetViews>
  <sheetFormatPr defaultColWidth="9.15625" defaultRowHeight="11.25" zeroHeight="false" outlineLevelRow="0" outlineLevelCol="0"/>
  <cols>
    <col collapsed="false" customWidth="true" hidden="false" outlineLevel="0" max="1" min="1" style="108" width="3.14"/>
    <col collapsed="false" customWidth="true" hidden="false" outlineLevel="0" max="2" min="2" style="108" width="21.86"/>
    <col collapsed="false" customWidth="true" hidden="false" outlineLevel="0" max="3" min="3" style="108" width="10.42"/>
    <col collapsed="false" customWidth="true" hidden="false" outlineLevel="0" max="4" min="4" style="108" width="8"/>
    <col collapsed="false" customWidth="true" hidden="false" outlineLevel="0" max="5" min="5" style="108" width="6.57"/>
    <col collapsed="false" customWidth="true" hidden="false" outlineLevel="0" max="6" min="6" style="108" width="11.42"/>
    <col collapsed="false" customWidth="true" hidden="false" outlineLevel="0" max="7" min="7" style="108" width="7.42"/>
    <col collapsed="false" customWidth="true" hidden="false" outlineLevel="0" max="8" min="8" style="108" width="10"/>
    <col collapsed="false" customWidth="true" hidden="false" outlineLevel="0" max="9" min="9" style="108" width="9"/>
    <col collapsed="false" customWidth="true" hidden="false" outlineLevel="0" max="10" min="10" style="118" width="8.86"/>
    <col collapsed="false" customWidth="true" hidden="false" outlineLevel="0" max="11" min="11" style="108" width="9.29"/>
    <col collapsed="false" customWidth="false" hidden="false" outlineLevel="0" max="1024" min="12" style="72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2056</v>
      </c>
      <c r="I1" s="5" t="s">
        <v>24</v>
      </c>
      <c r="J1" s="17" t="s">
        <v>25</v>
      </c>
      <c r="K1" s="5" t="s">
        <v>2211</v>
      </c>
    </row>
    <row r="2" customFormat="false" ht="11.25" hidden="false" customHeight="false" outlineLevel="0" collapsed="false">
      <c r="A2" s="110" t="n">
        <f aca="false">IF(B2&lt;&gt;"", COUNTA($B$2:B2), "")</f>
        <v>1</v>
      </c>
      <c r="B2" s="110" t="s">
        <v>27</v>
      </c>
      <c r="C2" s="110" t="s">
        <v>1312</v>
      </c>
      <c r="D2" s="110" t="s">
        <v>1561</v>
      </c>
      <c r="E2" s="110"/>
      <c r="F2" s="110" t="s">
        <v>2212</v>
      </c>
      <c r="G2" s="110" t="n">
        <v>1.5</v>
      </c>
      <c r="H2" s="110" t="s">
        <v>2060</v>
      </c>
      <c r="I2" s="110" t="n">
        <v>12</v>
      </c>
      <c r="J2" s="111"/>
      <c r="K2" s="110" t="s">
        <v>2062</v>
      </c>
      <c r="M2" s="119"/>
    </row>
    <row r="3" customFormat="false" ht="11.25" hidden="false" customHeight="false" outlineLevel="0" collapsed="false">
      <c r="A3" s="110" t="n">
        <f aca="false">IF(B3&lt;&gt;"", COUNTA($B$2:B3), "")</f>
        <v>2</v>
      </c>
      <c r="B3" s="110" t="s">
        <v>27</v>
      </c>
      <c r="C3" s="110" t="s">
        <v>1312</v>
      </c>
      <c r="D3" s="110" t="s">
        <v>1561</v>
      </c>
      <c r="E3" s="110"/>
      <c r="F3" s="110" t="s">
        <v>2212</v>
      </c>
      <c r="G3" s="110" t="n">
        <v>1.5</v>
      </c>
      <c r="H3" s="110" t="s">
        <v>2060</v>
      </c>
      <c r="I3" s="110" t="n">
        <v>12</v>
      </c>
      <c r="J3" s="111"/>
      <c r="K3" s="110" t="s">
        <v>2062</v>
      </c>
    </row>
    <row r="4" customFormat="false" ht="11.25" hidden="false" customHeight="false" outlineLevel="0" collapsed="false">
      <c r="A4" s="110" t="n">
        <f aca="false">IF(B4&lt;&gt;"", COUNTA($B$2:B4), "")</f>
        <v>3</v>
      </c>
      <c r="B4" s="110" t="s">
        <v>27</v>
      </c>
      <c r="C4" s="110" t="s">
        <v>1312</v>
      </c>
      <c r="D4" s="110" t="s">
        <v>1561</v>
      </c>
      <c r="E4" s="110"/>
      <c r="F4" s="110" t="s">
        <v>2212</v>
      </c>
      <c r="G4" s="110" t="n">
        <v>1.5</v>
      </c>
      <c r="H4" s="110" t="s">
        <v>2060</v>
      </c>
      <c r="I4" s="110" t="n">
        <v>12</v>
      </c>
      <c r="J4" s="111"/>
      <c r="K4" s="110" t="s">
        <v>2062</v>
      </c>
    </row>
    <row r="5" customFormat="false" ht="11.25" hidden="false" customHeight="false" outlineLevel="0" collapsed="false">
      <c r="A5" s="110" t="n">
        <f aca="false">IF(B5&lt;&gt;"", COUNTA($B$2:B5), "")</f>
        <v>4</v>
      </c>
      <c r="B5" s="110" t="s">
        <v>27</v>
      </c>
      <c r="C5" s="110" t="s">
        <v>1312</v>
      </c>
      <c r="D5" s="110" t="s">
        <v>1561</v>
      </c>
      <c r="E5" s="110"/>
      <c r="F5" s="110" t="s">
        <v>2213</v>
      </c>
      <c r="G5" s="110" t="n">
        <v>1.5</v>
      </c>
      <c r="H5" s="110" t="s">
        <v>2060</v>
      </c>
      <c r="I5" s="110" t="n">
        <v>12</v>
      </c>
      <c r="J5" s="111"/>
      <c r="K5" s="110" t="s">
        <v>2062</v>
      </c>
    </row>
    <row r="6" customFormat="false" ht="11.25" hidden="false" customHeight="false" outlineLevel="0" collapsed="false">
      <c r="A6" s="110" t="n">
        <f aca="false">IF(B6&lt;&gt;"", COUNTA($B$2:B6), "")</f>
        <v>5</v>
      </c>
      <c r="B6" s="110" t="s">
        <v>27</v>
      </c>
      <c r="C6" s="110" t="s">
        <v>1312</v>
      </c>
      <c r="D6" s="110" t="s">
        <v>1561</v>
      </c>
      <c r="E6" s="110"/>
      <c r="F6" s="110" t="s">
        <v>2213</v>
      </c>
      <c r="G6" s="110" t="n">
        <v>1.5</v>
      </c>
      <c r="H6" s="110" t="s">
        <v>2060</v>
      </c>
      <c r="I6" s="110" t="n">
        <v>12</v>
      </c>
      <c r="J6" s="111"/>
      <c r="K6" s="110" t="s">
        <v>2062</v>
      </c>
    </row>
    <row r="7" customFormat="false" ht="11.25" hidden="false" customHeight="false" outlineLevel="0" collapsed="false">
      <c r="A7" s="110" t="n">
        <f aca="false">IF(B7&lt;&gt;"", COUNTA($B$2:B7), "")</f>
        <v>6</v>
      </c>
      <c r="B7" s="110" t="s">
        <v>27</v>
      </c>
      <c r="C7" s="110" t="s">
        <v>1312</v>
      </c>
      <c r="D7" s="110" t="s">
        <v>1561</v>
      </c>
      <c r="E7" s="110"/>
      <c r="F7" s="110" t="s">
        <v>2213</v>
      </c>
      <c r="G7" s="110" t="n">
        <v>1.5</v>
      </c>
      <c r="H7" s="110" t="s">
        <v>2060</v>
      </c>
      <c r="I7" s="110" t="n">
        <v>12</v>
      </c>
      <c r="J7" s="111"/>
      <c r="K7" s="110" t="s">
        <v>2062</v>
      </c>
    </row>
    <row r="8" customFormat="false" ht="11.25" hidden="false" customHeight="false" outlineLevel="0" collapsed="false">
      <c r="A8" s="110" t="n">
        <f aca="false">IF(B8&lt;&gt;"", COUNTA($B$2:B8), "")</f>
        <v>7</v>
      </c>
      <c r="B8" s="110" t="s">
        <v>27</v>
      </c>
      <c r="C8" s="110" t="s">
        <v>2063</v>
      </c>
      <c r="D8" s="111" t="s">
        <v>2214</v>
      </c>
      <c r="E8" s="110"/>
      <c r="F8" s="110" t="s">
        <v>2126</v>
      </c>
      <c r="G8" s="110" t="n">
        <v>1</v>
      </c>
      <c r="H8" s="110" t="s">
        <v>2060</v>
      </c>
      <c r="I8" s="110" t="n">
        <v>12</v>
      </c>
      <c r="J8" s="111" t="s">
        <v>2215</v>
      </c>
      <c r="K8" s="110" t="s">
        <v>2062</v>
      </c>
    </row>
    <row r="9" customFormat="false" ht="11.25" hidden="false" customHeight="false" outlineLevel="0" collapsed="false">
      <c r="A9" s="110" t="n">
        <f aca="false">IF(B9&lt;&gt;"", COUNTA($B$2:B9), "")</f>
        <v>8</v>
      </c>
      <c r="B9" s="110" t="s">
        <v>27</v>
      </c>
      <c r="C9" s="110" t="s">
        <v>2063</v>
      </c>
      <c r="D9" s="111" t="s">
        <v>2216</v>
      </c>
      <c r="E9" s="110"/>
      <c r="F9" s="110" t="s">
        <v>2126</v>
      </c>
      <c r="G9" s="110" t="n">
        <v>1</v>
      </c>
      <c r="H9" s="110" t="s">
        <v>2060</v>
      </c>
      <c r="I9" s="110" t="n">
        <v>12</v>
      </c>
      <c r="J9" s="111" t="s">
        <v>2215</v>
      </c>
      <c r="K9" s="110" t="s">
        <v>2062</v>
      </c>
    </row>
    <row r="10" customFormat="false" ht="11.25" hidden="false" customHeight="false" outlineLevel="0" collapsed="false">
      <c r="A10" s="110" t="n">
        <f aca="false">IF(B10&lt;&gt;"", COUNTA($B$2:B10), "")</f>
        <v>9</v>
      </c>
      <c r="B10" s="110" t="s">
        <v>27</v>
      </c>
      <c r="C10" s="110" t="s">
        <v>2063</v>
      </c>
      <c r="D10" s="111" t="s">
        <v>2217</v>
      </c>
      <c r="E10" s="110"/>
      <c r="F10" s="110" t="s">
        <v>2126</v>
      </c>
      <c r="G10" s="110" t="n">
        <v>1</v>
      </c>
      <c r="H10" s="110" t="s">
        <v>2060</v>
      </c>
      <c r="I10" s="110" t="n">
        <v>12</v>
      </c>
      <c r="J10" s="111" t="s">
        <v>2215</v>
      </c>
      <c r="K10" s="110" t="s">
        <v>2062</v>
      </c>
      <c r="O10" s="119"/>
    </row>
    <row r="11" customFormat="false" ht="11.25" hidden="false" customHeight="false" outlineLevel="0" collapsed="false">
      <c r="A11" s="110" t="n">
        <f aca="false">IF(B11&lt;&gt;"", COUNTA($B$2:B11), "")</f>
        <v>10</v>
      </c>
      <c r="B11" s="110" t="s">
        <v>27</v>
      </c>
      <c r="C11" s="110" t="s">
        <v>2063</v>
      </c>
      <c r="D11" s="111" t="s">
        <v>2218</v>
      </c>
      <c r="E11" s="110"/>
      <c r="F11" s="110" t="s">
        <v>2126</v>
      </c>
      <c r="G11" s="110" t="n">
        <v>1</v>
      </c>
      <c r="H11" s="110" t="s">
        <v>2060</v>
      </c>
      <c r="I11" s="110" t="n">
        <v>12</v>
      </c>
      <c r="J11" s="111" t="s">
        <v>2215</v>
      </c>
      <c r="K11" s="110" t="s">
        <v>2062</v>
      </c>
    </row>
    <row r="12" customFormat="false" ht="11.25" hidden="false" customHeight="false" outlineLevel="0" collapsed="false">
      <c r="A12" s="110" t="n">
        <f aca="false">IF(B12&lt;&gt;"", COUNTA($B$2:B12), "")</f>
        <v>11</v>
      </c>
      <c r="B12" s="110" t="s">
        <v>27</v>
      </c>
      <c r="C12" s="110" t="s">
        <v>2063</v>
      </c>
      <c r="D12" s="111" t="s">
        <v>2219</v>
      </c>
      <c r="E12" s="110"/>
      <c r="F12" s="110" t="s">
        <v>2126</v>
      </c>
      <c r="G12" s="110" t="n">
        <v>1</v>
      </c>
      <c r="H12" s="110" t="s">
        <v>2060</v>
      </c>
      <c r="I12" s="110" t="n">
        <v>12</v>
      </c>
      <c r="J12" s="111" t="s">
        <v>2215</v>
      </c>
      <c r="K12" s="110" t="s">
        <v>2062</v>
      </c>
    </row>
    <row r="13" customFormat="false" ht="11.25" hidden="false" customHeight="false" outlineLevel="0" collapsed="false">
      <c r="A13" s="110" t="n">
        <f aca="false">IF(B13&lt;&gt;"", COUNTA($B$2:B13), "")</f>
        <v>12</v>
      </c>
      <c r="B13" s="110" t="s">
        <v>27</v>
      </c>
      <c r="C13" s="110" t="s">
        <v>2063</v>
      </c>
      <c r="D13" s="111" t="s">
        <v>2220</v>
      </c>
      <c r="E13" s="110"/>
      <c r="F13" s="110" t="s">
        <v>2126</v>
      </c>
      <c r="G13" s="110" t="n">
        <v>1</v>
      </c>
      <c r="H13" s="110" t="s">
        <v>2060</v>
      </c>
      <c r="I13" s="110" t="n">
        <v>12</v>
      </c>
      <c r="J13" s="111" t="s">
        <v>2215</v>
      </c>
      <c r="K13" s="110" t="s">
        <v>2062</v>
      </c>
    </row>
    <row r="14" customFormat="false" ht="11.25" hidden="false" customHeight="false" outlineLevel="0" collapsed="false">
      <c r="A14" s="110" t="n">
        <f aca="false">IF(B14&lt;&gt;"", COUNTA($B$2:B14), "")</f>
        <v>13</v>
      </c>
      <c r="B14" s="110" t="s">
        <v>27</v>
      </c>
      <c r="C14" s="110" t="s">
        <v>2063</v>
      </c>
      <c r="D14" s="111" t="s">
        <v>2221</v>
      </c>
      <c r="E14" s="110"/>
      <c r="F14" s="110" t="s">
        <v>2126</v>
      </c>
      <c r="G14" s="110" t="n">
        <v>1</v>
      </c>
      <c r="H14" s="110" t="s">
        <v>2060</v>
      </c>
      <c r="I14" s="110" t="n">
        <v>12</v>
      </c>
      <c r="J14" s="111" t="s">
        <v>2215</v>
      </c>
      <c r="K14" s="110" t="s">
        <v>2062</v>
      </c>
    </row>
    <row r="15" customFormat="false" ht="11.25" hidden="false" customHeight="false" outlineLevel="0" collapsed="false">
      <c r="A15" s="110" t="n">
        <f aca="false">IF(B15&lt;&gt;"", COUNTA($B$2:B15), "")</f>
        <v>14</v>
      </c>
      <c r="B15" s="110" t="s">
        <v>27</v>
      </c>
      <c r="C15" s="110" t="s">
        <v>2063</v>
      </c>
      <c r="D15" s="111" t="s">
        <v>2222</v>
      </c>
      <c r="E15" s="110"/>
      <c r="F15" s="110" t="s">
        <v>2126</v>
      </c>
      <c r="G15" s="110" t="n">
        <v>1</v>
      </c>
      <c r="H15" s="110" t="s">
        <v>2060</v>
      </c>
      <c r="I15" s="110" t="n">
        <v>12</v>
      </c>
      <c r="J15" s="111" t="s">
        <v>2215</v>
      </c>
      <c r="K15" s="110" t="s">
        <v>2062</v>
      </c>
    </row>
    <row r="16" customFormat="false" ht="11.25" hidden="false" customHeight="false" outlineLevel="0" collapsed="false">
      <c r="A16" s="110" t="n">
        <f aca="false">IF(B16&lt;&gt;"", COUNTA($B$2:B16), "")</f>
        <v>15</v>
      </c>
      <c r="B16" s="110" t="s">
        <v>27</v>
      </c>
      <c r="C16" s="110" t="s">
        <v>2063</v>
      </c>
      <c r="D16" s="111" t="s">
        <v>2223</v>
      </c>
      <c r="E16" s="110"/>
      <c r="F16" s="110" t="s">
        <v>2126</v>
      </c>
      <c r="G16" s="110" t="n">
        <v>1</v>
      </c>
      <c r="H16" s="110" t="s">
        <v>2060</v>
      </c>
      <c r="I16" s="110" t="n">
        <v>12</v>
      </c>
      <c r="J16" s="111" t="s">
        <v>2215</v>
      </c>
      <c r="K16" s="110" t="s">
        <v>2062</v>
      </c>
    </row>
    <row r="17" customFormat="false" ht="11.25" hidden="false" customHeight="false" outlineLevel="0" collapsed="false">
      <c r="A17" s="110" t="n">
        <f aca="false">IF(B17&lt;&gt;"", COUNTA($B$2:B17), "")</f>
        <v>16</v>
      </c>
      <c r="B17" s="110" t="s">
        <v>27</v>
      </c>
      <c r="C17" s="110" t="s">
        <v>2063</v>
      </c>
      <c r="D17" s="111" t="s">
        <v>2224</v>
      </c>
      <c r="E17" s="110"/>
      <c r="F17" s="110" t="s">
        <v>2126</v>
      </c>
      <c r="G17" s="110" t="n">
        <v>1</v>
      </c>
      <c r="H17" s="110" t="s">
        <v>2060</v>
      </c>
      <c r="I17" s="110" t="n">
        <v>12</v>
      </c>
      <c r="J17" s="111" t="s">
        <v>2215</v>
      </c>
      <c r="K17" s="110" t="s">
        <v>2062</v>
      </c>
    </row>
    <row r="18" customFormat="false" ht="11.25" hidden="false" customHeight="false" outlineLevel="0" collapsed="false">
      <c r="A18" s="110" t="n">
        <f aca="false">IF(B18&lt;&gt;"", COUNTA($B$2:B18), "")</f>
        <v>17</v>
      </c>
      <c r="B18" s="110" t="s">
        <v>27</v>
      </c>
      <c r="C18" s="110" t="s">
        <v>2063</v>
      </c>
      <c r="D18" s="111" t="s">
        <v>2225</v>
      </c>
      <c r="E18" s="110"/>
      <c r="F18" s="110" t="s">
        <v>2126</v>
      </c>
      <c r="G18" s="110" t="n">
        <v>1</v>
      </c>
      <c r="H18" s="110" t="s">
        <v>2060</v>
      </c>
      <c r="I18" s="110" t="n">
        <v>12</v>
      </c>
      <c r="J18" s="111" t="s">
        <v>2215</v>
      </c>
      <c r="K18" s="110" t="s">
        <v>2062</v>
      </c>
    </row>
    <row r="19" customFormat="false" ht="11.25" hidden="false" customHeight="false" outlineLevel="0" collapsed="false">
      <c r="A19" s="110" t="n">
        <f aca="false">IF(B19&lt;&gt;"", COUNTA($B$2:B19), "")</f>
        <v>18</v>
      </c>
      <c r="B19" s="110" t="s">
        <v>27</v>
      </c>
      <c r="C19" s="110" t="s">
        <v>2063</v>
      </c>
      <c r="D19" s="111" t="s">
        <v>2226</v>
      </c>
      <c r="E19" s="110"/>
      <c r="F19" s="110" t="s">
        <v>2126</v>
      </c>
      <c r="G19" s="110" t="n">
        <v>1</v>
      </c>
      <c r="H19" s="110" t="s">
        <v>2060</v>
      </c>
      <c r="I19" s="110" t="n">
        <v>12</v>
      </c>
      <c r="J19" s="111" t="s">
        <v>2215</v>
      </c>
      <c r="K19" s="110" t="s">
        <v>2062</v>
      </c>
    </row>
    <row r="20" customFormat="false" ht="11.25" hidden="false" customHeight="false" outlineLevel="0" collapsed="false">
      <c r="A20" s="110" t="n">
        <f aca="false">IF(B20&lt;&gt;"", COUNTA($B$2:B20), "")</f>
        <v>19</v>
      </c>
      <c r="B20" s="110" t="s">
        <v>27</v>
      </c>
      <c r="C20" s="110" t="s">
        <v>2063</v>
      </c>
      <c r="D20" s="111" t="s">
        <v>2227</v>
      </c>
      <c r="E20" s="110"/>
      <c r="F20" s="110" t="s">
        <v>2126</v>
      </c>
      <c r="G20" s="110" t="n">
        <v>1</v>
      </c>
      <c r="H20" s="110" t="s">
        <v>2060</v>
      </c>
      <c r="I20" s="110" t="n">
        <v>12</v>
      </c>
      <c r="J20" s="111" t="s">
        <v>2215</v>
      </c>
      <c r="K20" s="110" t="s">
        <v>2062</v>
      </c>
    </row>
    <row r="21" customFormat="false" ht="11.25" hidden="false" customHeight="false" outlineLevel="0" collapsed="false">
      <c r="A21" s="110" t="n">
        <f aca="false">IF(B21&lt;&gt;"", COUNTA($B$2:B21), "")</f>
        <v>20</v>
      </c>
      <c r="B21" s="110" t="s">
        <v>27</v>
      </c>
      <c r="C21" s="110" t="s">
        <v>2063</v>
      </c>
      <c r="D21" s="111" t="s">
        <v>2228</v>
      </c>
      <c r="E21" s="110"/>
      <c r="F21" s="110" t="s">
        <v>2126</v>
      </c>
      <c r="G21" s="110" t="n">
        <v>1</v>
      </c>
      <c r="H21" s="110" t="s">
        <v>2060</v>
      </c>
      <c r="I21" s="110" t="n">
        <v>12</v>
      </c>
      <c r="J21" s="111" t="s">
        <v>2215</v>
      </c>
      <c r="K21" s="110" t="s">
        <v>2062</v>
      </c>
    </row>
    <row r="22" customFormat="false" ht="11.25" hidden="false" customHeight="false" outlineLevel="0" collapsed="false">
      <c r="A22" s="110" t="n">
        <f aca="false">IF(B22&lt;&gt;"", COUNTA($B$2:B22), "")</f>
        <v>21</v>
      </c>
      <c r="B22" s="110" t="s">
        <v>27</v>
      </c>
      <c r="C22" s="110" t="s">
        <v>2063</v>
      </c>
      <c r="D22" s="111" t="s">
        <v>2229</v>
      </c>
      <c r="E22" s="110"/>
      <c r="F22" s="110" t="s">
        <v>2126</v>
      </c>
      <c r="G22" s="110" t="n">
        <v>1</v>
      </c>
      <c r="H22" s="110" t="s">
        <v>2060</v>
      </c>
      <c r="I22" s="110" t="n">
        <v>12</v>
      </c>
      <c r="J22" s="111" t="s">
        <v>2215</v>
      </c>
      <c r="K22" s="110" t="s">
        <v>2062</v>
      </c>
    </row>
    <row r="23" customFormat="false" ht="11.25" hidden="false" customHeight="false" outlineLevel="0" collapsed="false">
      <c r="A23" s="110" t="n">
        <f aca="false">IF(B23&lt;&gt;"", COUNTA($B$2:B23), "")</f>
        <v>22</v>
      </c>
      <c r="B23" s="110" t="s">
        <v>27</v>
      </c>
      <c r="C23" s="110" t="s">
        <v>2063</v>
      </c>
      <c r="D23" s="111" t="s">
        <v>2230</v>
      </c>
      <c r="E23" s="110"/>
      <c r="F23" s="110" t="s">
        <v>2126</v>
      </c>
      <c r="G23" s="110" t="n">
        <v>1</v>
      </c>
      <c r="H23" s="110" t="s">
        <v>2060</v>
      </c>
      <c r="I23" s="110" t="n">
        <v>12</v>
      </c>
      <c r="J23" s="111" t="s">
        <v>2215</v>
      </c>
      <c r="K23" s="110" t="s">
        <v>2062</v>
      </c>
    </row>
    <row r="24" customFormat="false" ht="11.25" hidden="false" customHeight="false" outlineLevel="0" collapsed="false">
      <c r="A24" s="110" t="n">
        <f aca="false">IF(B24&lt;&gt;"", COUNTA($B$2:B24), "")</f>
        <v>23</v>
      </c>
      <c r="B24" s="110" t="s">
        <v>27</v>
      </c>
      <c r="C24" s="110" t="s">
        <v>2063</v>
      </c>
      <c r="D24" s="111" t="s">
        <v>2231</v>
      </c>
      <c r="E24" s="110"/>
      <c r="F24" s="110" t="s">
        <v>2126</v>
      </c>
      <c r="G24" s="110" t="n">
        <v>1</v>
      </c>
      <c r="H24" s="110" t="s">
        <v>2060</v>
      </c>
      <c r="I24" s="110" t="n">
        <v>12</v>
      </c>
      <c r="J24" s="111" t="s">
        <v>2215</v>
      </c>
      <c r="K24" s="110" t="s">
        <v>2062</v>
      </c>
    </row>
    <row r="25" customFormat="false" ht="11.25" hidden="false" customHeight="false" outlineLevel="0" collapsed="false">
      <c r="A25" s="110" t="n">
        <f aca="false">IF(B25&lt;&gt;"", COUNTA($B$2:B25), "")</f>
        <v>24</v>
      </c>
      <c r="B25" s="110" t="s">
        <v>27</v>
      </c>
      <c r="C25" s="110" t="s">
        <v>2063</v>
      </c>
      <c r="D25" s="111" t="s">
        <v>2232</v>
      </c>
      <c r="E25" s="110"/>
      <c r="F25" s="110" t="s">
        <v>2233</v>
      </c>
      <c r="G25" s="110" t="n">
        <v>1</v>
      </c>
      <c r="H25" s="110" t="s">
        <v>2060</v>
      </c>
      <c r="I25" s="110" t="n">
        <v>12</v>
      </c>
      <c r="J25" s="111" t="s">
        <v>2215</v>
      </c>
      <c r="K25" s="110" t="s">
        <v>2062</v>
      </c>
    </row>
    <row r="26" customFormat="false" ht="11.25" hidden="false" customHeight="false" outlineLevel="0" collapsed="false">
      <c r="A26" s="110" t="n">
        <f aca="false">IF(B26&lt;&gt;"", COUNTA($B$2:B26), "")</f>
        <v>25</v>
      </c>
      <c r="B26" s="110" t="s">
        <v>27</v>
      </c>
      <c r="C26" s="110" t="s">
        <v>2063</v>
      </c>
      <c r="D26" s="111" t="s">
        <v>2234</v>
      </c>
      <c r="E26" s="110"/>
      <c r="F26" s="110" t="s">
        <v>2126</v>
      </c>
      <c r="G26" s="110" t="n">
        <v>1</v>
      </c>
      <c r="H26" s="110" t="s">
        <v>2060</v>
      </c>
      <c r="I26" s="110" t="n">
        <v>12</v>
      </c>
      <c r="J26" s="111" t="s">
        <v>2215</v>
      </c>
      <c r="K26" s="110" t="s">
        <v>2062</v>
      </c>
    </row>
    <row r="27" customFormat="false" ht="11.25" hidden="false" customHeight="false" outlineLevel="0" collapsed="false">
      <c r="A27" s="110" t="n">
        <f aca="false">IF(B27&lt;&gt;"", COUNTA($B$2:B27), "")</f>
        <v>26</v>
      </c>
      <c r="B27" s="110" t="s">
        <v>27</v>
      </c>
      <c r="C27" s="110" t="s">
        <v>2063</v>
      </c>
      <c r="D27" s="111" t="s">
        <v>2235</v>
      </c>
      <c r="E27" s="110"/>
      <c r="F27" s="110" t="s">
        <v>2126</v>
      </c>
      <c r="G27" s="110" t="n">
        <v>1</v>
      </c>
      <c r="H27" s="110" t="s">
        <v>2060</v>
      </c>
      <c r="I27" s="110" t="n">
        <v>12</v>
      </c>
      <c r="J27" s="111" t="s">
        <v>2215</v>
      </c>
      <c r="K27" s="110" t="s">
        <v>2062</v>
      </c>
    </row>
    <row r="28" customFormat="false" ht="11.25" hidden="false" customHeight="false" outlineLevel="0" collapsed="false">
      <c r="A28" s="110" t="n">
        <f aca="false">IF(B28&lt;&gt;"", COUNTA($B$2:B28), "")</f>
        <v>27</v>
      </c>
      <c r="B28" s="110" t="s">
        <v>27</v>
      </c>
      <c r="C28" s="110" t="s">
        <v>2236</v>
      </c>
      <c r="D28" s="110" t="n">
        <v>960288</v>
      </c>
      <c r="E28" s="110"/>
      <c r="F28" s="110" t="s">
        <v>2237</v>
      </c>
      <c r="G28" s="110" t="n">
        <v>1.5</v>
      </c>
      <c r="H28" s="110" t="s">
        <v>2060</v>
      </c>
      <c r="I28" s="110" t="n">
        <v>12</v>
      </c>
      <c r="J28" s="111" t="s">
        <v>2238</v>
      </c>
      <c r="K28" s="110" t="s">
        <v>2062</v>
      </c>
    </row>
    <row r="29" customFormat="false" ht="11.25" hidden="false" customHeight="false" outlineLevel="0" collapsed="false">
      <c r="A29" s="110" t="n">
        <f aca="false">IF(B29&lt;&gt;"", COUNTA($B$2:B29), "")</f>
        <v>28</v>
      </c>
      <c r="B29" s="110" t="s">
        <v>27</v>
      </c>
      <c r="C29" s="110" t="s">
        <v>2236</v>
      </c>
      <c r="D29" s="111" t="s">
        <v>2239</v>
      </c>
      <c r="E29" s="110"/>
      <c r="F29" s="110" t="s">
        <v>254</v>
      </c>
      <c r="G29" s="110" t="n">
        <v>1.5</v>
      </c>
      <c r="H29" s="110" t="s">
        <v>2060</v>
      </c>
      <c r="I29" s="110" t="n">
        <v>12</v>
      </c>
      <c r="J29" s="111"/>
      <c r="K29" s="110" t="s">
        <v>2062</v>
      </c>
    </row>
    <row r="30" customFormat="false" ht="11.25" hidden="false" customHeight="false" outlineLevel="0" collapsed="false">
      <c r="A30" s="110" t="n">
        <f aca="false">IF(B30&lt;&gt;"", COUNTA($B$2:B30), "")</f>
        <v>29</v>
      </c>
      <c r="B30" s="110" t="s">
        <v>27</v>
      </c>
      <c r="C30" s="110" t="s">
        <v>2236</v>
      </c>
      <c r="D30" s="111" t="s">
        <v>2240</v>
      </c>
      <c r="E30" s="110"/>
      <c r="F30" s="110" t="s">
        <v>254</v>
      </c>
      <c r="G30" s="110" t="n">
        <v>1.5</v>
      </c>
      <c r="H30" s="110" t="s">
        <v>2060</v>
      </c>
      <c r="I30" s="110" t="n">
        <v>12</v>
      </c>
      <c r="J30" s="111"/>
      <c r="K30" s="110" t="s">
        <v>2062</v>
      </c>
    </row>
    <row r="31" customFormat="false" ht="11.25" hidden="false" customHeight="false" outlineLevel="0" collapsed="false">
      <c r="A31" s="110" t="n">
        <f aca="false">IF(B31&lt;&gt;"", COUNTA($B$2:B31), "")</f>
        <v>30</v>
      </c>
      <c r="B31" s="110" t="s">
        <v>27</v>
      </c>
      <c r="C31" s="110" t="s">
        <v>2236</v>
      </c>
      <c r="D31" s="111" t="s">
        <v>2241</v>
      </c>
      <c r="E31" s="110"/>
      <c r="F31" s="110" t="s">
        <v>2126</v>
      </c>
      <c r="G31" s="110" t="n">
        <v>1.5</v>
      </c>
      <c r="H31" s="110" t="s">
        <v>2060</v>
      </c>
      <c r="I31" s="110" t="n">
        <v>12</v>
      </c>
      <c r="J31" s="111"/>
      <c r="K31" s="110" t="s">
        <v>2062</v>
      </c>
    </row>
    <row r="32" customFormat="false" ht="11.25" hidden="false" customHeight="false" outlineLevel="0" collapsed="false">
      <c r="A32" s="110" t="n">
        <f aca="false">IF(B32&lt;&gt;"", COUNTA($B$2:B32), "")</f>
        <v>31</v>
      </c>
      <c r="B32" s="110" t="s">
        <v>27</v>
      </c>
      <c r="C32" s="110" t="s">
        <v>2236</v>
      </c>
      <c r="D32" s="111" t="s">
        <v>2242</v>
      </c>
      <c r="E32" s="110"/>
      <c r="F32" s="110" t="s">
        <v>2126</v>
      </c>
      <c r="G32" s="110" t="n">
        <v>1.5</v>
      </c>
      <c r="H32" s="110" t="s">
        <v>2060</v>
      </c>
      <c r="I32" s="110" t="n">
        <v>12</v>
      </c>
      <c r="J32" s="111" t="s">
        <v>2215</v>
      </c>
      <c r="K32" s="110" t="s">
        <v>2062</v>
      </c>
    </row>
    <row r="33" customFormat="false" ht="11.25" hidden="false" customHeight="false" outlineLevel="0" collapsed="false">
      <c r="A33" s="110" t="n">
        <f aca="false">IF(B33&lt;&gt;"", COUNTA($B$2:B33), "")</f>
        <v>32</v>
      </c>
      <c r="B33" s="110" t="s">
        <v>27</v>
      </c>
      <c r="C33" s="110" t="s">
        <v>2236</v>
      </c>
      <c r="D33" s="111" t="s">
        <v>2243</v>
      </c>
      <c r="E33" s="110"/>
      <c r="F33" s="110" t="s">
        <v>2126</v>
      </c>
      <c r="G33" s="110" t="n">
        <v>1.5</v>
      </c>
      <c r="H33" s="110" t="s">
        <v>2060</v>
      </c>
      <c r="I33" s="110" t="n">
        <v>12</v>
      </c>
      <c r="J33" s="111" t="s">
        <v>2215</v>
      </c>
      <c r="K33" s="110" t="s">
        <v>2062</v>
      </c>
    </row>
    <row r="34" s="120" customFormat="true" ht="22.5" hidden="false" customHeight="false" outlineLevel="0" collapsed="false">
      <c r="A34" s="110" t="n">
        <f aca="false">IF(B34&lt;&gt;"", COUNTA($B$2:B34), "")</f>
        <v>33</v>
      </c>
      <c r="B34" s="8" t="s">
        <v>1789</v>
      </c>
      <c r="C34" s="8" t="s">
        <v>2244</v>
      </c>
      <c r="D34" s="15" t="s">
        <v>2245</v>
      </c>
      <c r="E34" s="8"/>
      <c r="F34" s="5" t="s">
        <v>2246</v>
      </c>
      <c r="G34" s="8" t="n">
        <v>2.5</v>
      </c>
      <c r="H34" s="8" t="s">
        <v>2060</v>
      </c>
      <c r="I34" s="8" t="n">
        <v>12</v>
      </c>
      <c r="J34" s="15" t="s">
        <v>2247</v>
      </c>
      <c r="K34" s="8" t="s">
        <v>2081</v>
      </c>
    </row>
    <row r="35" s="120" customFormat="true" ht="22.5" hidden="false" customHeight="false" outlineLevel="0" collapsed="false">
      <c r="A35" s="110" t="n">
        <f aca="false">IF(B35&lt;&gt;"", COUNTA($B$2:B35), "")</f>
        <v>34</v>
      </c>
      <c r="B35" s="8" t="s">
        <v>1789</v>
      </c>
      <c r="C35" s="8" t="s">
        <v>2244</v>
      </c>
      <c r="D35" s="15" t="s">
        <v>2248</v>
      </c>
      <c r="E35" s="8"/>
      <c r="F35" s="5" t="s">
        <v>2246</v>
      </c>
      <c r="G35" s="8" t="n">
        <v>2.5</v>
      </c>
      <c r="H35" s="8" t="s">
        <v>2060</v>
      </c>
      <c r="I35" s="8" t="n">
        <v>12</v>
      </c>
      <c r="J35" s="15" t="s">
        <v>2247</v>
      </c>
      <c r="K35" s="8" t="s">
        <v>2081</v>
      </c>
    </row>
    <row r="36" s="120" customFormat="true" ht="22.5" hidden="false" customHeight="false" outlineLevel="0" collapsed="false">
      <c r="A36" s="110" t="n">
        <f aca="false">IF(B36&lt;&gt;"", COUNTA($B$2:B36), "")</f>
        <v>35</v>
      </c>
      <c r="B36" s="8" t="s">
        <v>1789</v>
      </c>
      <c r="C36" s="8" t="s">
        <v>2244</v>
      </c>
      <c r="D36" s="15" t="s">
        <v>2249</v>
      </c>
      <c r="E36" s="8"/>
      <c r="F36" s="5" t="s">
        <v>2246</v>
      </c>
      <c r="G36" s="8" t="n">
        <v>2.5</v>
      </c>
      <c r="H36" s="8" t="s">
        <v>2060</v>
      </c>
      <c r="I36" s="8" t="n">
        <v>12</v>
      </c>
      <c r="J36" s="15" t="s">
        <v>2247</v>
      </c>
      <c r="K36" s="8" t="s">
        <v>2081</v>
      </c>
    </row>
    <row r="37" s="120" customFormat="true" ht="22.5" hidden="false" customHeight="false" outlineLevel="0" collapsed="false">
      <c r="A37" s="110" t="n">
        <f aca="false">IF(B37&lt;&gt;"", COUNTA($B$2:B37), "")</f>
        <v>36</v>
      </c>
      <c r="B37" s="8" t="s">
        <v>1789</v>
      </c>
      <c r="C37" s="8" t="s">
        <v>2244</v>
      </c>
      <c r="D37" s="15" t="s">
        <v>2250</v>
      </c>
      <c r="E37" s="8"/>
      <c r="F37" s="5" t="s">
        <v>2246</v>
      </c>
      <c r="G37" s="8" t="n">
        <v>2.5</v>
      </c>
      <c r="H37" s="8" t="s">
        <v>2060</v>
      </c>
      <c r="I37" s="8" t="n">
        <v>12</v>
      </c>
      <c r="J37" s="15" t="s">
        <v>2247</v>
      </c>
      <c r="K37" s="8" t="s">
        <v>2081</v>
      </c>
    </row>
    <row r="38" s="120" customFormat="true" ht="22.5" hidden="false" customHeight="false" outlineLevel="0" collapsed="false">
      <c r="A38" s="110" t="n">
        <f aca="false">IF(B38&lt;&gt;"", COUNTA($B$2:B38), "")</f>
        <v>37</v>
      </c>
      <c r="B38" s="8" t="s">
        <v>1789</v>
      </c>
      <c r="C38" s="8" t="s">
        <v>2244</v>
      </c>
      <c r="D38" s="15" t="s">
        <v>2251</v>
      </c>
      <c r="E38" s="8"/>
      <c r="F38" s="5" t="s">
        <v>2246</v>
      </c>
      <c r="G38" s="8" t="n">
        <v>2.5</v>
      </c>
      <c r="H38" s="8" t="s">
        <v>2060</v>
      </c>
      <c r="I38" s="8" t="n">
        <v>12</v>
      </c>
      <c r="J38" s="15" t="s">
        <v>2247</v>
      </c>
      <c r="K38" s="8" t="s">
        <v>2081</v>
      </c>
    </row>
    <row r="39" s="120" customFormat="true" ht="22.5" hidden="false" customHeight="false" outlineLevel="0" collapsed="false">
      <c r="A39" s="110" t="n">
        <f aca="false">IF(B39&lt;&gt;"", COUNTA($B$2:B39), "")</f>
        <v>38</v>
      </c>
      <c r="B39" s="8" t="s">
        <v>1789</v>
      </c>
      <c r="C39" s="8" t="s">
        <v>2244</v>
      </c>
      <c r="D39" s="15" t="s">
        <v>2252</v>
      </c>
      <c r="E39" s="8"/>
      <c r="F39" s="5" t="s">
        <v>2246</v>
      </c>
      <c r="G39" s="8" t="n">
        <v>2.5</v>
      </c>
      <c r="H39" s="8" t="s">
        <v>2060</v>
      </c>
      <c r="I39" s="8" t="n">
        <v>12</v>
      </c>
      <c r="J39" s="15" t="s">
        <v>2247</v>
      </c>
      <c r="K39" s="8" t="s">
        <v>2081</v>
      </c>
    </row>
  </sheetData>
  <conditionalFormatting sqref="J1">
    <cfRule type="expression" priority="2" aboveAverage="0" equalAverage="0" bottom="0" percent="0" rank="0" text="" dxfId="31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29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pane xSplit="0" ySplit="1" topLeftCell="A26" activePane="bottomLeft" state="frozen"/>
      <selection pane="topLeft" activeCell="A1" activeCellId="0" sqref="A1"/>
      <selection pane="bottomLeft" activeCell="A84" activeCellId="0" sqref="A84"/>
    </sheetView>
  </sheetViews>
  <sheetFormatPr defaultColWidth="10.01171875" defaultRowHeight="15" zeroHeight="false" outlineLevelRow="0" outlineLevelCol="0"/>
  <cols>
    <col collapsed="false" customWidth="true" hidden="false" outlineLevel="0" max="1" min="1" style="121" width="3.57"/>
    <col collapsed="false" customWidth="true" hidden="false" outlineLevel="0" max="2" min="2" style="121" width="18"/>
    <col collapsed="false" customWidth="true" hidden="false" outlineLevel="0" max="3" min="3" style="121" width="20.86"/>
    <col collapsed="false" customWidth="true" hidden="false" outlineLevel="0" max="4" min="4" style="121" width="18.14"/>
    <col collapsed="false" customWidth="true" hidden="false" outlineLevel="0" max="5" min="5" style="121" width="6.57"/>
    <col collapsed="false" customWidth="true" hidden="false" outlineLevel="0" max="6" min="6" style="121" width="12.71"/>
    <col collapsed="false" customWidth="true" hidden="false" outlineLevel="0" max="7" min="7" style="121" width="7.42"/>
    <col collapsed="false" customWidth="true" hidden="false" outlineLevel="0" max="8" min="8" style="121" width="31.7"/>
    <col collapsed="false" customWidth="true" hidden="false" outlineLevel="0" max="9" min="9" style="121" width="14.01"/>
    <col collapsed="false" customWidth="true" hidden="false" outlineLevel="0" max="10" min="10" style="121" width="11.14"/>
    <col collapsed="false" customWidth="true" hidden="false" outlineLevel="0" max="11" min="11" style="121" width="8"/>
    <col collapsed="false" customWidth="true" hidden="false" outlineLevel="0" max="12" min="12" style="121" width="9.85"/>
    <col collapsed="false" customWidth="true" hidden="false" outlineLevel="0" max="13" min="13" style="121" width="8.86"/>
    <col collapsed="false" customWidth="true" hidden="false" outlineLevel="0" max="14" min="14" style="121" width="9.85"/>
    <col collapsed="false" customWidth="false" hidden="false" outlineLevel="0" max="1024" min="15" style="121" width="10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2253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22.5" hidden="false" customHeight="false" outlineLevel="0" collapsed="false">
      <c r="A2" s="5" t="n">
        <f aca="false">IF(B2&lt;&gt;"", COUNTA($B$2:B2), "")</f>
        <v>1</v>
      </c>
      <c r="B2" s="7" t="s">
        <v>27</v>
      </c>
      <c r="C2" s="8" t="s">
        <v>28</v>
      </c>
      <c r="D2" s="8" t="n">
        <v>7000303</v>
      </c>
      <c r="E2" s="8" t="n">
        <v>2018</v>
      </c>
      <c r="F2" s="8" t="s">
        <v>192</v>
      </c>
      <c r="G2" s="8" t="n">
        <v>1</v>
      </c>
      <c r="H2" s="5" t="s">
        <v>2254</v>
      </c>
      <c r="I2" s="8" t="s">
        <v>1965</v>
      </c>
      <c r="J2" s="5" t="s">
        <v>1966</v>
      </c>
      <c r="K2" s="5" t="s">
        <v>1967</v>
      </c>
      <c r="L2" s="5" t="n">
        <v>12</v>
      </c>
      <c r="M2" s="6" t="s">
        <v>41</v>
      </c>
      <c r="N2" s="8" t="s">
        <v>1</v>
      </c>
    </row>
    <row r="3" customFormat="false" ht="22.5" hidden="false" customHeight="false" outlineLevel="0" collapsed="false">
      <c r="A3" s="5" t="n">
        <f aca="false">IF(B3&lt;&gt;"", COUNTA($B$2:B3), "")</f>
        <v>2</v>
      </c>
      <c r="B3" s="7" t="s">
        <v>27</v>
      </c>
      <c r="C3" s="8" t="s">
        <v>860</v>
      </c>
      <c r="D3" s="9" t="n">
        <v>700099</v>
      </c>
      <c r="E3" s="8" t="n">
        <v>2018</v>
      </c>
      <c r="F3" s="8" t="s">
        <v>2255</v>
      </c>
      <c r="G3" s="8" t="n">
        <v>1</v>
      </c>
      <c r="H3" s="5" t="s">
        <v>2256</v>
      </c>
      <c r="I3" s="8" t="s">
        <v>1965</v>
      </c>
      <c r="J3" s="5" t="s">
        <v>1966</v>
      </c>
      <c r="K3" s="5" t="s">
        <v>1967</v>
      </c>
      <c r="L3" s="5" t="n">
        <v>12</v>
      </c>
      <c r="M3" s="6" t="s">
        <v>41</v>
      </c>
      <c r="N3" s="8" t="s">
        <v>1</v>
      </c>
    </row>
    <row r="4" customFormat="false" ht="22.5" hidden="false" customHeight="false" outlineLevel="0" collapsed="false">
      <c r="A4" s="5" t="n">
        <f aca="false">IF(B4&lt;&gt;"", COUNTA($B$2:B4), "")</f>
        <v>3</v>
      </c>
      <c r="B4" s="7" t="s">
        <v>27</v>
      </c>
      <c r="C4" s="8" t="s">
        <v>860</v>
      </c>
      <c r="D4" s="11" t="n">
        <v>700093</v>
      </c>
      <c r="E4" s="8" t="n">
        <v>2018</v>
      </c>
      <c r="F4" s="8" t="s">
        <v>2255</v>
      </c>
      <c r="G4" s="8" t="n">
        <v>1</v>
      </c>
      <c r="H4" s="5" t="s">
        <v>2257</v>
      </c>
      <c r="I4" s="8" t="s">
        <v>1965</v>
      </c>
      <c r="J4" s="5" t="s">
        <v>1966</v>
      </c>
      <c r="K4" s="5" t="s">
        <v>1967</v>
      </c>
      <c r="L4" s="5" t="n">
        <v>12</v>
      </c>
      <c r="M4" s="6" t="s">
        <v>41</v>
      </c>
      <c r="N4" s="8" t="s">
        <v>1</v>
      </c>
    </row>
    <row r="5" customFormat="false" ht="22.5" hidden="false" customHeight="false" outlineLevel="0" collapsed="false">
      <c r="A5" s="5" t="n">
        <f aca="false">IF(B5&lt;&gt;"", COUNTA($B$2:B5), "")</f>
        <v>4</v>
      </c>
      <c r="B5" s="7" t="s">
        <v>27</v>
      </c>
      <c r="C5" s="8" t="s">
        <v>860</v>
      </c>
      <c r="D5" s="15" t="s">
        <v>2258</v>
      </c>
      <c r="E5" s="8" t="n">
        <v>2018</v>
      </c>
      <c r="F5" s="8" t="s">
        <v>260</v>
      </c>
      <c r="G5" s="8" t="n">
        <v>1</v>
      </c>
      <c r="H5" s="5" t="s">
        <v>2259</v>
      </c>
      <c r="I5" s="8" t="s">
        <v>1965</v>
      </c>
      <c r="J5" s="5" t="s">
        <v>1966</v>
      </c>
      <c r="K5" s="5" t="s">
        <v>1967</v>
      </c>
      <c r="L5" s="5" t="n">
        <v>12</v>
      </c>
      <c r="M5" s="6" t="s">
        <v>41</v>
      </c>
      <c r="N5" s="8" t="s">
        <v>1</v>
      </c>
    </row>
    <row r="6" customFormat="false" ht="22.5" hidden="false" customHeight="false" outlineLevel="0" collapsed="false">
      <c r="A6" s="5" t="n">
        <f aca="false">IF(B6&lt;&gt;"", COUNTA($B$2:B6), "")</f>
        <v>5</v>
      </c>
      <c r="B6" s="7" t="s">
        <v>27</v>
      </c>
      <c r="C6" s="8" t="s">
        <v>28</v>
      </c>
      <c r="D6" s="15" t="s">
        <v>2260</v>
      </c>
      <c r="E6" s="8" t="n">
        <v>2018</v>
      </c>
      <c r="F6" s="8" t="s">
        <v>2128</v>
      </c>
      <c r="G6" s="8" t="n">
        <v>1.5</v>
      </c>
      <c r="H6" s="5" t="s">
        <v>2261</v>
      </c>
      <c r="I6" s="8" t="s">
        <v>1965</v>
      </c>
      <c r="J6" s="5" t="s">
        <v>1966</v>
      </c>
      <c r="K6" s="5" t="s">
        <v>1967</v>
      </c>
      <c r="L6" s="5" t="n">
        <v>12</v>
      </c>
      <c r="M6" s="6" t="s">
        <v>41</v>
      </c>
      <c r="N6" s="8" t="s">
        <v>1</v>
      </c>
    </row>
    <row r="7" customFormat="false" ht="22.5" hidden="false" customHeight="false" outlineLevel="0" collapsed="false">
      <c r="A7" s="5" t="n">
        <f aca="false">IF(B7&lt;&gt;"", COUNTA($B$2:B7), "")</f>
        <v>6</v>
      </c>
      <c r="B7" s="7" t="s">
        <v>27</v>
      </c>
      <c r="C7" s="8" t="s">
        <v>860</v>
      </c>
      <c r="D7" s="15" t="s">
        <v>2262</v>
      </c>
      <c r="E7" s="8" t="n">
        <v>2018</v>
      </c>
      <c r="F7" s="8" t="s">
        <v>309</v>
      </c>
      <c r="G7" s="8" t="n">
        <v>1</v>
      </c>
      <c r="H7" s="5" t="s">
        <v>2263</v>
      </c>
      <c r="I7" s="8" t="s">
        <v>1965</v>
      </c>
      <c r="J7" s="5" t="s">
        <v>1966</v>
      </c>
      <c r="K7" s="5" t="s">
        <v>1967</v>
      </c>
      <c r="L7" s="5" t="n">
        <v>12</v>
      </c>
      <c r="M7" s="6" t="s">
        <v>41</v>
      </c>
      <c r="N7" s="8" t="s">
        <v>1</v>
      </c>
      <c r="O7" s="14"/>
    </row>
    <row r="8" customFormat="false" ht="22.5" hidden="false" customHeight="false" outlineLevel="0" collapsed="false">
      <c r="A8" s="5" t="n">
        <f aca="false">IF(B8&lt;&gt;"", COUNTA($B$2:B8), "")</f>
        <v>7</v>
      </c>
      <c r="B8" s="7" t="s">
        <v>27</v>
      </c>
      <c r="C8" s="8" t="s">
        <v>28</v>
      </c>
      <c r="D8" s="8" t="n">
        <v>15660</v>
      </c>
      <c r="E8" s="8" t="n">
        <v>2018</v>
      </c>
      <c r="F8" s="8" t="s">
        <v>2128</v>
      </c>
      <c r="G8" s="8" t="n">
        <v>1.5</v>
      </c>
      <c r="H8" s="5" t="s">
        <v>2264</v>
      </c>
      <c r="I8" s="8" t="s">
        <v>1965</v>
      </c>
      <c r="J8" s="5" t="s">
        <v>1966</v>
      </c>
      <c r="K8" s="5" t="s">
        <v>1967</v>
      </c>
      <c r="L8" s="5" t="n">
        <v>12</v>
      </c>
      <c r="M8" s="6" t="s">
        <v>41</v>
      </c>
      <c r="N8" s="8" t="s">
        <v>1</v>
      </c>
    </row>
    <row r="9" customFormat="false" ht="22.5" hidden="false" customHeight="false" outlineLevel="0" collapsed="false">
      <c r="A9" s="5" t="n">
        <f aca="false">IF(B9&lt;&gt;"", COUNTA($B$2:B9), "")</f>
        <v>8</v>
      </c>
      <c r="B9" s="7" t="s">
        <v>27</v>
      </c>
      <c r="C9" s="8" t="s">
        <v>860</v>
      </c>
      <c r="D9" s="8" t="n">
        <v>212032150</v>
      </c>
      <c r="E9" s="8" t="n">
        <v>2018</v>
      </c>
      <c r="F9" s="8" t="s">
        <v>192</v>
      </c>
      <c r="G9" s="10" t="n">
        <v>1.5</v>
      </c>
      <c r="H9" s="5" t="s">
        <v>2265</v>
      </c>
      <c r="I9" s="8" t="s">
        <v>1965</v>
      </c>
      <c r="J9" s="5" t="s">
        <v>1966</v>
      </c>
      <c r="K9" s="5" t="s">
        <v>1967</v>
      </c>
      <c r="L9" s="5" t="n">
        <v>12</v>
      </c>
      <c r="M9" s="6" t="s">
        <v>37</v>
      </c>
      <c r="N9" s="8" t="s">
        <v>38</v>
      </c>
    </row>
    <row r="10" customFormat="false" ht="22.5" hidden="false" customHeight="false" outlineLevel="0" collapsed="false">
      <c r="A10" s="5" t="n">
        <f aca="false">IF(B10&lt;&gt;"", COUNTA($B$2:B10), "")</f>
        <v>9</v>
      </c>
      <c r="B10" s="7" t="s">
        <v>27</v>
      </c>
      <c r="C10" s="12" t="s">
        <v>1882</v>
      </c>
      <c r="D10" s="12" t="s">
        <v>2266</v>
      </c>
      <c r="E10" s="8" t="n">
        <v>2018</v>
      </c>
      <c r="F10" s="5" t="s">
        <v>29</v>
      </c>
      <c r="G10" s="8" t="n">
        <v>1</v>
      </c>
      <c r="H10" s="5" t="s">
        <v>2267</v>
      </c>
      <c r="I10" s="8" t="s">
        <v>1965</v>
      </c>
      <c r="J10" s="5" t="s">
        <v>1966</v>
      </c>
      <c r="K10" s="5" t="s">
        <v>1967</v>
      </c>
      <c r="L10" s="5" t="n">
        <v>12</v>
      </c>
      <c r="M10" s="6" t="s">
        <v>41</v>
      </c>
      <c r="N10" s="8" t="s">
        <v>1</v>
      </c>
      <c r="O10" s="122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7" t="s">
        <v>27</v>
      </c>
      <c r="C11" s="12" t="s">
        <v>1882</v>
      </c>
      <c r="D11" s="12" t="s">
        <v>2268</v>
      </c>
      <c r="E11" s="8" t="n">
        <v>2018</v>
      </c>
      <c r="F11" s="5" t="s">
        <v>29</v>
      </c>
      <c r="G11" s="8" t="n">
        <v>1</v>
      </c>
      <c r="H11" s="5" t="s">
        <v>2269</v>
      </c>
      <c r="I11" s="8" t="s">
        <v>1965</v>
      </c>
      <c r="J11" s="5" t="s">
        <v>1966</v>
      </c>
      <c r="K11" s="5" t="s">
        <v>1967</v>
      </c>
      <c r="L11" s="5" t="n">
        <v>12</v>
      </c>
      <c r="M11" s="6" t="s">
        <v>41</v>
      </c>
      <c r="N11" s="8" t="s">
        <v>1</v>
      </c>
      <c r="O11" s="122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7" t="s">
        <v>27</v>
      </c>
      <c r="C12" s="12" t="s">
        <v>1882</v>
      </c>
      <c r="D12" s="12" t="s">
        <v>2270</v>
      </c>
      <c r="E12" s="8" t="n">
        <v>2018</v>
      </c>
      <c r="F12" s="5" t="s">
        <v>29</v>
      </c>
      <c r="G12" s="8" t="n">
        <v>1</v>
      </c>
      <c r="H12" s="5" t="s">
        <v>2271</v>
      </c>
      <c r="I12" s="8" t="s">
        <v>1965</v>
      </c>
      <c r="J12" s="5" t="s">
        <v>1966</v>
      </c>
      <c r="K12" s="5" t="s">
        <v>1967</v>
      </c>
      <c r="L12" s="5" t="n">
        <v>12</v>
      </c>
      <c r="M12" s="6" t="s">
        <v>41</v>
      </c>
      <c r="N12" s="8" t="s">
        <v>1</v>
      </c>
      <c r="O12" s="122"/>
    </row>
    <row r="13" customFormat="false" ht="22.5" hidden="false" customHeight="false" outlineLevel="0" collapsed="false">
      <c r="A13" s="5" t="n">
        <f aca="false">IF(B13&lt;&gt;"", COUNTA($B$2:B13), "")</f>
        <v>12</v>
      </c>
      <c r="B13" s="7" t="s">
        <v>27</v>
      </c>
      <c r="C13" s="12" t="s">
        <v>1882</v>
      </c>
      <c r="D13" s="12" t="s">
        <v>2272</v>
      </c>
      <c r="E13" s="8" t="n">
        <v>2018</v>
      </c>
      <c r="F13" s="5" t="s">
        <v>29</v>
      </c>
      <c r="G13" s="8" t="n">
        <v>1</v>
      </c>
      <c r="H13" s="5" t="s">
        <v>2273</v>
      </c>
      <c r="I13" s="8" t="s">
        <v>1965</v>
      </c>
      <c r="J13" s="5" t="s">
        <v>1966</v>
      </c>
      <c r="K13" s="5" t="s">
        <v>1967</v>
      </c>
      <c r="L13" s="5" t="n">
        <v>12</v>
      </c>
      <c r="M13" s="6" t="s">
        <v>41</v>
      </c>
      <c r="N13" s="8" t="s">
        <v>1</v>
      </c>
      <c r="O13" s="122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7" t="s">
        <v>27</v>
      </c>
      <c r="C14" s="8" t="s">
        <v>28</v>
      </c>
      <c r="D14" s="19" t="s">
        <v>2274</v>
      </c>
      <c r="E14" s="8" t="n">
        <v>2018</v>
      </c>
      <c r="F14" s="8" t="s">
        <v>192</v>
      </c>
      <c r="G14" s="8" t="n">
        <v>1</v>
      </c>
      <c r="H14" s="5" t="s">
        <v>2275</v>
      </c>
      <c r="I14" s="8" t="s">
        <v>1965</v>
      </c>
      <c r="J14" s="5" t="s">
        <v>1966</v>
      </c>
      <c r="K14" s="5" t="s">
        <v>1967</v>
      </c>
      <c r="L14" s="5" t="n">
        <v>12</v>
      </c>
      <c r="M14" s="6" t="s">
        <v>41</v>
      </c>
      <c r="N14" s="8" t="s">
        <v>1</v>
      </c>
    </row>
    <row r="15" customFormat="false" ht="22.5" hidden="false" customHeight="false" outlineLevel="0" collapsed="false">
      <c r="A15" s="5" t="n">
        <f aca="false">IF(B15&lt;&gt;"", COUNTA($B$2:B15), "")</f>
        <v>14</v>
      </c>
      <c r="B15" s="7" t="s">
        <v>27</v>
      </c>
      <c r="C15" s="8" t="s">
        <v>28</v>
      </c>
      <c r="D15" s="19" t="s">
        <v>2276</v>
      </c>
      <c r="E15" s="8" t="n">
        <v>2018</v>
      </c>
      <c r="F15" s="5" t="s">
        <v>34</v>
      </c>
      <c r="G15" s="10" t="n">
        <v>1.5</v>
      </c>
      <c r="H15" s="5" t="s">
        <v>2277</v>
      </c>
      <c r="I15" s="8" t="s">
        <v>1965</v>
      </c>
      <c r="J15" s="5" t="s">
        <v>1966</v>
      </c>
      <c r="K15" s="5" t="s">
        <v>1967</v>
      </c>
      <c r="L15" s="5" t="n">
        <v>12</v>
      </c>
      <c r="M15" s="6" t="s">
        <v>37</v>
      </c>
      <c r="N15" s="8" t="s">
        <v>38</v>
      </c>
    </row>
    <row r="16" customFormat="false" ht="22.5" hidden="false" customHeight="false" outlineLevel="0" collapsed="false">
      <c r="A16" s="5" t="n">
        <f aca="false">IF(B16&lt;&gt;"", COUNTA($B$2:B16), "")</f>
        <v>15</v>
      </c>
      <c r="B16" s="7" t="s">
        <v>27</v>
      </c>
      <c r="C16" s="8" t="s">
        <v>28</v>
      </c>
      <c r="D16" s="19" t="s">
        <v>2278</v>
      </c>
      <c r="E16" s="8" t="n">
        <v>2018</v>
      </c>
      <c r="F16" s="5" t="s">
        <v>34</v>
      </c>
      <c r="G16" s="10" t="n">
        <v>1.5</v>
      </c>
      <c r="H16" s="5" t="s">
        <v>2279</v>
      </c>
      <c r="I16" s="8" t="s">
        <v>1965</v>
      </c>
      <c r="J16" s="5" t="s">
        <v>1966</v>
      </c>
      <c r="K16" s="5" t="s">
        <v>1967</v>
      </c>
      <c r="L16" s="5" t="n">
        <v>12</v>
      </c>
      <c r="M16" s="6" t="s">
        <v>37</v>
      </c>
      <c r="N16" s="8" t="s">
        <v>38</v>
      </c>
    </row>
    <row r="17" customFormat="false" ht="22.5" hidden="false" customHeight="false" outlineLevel="0" collapsed="false">
      <c r="A17" s="5" t="n">
        <f aca="false">IF(B17&lt;&gt;"", COUNTA($B$2:B17), "")</f>
        <v>16</v>
      </c>
      <c r="B17" s="7" t="s">
        <v>27</v>
      </c>
      <c r="C17" s="8" t="s">
        <v>860</v>
      </c>
      <c r="D17" s="19" t="s">
        <v>2280</v>
      </c>
      <c r="E17" s="8" t="n">
        <v>2018</v>
      </c>
      <c r="F17" s="8" t="s">
        <v>2128</v>
      </c>
      <c r="G17" s="10" t="n">
        <v>1</v>
      </c>
      <c r="H17" s="5" t="s">
        <v>2281</v>
      </c>
      <c r="I17" s="8" t="s">
        <v>1965</v>
      </c>
      <c r="J17" s="5" t="s">
        <v>1966</v>
      </c>
      <c r="K17" s="5" t="s">
        <v>1967</v>
      </c>
      <c r="L17" s="5" t="n">
        <v>12</v>
      </c>
      <c r="M17" s="6" t="s">
        <v>41</v>
      </c>
      <c r="N17" s="8" t="s">
        <v>1</v>
      </c>
    </row>
    <row r="18" customFormat="false" ht="22.5" hidden="false" customHeight="false" outlineLevel="0" collapsed="false">
      <c r="A18" s="5" t="n">
        <f aca="false">IF(B18&lt;&gt;"", COUNTA($B$2:B18), "")</f>
        <v>17</v>
      </c>
      <c r="B18" s="7" t="s">
        <v>27</v>
      </c>
      <c r="C18" s="8" t="s">
        <v>860</v>
      </c>
      <c r="D18" s="19" t="s">
        <v>2282</v>
      </c>
      <c r="E18" s="8" t="n">
        <v>1987</v>
      </c>
      <c r="F18" s="8" t="s">
        <v>2128</v>
      </c>
      <c r="G18" s="10" t="n">
        <v>1.5</v>
      </c>
      <c r="H18" s="5" t="s">
        <v>2283</v>
      </c>
      <c r="I18" s="8" t="s">
        <v>1965</v>
      </c>
      <c r="J18" s="5" t="s">
        <v>1966</v>
      </c>
      <c r="K18" s="5" t="s">
        <v>1967</v>
      </c>
      <c r="L18" s="5" t="n">
        <v>12</v>
      </c>
      <c r="M18" s="6" t="s">
        <v>41</v>
      </c>
      <c r="N18" s="8" t="s">
        <v>1</v>
      </c>
      <c r="O18" s="14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27</v>
      </c>
      <c r="C19" s="8" t="s">
        <v>28</v>
      </c>
      <c r="D19" s="19" t="s">
        <v>2284</v>
      </c>
      <c r="E19" s="8" t="n">
        <v>2018</v>
      </c>
      <c r="F19" s="5" t="s">
        <v>178</v>
      </c>
      <c r="G19" s="10" t="n">
        <v>1.5</v>
      </c>
      <c r="H19" s="5" t="s">
        <v>2285</v>
      </c>
      <c r="I19" s="8" t="s">
        <v>1965</v>
      </c>
      <c r="J19" s="5" t="s">
        <v>1966</v>
      </c>
      <c r="K19" s="5" t="s">
        <v>1967</v>
      </c>
      <c r="L19" s="5" t="n">
        <v>12</v>
      </c>
      <c r="M19" s="6" t="s">
        <v>41</v>
      </c>
      <c r="N19" s="8" t="s">
        <v>1</v>
      </c>
    </row>
    <row r="20" customFormat="false" ht="22.5" hidden="false" customHeight="false" outlineLevel="0" collapsed="false">
      <c r="A20" s="5" t="n">
        <f aca="false">IF(B20&lt;&gt;"", COUNTA($B$2:B20), "")</f>
        <v>19</v>
      </c>
      <c r="B20" s="7" t="s">
        <v>27</v>
      </c>
      <c r="C20" s="8" t="s">
        <v>860</v>
      </c>
      <c r="D20" s="6" t="s">
        <v>708</v>
      </c>
      <c r="E20" s="8" t="n">
        <v>2018</v>
      </c>
      <c r="F20" s="5" t="s">
        <v>122</v>
      </c>
      <c r="G20" s="10" t="n">
        <v>1</v>
      </c>
      <c r="H20" s="5" t="s">
        <v>2286</v>
      </c>
      <c r="I20" s="8" t="s">
        <v>1965</v>
      </c>
      <c r="J20" s="5" t="s">
        <v>1966</v>
      </c>
      <c r="K20" s="5" t="s">
        <v>1967</v>
      </c>
      <c r="L20" s="5" t="n">
        <v>12</v>
      </c>
      <c r="M20" s="6" t="s">
        <v>41</v>
      </c>
      <c r="N20" s="8" t="s">
        <v>1</v>
      </c>
    </row>
    <row r="21" customFormat="false" ht="22.5" hidden="false" customHeight="false" outlineLevel="0" collapsed="false">
      <c r="A21" s="5" t="n">
        <f aca="false">IF(B21&lt;&gt;"", COUNTA($B$2:B21), "")</f>
        <v>20</v>
      </c>
      <c r="B21" s="7" t="s">
        <v>27</v>
      </c>
      <c r="C21" s="8" t="s">
        <v>2287</v>
      </c>
      <c r="D21" s="8" t="n">
        <v>2468</v>
      </c>
      <c r="E21" s="8" t="n">
        <v>2018</v>
      </c>
      <c r="F21" s="8" t="s">
        <v>309</v>
      </c>
      <c r="G21" s="10" t="n">
        <v>1</v>
      </c>
      <c r="H21" s="5" t="s">
        <v>2288</v>
      </c>
      <c r="I21" s="8" t="s">
        <v>1965</v>
      </c>
      <c r="J21" s="5" t="s">
        <v>1966</v>
      </c>
      <c r="K21" s="5" t="s">
        <v>1967</v>
      </c>
      <c r="L21" s="5" t="n">
        <v>12</v>
      </c>
      <c r="M21" s="6" t="s">
        <v>41</v>
      </c>
      <c r="N21" s="8" t="s">
        <v>1</v>
      </c>
    </row>
    <row r="22" customFormat="false" ht="22.5" hidden="false" customHeight="false" outlineLevel="0" collapsed="false">
      <c r="A22" s="5" t="n">
        <f aca="false">IF(B22&lt;&gt;"", COUNTA($B$2:B22), "")</f>
        <v>21</v>
      </c>
      <c r="B22" s="7" t="s">
        <v>27</v>
      </c>
      <c r="C22" s="8" t="s">
        <v>28</v>
      </c>
      <c r="D22" s="8" t="n">
        <v>13928</v>
      </c>
      <c r="E22" s="8" t="n">
        <v>2018</v>
      </c>
      <c r="F22" s="5" t="s">
        <v>122</v>
      </c>
      <c r="G22" s="10" t="n">
        <v>1</v>
      </c>
      <c r="H22" s="5" t="s">
        <v>2289</v>
      </c>
      <c r="I22" s="8" t="s">
        <v>1965</v>
      </c>
      <c r="J22" s="5" t="s">
        <v>1966</v>
      </c>
      <c r="K22" s="5" t="s">
        <v>1967</v>
      </c>
      <c r="L22" s="5" t="n">
        <v>12</v>
      </c>
      <c r="M22" s="6" t="s">
        <v>41</v>
      </c>
      <c r="N22" s="8" t="s">
        <v>1</v>
      </c>
    </row>
    <row r="23" customFormat="false" ht="22.5" hidden="false" customHeight="false" outlineLevel="0" collapsed="false">
      <c r="A23" s="5" t="n">
        <f aca="false">IF(B23&lt;&gt;"", COUNTA($B$2:B23), "")</f>
        <v>22</v>
      </c>
      <c r="B23" s="7" t="s">
        <v>27</v>
      </c>
      <c r="C23" s="8" t="s">
        <v>1324</v>
      </c>
      <c r="D23" s="15" t="s">
        <v>2290</v>
      </c>
      <c r="E23" s="8" t="n">
        <v>2018</v>
      </c>
      <c r="F23" s="8" t="s">
        <v>2106</v>
      </c>
      <c r="G23" s="10" t="n">
        <v>1.5</v>
      </c>
      <c r="H23" s="5" t="s">
        <v>2291</v>
      </c>
      <c r="I23" s="8" t="s">
        <v>2292</v>
      </c>
      <c r="J23" s="5" t="s">
        <v>1966</v>
      </c>
      <c r="K23" s="5" t="s">
        <v>1967</v>
      </c>
      <c r="L23" s="5" t="n">
        <v>12</v>
      </c>
      <c r="M23" s="6" t="s">
        <v>41</v>
      </c>
      <c r="N23" s="8" t="s">
        <v>1</v>
      </c>
    </row>
    <row r="24" customFormat="false" ht="22.5" hidden="false" customHeight="false" outlineLevel="0" collapsed="false">
      <c r="A24" s="5" t="n">
        <f aca="false">IF(B24&lt;&gt;"", COUNTA($B$2:B24), "")</f>
        <v>23</v>
      </c>
      <c r="B24" s="7" t="s">
        <v>27</v>
      </c>
      <c r="C24" s="8" t="s">
        <v>500</v>
      </c>
      <c r="D24" s="15" t="s">
        <v>2293</v>
      </c>
      <c r="E24" s="8" t="n">
        <v>2018</v>
      </c>
      <c r="F24" s="8" t="s">
        <v>501</v>
      </c>
      <c r="G24" s="10" t="n">
        <v>1.5</v>
      </c>
      <c r="H24" s="5" t="s">
        <v>2294</v>
      </c>
      <c r="I24" s="8" t="s">
        <v>2292</v>
      </c>
      <c r="J24" s="5" t="s">
        <v>1966</v>
      </c>
      <c r="K24" s="5" t="s">
        <v>1967</v>
      </c>
      <c r="L24" s="5" t="n">
        <v>12</v>
      </c>
      <c r="M24" s="6" t="s">
        <v>37</v>
      </c>
      <c r="N24" s="8" t="s">
        <v>38</v>
      </c>
    </row>
    <row r="25" customFormat="false" ht="22.5" hidden="false" customHeight="false" outlineLevel="0" collapsed="false">
      <c r="A25" s="5" t="n">
        <f aca="false">IF(B25&lt;&gt;"", COUNTA($B$2:B25), "")</f>
        <v>24</v>
      </c>
      <c r="B25" s="7" t="s">
        <v>27</v>
      </c>
      <c r="C25" s="8" t="s">
        <v>500</v>
      </c>
      <c r="D25" s="15" t="s">
        <v>2295</v>
      </c>
      <c r="E25" s="8" t="n">
        <v>2018</v>
      </c>
      <c r="F25" s="8" t="s">
        <v>501</v>
      </c>
      <c r="G25" s="10" t="n">
        <v>1.5</v>
      </c>
      <c r="H25" s="5" t="s">
        <v>2296</v>
      </c>
      <c r="I25" s="8" t="s">
        <v>2292</v>
      </c>
      <c r="J25" s="5" t="s">
        <v>1966</v>
      </c>
      <c r="K25" s="5" t="s">
        <v>1967</v>
      </c>
      <c r="L25" s="5" t="n">
        <v>12</v>
      </c>
      <c r="M25" s="6" t="s">
        <v>37</v>
      </c>
      <c r="N25" s="8" t="s">
        <v>38</v>
      </c>
      <c r="O25" s="122"/>
    </row>
    <row r="26" customFormat="false" ht="22.5" hidden="false" customHeight="false" outlineLevel="0" collapsed="false">
      <c r="A26" s="5" t="n">
        <f aca="false">IF(B26&lt;&gt;"", COUNTA($B$2:B26), "")</f>
        <v>25</v>
      </c>
      <c r="B26" s="7" t="s">
        <v>27</v>
      </c>
      <c r="C26" s="8" t="s">
        <v>500</v>
      </c>
      <c r="D26" s="15" t="s">
        <v>2297</v>
      </c>
      <c r="E26" s="8" t="n">
        <v>2018</v>
      </c>
      <c r="F26" s="8" t="s">
        <v>501</v>
      </c>
      <c r="G26" s="10" t="n">
        <v>1.5</v>
      </c>
      <c r="H26" s="5" t="s">
        <v>2298</v>
      </c>
      <c r="I26" s="8" t="s">
        <v>2292</v>
      </c>
      <c r="J26" s="5" t="s">
        <v>1966</v>
      </c>
      <c r="K26" s="5" t="s">
        <v>1967</v>
      </c>
      <c r="L26" s="5" t="n">
        <v>12</v>
      </c>
      <c r="M26" s="6" t="s">
        <v>37</v>
      </c>
      <c r="N26" s="8" t="s">
        <v>38</v>
      </c>
    </row>
    <row r="27" customFormat="false" ht="22.5" hidden="false" customHeight="false" outlineLevel="0" collapsed="false">
      <c r="A27" s="5" t="n">
        <f aca="false">IF(B27&lt;&gt;"", COUNTA($B$2:B27), "")</f>
        <v>26</v>
      </c>
      <c r="B27" s="7" t="s">
        <v>27</v>
      </c>
      <c r="C27" s="8" t="s">
        <v>500</v>
      </c>
      <c r="D27" s="15" t="s">
        <v>2299</v>
      </c>
      <c r="E27" s="8" t="n">
        <v>2018</v>
      </c>
      <c r="F27" s="8" t="s">
        <v>501</v>
      </c>
      <c r="G27" s="10" t="n">
        <v>1.5</v>
      </c>
      <c r="H27" s="5" t="s">
        <v>2300</v>
      </c>
      <c r="I27" s="8" t="s">
        <v>2292</v>
      </c>
      <c r="J27" s="5" t="s">
        <v>1966</v>
      </c>
      <c r="K27" s="5" t="s">
        <v>1967</v>
      </c>
      <c r="L27" s="5" t="n">
        <v>12</v>
      </c>
      <c r="M27" s="6" t="s">
        <v>37</v>
      </c>
      <c r="N27" s="8" t="s">
        <v>38</v>
      </c>
    </row>
    <row r="28" customFormat="false" ht="22.5" hidden="false" customHeight="false" outlineLevel="0" collapsed="false">
      <c r="A28" s="5" t="n">
        <f aca="false">IF(B28&lt;&gt;"", COUNTA($B$2:B28), "")</f>
        <v>27</v>
      </c>
      <c r="B28" s="7" t="s">
        <v>2301</v>
      </c>
      <c r="C28" s="12" t="s">
        <v>1321</v>
      </c>
      <c r="D28" s="12" t="s">
        <v>2302</v>
      </c>
      <c r="E28" s="8" t="n">
        <v>2018</v>
      </c>
      <c r="F28" s="8" t="s">
        <v>2303</v>
      </c>
      <c r="G28" s="10"/>
      <c r="H28" s="123" t="s">
        <v>2304</v>
      </c>
      <c r="I28" s="8" t="s">
        <v>2292</v>
      </c>
      <c r="J28" s="5" t="s">
        <v>1966</v>
      </c>
      <c r="K28" s="5" t="s">
        <v>1967</v>
      </c>
      <c r="L28" s="5" t="n">
        <v>12</v>
      </c>
      <c r="M28" s="6" t="s">
        <v>2305</v>
      </c>
      <c r="N28" s="8" t="s">
        <v>1</v>
      </c>
    </row>
    <row r="29" customFormat="false" ht="22.5" hidden="false" customHeight="false" outlineLevel="0" collapsed="false">
      <c r="A29" s="5" t="n">
        <f aca="false">IF(B29&lt;&gt;"", COUNTA($B$2:B29), "")</f>
        <v>28</v>
      </c>
      <c r="B29" s="7" t="s">
        <v>2306</v>
      </c>
      <c r="C29" s="12" t="s">
        <v>1321</v>
      </c>
      <c r="D29" s="12" t="s">
        <v>2307</v>
      </c>
      <c r="E29" s="8" t="n">
        <v>2018</v>
      </c>
      <c r="F29" s="8" t="s">
        <v>2303</v>
      </c>
      <c r="G29" s="10"/>
      <c r="H29" s="123" t="s">
        <v>2304</v>
      </c>
      <c r="I29" s="8" t="s">
        <v>2292</v>
      </c>
      <c r="J29" s="5" t="s">
        <v>1966</v>
      </c>
      <c r="K29" s="5" t="s">
        <v>1967</v>
      </c>
      <c r="L29" s="5" t="n">
        <v>12</v>
      </c>
      <c r="M29" s="6" t="s">
        <v>2305</v>
      </c>
      <c r="N29" s="8" t="s">
        <v>1</v>
      </c>
    </row>
    <row r="30" customFormat="false" ht="22.5" hidden="false" customHeight="false" outlineLevel="0" collapsed="false">
      <c r="A30" s="5" t="n">
        <f aca="false">IF(B30&lt;&gt;"", COUNTA($B$2:B30), "")</f>
        <v>29</v>
      </c>
      <c r="B30" s="7" t="s">
        <v>2308</v>
      </c>
      <c r="C30" s="12" t="s">
        <v>1321</v>
      </c>
      <c r="D30" s="12" t="s">
        <v>2309</v>
      </c>
      <c r="E30" s="8" t="n">
        <v>2018</v>
      </c>
      <c r="F30" s="8" t="s">
        <v>2303</v>
      </c>
      <c r="G30" s="10"/>
      <c r="H30" s="123" t="s">
        <v>2304</v>
      </c>
      <c r="I30" s="8" t="s">
        <v>2292</v>
      </c>
      <c r="J30" s="5" t="s">
        <v>1966</v>
      </c>
      <c r="K30" s="5" t="s">
        <v>1967</v>
      </c>
      <c r="L30" s="5" t="n">
        <v>12</v>
      </c>
      <c r="M30" s="6" t="s">
        <v>2305</v>
      </c>
      <c r="N30" s="8" t="s">
        <v>1</v>
      </c>
    </row>
    <row r="31" customFormat="false" ht="22.5" hidden="false" customHeight="false" outlineLevel="0" collapsed="false">
      <c r="A31" s="5" t="n">
        <f aca="false">IF(B31&lt;&gt;"", COUNTA($B$2:B31), "")</f>
        <v>30</v>
      </c>
      <c r="B31" s="7" t="s">
        <v>2310</v>
      </c>
      <c r="C31" s="12" t="s">
        <v>1321</v>
      </c>
      <c r="D31" s="12" t="s">
        <v>2311</v>
      </c>
      <c r="E31" s="8" t="n">
        <v>2018</v>
      </c>
      <c r="F31" s="8" t="s">
        <v>2303</v>
      </c>
      <c r="G31" s="10"/>
      <c r="H31" s="123" t="s">
        <v>2304</v>
      </c>
      <c r="I31" s="8" t="s">
        <v>2292</v>
      </c>
      <c r="J31" s="5" t="s">
        <v>1966</v>
      </c>
      <c r="K31" s="5" t="s">
        <v>1967</v>
      </c>
      <c r="L31" s="5" t="n">
        <v>12</v>
      </c>
      <c r="M31" s="6" t="s">
        <v>2305</v>
      </c>
      <c r="N31" s="8" t="s">
        <v>1</v>
      </c>
    </row>
    <row r="32" customFormat="false" ht="22.5" hidden="false" customHeight="false" outlineLevel="0" collapsed="false">
      <c r="A32" s="5" t="n">
        <f aca="false">IF(B32&lt;&gt;"", COUNTA($B$2:B32), "")</f>
        <v>31</v>
      </c>
      <c r="B32" s="7" t="s">
        <v>2312</v>
      </c>
      <c r="C32" s="12" t="s">
        <v>1321</v>
      </c>
      <c r="D32" s="12" t="s">
        <v>2313</v>
      </c>
      <c r="E32" s="8" t="n">
        <v>2018</v>
      </c>
      <c r="F32" s="8" t="s">
        <v>2303</v>
      </c>
      <c r="G32" s="10"/>
      <c r="H32" s="123" t="s">
        <v>2304</v>
      </c>
      <c r="I32" s="8" t="s">
        <v>2292</v>
      </c>
      <c r="J32" s="5" t="s">
        <v>1966</v>
      </c>
      <c r="K32" s="5" t="s">
        <v>1967</v>
      </c>
      <c r="L32" s="5" t="n">
        <v>12</v>
      </c>
      <c r="M32" s="6" t="s">
        <v>2305</v>
      </c>
      <c r="N32" s="8" t="s">
        <v>1</v>
      </c>
    </row>
    <row r="33" customFormat="false" ht="22.5" hidden="false" customHeight="false" outlineLevel="0" collapsed="false">
      <c r="A33" s="5" t="n">
        <f aca="false">IF(B33&lt;&gt;"", COUNTA($B$2:B33), "")</f>
        <v>32</v>
      </c>
      <c r="B33" s="7" t="s">
        <v>27</v>
      </c>
      <c r="C33" s="8" t="s">
        <v>1869</v>
      </c>
      <c r="D33" s="5" t="n">
        <v>7000203</v>
      </c>
      <c r="E33" s="8" t="n">
        <v>2018</v>
      </c>
      <c r="F33" s="8" t="s">
        <v>2314</v>
      </c>
      <c r="G33" s="10" t="n">
        <v>1.5</v>
      </c>
      <c r="H33" s="5" t="s">
        <v>2315</v>
      </c>
      <c r="I33" s="8" t="s">
        <v>2292</v>
      </c>
      <c r="J33" s="5" t="s">
        <v>1966</v>
      </c>
      <c r="K33" s="5" t="s">
        <v>1967</v>
      </c>
      <c r="L33" s="5" t="n">
        <v>12</v>
      </c>
      <c r="M33" s="6" t="s">
        <v>2305</v>
      </c>
      <c r="N33" s="8" t="s">
        <v>1</v>
      </c>
    </row>
    <row r="34" customFormat="false" ht="22.5" hidden="false" customHeight="false" outlineLevel="0" collapsed="false">
      <c r="A34" s="5" t="n">
        <f aca="false">IF(B34&lt;&gt;"", COUNTA($B$2:B34), "")</f>
        <v>33</v>
      </c>
      <c r="B34" s="7" t="s">
        <v>27</v>
      </c>
      <c r="C34" s="8" t="s">
        <v>1869</v>
      </c>
      <c r="D34" s="5" t="n">
        <v>7000204</v>
      </c>
      <c r="E34" s="8" t="n">
        <v>2018</v>
      </c>
      <c r="F34" s="8" t="s">
        <v>2314</v>
      </c>
      <c r="G34" s="10" t="n">
        <v>1.5</v>
      </c>
      <c r="H34" s="5" t="s">
        <v>2316</v>
      </c>
      <c r="I34" s="8" t="s">
        <v>2292</v>
      </c>
      <c r="J34" s="5" t="s">
        <v>1966</v>
      </c>
      <c r="K34" s="5" t="s">
        <v>1967</v>
      </c>
      <c r="L34" s="5" t="n">
        <v>12</v>
      </c>
      <c r="M34" s="6" t="s">
        <v>2305</v>
      </c>
      <c r="N34" s="8" t="s">
        <v>1</v>
      </c>
    </row>
    <row r="35" customFormat="false" ht="22.5" hidden="false" customHeight="false" outlineLevel="0" collapsed="false">
      <c r="A35" s="5" t="n">
        <f aca="false">IF(B35&lt;&gt;"", COUNTA($B$2:B35), "")</f>
        <v>34</v>
      </c>
      <c r="B35" s="7" t="s">
        <v>27</v>
      </c>
      <c r="C35" s="8" t="s">
        <v>500</v>
      </c>
      <c r="D35" s="5" t="n">
        <v>211211876</v>
      </c>
      <c r="E35" s="8" t="n">
        <v>2018</v>
      </c>
      <c r="F35" s="8" t="s">
        <v>501</v>
      </c>
      <c r="G35" s="10" t="n">
        <v>1.5</v>
      </c>
      <c r="H35" s="5" t="s">
        <v>2317</v>
      </c>
      <c r="I35" s="8" t="s">
        <v>1965</v>
      </c>
      <c r="J35" s="5" t="s">
        <v>1966</v>
      </c>
      <c r="K35" s="5" t="s">
        <v>1967</v>
      </c>
      <c r="L35" s="5" t="n">
        <v>12</v>
      </c>
      <c r="M35" s="6" t="s">
        <v>37</v>
      </c>
      <c r="N35" s="8" t="s">
        <v>38</v>
      </c>
    </row>
    <row r="36" customFormat="false" ht="22.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8" t="s">
        <v>28</v>
      </c>
      <c r="D36" s="8" t="n">
        <v>15141</v>
      </c>
      <c r="E36" s="8" t="n">
        <v>2018</v>
      </c>
      <c r="F36" s="5" t="s">
        <v>29</v>
      </c>
      <c r="G36" s="10" t="n">
        <v>1.5</v>
      </c>
      <c r="H36" s="5" t="s">
        <v>2318</v>
      </c>
      <c r="I36" s="8" t="s">
        <v>1965</v>
      </c>
      <c r="J36" s="5" t="s">
        <v>1966</v>
      </c>
      <c r="K36" s="5" t="s">
        <v>1967</v>
      </c>
      <c r="L36" s="5" t="n">
        <v>12</v>
      </c>
      <c r="M36" s="6" t="s">
        <v>37</v>
      </c>
      <c r="N36" s="8" t="s">
        <v>38</v>
      </c>
    </row>
    <row r="37" customFormat="false" ht="22.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8" t="s">
        <v>28</v>
      </c>
      <c r="D37" s="8" t="n">
        <v>212032971</v>
      </c>
      <c r="E37" s="8" t="n">
        <v>2018</v>
      </c>
      <c r="F37" s="8" t="s">
        <v>192</v>
      </c>
      <c r="G37" s="10" t="n">
        <v>1.5</v>
      </c>
      <c r="H37" s="5" t="s">
        <v>2319</v>
      </c>
      <c r="I37" s="8" t="s">
        <v>1965</v>
      </c>
      <c r="J37" s="5" t="s">
        <v>1966</v>
      </c>
      <c r="K37" s="5" t="s">
        <v>1967</v>
      </c>
      <c r="L37" s="5" t="n">
        <v>12</v>
      </c>
      <c r="M37" s="6" t="s">
        <v>37</v>
      </c>
      <c r="N37" s="8" t="s">
        <v>38</v>
      </c>
    </row>
    <row r="38" customFormat="false" ht="22.5" hidden="false" customHeight="false" outlineLevel="0" collapsed="false">
      <c r="A38" s="5" t="n">
        <f aca="false">IF(B38&lt;&gt;"", COUNTA($B$2:B38), "")</f>
        <v>37</v>
      </c>
      <c r="B38" s="7" t="s">
        <v>27</v>
      </c>
      <c r="C38" s="8" t="s">
        <v>28</v>
      </c>
      <c r="D38" s="8" t="n">
        <v>15403</v>
      </c>
      <c r="E38" s="8" t="n">
        <v>2018</v>
      </c>
      <c r="F38" s="5" t="s">
        <v>29</v>
      </c>
      <c r="G38" s="10" t="n">
        <v>1</v>
      </c>
      <c r="H38" s="5" t="s">
        <v>2320</v>
      </c>
      <c r="I38" s="8" t="s">
        <v>1965</v>
      </c>
      <c r="J38" s="5" t="s">
        <v>1966</v>
      </c>
      <c r="K38" s="5" t="s">
        <v>1967</v>
      </c>
      <c r="L38" s="5" t="n">
        <v>12</v>
      </c>
      <c r="M38" s="6" t="s">
        <v>37</v>
      </c>
      <c r="N38" s="8" t="s">
        <v>38</v>
      </c>
    </row>
    <row r="39" customFormat="false" ht="22.5" hidden="false" customHeight="false" outlineLevel="0" collapsed="false">
      <c r="A39" s="5" t="n">
        <f aca="false">IF(B39&lt;&gt;"", COUNTA($B$2:B39), "")</f>
        <v>38</v>
      </c>
      <c r="B39" s="7" t="s">
        <v>27</v>
      </c>
      <c r="C39" s="8" t="s">
        <v>28</v>
      </c>
      <c r="D39" s="8" t="n">
        <v>212032109</v>
      </c>
      <c r="E39" s="8" t="n">
        <v>2018</v>
      </c>
      <c r="F39" s="8" t="s">
        <v>192</v>
      </c>
      <c r="G39" s="10" t="n">
        <v>1.5</v>
      </c>
      <c r="H39" s="5" t="s">
        <v>2321</v>
      </c>
      <c r="I39" s="8" t="s">
        <v>1965</v>
      </c>
      <c r="J39" s="5" t="s">
        <v>1966</v>
      </c>
      <c r="K39" s="5" t="s">
        <v>1967</v>
      </c>
      <c r="L39" s="5" t="n">
        <v>12</v>
      </c>
      <c r="M39" s="6" t="s">
        <v>37</v>
      </c>
      <c r="N39" s="8" t="s">
        <v>38</v>
      </c>
    </row>
    <row r="40" customFormat="false" ht="22.5" hidden="false" customHeight="false" outlineLevel="0" collapsed="false">
      <c r="A40" s="5" t="n">
        <f aca="false">IF(B40&lt;&gt;"", COUNTA($B$2:B40), "")</f>
        <v>39</v>
      </c>
      <c r="B40" s="7" t="s">
        <v>27</v>
      </c>
      <c r="C40" s="8" t="s">
        <v>28</v>
      </c>
      <c r="D40" s="8" t="n">
        <v>80334</v>
      </c>
      <c r="E40" s="8" t="n">
        <v>2018</v>
      </c>
      <c r="F40" s="5" t="s">
        <v>29</v>
      </c>
      <c r="G40" s="10" t="n">
        <v>1.5</v>
      </c>
      <c r="H40" s="5" t="s">
        <v>2322</v>
      </c>
      <c r="I40" s="8" t="s">
        <v>1965</v>
      </c>
      <c r="J40" s="5" t="s">
        <v>1966</v>
      </c>
      <c r="K40" s="5" t="s">
        <v>1967</v>
      </c>
      <c r="L40" s="5" t="n">
        <v>12</v>
      </c>
      <c r="M40" s="6" t="s">
        <v>37</v>
      </c>
      <c r="N40" s="8" t="s">
        <v>38</v>
      </c>
    </row>
    <row r="41" customFormat="false" ht="22.5" hidden="false" customHeight="false" outlineLevel="0" collapsed="false">
      <c r="A41" s="5" t="n">
        <f aca="false">IF(B41&lt;&gt;"", COUNTA($B$2:B41), "")</f>
        <v>40</v>
      </c>
      <c r="B41" s="7" t="s">
        <v>27</v>
      </c>
      <c r="C41" s="8" t="s">
        <v>28</v>
      </c>
      <c r="D41" s="8" t="n">
        <v>212032418</v>
      </c>
      <c r="E41" s="8" t="n">
        <v>2018</v>
      </c>
      <c r="F41" s="8" t="s">
        <v>192</v>
      </c>
      <c r="G41" s="10" t="n">
        <v>1.5</v>
      </c>
      <c r="H41" s="5" t="s">
        <v>2323</v>
      </c>
      <c r="I41" s="8" t="s">
        <v>1965</v>
      </c>
      <c r="J41" s="5" t="s">
        <v>1966</v>
      </c>
      <c r="K41" s="5" t="s">
        <v>1967</v>
      </c>
      <c r="L41" s="5" t="n">
        <v>12</v>
      </c>
      <c r="M41" s="6" t="s">
        <v>37</v>
      </c>
      <c r="N41" s="8" t="s">
        <v>38</v>
      </c>
    </row>
    <row r="42" customFormat="false" ht="22.5" hidden="false" customHeight="false" outlineLevel="0" collapsed="false">
      <c r="A42" s="5" t="n">
        <f aca="false">IF(B42&lt;&gt;"", COUNTA($B$2:B42), "")</f>
        <v>41</v>
      </c>
      <c r="B42" s="7" t="s">
        <v>27</v>
      </c>
      <c r="C42" s="8" t="s">
        <v>28</v>
      </c>
      <c r="D42" s="8" t="n">
        <v>212032078</v>
      </c>
      <c r="E42" s="8" t="n">
        <v>2018</v>
      </c>
      <c r="F42" s="8" t="s">
        <v>192</v>
      </c>
      <c r="G42" s="10" t="n">
        <v>1.5</v>
      </c>
      <c r="H42" s="5" t="s">
        <v>2324</v>
      </c>
      <c r="I42" s="8" t="s">
        <v>1965</v>
      </c>
      <c r="J42" s="5" t="s">
        <v>1966</v>
      </c>
      <c r="K42" s="5" t="s">
        <v>1967</v>
      </c>
      <c r="L42" s="5" t="n">
        <v>12</v>
      </c>
      <c r="M42" s="6" t="s">
        <v>37</v>
      </c>
      <c r="N42" s="8" t="s">
        <v>38</v>
      </c>
    </row>
    <row r="43" customFormat="false" ht="22.5" hidden="false" customHeight="false" outlineLevel="0" collapsed="false">
      <c r="A43" s="5" t="n">
        <f aca="false">IF(B43&lt;&gt;"", COUNTA($B$2:B43), "")</f>
        <v>42</v>
      </c>
      <c r="B43" s="7" t="s">
        <v>27</v>
      </c>
      <c r="C43" s="8" t="s">
        <v>28</v>
      </c>
      <c r="D43" s="8" t="n">
        <v>212032143</v>
      </c>
      <c r="E43" s="8" t="n">
        <v>2018</v>
      </c>
      <c r="F43" s="8" t="s">
        <v>192</v>
      </c>
      <c r="G43" s="10" t="n">
        <v>1.5</v>
      </c>
      <c r="H43" s="5" t="s">
        <v>2325</v>
      </c>
      <c r="I43" s="8" t="s">
        <v>1965</v>
      </c>
      <c r="J43" s="5" t="s">
        <v>1966</v>
      </c>
      <c r="K43" s="5" t="s">
        <v>1967</v>
      </c>
      <c r="L43" s="5" t="n">
        <v>12</v>
      </c>
      <c r="M43" s="6" t="s">
        <v>37</v>
      </c>
      <c r="N43" s="8" t="s">
        <v>38</v>
      </c>
    </row>
    <row r="44" customFormat="false" ht="22.5" hidden="false" customHeight="false" outlineLevel="0" collapsed="false">
      <c r="A44" s="5" t="n">
        <f aca="false">IF(B44&lt;&gt;"", COUNTA($B$2:B44), "")</f>
        <v>43</v>
      </c>
      <c r="B44" s="7" t="s">
        <v>27</v>
      </c>
      <c r="C44" s="8" t="s">
        <v>28</v>
      </c>
      <c r="D44" s="8" t="n">
        <v>700039</v>
      </c>
      <c r="E44" s="8" t="n">
        <v>2018</v>
      </c>
      <c r="F44" s="8" t="s">
        <v>192</v>
      </c>
      <c r="G44" s="10" t="n">
        <v>1</v>
      </c>
      <c r="H44" s="5" t="s">
        <v>2326</v>
      </c>
      <c r="I44" s="8" t="s">
        <v>1965</v>
      </c>
      <c r="J44" s="5" t="s">
        <v>1966</v>
      </c>
      <c r="K44" s="5" t="s">
        <v>1967</v>
      </c>
      <c r="L44" s="5" t="n">
        <v>12</v>
      </c>
      <c r="M44" s="6" t="s">
        <v>41</v>
      </c>
      <c r="N44" s="8" t="s">
        <v>1</v>
      </c>
    </row>
    <row r="45" customFormat="false" ht="22.5" hidden="false" customHeight="false" outlineLevel="0" collapsed="false">
      <c r="A45" s="5" t="n">
        <f aca="false">IF(B45&lt;&gt;"", COUNTA($B$2:B45), "")</f>
        <v>44</v>
      </c>
      <c r="B45" s="7" t="s">
        <v>27</v>
      </c>
      <c r="C45" s="8" t="s">
        <v>1312</v>
      </c>
      <c r="D45" s="15" t="s">
        <v>2327</v>
      </c>
      <c r="E45" s="8" t="n">
        <v>2018</v>
      </c>
      <c r="F45" s="8" t="s">
        <v>2213</v>
      </c>
      <c r="G45" s="10" t="n">
        <v>1.5</v>
      </c>
      <c r="H45" s="5" t="s">
        <v>2328</v>
      </c>
      <c r="I45" s="8" t="s">
        <v>2329</v>
      </c>
      <c r="J45" s="5" t="s">
        <v>1966</v>
      </c>
      <c r="K45" s="5" t="s">
        <v>1967</v>
      </c>
      <c r="L45" s="5" t="n">
        <v>12</v>
      </c>
      <c r="M45" s="6" t="s">
        <v>41</v>
      </c>
      <c r="N45" s="8" t="s">
        <v>1</v>
      </c>
    </row>
    <row r="46" customFormat="false" ht="22.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8" t="s">
        <v>1324</v>
      </c>
      <c r="D46" s="15" t="s">
        <v>2330</v>
      </c>
      <c r="E46" s="8" t="n">
        <v>2018</v>
      </c>
      <c r="F46" s="5" t="s">
        <v>2331</v>
      </c>
      <c r="G46" s="10" t="n">
        <v>1.5</v>
      </c>
      <c r="H46" s="5" t="s">
        <v>2332</v>
      </c>
      <c r="I46" s="8" t="s">
        <v>2329</v>
      </c>
      <c r="J46" s="5" t="s">
        <v>1966</v>
      </c>
      <c r="K46" s="5" t="s">
        <v>1967</v>
      </c>
      <c r="L46" s="5" t="n">
        <v>12</v>
      </c>
      <c r="M46" s="6" t="s">
        <v>41</v>
      </c>
      <c r="N46" s="8" t="s">
        <v>1</v>
      </c>
    </row>
    <row r="47" customFormat="false" ht="22.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8" t="s">
        <v>28</v>
      </c>
      <c r="D47" s="15" t="s">
        <v>2333</v>
      </c>
      <c r="E47" s="8" t="n">
        <v>2018</v>
      </c>
      <c r="F47" s="8" t="s">
        <v>192</v>
      </c>
      <c r="G47" s="10" t="n">
        <v>1</v>
      </c>
      <c r="H47" s="5" t="s">
        <v>2334</v>
      </c>
      <c r="I47" s="8" t="s">
        <v>1965</v>
      </c>
      <c r="J47" s="5" t="s">
        <v>1966</v>
      </c>
      <c r="K47" s="5" t="s">
        <v>1967</v>
      </c>
      <c r="L47" s="5" t="n">
        <v>12</v>
      </c>
      <c r="M47" s="6" t="s">
        <v>41</v>
      </c>
      <c r="N47" s="8" t="s">
        <v>1</v>
      </c>
    </row>
    <row r="48" customFormat="false" ht="22.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8" t="s">
        <v>28</v>
      </c>
      <c r="D48" s="15" t="s">
        <v>2335</v>
      </c>
      <c r="E48" s="8" t="n">
        <v>2018</v>
      </c>
      <c r="F48" s="8" t="s">
        <v>192</v>
      </c>
      <c r="G48" s="10" t="n">
        <v>1</v>
      </c>
      <c r="H48" s="5" t="s">
        <v>2336</v>
      </c>
      <c r="I48" s="8" t="s">
        <v>1965</v>
      </c>
      <c r="J48" s="5" t="s">
        <v>1966</v>
      </c>
      <c r="K48" s="5" t="s">
        <v>1967</v>
      </c>
      <c r="L48" s="5" t="n">
        <v>12</v>
      </c>
      <c r="M48" s="6" t="s">
        <v>41</v>
      </c>
      <c r="N48" s="8" t="s">
        <v>1</v>
      </c>
    </row>
    <row r="49" customFormat="false" ht="22.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8" t="s">
        <v>2287</v>
      </c>
      <c r="D49" s="15" t="s">
        <v>2337</v>
      </c>
      <c r="E49" s="8" t="n">
        <v>2018</v>
      </c>
      <c r="F49" s="8" t="s">
        <v>192</v>
      </c>
      <c r="G49" s="10" t="n">
        <v>1</v>
      </c>
      <c r="H49" s="5" t="s">
        <v>2338</v>
      </c>
      <c r="I49" s="8" t="s">
        <v>1965</v>
      </c>
      <c r="J49" s="5" t="s">
        <v>1966</v>
      </c>
      <c r="K49" s="5" t="s">
        <v>1967</v>
      </c>
      <c r="L49" s="5" t="n">
        <v>12</v>
      </c>
      <c r="M49" s="6" t="s">
        <v>41</v>
      </c>
      <c r="N49" s="8" t="s">
        <v>1</v>
      </c>
    </row>
    <row r="50" customFormat="false" ht="22.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8" t="s">
        <v>28</v>
      </c>
      <c r="D50" s="15" t="s">
        <v>2339</v>
      </c>
      <c r="E50" s="8" t="n">
        <v>2018</v>
      </c>
      <c r="F50" s="8" t="s">
        <v>192</v>
      </c>
      <c r="G50" s="10" t="n">
        <v>1</v>
      </c>
      <c r="H50" s="5" t="s">
        <v>2340</v>
      </c>
      <c r="I50" s="8" t="s">
        <v>1965</v>
      </c>
      <c r="J50" s="5" t="s">
        <v>1966</v>
      </c>
      <c r="K50" s="5" t="s">
        <v>1967</v>
      </c>
      <c r="L50" s="5" t="n">
        <v>12</v>
      </c>
      <c r="M50" s="6" t="s">
        <v>41</v>
      </c>
      <c r="N50" s="8" t="s">
        <v>1</v>
      </c>
    </row>
    <row r="51" customFormat="false" ht="22.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8" t="s">
        <v>144</v>
      </c>
      <c r="D51" s="15" t="s">
        <v>2341</v>
      </c>
      <c r="E51" s="8" t="n">
        <v>2018</v>
      </c>
      <c r="F51" s="8" t="s">
        <v>192</v>
      </c>
      <c r="G51" s="10" t="n">
        <v>1</v>
      </c>
      <c r="H51" s="5" t="s">
        <v>2342</v>
      </c>
      <c r="I51" s="8" t="s">
        <v>1965</v>
      </c>
      <c r="J51" s="5" t="s">
        <v>1966</v>
      </c>
      <c r="K51" s="5" t="s">
        <v>1967</v>
      </c>
      <c r="L51" s="5" t="n">
        <v>12</v>
      </c>
      <c r="M51" s="6" t="s">
        <v>37</v>
      </c>
      <c r="N51" s="8" t="s">
        <v>38</v>
      </c>
    </row>
    <row r="52" customFormat="false" ht="22.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8" t="s">
        <v>28</v>
      </c>
      <c r="D52" s="15" t="s">
        <v>2343</v>
      </c>
      <c r="E52" s="8" t="n">
        <v>2018</v>
      </c>
      <c r="F52" s="8" t="s">
        <v>192</v>
      </c>
      <c r="G52" s="10" t="n">
        <v>1.5</v>
      </c>
      <c r="H52" s="5" t="s">
        <v>2344</v>
      </c>
      <c r="I52" s="8" t="s">
        <v>1965</v>
      </c>
      <c r="J52" s="5" t="s">
        <v>1966</v>
      </c>
      <c r="K52" s="5" t="s">
        <v>1967</v>
      </c>
      <c r="L52" s="5" t="n">
        <v>12</v>
      </c>
      <c r="M52" s="6" t="s">
        <v>41</v>
      </c>
      <c r="N52" s="8" t="s">
        <v>1</v>
      </c>
    </row>
    <row r="53" customFormat="false" ht="22.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8" t="s">
        <v>28</v>
      </c>
      <c r="D53" s="15" t="s">
        <v>2345</v>
      </c>
      <c r="E53" s="8" t="n">
        <v>2018</v>
      </c>
      <c r="F53" s="8" t="s">
        <v>192</v>
      </c>
      <c r="G53" s="10" t="n">
        <v>1.5</v>
      </c>
      <c r="H53" s="5" t="s">
        <v>2346</v>
      </c>
      <c r="I53" s="8" t="s">
        <v>1965</v>
      </c>
      <c r="J53" s="5" t="s">
        <v>1966</v>
      </c>
      <c r="K53" s="5" t="s">
        <v>1967</v>
      </c>
      <c r="L53" s="5" t="n">
        <v>12</v>
      </c>
      <c r="M53" s="6" t="s">
        <v>41</v>
      </c>
      <c r="N53" s="8" t="s">
        <v>1</v>
      </c>
    </row>
    <row r="54" customFormat="false" ht="22.5" hidden="false" customHeight="false" outlineLevel="0" collapsed="false">
      <c r="A54" s="5" t="n">
        <f aca="false">IF(B54&lt;&gt;"", COUNTA($B$2:B54), "")</f>
        <v>53</v>
      </c>
      <c r="B54" s="7" t="s">
        <v>27</v>
      </c>
      <c r="C54" s="8" t="s">
        <v>28</v>
      </c>
      <c r="D54" s="15" t="s">
        <v>2347</v>
      </c>
      <c r="E54" s="8" t="n">
        <v>2018</v>
      </c>
      <c r="F54" s="8" t="s">
        <v>192</v>
      </c>
      <c r="G54" s="10" t="n">
        <v>1.5</v>
      </c>
      <c r="H54" s="5" t="s">
        <v>2348</v>
      </c>
      <c r="I54" s="8" t="s">
        <v>1965</v>
      </c>
      <c r="J54" s="5" t="s">
        <v>1966</v>
      </c>
      <c r="K54" s="5" t="s">
        <v>1967</v>
      </c>
      <c r="L54" s="5" t="n">
        <v>12</v>
      </c>
      <c r="M54" s="6" t="s">
        <v>41</v>
      </c>
      <c r="N54" s="8" t="s">
        <v>1</v>
      </c>
    </row>
    <row r="55" customFormat="false" ht="22.5" hidden="false" customHeight="false" outlineLevel="0" collapsed="false">
      <c r="A55" s="5" t="n">
        <f aca="false">IF(B55&lt;&gt;"", COUNTA($B$2:B55), "")</f>
        <v>54</v>
      </c>
      <c r="B55" s="7" t="s">
        <v>27</v>
      </c>
      <c r="C55" s="8" t="s">
        <v>28</v>
      </c>
      <c r="D55" s="5" t="n">
        <v>7000304</v>
      </c>
      <c r="E55" s="8" t="n">
        <v>2018</v>
      </c>
      <c r="F55" s="8" t="s">
        <v>192</v>
      </c>
      <c r="G55" s="10" t="n">
        <v>1</v>
      </c>
      <c r="H55" s="5" t="s">
        <v>2349</v>
      </c>
      <c r="I55" s="8" t="s">
        <v>1965</v>
      </c>
      <c r="J55" s="5" t="s">
        <v>1966</v>
      </c>
      <c r="K55" s="5" t="s">
        <v>1967</v>
      </c>
      <c r="L55" s="5" t="n">
        <v>12</v>
      </c>
      <c r="M55" s="6" t="s">
        <v>41</v>
      </c>
      <c r="N55" s="8" t="s">
        <v>1</v>
      </c>
    </row>
    <row r="56" customFormat="false" ht="22.5" hidden="false" customHeight="false" outlineLevel="0" collapsed="false">
      <c r="A56" s="5" t="n">
        <f aca="false">IF(B56&lt;&gt;"", COUNTA($B$2:B56), "")</f>
        <v>55</v>
      </c>
      <c r="B56" s="7" t="s">
        <v>27</v>
      </c>
      <c r="C56" s="8" t="s">
        <v>28</v>
      </c>
      <c r="D56" s="19" t="s">
        <v>2350</v>
      </c>
      <c r="E56" s="8" t="n">
        <v>2018</v>
      </c>
      <c r="F56" s="8" t="s">
        <v>192</v>
      </c>
      <c r="G56" s="10" t="n">
        <v>1.5</v>
      </c>
      <c r="H56" s="5" t="s">
        <v>2351</v>
      </c>
      <c r="I56" s="8" t="s">
        <v>1965</v>
      </c>
      <c r="J56" s="5" t="s">
        <v>1966</v>
      </c>
      <c r="K56" s="5" t="s">
        <v>1967</v>
      </c>
      <c r="L56" s="5" t="n">
        <v>12</v>
      </c>
      <c r="M56" s="6" t="s">
        <v>41</v>
      </c>
      <c r="N56" s="8" t="s">
        <v>1</v>
      </c>
    </row>
    <row r="57" customFormat="false" ht="22.5" hidden="false" customHeight="false" outlineLevel="0" collapsed="false">
      <c r="A57" s="5" t="n">
        <f aca="false">IF(B57&lt;&gt;"", COUNTA($B$2:B57), "")</f>
        <v>56</v>
      </c>
      <c r="B57" s="7" t="s">
        <v>27</v>
      </c>
      <c r="C57" s="8" t="s">
        <v>28</v>
      </c>
      <c r="D57" s="19" t="s">
        <v>2352</v>
      </c>
      <c r="E57" s="8" t="n">
        <v>2018</v>
      </c>
      <c r="F57" s="8" t="s">
        <v>192</v>
      </c>
      <c r="G57" s="10" t="n">
        <v>1.5</v>
      </c>
      <c r="H57" s="5" t="s">
        <v>2353</v>
      </c>
      <c r="I57" s="8" t="s">
        <v>1965</v>
      </c>
      <c r="J57" s="5" t="s">
        <v>1966</v>
      </c>
      <c r="K57" s="5" t="s">
        <v>1967</v>
      </c>
      <c r="L57" s="5" t="n">
        <v>12</v>
      </c>
      <c r="M57" s="6" t="s">
        <v>41</v>
      </c>
      <c r="N57" s="8" t="s">
        <v>1</v>
      </c>
    </row>
    <row r="58" customFormat="false" ht="22.5" hidden="false" customHeight="false" outlineLevel="0" collapsed="false">
      <c r="A58" s="5" t="n">
        <f aca="false">IF(B58&lt;&gt;"", COUNTA($B$2:B58), "")</f>
        <v>57</v>
      </c>
      <c r="B58" s="7" t="s">
        <v>27</v>
      </c>
      <c r="C58" s="8" t="s">
        <v>500</v>
      </c>
      <c r="D58" s="12" t="n">
        <v>212027990</v>
      </c>
      <c r="E58" s="8" t="n">
        <v>2018</v>
      </c>
      <c r="F58" s="8" t="s">
        <v>192</v>
      </c>
      <c r="G58" s="10" t="n">
        <v>1</v>
      </c>
      <c r="H58" s="5" t="s">
        <v>2354</v>
      </c>
      <c r="I58" s="8" t="s">
        <v>2355</v>
      </c>
      <c r="J58" s="5" t="s">
        <v>1966</v>
      </c>
      <c r="K58" s="5" t="s">
        <v>1967</v>
      </c>
      <c r="L58" s="5" t="n">
        <v>12</v>
      </c>
      <c r="M58" s="6" t="s">
        <v>41</v>
      </c>
      <c r="N58" s="8" t="s">
        <v>1</v>
      </c>
    </row>
    <row r="59" customFormat="false" ht="22.5" hidden="false" customHeight="false" outlineLevel="0" collapsed="false">
      <c r="A59" s="5" t="n">
        <f aca="false">IF(B59&lt;&gt;"", COUNTA($B$2:B59), "")</f>
        <v>58</v>
      </c>
      <c r="B59" s="7" t="s">
        <v>27</v>
      </c>
      <c r="C59" s="8" t="s">
        <v>500</v>
      </c>
      <c r="D59" s="12" t="n">
        <v>212027926</v>
      </c>
      <c r="E59" s="8" t="n">
        <v>2018</v>
      </c>
      <c r="F59" s="8" t="s">
        <v>192</v>
      </c>
      <c r="G59" s="10" t="n">
        <v>1</v>
      </c>
      <c r="H59" s="5" t="s">
        <v>2354</v>
      </c>
      <c r="I59" s="8" t="s">
        <v>2355</v>
      </c>
      <c r="J59" s="5" t="s">
        <v>1966</v>
      </c>
      <c r="K59" s="5" t="s">
        <v>1967</v>
      </c>
      <c r="L59" s="5" t="n">
        <v>12</v>
      </c>
      <c r="M59" s="6" t="s">
        <v>41</v>
      </c>
      <c r="N59" s="8" t="s">
        <v>1</v>
      </c>
    </row>
    <row r="60" customFormat="false" ht="22.5" hidden="false" customHeight="false" outlineLevel="0" collapsed="false">
      <c r="A60" s="5" t="n">
        <f aca="false">IF(B60&lt;&gt;"", COUNTA($B$2:B60), "")</f>
        <v>59</v>
      </c>
      <c r="B60" s="7" t="s">
        <v>27</v>
      </c>
      <c r="C60" s="8" t="s">
        <v>500</v>
      </c>
      <c r="D60" s="19" t="s">
        <v>2356</v>
      </c>
      <c r="E60" s="8" t="n">
        <v>2018</v>
      </c>
      <c r="F60" s="8" t="s">
        <v>192</v>
      </c>
      <c r="G60" s="10" t="n">
        <v>1</v>
      </c>
      <c r="H60" s="5" t="s">
        <v>2354</v>
      </c>
      <c r="I60" s="8" t="s">
        <v>2355</v>
      </c>
      <c r="J60" s="5" t="s">
        <v>1966</v>
      </c>
      <c r="K60" s="5" t="s">
        <v>1967</v>
      </c>
      <c r="L60" s="5" t="n">
        <v>12</v>
      </c>
      <c r="M60" s="6" t="s">
        <v>41</v>
      </c>
      <c r="N60" s="8" t="s">
        <v>1</v>
      </c>
    </row>
    <row r="61" customFormat="false" ht="22.5" hidden="false" customHeight="false" outlineLevel="0" collapsed="false">
      <c r="A61" s="5" t="n">
        <f aca="false">IF(B61&lt;&gt;"", COUNTA($B$2:B61), "")</f>
        <v>60</v>
      </c>
      <c r="B61" s="7" t="s">
        <v>27</v>
      </c>
      <c r="C61" s="8" t="s">
        <v>500</v>
      </c>
      <c r="D61" s="19" t="s">
        <v>2357</v>
      </c>
      <c r="E61" s="8" t="n">
        <v>2018</v>
      </c>
      <c r="F61" s="8" t="s">
        <v>192</v>
      </c>
      <c r="G61" s="10" t="n">
        <v>1</v>
      </c>
      <c r="H61" s="5" t="s">
        <v>2354</v>
      </c>
      <c r="I61" s="8" t="s">
        <v>2355</v>
      </c>
      <c r="J61" s="5" t="s">
        <v>1966</v>
      </c>
      <c r="K61" s="5" t="s">
        <v>1967</v>
      </c>
      <c r="L61" s="5" t="n">
        <v>12</v>
      </c>
      <c r="M61" s="6" t="s">
        <v>41</v>
      </c>
      <c r="N61" s="8" t="s">
        <v>1</v>
      </c>
    </row>
    <row r="62" customFormat="false" ht="22.5" hidden="false" customHeight="false" outlineLevel="0" collapsed="false">
      <c r="A62" s="5" t="n">
        <f aca="false">IF(B62&lt;&gt;"", COUNTA($B$2:B62), "")</f>
        <v>61</v>
      </c>
      <c r="B62" s="7" t="s">
        <v>27</v>
      </c>
      <c r="C62" s="8" t="s">
        <v>500</v>
      </c>
      <c r="D62" s="17" t="n">
        <v>212027928</v>
      </c>
      <c r="E62" s="8" t="n">
        <v>2018</v>
      </c>
      <c r="F62" s="8" t="s">
        <v>192</v>
      </c>
      <c r="G62" s="10" t="n">
        <v>1</v>
      </c>
      <c r="H62" s="5" t="s">
        <v>2354</v>
      </c>
      <c r="I62" s="8" t="s">
        <v>2355</v>
      </c>
      <c r="J62" s="5" t="s">
        <v>1966</v>
      </c>
      <c r="K62" s="5" t="s">
        <v>1967</v>
      </c>
      <c r="L62" s="5" t="n">
        <v>12</v>
      </c>
      <c r="M62" s="6" t="s">
        <v>41</v>
      </c>
      <c r="N62" s="8" t="s">
        <v>1</v>
      </c>
    </row>
    <row r="63" customFormat="false" ht="22.5" hidden="false" customHeight="false" outlineLevel="0" collapsed="false">
      <c r="A63" s="5" t="n">
        <f aca="false">IF(B63&lt;&gt;"", COUNTA($B$2:B63), "")</f>
        <v>62</v>
      </c>
      <c r="B63" s="7" t="s">
        <v>27</v>
      </c>
      <c r="C63" s="8" t="s">
        <v>500</v>
      </c>
      <c r="D63" s="19" t="s">
        <v>2358</v>
      </c>
      <c r="E63" s="8" t="n">
        <v>2018</v>
      </c>
      <c r="F63" s="8" t="s">
        <v>192</v>
      </c>
      <c r="G63" s="10" t="n">
        <v>1</v>
      </c>
      <c r="H63" s="5" t="s">
        <v>2354</v>
      </c>
      <c r="I63" s="8" t="s">
        <v>2355</v>
      </c>
      <c r="J63" s="5" t="s">
        <v>1966</v>
      </c>
      <c r="K63" s="5" t="s">
        <v>1967</v>
      </c>
      <c r="L63" s="5" t="n">
        <v>12</v>
      </c>
      <c r="M63" s="6" t="s">
        <v>41</v>
      </c>
      <c r="N63" s="8" t="s">
        <v>1</v>
      </c>
    </row>
    <row r="64" customFormat="false" ht="22.5" hidden="false" customHeight="false" outlineLevel="0" collapsed="false">
      <c r="A64" s="5" t="n">
        <f aca="false">IF(B64&lt;&gt;"", COUNTA($B$2:B64), "")</f>
        <v>63</v>
      </c>
      <c r="B64" s="7" t="s">
        <v>27</v>
      </c>
      <c r="C64" s="8" t="s">
        <v>500</v>
      </c>
      <c r="D64" s="10" t="n">
        <v>212027274</v>
      </c>
      <c r="E64" s="8" t="n">
        <v>2018</v>
      </c>
      <c r="F64" s="8" t="s">
        <v>192</v>
      </c>
      <c r="G64" s="10" t="n">
        <v>1</v>
      </c>
      <c r="H64" s="5" t="s">
        <v>2354</v>
      </c>
      <c r="I64" s="8" t="s">
        <v>2355</v>
      </c>
      <c r="J64" s="5" t="s">
        <v>1966</v>
      </c>
      <c r="K64" s="5" t="s">
        <v>1967</v>
      </c>
      <c r="L64" s="5" t="n">
        <v>12</v>
      </c>
      <c r="M64" s="6" t="s">
        <v>41</v>
      </c>
      <c r="N64" s="8" t="s">
        <v>1</v>
      </c>
    </row>
    <row r="65" customFormat="false" ht="22.5" hidden="false" customHeight="false" outlineLevel="0" collapsed="false">
      <c r="A65" s="5" t="n">
        <f aca="false">IF(B65&lt;&gt;"", COUNTA($B$2:B65), "")</f>
        <v>64</v>
      </c>
      <c r="B65" s="7" t="s">
        <v>27</v>
      </c>
      <c r="C65" s="8" t="s">
        <v>500</v>
      </c>
      <c r="D65" s="10" t="n">
        <v>212027270</v>
      </c>
      <c r="E65" s="8" t="n">
        <v>2018</v>
      </c>
      <c r="F65" s="8" t="s">
        <v>192</v>
      </c>
      <c r="G65" s="10" t="n">
        <v>1</v>
      </c>
      <c r="H65" s="5" t="s">
        <v>2354</v>
      </c>
      <c r="I65" s="8" t="s">
        <v>2355</v>
      </c>
      <c r="J65" s="5" t="s">
        <v>1966</v>
      </c>
      <c r="K65" s="5" t="s">
        <v>1967</v>
      </c>
      <c r="L65" s="5" t="n">
        <v>12</v>
      </c>
      <c r="M65" s="6" t="s">
        <v>41</v>
      </c>
      <c r="N65" s="8" t="s">
        <v>1</v>
      </c>
    </row>
    <row r="66" customFormat="false" ht="22.5" hidden="false" customHeight="false" outlineLevel="0" collapsed="false">
      <c r="A66" s="5" t="n">
        <f aca="false">IF(B66&lt;&gt;"", COUNTA($B$2:B66), "")</f>
        <v>65</v>
      </c>
      <c r="B66" s="7" t="s">
        <v>27</v>
      </c>
      <c r="C66" s="8" t="s">
        <v>28</v>
      </c>
      <c r="D66" s="10" t="n">
        <v>7000109</v>
      </c>
      <c r="E66" s="8" t="n">
        <v>2018</v>
      </c>
      <c r="F66" s="8" t="s">
        <v>192</v>
      </c>
      <c r="G66" s="10" t="n">
        <v>1.5</v>
      </c>
      <c r="H66" s="5" t="s">
        <v>2359</v>
      </c>
      <c r="I66" s="8" t="s">
        <v>1965</v>
      </c>
      <c r="J66" s="5" t="s">
        <v>1966</v>
      </c>
      <c r="K66" s="5" t="s">
        <v>1967</v>
      </c>
      <c r="L66" s="5" t="n">
        <v>12</v>
      </c>
      <c r="M66" s="6" t="s">
        <v>41</v>
      </c>
      <c r="N66" s="8" t="s">
        <v>1</v>
      </c>
    </row>
    <row r="67" customFormat="false" ht="22.5" hidden="false" customHeight="false" outlineLevel="0" collapsed="false">
      <c r="A67" s="5" t="n">
        <f aca="false">IF(B67&lt;&gt;"", COUNTA($B$2:B67), "")</f>
        <v>66</v>
      </c>
      <c r="B67" s="124" t="s">
        <v>46</v>
      </c>
      <c r="C67" s="12" t="s">
        <v>2360</v>
      </c>
      <c r="D67" s="12" t="n">
        <v>7328</v>
      </c>
      <c r="E67" s="8" t="n">
        <v>2018</v>
      </c>
      <c r="F67" s="8" t="s">
        <v>48</v>
      </c>
      <c r="G67" s="10" t="n">
        <v>1.5</v>
      </c>
      <c r="H67" s="12" t="s">
        <v>2361</v>
      </c>
      <c r="I67" s="8" t="s">
        <v>1965</v>
      </c>
      <c r="J67" s="5" t="s">
        <v>1966</v>
      </c>
      <c r="K67" s="5" t="s">
        <v>1967</v>
      </c>
      <c r="L67" s="5" t="n">
        <v>24</v>
      </c>
      <c r="M67" s="6" t="s">
        <v>41</v>
      </c>
      <c r="N67" s="8" t="s">
        <v>1</v>
      </c>
    </row>
    <row r="68" customFormat="false" ht="22.5" hidden="false" customHeight="false" outlineLevel="0" collapsed="false">
      <c r="A68" s="5" t="n">
        <f aca="false">IF(B68&lt;&gt;"", COUNTA($B$2:B68), "")</f>
        <v>67</v>
      </c>
      <c r="B68" s="124" t="s">
        <v>46</v>
      </c>
      <c r="C68" s="12" t="s">
        <v>47</v>
      </c>
      <c r="D68" s="12" t="n">
        <v>8563</v>
      </c>
      <c r="E68" s="8" t="n">
        <v>2018</v>
      </c>
      <c r="F68" s="15" t="s">
        <v>2362</v>
      </c>
      <c r="G68" s="10" t="n">
        <v>1</v>
      </c>
      <c r="H68" s="12" t="s">
        <v>2363</v>
      </c>
      <c r="I68" s="8" t="s">
        <v>2355</v>
      </c>
      <c r="J68" s="5" t="s">
        <v>1966</v>
      </c>
      <c r="K68" s="5" t="s">
        <v>1967</v>
      </c>
      <c r="L68" s="5" t="n">
        <v>24</v>
      </c>
      <c r="M68" s="6" t="s">
        <v>2364</v>
      </c>
      <c r="N68" s="8" t="s">
        <v>1</v>
      </c>
      <c r="O68" s="122"/>
    </row>
    <row r="69" customFormat="false" ht="22.5" hidden="false" customHeight="false" outlineLevel="0" collapsed="false">
      <c r="A69" s="5" t="n">
        <f aca="false">IF(B69&lt;&gt;"", COUNTA($B$2:B69), "")</f>
        <v>68</v>
      </c>
      <c r="B69" s="124" t="s">
        <v>46</v>
      </c>
      <c r="C69" s="12" t="s">
        <v>47</v>
      </c>
      <c r="D69" s="12" t="n">
        <v>8571</v>
      </c>
      <c r="E69" s="8" t="n">
        <v>2018</v>
      </c>
      <c r="F69" s="15" t="s">
        <v>2362</v>
      </c>
      <c r="G69" s="10" t="n">
        <v>1</v>
      </c>
      <c r="H69" s="12" t="s">
        <v>2363</v>
      </c>
      <c r="I69" s="8" t="s">
        <v>2355</v>
      </c>
      <c r="J69" s="5" t="s">
        <v>1966</v>
      </c>
      <c r="K69" s="5" t="s">
        <v>1967</v>
      </c>
      <c r="L69" s="5" t="n">
        <v>24</v>
      </c>
      <c r="M69" s="6" t="s">
        <v>2364</v>
      </c>
      <c r="N69" s="8" t="s">
        <v>1</v>
      </c>
      <c r="O69" s="122"/>
    </row>
    <row r="70" customFormat="false" ht="22.5" hidden="false" customHeight="false" outlineLevel="0" collapsed="false">
      <c r="A70" s="5" t="n">
        <f aca="false">IF(B70&lt;&gt;"", COUNTA($B$2:B70), "")</f>
        <v>69</v>
      </c>
      <c r="B70" s="124" t="s">
        <v>46</v>
      </c>
      <c r="C70" s="12" t="s">
        <v>47</v>
      </c>
      <c r="D70" s="12" t="n">
        <v>8536</v>
      </c>
      <c r="E70" s="8" t="n">
        <v>2018</v>
      </c>
      <c r="F70" s="15" t="s">
        <v>2362</v>
      </c>
      <c r="G70" s="10" t="n">
        <v>1</v>
      </c>
      <c r="H70" s="12" t="s">
        <v>2363</v>
      </c>
      <c r="I70" s="8" t="s">
        <v>2355</v>
      </c>
      <c r="J70" s="5" t="s">
        <v>1966</v>
      </c>
      <c r="K70" s="5" t="s">
        <v>1967</v>
      </c>
      <c r="L70" s="5" t="n">
        <v>24</v>
      </c>
      <c r="M70" s="6" t="s">
        <v>2364</v>
      </c>
      <c r="N70" s="8" t="s">
        <v>1</v>
      </c>
      <c r="O70" s="122"/>
    </row>
    <row r="71" customFormat="false" ht="22.5" hidden="false" customHeight="false" outlineLevel="0" collapsed="false">
      <c r="A71" s="5" t="n">
        <f aca="false">IF(B71&lt;&gt;"", COUNTA($B$2:B71), "")</f>
        <v>70</v>
      </c>
      <c r="B71" s="124" t="s">
        <v>46</v>
      </c>
      <c r="C71" s="12" t="s">
        <v>47</v>
      </c>
      <c r="D71" s="12" t="n">
        <v>8532</v>
      </c>
      <c r="E71" s="8" t="n">
        <v>2018</v>
      </c>
      <c r="F71" s="15" t="s">
        <v>2362</v>
      </c>
      <c r="G71" s="10" t="n">
        <v>1</v>
      </c>
      <c r="H71" s="12" t="s">
        <v>2363</v>
      </c>
      <c r="I71" s="8" t="s">
        <v>2355</v>
      </c>
      <c r="J71" s="5" t="s">
        <v>1966</v>
      </c>
      <c r="K71" s="5" t="s">
        <v>1967</v>
      </c>
      <c r="L71" s="5" t="n">
        <v>24</v>
      </c>
      <c r="M71" s="6" t="s">
        <v>2364</v>
      </c>
      <c r="N71" s="8" t="s">
        <v>1</v>
      </c>
      <c r="O71" s="122"/>
    </row>
    <row r="72" customFormat="false" ht="22.5" hidden="false" customHeight="false" outlineLevel="0" collapsed="false">
      <c r="A72" s="5" t="n">
        <f aca="false">IF(B72&lt;&gt;"", COUNTA($B$2:B72), "")</f>
        <v>71</v>
      </c>
      <c r="B72" s="124" t="s">
        <v>46</v>
      </c>
      <c r="C72" s="12" t="s">
        <v>47</v>
      </c>
      <c r="D72" s="12" t="n">
        <v>8560</v>
      </c>
      <c r="E72" s="8" t="n">
        <v>2018</v>
      </c>
      <c r="F72" s="15" t="s">
        <v>2362</v>
      </c>
      <c r="G72" s="10" t="n">
        <v>1</v>
      </c>
      <c r="H72" s="12" t="s">
        <v>2363</v>
      </c>
      <c r="I72" s="8" t="s">
        <v>2355</v>
      </c>
      <c r="J72" s="5" t="s">
        <v>1966</v>
      </c>
      <c r="K72" s="5" t="s">
        <v>1967</v>
      </c>
      <c r="L72" s="5" t="n">
        <v>24</v>
      </c>
      <c r="M72" s="6" t="s">
        <v>2364</v>
      </c>
      <c r="N72" s="8" t="s">
        <v>1</v>
      </c>
      <c r="O72" s="122"/>
    </row>
    <row r="73" customFormat="false" ht="22.5" hidden="false" customHeight="false" outlineLevel="0" collapsed="false">
      <c r="A73" s="5" t="n">
        <f aca="false">IF(B73&lt;&gt;"", COUNTA($B$2:B73), "")</f>
        <v>72</v>
      </c>
      <c r="B73" s="124" t="s">
        <v>46</v>
      </c>
      <c r="C73" s="12" t="s">
        <v>47</v>
      </c>
      <c r="D73" s="12" t="n">
        <v>8568</v>
      </c>
      <c r="E73" s="8" t="n">
        <v>2018</v>
      </c>
      <c r="F73" s="15" t="s">
        <v>2362</v>
      </c>
      <c r="G73" s="10" t="n">
        <v>1</v>
      </c>
      <c r="H73" s="12" t="s">
        <v>2363</v>
      </c>
      <c r="I73" s="8" t="s">
        <v>2355</v>
      </c>
      <c r="J73" s="5" t="s">
        <v>1966</v>
      </c>
      <c r="K73" s="5" t="s">
        <v>1967</v>
      </c>
      <c r="L73" s="5" t="n">
        <v>24</v>
      </c>
      <c r="M73" s="6" t="s">
        <v>2364</v>
      </c>
      <c r="N73" s="8" t="s">
        <v>1</v>
      </c>
      <c r="O73" s="122"/>
    </row>
    <row r="74" customFormat="false" ht="22.5" hidden="false" customHeight="false" outlineLevel="0" collapsed="false">
      <c r="A74" s="5" t="n">
        <f aca="false">IF(B74&lt;&gt;"", COUNTA($B$2:B74), "")</f>
        <v>73</v>
      </c>
      <c r="B74" s="124" t="s">
        <v>46</v>
      </c>
      <c r="C74" s="12" t="s">
        <v>47</v>
      </c>
      <c r="D74" s="12" t="n">
        <v>8564</v>
      </c>
      <c r="E74" s="8" t="n">
        <v>2018</v>
      </c>
      <c r="F74" s="15" t="s">
        <v>2362</v>
      </c>
      <c r="G74" s="10" t="n">
        <v>1</v>
      </c>
      <c r="H74" s="12" t="s">
        <v>2363</v>
      </c>
      <c r="I74" s="8" t="s">
        <v>2355</v>
      </c>
      <c r="J74" s="5" t="s">
        <v>1966</v>
      </c>
      <c r="K74" s="5" t="s">
        <v>1967</v>
      </c>
      <c r="L74" s="5" t="n">
        <v>24</v>
      </c>
      <c r="M74" s="6" t="s">
        <v>2364</v>
      </c>
      <c r="N74" s="8" t="s">
        <v>1</v>
      </c>
      <c r="O74" s="122"/>
    </row>
    <row r="75" customFormat="false" ht="22.5" hidden="false" customHeight="false" outlineLevel="0" collapsed="false">
      <c r="A75" s="5" t="n">
        <f aca="false">IF(B75&lt;&gt;"", COUNTA($B$2:B75), "")</f>
        <v>74</v>
      </c>
      <c r="B75" s="124" t="s">
        <v>46</v>
      </c>
      <c r="C75" s="12" t="s">
        <v>47</v>
      </c>
      <c r="D75" s="12" t="n">
        <v>8566</v>
      </c>
      <c r="E75" s="8" t="n">
        <v>2018</v>
      </c>
      <c r="F75" s="15" t="s">
        <v>2362</v>
      </c>
      <c r="G75" s="10" t="n">
        <v>1</v>
      </c>
      <c r="H75" s="12" t="s">
        <v>2363</v>
      </c>
      <c r="I75" s="8" t="s">
        <v>2355</v>
      </c>
      <c r="J75" s="5" t="s">
        <v>1966</v>
      </c>
      <c r="K75" s="5" t="s">
        <v>1967</v>
      </c>
      <c r="L75" s="5" t="n">
        <v>24</v>
      </c>
      <c r="M75" s="6" t="s">
        <v>2364</v>
      </c>
      <c r="N75" s="8" t="s">
        <v>1</v>
      </c>
      <c r="O75" s="122"/>
    </row>
    <row r="76" customFormat="false" ht="22.5" hidden="false" customHeight="false" outlineLevel="0" collapsed="false">
      <c r="A76" s="5" t="n">
        <f aca="false">IF(B76&lt;&gt;"", COUNTA($B$2:B76), "")</f>
        <v>75</v>
      </c>
      <c r="B76" s="125" t="s">
        <v>1836</v>
      </c>
      <c r="C76" s="12" t="s">
        <v>2365</v>
      </c>
      <c r="D76" s="12" t="s">
        <v>2366</v>
      </c>
      <c r="E76" s="16" t="n">
        <v>2018</v>
      </c>
      <c r="F76" s="27" t="s">
        <v>2367</v>
      </c>
      <c r="G76" s="10"/>
      <c r="H76" s="5" t="s">
        <v>2368</v>
      </c>
      <c r="I76" s="10" t="s">
        <v>1965</v>
      </c>
      <c r="J76" s="12" t="s">
        <v>1966</v>
      </c>
      <c r="K76" s="12"/>
      <c r="L76" s="12" t="n">
        <v>60</v>
      </c>
      <c r="M76" s="19"/>
      <c r="N76" s="10"/>
    </row>
    <row r="77" customFormat="false" ht="22.5" hidden="false" customHeight="false" outlineLevel="0" collapsed="false">
      <c r="A77" s="5" t="n">
        <f aca="false">IF(B77&lt;&gt;"", COUNTA($B$2:B77), "")</f>
        <v>76</v>
      </c>
      <c r="B77" s="124" t="s">
        <v>1836</v>
      </c>
      <c r="C77" s="12" t="s">
        <v>2365</v>
      </c>
      <c r="D77" s="12" t="s">
        <v>2369</v>
      </c>
      <c r="E77" s="16" t="n">
        <v>2018</v>
      </c>
      <c r="F77" s="27" t="s">
        <v>2367</v>
      </c>
      <c r="G77" s="10"/>
      <c r="H77" s="5" t="s">
        <v>2370</v>
      </c>
      <c r="I77" s="8" t="s">
        <v>1965</v>
      </c>
      <c r="J77" s="5" t="s">
        <v>1966</v>
      </c>
      <c r="K77" s="5"/>
      <c r="L77" s="5" t="n">
        <v>60</v>
      </c>
      <c r="M77" s="6"/>
      <c r="N77" s="8"/>
    </row>
    <row r="78" customFormat="false" ht="22.5" hidden="false" customHeight="false" outlineLevel="0" collapsed="false">
      <c r="A78" s="5" t="n">
        <f aca="false">IF(B78&lt;&gt;"", COUNTA($B$2:B78), "")</f>
        <v>77</v>
      </c>
      <c r="B78" s="124" t="s">
        <v>1836</v>
      </c>
      <c r="C78" s="12" t="s">
        <v>2365</v>
      </c>
      <c r="D78" s="12" t="s">
        <v>2371</v>
      </c>
      <c r="E78" s="16" t="n">
        <v>2018</v>
      </c>
      <c r="F78" s="27" t="s">
        <v>2372</v>
      </c>
      <c r="G78" s="10"/>
      <c r="H78" s="5" t="s">
        <v>2373</v>
      </c>
      <c r="I78" s="8" t="s">
        <v>1965</v>
      </c>
      <c r="J78" s="5" t="s">
        <v>1966</v>
      </c>
      <c r="K78" s="5"/>
      <c r="L78" s="5" t="n">
        <v>60</v>
      </c>
      <c r="M78" s="6"/>
      <c r="N78" s="8"/>
    </row>
    <row r="79" customFormat="false" ht="22.5" hidden="false" customHeight="false" outlineLevel="0" collapsed="false">
      <c r="A79" s="5" t="n">
        <f aca="false">IF(B79&lt;&gt;"", COUNTA($B$2:B79), "")</f>
        <v>78</v>
      </c>
      <c r="B79" s="124" t="s">
        <v>1836</v>
      </c>
      <c r="C79" s="12" t="s">
        <v>2365</v>
      </c>
      <c r="D79" s="12" t="s">
        <v>2374</v>
      </c>
      <c r="E79" s="16" t="n">
        <v>2018</v>
      </c>
      <c r="F79" s="27" t="s">
        <v>2372</v>
      </c>
      <c r="G79" s="10"/>
      <c r="H79" s="5" t="s">
        <v>2375</v>
      </c>
      <c r="I79" s="8" t="s">
        <v>1965</v>
      </c>
      <c r="J79" s="5" t="s">
        <v>1966</v>
      </c>
      <c r="K79" s="5"/>
      <c r="L79" s="5" t="n">
        <v>60</v>
      </c>
      <c r="M79" s="6"/>
      <c r="N79" s="8"/>
    </row>
    <row r="80" customFormat="false" ht="22.5" hidden="false" customHeight="false" outlineLevel="0" collapsed="false">
      <c r="A80" s="5" t="n">
        <f aca="false">IF(B80&lt;&gt;"", COUNTA($B$2:B80), "")</f>
        <v>79</v>
      </c>
      <c r="B80" s="124" t="s">
        <v>1836</v>
      </c>
      <c r="C80" s="12" t="s">
        <v>2376</v>
      </c>
      <c r="D80" s="12" t="n">
        <v>90650</v>
      </c>
      <c r="E80" s="16" t="n">
        <v>2018</v>
      </c>
      <c r="F80" s="27" t="s">
        <v>2377</v>
      </c>
      <c r="G80" s="126" t="n">
        <v>0.02</v>
      </c>
      <c r="H80" s="12" t="s">
        <v>2378</v>
      </c>
      <c r="I80" s="8" t="s">
        <v>1965</v>
      </c>
      <c r="J80" s="5" t="s">
        <v>1966</v>
      </c>
      <c r="K80" s="5"/>
      <c r="L80" s="5" t="n">
        <v>60</v>
      </c>
      <c r="M80" s="6"/>
      <c r="N80" s="8"/>
    </row>
    <row r="81" customFormat="false" ht="22.5" hidden="false" customHeight="false" outlineLevel="0" collapsed="false">
      <c r="A81" s="5" t="n">
        <f aca="false">IF(B81&lt;&gt;"", COUNTA($B$2:B81), "")</f>
        <v>80</v>
      </c>
      <c r="B81" s="6" t="s">
        <v>2379</v>
      </c>
      <c r="C81" s="12" t="s">
        <v>2380</v>
      </c>
      <c r="D81" s="12" t="n">
        <v>1119090069</v>
      </c>
      <c r="E81" s="17" t="n">
        <v>2019</v>
      </c>
      <c r="F81" s="6"/>
      <c r="G81" s="10"/>
      <c r="H81" s="12" t="s">
        <v>2381</v>
      </c>
      <c r="I81" s="8" t="s">
        <v>2329</v>
      </c>
      <c r="J81" s="5" t="s">
        <v>1966</v>
      </c>
      <c r="K81" s="5"/>
      <c r="L81" s="5" t="n">
        <v>60</v>
      </c>
      <c r="M81" s="6"/>
      <c r="N81" s="8"/>
    </row>
    <row r="82" customFormat="false" ht="22.5" hidden="false" customHeight="false" outlineLevel="0" collapsed="false">
      <c r="A82" s="5" t="n">
        <f aca="false">IF(B82&lt;&gt;"", COUNTA($B$2:B82), "")</f>
        <v>81</v>
      </c>
      <c r="B82" s="7" t="s">
        <v>2382</v>
      </c>
      <c r="C82" s="12" t="s">
        <v>2383</v>
      </c>
      <c r="D82" s="78" t="s">
        <v>2384</v>
      </c>
      <c r="E82" s="17" t="n">
        <v>2019</v>
      </c>
      <c r="F82" s="6"/>
      <c r="G82" s="10"/>
      <c r="H82" s="12" t="s">
        <v>2381</v>
      </c>
      <c r="I82" s="8" t="s">
        <v>2329</v>
      </c>
      <c r="J82" s="5" t="s">
        <v>1966</v>
      </c>
      <c r="K82" s="5"/>
      <c r="L82" s="5" t="n">
        <v>60</v>
      </c>
      <c r="M82" s="6"/>
      <c r="N82" s="8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7" t="s">
        <v>2385</v>
      </c>
      <c r="C83" s="12" t="s">
        <v>2386</v>
      </c>
      <c r="D83" s="78" t="s">
        <v>2387</v>
      </c>
      <c r="E83" s="17" t="n">
        <v>2019</v>
      </c>
      <c r="F83" s="27" t="s">
        <v>2388</v>
      </c>
      <c r="G83" s="126" t="n">
        <v>0.01</v>
      </c>
      <c r="H83" s="12" t="s">
        <v>2381</v>
      </c>
      <c r="I83" s="8" t="s">
        <v>2329</v>
      </c>
      <c r="J83" s="5" t="s">
        <v>1966</v>
      </c>
      <c r="K83" s="5"/>
      <c r="L83" s="5" t="n">
        <v>60</v>
      </c>
      <c r="M83" s="6"/>
      <c r="N83" s="8"/>
    </row>
    <row r="84" customFormat="false" ht="22.5" hidden="false" customHeight="false" outlineLevel="0" collapsed="false">
      <c r="A84" s="5" t="n">
        <f aca="false">IF(B84&lt;&gt;"", COUNTA($B$2:B84), "")</f>
        <v>83</v>
      </c>
      <c r="B84" s="7" t="s">
        <v>2389</v>
      </c>
      <c r="C84" s="127" t="s">
        <v>2390</v>
      </c>
      <c r="D84" s="78" t="s">
        <v>2391</v>
      </c>
      <c r="E84" s="8" t="n">
        <v>2021</v>
      </c>
      <c r="F84" s="6"/>
      <c r="G84" s="10"/>
      <c r="H84" s="12" t="s">
        <v>2392</v>
      </c>
      <c r="I84" s="8" t="s">
        <v>2329</v>
      </c>
      <c r="J84" s="5" t="s">
        <v>1966</v>
      </c>
      <c r="K84" s="5"/>
      <c r="L84" s="5" t="n">
        <v>60</v>
      </c>
      <c r="M84" s="6"/>
      <c r="N84" s="8"/>
    </row>
    <row r="85" customFormat="false" ht="22.5" hidden="false" customHeight="false" outlineLevel="0" collapsed="false">
      <c r="A85" s="5" t="n">
        <f aca="false">IF(B85&lt;&gt;"", COUNTA($B$2:B85), "")</f>
        <v>84</v>
      </c>
      <c r="B85" s="7" t="s">
        <v>2389</v>
      </c>
      <c r="C85" s="128" t="s">
        <v>2390</v>
      </c>
      <c r="D85" s="78" t="s">
        <v>2393</v>
      </c>
      <c r="E85" s="8" t="n">
        <v>2021</v>
      </c>
      <c r="F85" s="6"/>
      <c r="G85" s="10"/>
      <c r="H85" s="12" t="s">
        <v>2392</v>
      </c>
      <c r="I85" s="8" t="s">
        <v>2329</v>
      </c>
      <c r="J85" s="5" t="s">
        <v>1966</v>
      </c>
      <c r="K85" s="5"/>
      <c r="L85" s="5" t="n">
        <v>60</v>
      </c>
      <c r="M85" s="6"/>
      <c r="N85" s="8"/>
    </row>
    <row r="86" customFormat="false" ht="22.5" hidden="false" customHeight="false" outlineLevel="0" collapsed="false">
      <c r="A86" s="5" t="s">
        <v>1015</v>
      </c>
      <c r="B86" s="7" t="s">
        <v>2394</v>
      </c>
      <c r="C86" s="12" t="s">
        <v>2395</v>
      </c>
      <c r="D86" s="78" t="s">
        <v>2396</v>
      </c>
      <c r="E86" s="8" t="n">
        <v>2018</v>
      </c>
      <c r="F86" s="8" t="s">
        <v>246</v>
      </c>
      <c r="G86" s="10"/>
      <c r="H86" s="12" t="s">
        <v>2397</v>
      </c>
      <c r="I86" s="8" t="s">
        <v>2329</v>
      </c>
      <c r="J86" s="5" t="s">
        <v>1966</v>
      </c>
      <c r="K86" s="5"/>
      <c r="L86" s="5" t="n">
        <v>60</v>
      </c>
      <c r="M86" s="6"/>
      <c r="N86" s="8"/>
    </row>
    <row r="87" customFormat="false" ht="22.5" hidden="false" customHeight="false" outlineLevel="0" collapsed="false">
      <c r="A87" s="5" t="n">
        <f aca="false">IF(B87&lt;&gt;"", COUNTA($B$2:B87), "")</f>
        <v>86</v>
      </c>
      <c r="B87" s="7" t="s">
        <v>64</v>
      </c>
      <c r="C87" s="12" t="s">
        <v>2398</v>
      </c>
      <c r="D87" s="78" t="s">
        <v>2399</v>
      </c>
      <c r="E87" s="8" t="n">
        <v>2018</v>
      </c>
      <c r="F87" s="15" t="s">
        <v>2400</v>
      </c>
      <c r="G87" s="10" t="s">
        <v>1643</v>
      </c>
      <c r="H87" s="12" t="s">
        <v>2401</v>
      </c>
      <c r="I87" s="8" t="s">
        <v>2329</v>
      </c>
      <c r="J87" s="5" t="s">
        <v>1966</v>
      </c>
      <c r="K87" s="5"/>
      <c r="L87" s="5" t="n">
        <v>60</v>
      </c>
      <c r="M87" s="6"/>
      <c r="N87" s="8"/>
    </row>
    <row r="88" customFormat="false" ht="22.5" hidden="false" customHeight="false" outlineLevel="0" collapsed="false">
      <c r="A88" s="5" t="n">
        <f aca="false">IF(B88&lt;&gt;"", COUNTA($B$2:B88), "")</f>
        <v>87</v>
      </c>
      <c r="B88" s="7" t="s">
        <v>2394</v>
      </c>
      <c r="C88" s="12" t="s">
        <v>2402</v>
      </c>
      <c r="D88" s="78" t="s">
        <v>2403</v>
      </c>
      <c r="E88" s="8" t="n">
        <v>2018</v>
      </c>
      <c r="F88" s="8" t="s">
        <v>139</v>
      </c>
      <c r="G88" s="10"/>
      <c r="H88" s="12" t="s">
        <v>2404</v>
      </c>
      <c r="I88" s="8" t="s">
        <v>2329</v>
      </c>
      <c r="J88" s="5" t="s">
        <v>1966</v>
      </c>
      <c r="K88" s="5"/>
      <c r="L88" s="5" t="n">
        <v>60</v>
      </c>
      <c r="M88" s="6"/>
      <c r="N88" s="8"/>
    </row>
    <row r="89" customFormat="false" ht="22.5" hidden="false" customHeight="false" outlineLevel="0" collapsed="false">
      <c r="A89" s="5" t="n">
        <f aca="false">IF(B89&lt;&gt;"", COUNTA($B$2:B89), "")</f>
        <v>88</v>
      </c>
      <c r="B89" s="7" t="s">
        <v>64</v>
      </c>
      <c r="C89" s="12" t="s">
        <v>2405</v>
      </c>
      <c r="D89" s="78" t="s">
        <v>2406</v>
      </c>
      <c r="E89" s="8" t="n">
        <v>2019</v>
      </c>
      <c r="F89" s="15" t="s">
        <v>2407</v>
      </c>
      <c r="G89" s="10"/>
      <c r="H89" s="12" t="s">
        <v>2408</v>
      </c>
      <c r="I89" s="8" t="s">
        <v>2329</v>
      </c>
      <c r="J89" s="5" t="s">
        <v>1966</v>
      </c>
      <c r="K89" s="5"/>
      <c r="L89" s="5" t="n">
        <v>60</v>
      </c>
      <c r="M89" s="6"/>
      <c r="N89" s="8"/>
    </row>
    <row r="90" customFormat="false" ht="22.5" hidden="false" customHeight="false" outlineLevel="0" collapsed="false">
      <c r="A90" s="5" t="n">
        <f aca="false">IF(B90&lt;&gt;"", COUNTA($B$2:B90), "")</f>
        <v>89</v>
      </c>
      <c r="B90" s="7" t="s">
        <v>2409</v>
      </c>
      <c r="C90" s="12" t="s">
        <v>2410</v>
      </c>
      <c r="D90" s="78" t="s">
        <v>2411</v>
      </c>
      <c r="E90" s="8"/>
      <c r="F90" s="8" t="s">
        <v>139</v>
      </c>
      <c r="G90" s="10" t="n">
        <v>0.5</v>
      </c>
      <c r="H90" s="12" t="s">
        <v>2412</v>
      </c>
      <c r="I90" s="8" t="s">
        <v>2329</v>
      </c>
      <c r="J90" s="5" t="s">
        <v>1966</v>
      </c>
      <c r="K90" s="5"/>
      <c r="L90" s="5" t="n">
        <v>60</v>
      </c>
      <c r="M90" s="6"/>
      <c r="N90" s="8"/>
    </row>
    <row r="91" customFormat="false" ht="22.5" hidden="false" customHeight="false" outlineLevel="0" collapsed="false">
      <c r="A91" s="5" t="n">
        <f aca="false">IF(B91&lt;&gt;"", COUNTA($B$2:B91), "")</f>
        <v>90</v>
      </c>
      <c r="B91" s="7" t="s">
        <v>2394</v>
      </c>
      <c r="C91" s="12" t="s">
        <v>2413</v>
      </c>
      <c r="D91" s="78" t="s">
        <v>2414</v>
      </c>
      <c r="E91" s="8"/>
      <c r="F91" s="8" t="s">
        <v>2415</v>
      </c>
      <c r="G91" s="10"/>
      <c r="H91" s="12" t="s">
        <v>2416</v>
      </c>
      <c r="I91" s="8" t="s">
        <v>2329</v>
      </c>
      <c r="J91" s="5" t="s">
        <v>1966</v>
      </c>
      <c r="K91" s="5"/>
      <c r="L91" s="5" t="n">
        <v>60</v>
      </c>
      <c r="M91" s="6"/>
      <c r="N91" s="8"/>
    </row>
    <row r="92" customFormat="false" ht="22.5" hidden="false" customHeight="false" outlineLevel="0" collapsed="false">
      <c r="A92" s="5" t="n">
        <f aca="false">IF(B92&lt;&gt;"", COUNTA($B$2:B92), "")</f>
        <v>91</v>
      </c>
      <c r="B92" s="7" t="s">
        <v>64</v>
      </c>
      <c r="C92" s="12" t="s">
        <v>2417</v>
      </c>
      <c r="D92" s="78" t="s">
        <v>2418</v>
      </c>
      <c r="E92" s="8" t="n">
        <v>2018</v>
      </c>
      <c r="F92" s="15" t="s">
        <v>2419</v>
      </c>
      <c r="G92" s="10" t="s">
        <v>1643</v>
      </c>
      <c r="H92" s="12" t="s">
        <v>2420</v>
      </c>
      <c r="I92" s="8" t="s">
        <v>2329</v>
      </c>
      <c r="J92" s="5" t="s">
        <v>1966</v>
      </c>
      <c r="K92" s="5"/>
      <c r="L92" s="5" t="n">
        <v>60</v>
      </c>
      <c r="M92" s="6"/>
      <c r="N92" s="8"/>
    </row>
    <row r="93" customFormat="false" ht="22.5" hidden="false" customHeight="false" outlineLevel="0" collapsed="false">
      <c r="A93" s="5" t="n">
        <f aca="false">IF(B93&lt;&gt;"", COUNTA($B$2:B93), "")</f>
        <v>92</v>
      </c>
      <c r="B93" s="7" t="s">
        <v>64</v>
      </c>
      <c r="C93" s="12" t="s">
        <v>2417</v>
      </c>
      <c r="D93" s="78" t="s">
        <v>2421</v>
      </c>
      <c r="E93" s="8" t="n">
        <v>2019</v>
      </c>
      <c r="F93" s="15" t="s">
        <v>2400</v>
      </c>
      <c r="G93" s="10" t="s">
        <v>1643</v>
      </c>
      <c r="H93" s="12" t="s">
        <v>2422</v>
      </c>
      <c r="I93" s="8" t="s">
        <v>2329</v>
      </c>
      <c r="J93" s="5" t="s">
        <v>1966</v>
      </c>
      <c r="K93" s="5"/>
      <c r="L93" s="5" t="n">
        <v>60</v>
      </c>
      <c r="M93" s="6"/>
      <c r="N93" s="8"/>
    </row>
    <row r="94" customFormat="false" ht="22.5" hidden="false" customHeight="false" outlineLevel="0" collapsed="false">
      <c r="A94" s="5" t="n">
        <f aca="false">IF(B94&lt;&gt;"", COUNTA($B$2:B94), "")</f>
        <v>93</v>
      </c>
      <c r="B94" s="7" t="s">
        <v>2409</v>
      </c>
      <c r="C94" s="12" t="s">
        <v>2423</v>
      </c>
      <c r="D94" s="78" t="s">
        <v>2424</v>
      </c>
      <c r="E94" s="8"/>
      <c r="F94" s="8" t="s">
        <v>139</v>
      </c>
      <c r="G94" s="10"/>
      <c r="H94" s="12" t="s">
        <v>2425</v>
      </c>
      <c r="I94" s="8" t="s">
        <v>2329</v>
      </c>
      <c r="J94" s="5" t="s">
        <v>1966</v>
      </c>
      <c r="K94" s="5"/>
      <c r="L94" s="5" t="n">
        <v>60</v>
      </c>
      <c r="M94" s="6"/>
      <c r="N94" s="8"/>
    </row>
    <row r="95" customFormat="false" ht="22.5" hidden="false" customHeight="false" outlineLevel="0" collapsed="false">
      <c r="A95" s="5" t="n">
        <f aca="false">IF(B95&lt;&gt;"", COUNTA($B$2:B95), "")</f>
        <v>94</v>
      </c>
      <c r="B95" s="7" t="s">
        <v>64</v>
      </c>
      <c r="C95" s="12" t="s">
        <v>2405</v>
      </c>
      <c r="D95" s="78" t="s">
        <v>2426</v>
      </c>
      <c r="E95" s="8" t="n">
        <v>2019</v>
      </c>
      <c r="F95" s="15" t="s">
        <v>2407</v>
      </c>
      <c r="G95" s="10"/>
      <c r="H95" s="12" t="s">
        <v>2427</v>
      </c>
      <c r="I95" s="8" t="s">
        <v>2329</v>
      </c>
      <c r="J95" s="5" t="s">
        <v>1966</v>
      </c>
      <c r="K95" s="5"/>
      <c r="L95" s="5" t="n">
        <v>60</v>
      </c>
      <c r="M95" s="6"/>
      <c r="N95" s="8"/>
    </row>
    <row r="96" customFormat="false" ht="22.5" hidden="false" customHeight="false" outlineLevel="0" collapsed="false">
      <c r="A96" s="5" t="n">
        <f aca="false">IF(B96&lt;&gt;"", COUNTA($B$2:B96), "")</f>
        <v>95</v>
      </c>
      <c r="B96" s="7" t="s">
        <v>2428</v>
      </c>
      <c r="C96" s="12" t="s">
        <v>2429</v>
      </c>
      <c r="D96" s="78" t="s">
        <v>2430</v>
      </c>
      <c r="E96" s="8"/>
      <c r="F96" s="8" t="s">
        <v>133</v>
      </c>
      <c r="G96" s="10"/>
      <c r="H96" s="12" t="s">
        <v>2431</v>
      </c>
      <c r="I96" s="8" t="s">
        <v>2329</v>
      </c>
      <c r="J96" s="5" t="s">
        <v>1966</v>
      </c>
      <c r="K96" s="5"/>
      <c r="L96" s="5" t="n">
        <v>60</v>
      </c>
      <c r="M96" s="6"/>
      <c r="N96" s="8"/>
      <c r="O96" s="121" t="s">
        <v>2432</v>
      </c>
    </row>
    <row r="97" customFormat="false" ht="22.5" hidden="false" customHeight="false" outlineLevel="0" collapsed="false">
      <c r="A97" s="5" t="n">
        <f aca="false">IF(B97&lt;&gt;"", COUNTA($B$2:B97), "")</f>
        <v>96</v>
      </c>
      <c r="B97" s="7" t="s">
        <v>2428</v>
      </c>
      <c r="C97" s="12" t="s">
        <v>2433</v>
      </c>
      <c r="D97" s="78" t="s">
        <v>2434</v>
      </c>
      <c r="E97" s="8" t="n">
        <v>2018</v>
      </c>
      <c r="F97" s="8" t="s">
        <v>139</v>
      </c>
      <c r="G97" s="10"/>
      <c r="H97" s="12" t="s">
        <v>2435</v>
      </c>
      <c r="I97" s="8" t="s">
        <v>2329</v>
      </c>
      <c r="J97" s="5" t="s">
        <v>1966</v>
      </c>
      <c r="K97" s="5"/>
      <c r="L97" s="5" t="n">
        <v>60</v>
      </c>
      <c r="M97" s="6"/>
      <c r="N97" s="8"/>
      <c r="O97" s="121" t="s">
        <v>2432</v>
      </c>
    </row>
    <row r="98" customFormat="false" ht="15" hidden="false" customHeight="false" outlineLevel="0" collapsed="false">
      <c r="A98" s="5" t="n">
        <f aca="false">IF(B98&lt;&gt;"", COUNTA($B$2:B98), "")</f>
        <v>97</v>
      </c>
      <c r="B98" s="7" t="s">
        <v>2428</v>
      </c>
      <c r="C98" s="12" t="s">
        <v>2433</v>
      </c>
      <c r="D98" s="78" t="s">
        <v>2424</v>
      </c>
      <c r="E98" s="8" t="n">
        <v>2018</v>
      </c>
      <c r="F98" s="8" t="s">
        <v>139</v>
      </c>
      <c r="G98" s="10"/>
      <c r="H98" s="12" t="s">
        <v>2436</v>
      </c>
      <c r="I98" s="8"/>
      <c r="J98" s="5"/>
      <c r="K98" s="5"/>
      <c r="L98" s="5"/>
      <c r="M98" s="6"/>
      <c r="N98" s="8"/>
      <c r="O98" s="121" t="s">
        <v>2432</v>
      </c>
    </row>
    <row r="99" customFormat="false" ht="22.5" hidden="false" customHeight="false" outlineLevel="0" collapsed="false">
      <c r="A99" s="5" t="n">
        <f aca="false">IF(B99&lt;&gt;"", COUNTA($B$2:B99), "")</f>
        <v>98</v>
      </c>
      <c r="B99" s="7" t="s">
        <v>2428</v>
      </c>
      <c r="C99" s="12" t="s">
        <v>2429</v>
      </c>
      <c r="D99" s="78" t="s">
        <v>2430</v>
      </c>
      <c r="E99" s="8"/>
      <c r="F99" s="8" t="s">
        <v>133</v>
      </c>
      <c r="G99" s="10"/>
      <c r="H99" s="12" t="s">
        <v>2437</v>
      </c>
      <c r="I99" s="8" t="s">
        <v>2329</v>
      </c>
      <c r="J99" s="5" t="s">
        <v>1966</v>
      </c>
      <c r="K99" s="5"/>
      <c r="L99" s="5" t="n">
        <v>60</v>
      </c>
      <c r="M99" s="6"/>
      <c r="N99" s="8"/>
      <c r="O99" s="121" t="s">
        <v>2432</v>
      </c>
    </row>
    <row r="100" customFormat="false" ht="22.5" hidden="false" customHeight="false" outlineLevel="0" collapsed="false">
      <c r="A100" s="5" t="n">
        <f aca="false">IF(B100&lt;&gt;"", COUNTA($B$2:B100), "")</f>
        <v>99</v>
      </c>
      <c r="B100" s="7" t="s">
        <v>2428</v>
      </c>
      <c r="C100" s="12" t="s">
        <v>2433</v>
      </c>
      <c r="D100" s="78" t="s">
        <v>2438</v>
      </c>
      <c r="E100" s="8" t="n">
        <v>2019</v>
      </c>
      <c r="F100" s="8" t="s">
        <v>139</v>
      </c>
      <c r="G100" s="10"/>
      <c r="H100" s="12" t="s">
        <v>2439</v>
      </c>
      <c r="I100" s="8" t="s">
        <v>2329</v>
      </c>
      <c r="J100" s="5" t="s">
        <v>1966</v>
      </c>
      <c r="K100" s="5"/>
      <c r="L100" s="5" t="n">
        <v>60</v>
      </c>
      <c r="M100" s="6"/>
      <c r="N100" s="8"/>
      <c r="O100" s="121" t="s">
        <v>2432</v>
      </c>
    </row>
    <row r="101" customFormat="false" ht="22.5" hidden="false" customHeight="false" outlineLevel="0" collapsed="false">
      <c r="A101" s="5" t="n">
        <f aca="false">IF(B101&lt;&gt;"", COUNTA($B$2:B101), "")</f>
        <v>100</v>
      </c>
      <c r="B101" s="124" t="s">
        <v>57</v>
      </c>
      <c r="C101" s="12" t="s">
        <v>2440</v>
      </c>
      <c r="D101" s="12" t="n">
        <v>116067</v>
      </c>
      <c r="E101" s="129" t="n">
        <v>44317</v>
      </c>
      <c r="F101" s="8" t="s">
        <v>2415</v>
      </c>
      <c r="G101" s="10" t="n">
        <v>0.1</v>
      </c>
      <c r="H101" s="12" t="s">
        <v>2441</v>
      </c>
      <c r="I101" s="8" t="s">
        <v>2442</v>
      </c>
      <c r="J101" s="5" t="s">
        <v>1966</v>
      </c>
      <c r="K101" s="5"/>
      <c r="L101" s="5" t="n">
        <v>12</v>
      </c>
      <c r="M101" s="6"/>
      <c r="N101" s="8"/>
    </row>
    <row r="102" customFormat="false" ht="22.5" hidden="false" customHeight="false" outlineLevel="0" collapsed="false">
      <c r="A102" s="5" t="n">
        <f aca="false">IF(B102&lt;&gt;"", COUNTA($B$2:B102), "")</f>
        <v>101</v>
      </c>
      <c r="B102" s="124" t="s">
        <v>57</v>
      </c>
      <c r="C102" s="12" t="s">
        <v>2440</v>
      </c>
      <c r="D102" s="12" t="n">
        <v>945444</v>
      </c>
      <c r="E102" s="130"/>
      <c r="F102" s="8" t="s">
        <v>2415</v>
      </c>
      <c r="G102" s="10" t="n">
        <v>0.1</v>
      </c>
      <c r="H102" s="12" t="s">
        <v>2443</v>
      </c>
      <c r="I102" s="8" t="s">
        <v>2442</v>
      </c>
      <c r="J102" s="5" t="s">
        <v>1966</v>
      </c>
      <c r="K102" s="5"/>
      <c r="L102" s="5" t="n">
        <v>12</v>
      </c>
      <c r="M102" s="6"/>
      <c r="N102" s="8"/>
    </row>
    <row r="103" customFormat="false" ht="22.5" hidden="false" customHeight="false" outlineLevel="0" collapsed="false">
      <c r="A103" s="5" t="n">
        <f aca="false">IF(B103&lt;&gt;"", COUNTA($B$2:B103), "")</f>
        <v>102</v>
      </c>
      <c r="B103" s="124" t="s">
        <v>57</v>
      </c>
      <c r="C103" s="12" t="s">
        <v>2444</v>
      </c>
      <c r="D103" s="12" t="n">
        <v>1047806</v>
      </c>
      <c r="E103" s="17"/>
      <c r="F103" s="8" t="s">
        <v>241</v>
      </c>
      <c r="G103" s="10" t="n">
        <v>0.1</v>
      </c>
      <c r="H103" s="12" t="s">
        <v>2445</v>
      </c>
      <c r="I103" s="8" t="s">
        <v>2442</v>
      </c>
      <c r="J103" s="5" t="s">
        <v>1966</v>
      </c>
      <c r="K103" s="5"/>
      <c r="L103" s="5" t="n">
        <v>12</v>
      </c>
      <c r="M103" s="6"/>
      <c r="N103" s="8"/>
    </row>
    <row r="104" customFormat="false" ht="22.5" hidden="false" customHeight="false" outlineLevel="0" collapsed="false">
      <c r="A104" s="5" t="n">
        <f aca="false">IF(B104&lt;&gt;"", COUNTA($B$2:B104), "")</f>
        <v>103</v>
      </c>
      <c r="B104" s="124" t="s">
        <v>57</v>
      </c>
      <c r="C104" s="12" t="s">
        <v>2444</v>
      </c>
      <c r="D104" s="12" t="n">
        <v>152666</v>
      </c>
      <c r="E104" s="16"/>
      <c r="F104" s="8" t="s">
        <v>241</v>
      </c>
      <c r="G104" s="10" t="n">
        <v>0.1</v>
      </c>
      <c r="H104" s="12" t="s">
        <v>2446</v>
      </c>
      <c r="I104" s="8" t="s">
        <v>2442</v>
      </c>
      <c r="J104" s="5" t="s">
        <v>1966</v>
      </c>
      <c r="K104" s="5"/>
      <c r="L104" s="5" t="n">
        <v>12</v>
      </c>
      <c r="M104" s="6"/>
      <c r="N104" s="8"/>
    </row>
    <row r="105" customFormat="false" ht="22.5" hidden="false" customHeight="false" outlineLevel="0" collapsed="false">
      <c r="A105" s="5" t="n">
        <f aca="false">IF(B105&lt;&gt;"", COUNTA($B$2:B105), "")</f>
        <v>104</v>
      </c>
      <c r="B105" s="124" t="s">
        <v>57</v>
      </c>
      <c r="C105" s="12" t="s">
        <v>2444</v>
      </c>
      <c r="D105" s="12" t="n">
        <v>156603</v>
      </c>
      <c r="E105" s="17"/>
      <c r="F105" s="8" t="s">
        <v>241</v>
      </c>
      <c r="G105" s="10" t="n">
        <v>0.1</v>
      </c>
      <c r="H105" s="12" t="s">
        <v>2447</v>
      </c>
      <c r="I105" s="8" t="s">
        <v>2442</v>
      </c>
      <c r="J105" s="5" t="s">
        <v>1966</v>
      </c>
      <c r="K105" s="5"/>
      <c r="L105" s="5" t="n">
        <v>12</v>
      </c>
      <c r="M105" s="6"/>
      <c r="N105" s="8"/>
    </row>
    <row r="106" customFormat="false" ht="22.5" hidden="false" customHeight="false" outlineLevel="0" collapsed="false">
      <c r="A106" s="5" t="n">
        <f aca="false">IF(B106&lt;&gt;"", COUNTA($B$2:B106), "")</f>
        <v>105</v>
      </c>
      <c r="B106" s="124" t="s">
        <v>57</v>
      </c>
      <c r="C106" s="12" t="s">
        <v>2448</v>
      </c>
      <c r="D106" s="12" t="n">
        <v>6178266</v>
      </c>
      <c r="E106" s="17"/>
      <c r="F106" s="8" t="s">
        <v>290</v>
      </c>
      <c r="G106" s="10" t="n">
        <v>0.1</v>
      </c>
      <c r="H106" s="12" t="s">
        <v>2449</v>
      </c>
      <c r="I106" s="8" t="s">
        <v>2442</v>
      </c>
      <c r="J106" s="5" t="s">
        <v>1966</v>
      </c>
      <c r="K106" s="5"/>
      <c r="L106" s="5" t="n">
        <v>12</v>
      </c>
      <c r="M106" s="6"/>
      <c r="N106" s="8"/>
    </row>
    <row r="107" customFormat="false" ht="22.5" hidden="false" customHeight="false" outlineLevel="0" collapsed="false">
      <c r="A107" s="5" t="n">
        <f aca="false">IF(B107&lt;&gt;"", COUNTA($B$2:B107), "")</f>
        <v>106</v>
      </c>
      <c r="B107" s="125" t="s">
        <v>57</v>
      </c>
      <c r="C107" s="12" t="s">
        <v>2444</v>
      </c>
      <c r="D107" s="12" t="n">
        <v>6095170</v>
      </c>
      <c r="E107" s="16" t="n">
        <v>2018</v>
      </c>
      <c r="F107" s="8" t="s">
        <v>2450</v>
      </c>
      <c r="G107" s="10" t="s">
        <v>2451</v>
      </c>
      <c r="H107" s="12" t="s">
        <v>2452</v>
      </c>
      <c r="I107" s="10" t="s">
        <v>2453</v>
      </c>
      <c r="J107" s="12" t="s">
        <v>1966</v>
      </c>
      <c r="K107" s="12"/>
      <c r="L107" s="5"/>
      <c r="M107" s="6"/>
      <c r="N107" s="8"/>
    </row>
    <row r="108" customFormat="false" ht="22.5" hidden="false" customHeight="false" outlineLevel="0" collapsed="false">
      <c r="A108" s="5" t="n">
        <f aca="false">IF(B108&lt;&gt;"", COUNTA($B$2:B108), "")</f>
        <v>107</v>
      </c>
      <c r="B108" s="124" t="s">
        <v>57</v>
      </c>
      <c r="C108" s="12" t="s">
        <v>2448</v>
      </c>
      <c r="D108" s="12" t="n">
        <v>6104410</v>
      </c>
      <c r="E108" s="17"/>
      <c r="F108" s="8" t="s">
        <v>2450</v>
      </c>
      <c r="G108" s="10" t="n">
        <v>0.1</v>
      </c>
      <c r="H108" s="12" t="s">
        <v>2454</v>
      </c>
      <c r="I108" s="8" t="s">
        <v>2453</v>
      </c>
      <c r="J108" s="5" t="s">
        <v>1966</v>
      </c>
      <c r="K108" s="5"/>
      <c r="L108" s="5" t="n">
        <v>12</v>
      </c>
      <c r="M108" s="6"/>
      <c r="N108" s="8"/>
    </row>
    <row r="109" customFormat="false" ht="22.5" hidden="false" customHeight="false" outlineLevel="0" collapsed="false">
      <c r="A109" s="5" t="n">
        <f aca="false">IF(B109&lt;&gt;"", COUNTA($B$2:B109), "")</f>
        <v>108</v>
      </c>
      <c r="B109" s="125" t="s">
        <v>57</v>
      </c>
      <c r="C109" s="12" t="s">
        <v>2440</v>
      </c>
      <c r="D109" s="131" t="n">
        <v>6072974</v>
      </c>
      <c r="E109" s="35" t="n">
        <v>2018</v>
      </c>
      <c r="F109" s="36" t="s">
        <v>2455</v>
      </c>
      <c r="G109" s="10" t="n">
        <v>0.1</v>
      </c>
      <c r="H109" s="70" t="s">
        <v>2456</v>
      </c>
      <c r="I109" s="67" t="s">
        <v>2453</v>
      </c>
      <c r="J109" s="69" t="s">
        <v>1966</v>
      </c>
      <c r="K109" s="69"/>
      <c r="L109" s="69" t="n">
        <v>12</v>
      </c>
      <c r="M109" s="37"/>
      <c r="N109" s="67"/>
    </row>
    <row r="110" customFormat="false" ht="22.5" hidden="false" customHeight="false" outlineLevel="0" collapsed="false">
      <c r="A110" s="5" t="n">
        <f aca="false">IF(B110&lt;&gt;"", COUNTA($B$2:B110), "")</f>
        <v>109</v>
      </c>
      <c r="B110" s="124" t="s">
        <v>57</v>
      </c>
      <c r="C110" s="12" t="s">
        <v>2440</v>
      </c>
      <c r="D110" s="8" t="n">
        <v>6072985</v>
      </c>
      <c r="E110" s="132"/>
      <c r="F110" s="36" t="s">
        <v>2255</v>
      </c>
      <c r="G110" s="10" t="n">
        <v>0.1</v>
      </c>
      <c r="H110" s="12" t="s">
        <v>2457</v>
      </c>
      <c r="I110" s="8" t="s">
        <v>2453</v>
      </c>
      <c r="J110" s="69" t="s">
        <v>1966</v>
      </c>
      <c r="K110" s="132"/>
      <c r="L110" s="132"/>
      <c r="M110" s="132"/>
      <c r="N110" s="132"/>
    </row>
    <row r="111" customFormat="false" ht="22.5" hidden="false" customHeight="false" outlineLevel="0" collapsed="false">
      <c r="A111" s="5" t="n">
        <f aca="false">IF(B111&lt;&gt;"", COUNTA($B$2:B111), "")</f>
        <v>110</v>
      </c>
      <c r="B111" s="124" t="s">
        <v>57</v>
      </c>
      <c r="C111" s="12" t="s">
        <v>2440</v>
      </c>
      <c r="D111" s="8" t="n">
        <v>6072954</v>
      </c>
      <c r="E111" s="132"/>
      <c r="F111" s="36" t="s">
        <v>2255</v>
      </c>
      <c r="G111" s="10" t="n">
        <v>0.1</v>
      </c>
      <c r="H111" s="12" t="s">
        <v>2458</v>
      </c>
      <c r="I111" s="132"/>
      <c r="J111" s="69" t="s">
        <v>1966</v>
      </c>
      <c r="K111" s="132"/>
      <c r="L111" s="132"/>
      <c r="M111" s="132"/>
      <c r="N111" s="132"/>
    </row>
    <row r="112" customFormat="false" ht="22.5" hidden="false" customHeight="false" outlineLevel="0" collapsed="false">
      <c r="A112" s="5" t="n">
        <f aca="false">IF(B112&lt;&gt;"", COUNTA($B$2:B112), "")</f>
        <v>111</v>
      </c>
      <c r="B112" s="124" t="s">
        <v>57</v>
      </c>
      <c r="C112" s="12" t="s">
        <v>2440</v>
      </c>
      <c r="D112" s="8" t="n">
        <v>6071971</v>
      </c>
      <c r="E112" s="133" t="n">
        <v>43221</v>
      </c>
      <c r="F112" s="8" t="s">
        <v>2128</v>
      </c>
      <c r="G112" s="10" t="n">
        <v>0.1</v>
      </c>
      <c r="H112" s="8" t="s">
        <v>2459</v>
      </c>
      <c r="I112" s="132"/>
      <c r="J112" s="69" t="s">
        <v>1966</v>
      </c>
      <c r="K112" s="132"/>
      <c r="L112" s="132"/>
      <c r="M112" s="132"/>
      <c r="N112" s="132"/>
    </row>
    <row r="113" customFormat="false" ht="22.5" hidden="false" customHeight="false" outlineLevel="0" collapsed="false">
      <c r="A113" s="5" t="n">
        <f aca="false">IF(B113&lt;&gt;"", COUNTA($B$2:B113), "")</f>
        <v>112</v>
      </c>
      <c r="B113" s="124" t="s">
        <v>57</v>
      </c>
      <c r="C113" s="12" t="s">
        <v>2444</v>
      </c>
      <c r="D113" s="8" t="n">
        <v>6090821</v>
      </c>
      <c r="E113" s="132"/>
      <c r="F113" s="8" t="s">
        <v>241</v>
      </c>
      <c r="G113" s="10" t="n">
        <v>0.1</v>
      </c>
      <c r="H113" s="12" t="s">
        <v>2460</v>
      </c>
      <c r="I113" s="132"/>
      <c r="J113" s="69" t="s">
        <v>1966</v>
      </c>
      <c r="K113" s="132"/>
      <c r="L113" s="132"/>
      <c r="M113" s="132"/>
      <c r="N113" s="132"/>
    </row>
    <row r="114" customFormat="false" ht="22.5" hidden="false" customHeight="false" outlineLevel="0" collapsed="false">
      <c r="A114" s="5" t="n">
        <f aca="false">IF(B114&lt;&gt;"", COUNTA($B$2:B114), "")</f>
        <v>113</v>
      </c>
      <c r="B114" s="125" t="s">
        <v>57</v>
      </c>
      <c r="C114" s="12" t="s">
        <v>2444</v>
      </c>
      <c r="D114" s="134" t="n">
        <v>6067668</v>
      </c>
      <c r="E114" s="135" t="n">
        <v>2018</v>
      </c>
      <c r="F114" s="8" t="s">
        <v>2450</v>
      </c>
      <c r="G114" s="10" t="n">
        <v>0.1</v>
      </c>
      <c r="H114" s="10" t="s">
        <v>2461</v>
      </c>
      <c r="I114" s="132"/>
      <c r="J114" s="69" t="s">
        <v>1966</v>
      </c>
      <c r="K114" s="132"/>
      <c r="L114" s="132"/>
      <c r="M114" s="132"/>
      <c r="N114" s="132"/>
    </row>
    <row r="115" customFormat="false" ht="22.5" hidden="false" customHeight="false" outlineLevel="0" collapsed="false">
      <c r="A115" s="5" t="n">
        <f aca="false">IF(B115&lt;&gt;"", COUNTA($B$2:B115), "")</f>
        <v>114</v>
      </c>
      <c r="B115" s="124" t="s">
        <v>57</v>
      </c>
      <c r="C115" s="12" t="s">
        <v>2444</v>
      </c>
      <c r="D115" s="136" t="n">
        <v>6067671</v>
      </c>
      <c r="E115" s="132"/>
      <c r="F115" s="8" t="s">
        <v>2450</v>
      </c>
      <c r="G115" s="10" t="n">
        <v>0.1</v>
      </c>
      <c r="H115" s="5" t="s">
        <v>2462</v>
      </c>
      <c r="I115" s="132"/>
      <c r="J115" s="69" t="s">
        <v>1966</v>
      </c>
      <c r="K115" s="132"/>
      <c r="L115" s="132"/>
      <c r="M115" s="132"/>
      <c r="N115" s="132"/>
    </row>
    <row r="116" customFormat="false" ht="22.5" hidden="false" customHeight="false" outlineLevel="0" collapsed="false">
      <c r="A116" s="5" t="n">
        <f aca="false">IF(B116&lt;&gt;"", COUNTA($B$2:B116), "")</f>
        <v>115</v>
      </c>
      <c r="B116" s="124" t="s">
        <v>57</v>
      </c>
      <c r="C116" s="12" t="s">
        <v>2444</v>
      </c>
      <c r="D116" s="136" t="n">
        <v>6129352</v>
      </c>
      <c r="E116" s="132"/>
      <c r="F116" s="8" t="s">
        <v>2450</v>
      </c>
      <c r="G116" s="10" t="n">
        <v>0.1</v>
      </c>
      <c r="H116" s="12" t="s">
        <v>2463</v>
      </c>
      <c r="I116" s="132"/>
      <c r="J116" s="69" t="s">
        <v>1966</v>
      </c>
      <c r="K116" s="132"/>
      <c r="L116" s="132"/>
      <c r="M116" s="132"/>
      <c r="N116" s="132"/>
    </row>
    <row r="117" customFormat="false" ht="22.5" hidden="false" customHeight="false" outlineLevel="0" collapsed="false">
      <c r="A117" s="5" t="n">
        <f aca="false">IF(B117&lt;&gt;"", COUNTA($B$2:B117), "")</f>
        <v>116</v>
      </c>
      <c r="B117" s="124" t="s">
        <v>57</v>
      </c>
      <c r="C117" s="12" t="s">
        <v>2464</v>
      </c>
      <c r="D117" s="136" t="n">
        <v>6080905</v>
      </c>
      <c r="E117" s="137" t="n">
        <v>43282</v>
      </c>
      <c r="F117" s="8" t="s">
        <v>2128</v>
      </c>
      <c r="G117" s="10" t="n">
        <v>0.1</v>
      </c>
      <c r="H117" s="8" t="s">
        <v>2465</v>
      </c>
      <c r="I117" s="136" t="s">
        <v>2466</v>
      </c>
      <c r="J117" s="69" t="s">
        <v>1966</v>
      </c>
      <c r="K117" s="132"/>
      <c r="L117" s="132"/>
      <c r="M117" s="132"/>
      <c r="N117" s="132"/>
    </row>
    <row r="118" customFormat="false" ht="22.5" hidden="false" customHeight="false" outlineLevel="0" collapsed="false">
      <c r="A118" s="5" t="n">
        <f aca="false">IF(B118&lt;&gt;"", COUNTA($B$2:B118), "")</f>
        <v>117</v>
      </c>
      <c r="B118" s="124" t="s">
        <v>57</v>
      </c>
      <c r="C118" s="12" t="s">
        <v>2440</v>
      </c>
      <c r="D118" s="138" t="n">
        <v>6071979</v>
      </c>
      <c r="E118" s="139"/>
      <c r="F118" s="8" t="s">
        <v>2415</v>
      </c>
      <c r="G118" s="10" t="n">
        <v>0.1</v>
      </c>
      <c r="H118" s="107" t="s">
        <v>2467</v>
      </c>
      <c r="I118" s="8" t="s">
        <v>2453</v>
      </c>
      <c r="J118" s="69" t="s">
        <v>1966</v>
      </c>
      <c r="K118" s="132"/>
      <c r="L118" s="132"/>
      <c r="M118" s="132"/>
      <c r="N118" s="132"/>
    </row>
    <row r="119" customFormat="false" ht="22.5" hidden="false" customHeight="false" outlineLevel="0" collapsed="false">
      <c r="A119" s="5" t="n">
        <f aca="false">IF(B119&lt;&gt;"", COUNTA($B$2:B119), "")</f>
        <v>118</v>
      </c>
      <c r="B119" s="124" t="s">
        <v>57</v>
      </c>
      <c r="C119" s="12" t="s">
        <v>2440</v>
      </c>
      <c r="D119" s="136" t="n">
        <v>6071978</v>
      </c>
      <c r="E119" s="132"/>
      <c r="F119" s="8" t="s">
        <v>2128</v>
      </c>
      <c r="G119" s="10" t="n">
        <v>0.1</v>
      </c>
      <c r="H119" s="8" t="s">
        <v>2468</v>
      </c>
      <c r="I119" s="8" t="s">
        <v>2453</v>
      </c>
      <c r="J119" s="69" t="s">
        <v>1966</v>
      </c>
      <c r="K119" s="132"/>
      <c r="L119" s="132"/>
      <c r="M119" s="132"/>
      <c r="N119" s="132"/>
    </row>
    <row r="120" customFormat="false" ht="22.5" hidden="false" customHeight="false" outlineLevel="0" collapsed="false">
      <c r="A120" s="5" t="n">
        <f aca="false">IF(B120&lt;&gt;"", COUNTA($B$2:B120), "")</f>
        <v>119</v>
      </c>
      <c r="B120" s="124" t="s">
        <v>57</v>
      </c>
      <c r="C120" s="12" t="s">
        <v>2444</v>
      </c>
      <c r="D120" s="136" t="n">
        <v>6071987</v>
      </c>
      <c r="E120" s="132"/>
      <c r="F120" s="8" t="s">
        <v>2455</v>
      </c>
      <c r="G120" s="10" t="n">
        <v>0.1</v>
      </c>
      <c r="H120" s="12" t="s">
        <v>2469</v>
      </c>
      <c r="I120" s="8" t="s">
        <v>2453</v>
      </c>
      <c r="J120" s="69" t="s">
        <v>1966</v>
      </c>
      <c r="K120" s="132"/>
      <c r="L120" s="132"/>
      <c r="M120" s="132"/>
      <c r="N120" s="132"/>
    </row>
    <row r="121" customFormat="false" ht="22.5" hidden="false" customHeight="false" outlineLevel="0" collapsed="false">
      <c r="A121" s="5" t="n">
        <f aca="false">IF(B121&lt;&gt;"", COUNTA($B$2:B121), "")</f>
        <v>120</v>
      </c>
      <c r="B121" s="124" t="s">
        <v>57</v>
      </c>
      <c r="C121" s="12" t="s">
        <v>2440</v>
      </c>
      <c r="D121" s="136" t="n">
        <v>6077555</v>
      </c>
      <c r="E121" s="132"/>
      <c r="F121" s="8" t="s">
        <v>2128</v>
      </c>
      <c r="G121" s="10" t="n">
        <v>0.1</v>
      </c>
      <c r="H121" s="5" t="s">
        <v>2470</v>
      </c>
      <c r="I121" s="8" t="s">
        <v>2453</v>
      </c>
      <c r="J121" s="69" t="s">
        <v>1966</v>
      </c>
      <c r="K121" s="132"/>
      <c r="L121" s="132"/>
      <c r="M121" s="132"/>
      <c r="N121" s="132"/>
    </row>
    <row r="122" customFormat="false" ht="22.5" hidden="false" customHeight="false" outlineLevel="0" collapsed="false">
      <c r="A122" s="5" t="n">
        <f aca="false">IF(B122&lt;&gt;"", COUNTA($B$2:B122), "")</f>
        <v>121</v>
      </c>
      <c r="B122" s="124" t="s">
        <v>57</v>
      </c>
      <c r="C122" s="12" t="s">
        <v>2440</v>
      </c>
      <c r="D122" s="136" t="n">
        <v>6077546</v>
      </c>
      <c r="E122" s="132"/>
      <c r="F122" s="8" t="s">
        <v>2128</v>
      </c>
      <c r="G122" s="10" t="n">
        <v>0.1</v>
      </c>
      <c r="H122" s="5" t="s">
        <v>2471</v>
      </c>
      <c r="I122" s="8" t="s">
        <v>2453</v>
      </c>
      <c r="J122" s="69" t="s">
        <v>1966</v>
      </c>
      <c r="K122" s="132"/>
      <c r="L122" s="132"/>
      <c r="M122" s="132"/>
      <c r="N122" s="132"/>
    </row>
    <row r="123" customFormat="false" ht="33.75" hidden="false" customHeight="false" outlineLevel="0" collapsed="false">
      <c r="A123" s="5" t="n">
        <f aca="false">IF(B123&lt;&gt;"", COUNTA($B$2:B123), "")</f>
        <v>122</v>
      </c>
      <c r="B123" s="124" t="s">
        <v>57</v>
      </c>
      <c r="C123" s="12" t="s">
        <v>2444</v>
      </c>
      <c r="D123" s="136" t="n">
        <v>6077536</v>
      </c>
      <c r="E123" s="132"/>
      <c r="F123" s="8" t="s">
        <v>241</v>
      </c>
      <c r="G123" s="10" t="n">
        <v>0.1</v>
      </c>
      <c r="H123" s="12" t="s">
        <v>2472</v>
      </c>
      <c r="I123" s="8" t="s">
        <v>2453</v>
      </c>
      <c r="J123" s="69" t="s">
        <v>1966</v>
      </c>
      <c r="K123" s="132"/>
      <c r="L123" s="132"/>
      <c r="M123" s="132"/>
      <c r="N123" s="132"/>
    </row>
    <row r="124" customFormat="false" ht="33.75" hidden="false" customHeight="false" outlineLevel="0" collapsed="false">
      <c r="A124" s="5" t="n">
        <f aca="false">IF(B124&lt;&gt;"", COUNTA($B$2:B124), "")</f>
        <v>123</v>
      </c>
      <c r="B124" s="124" t="s">
        <v>57</v>
      </c>
      <c r="C124" s="12" t="s">
        <v>2444</v>
      </c>
      <c r="D124" s="136" t="n">
        <v>6077554</v>
      </c>
      <c r="E124" s="132"/>
      <c r="F124" s="8" t="s">
        <v>241</v>
      </c>
      <c r="G124" s="10" t="n">
        <v>0.1</v>
      </c>
      <c r="H124" s="12" t="s">
        <v>2473</v>
      </c>
      <c r="I124" s="8" t="s">
        <v>2453</v>
      </c>
      <c r="J124" s="69" t="s">
        <v>1966</v>
      </c>
      <c r="K124" s="132"/>
      <c r="L124" s="132"/>
      <c r="M124" s="132"/>
      <c r="N124" s="132"/>
    </row>
    <row r="125" customFormat="false" ht="22.5" hidden="false" customHeight="false" outlineLevel="0" collapsed="false">
      <c r="A125" s="5" t="n">
        <f aca="false">IF(B125&lt;&gt;"", COUNTA($B$2:B125), "")</f>
        <v>124</v>
      </c>
      <c r="B125" s="124" t="s">
        <v>57</v>
      </c>
      <c r="C125" s="12" t="s">
        <v>2444</v>
      </c>
      <c r="D125" s="136" t="n">
        <v>6071988</v>
      </c>
      <c r="E125" s="132"/>
      <c r="F125" s="8" t="s">
        <v>241</v>
      </c>
      <c r="G125" s="10" t="n">
        <v>0.1</v>
      </c>
      <c r="H125" s="12" t="s">
        <v>2474</v>
      </c>
      <c r="I125" s="132"/>
      <c r="J125" s="69" t="s">
        <v>1966</v>
      </c>
      <c r="K125" s="132"/>
      <c r="L125" s="132"/>
      <c r="M125" s="132"/>
      <c r="N125" s="132"/>
    </row>
    <row r="126" customFormat="false" ht="22.5" hidden="false" customHeight="false" outlineLevel="0" collapsed="false">
      <c r="A126" s="5" t="n">
        <f aca="false">IF(B126&lt;&gt;"", COUNTA($B$2:B126), "")</f>
        <v>125</v>
      </c>
      <c r="B126" s="124" t="s">
        <v>57</v>
      </c>
      <c r="C126" s="12" t="s">
        <v>2444</v>
      </c>
      <c r="D126" s="136" t="n">
        <v>6071579</v>
      </c>
      <c r="E126" s="132"/>
      <c r="F126" s="8" t="s">
        <v>241</v>
      </c>
      <c r="G126" s="10" t="n">
        <v>0.1</v>
      </c>
      <c r="H126" s="12" t="s">
        <v>2475</v>
      </c>
      <c r="I126" s="132"/>
      <c r="J126" s="69" t="s">
        <v>1966</v>
      </c>
      <c r="K126" s="132"/>
      <c r="L126" s="132"/>
      <c r="M126" s="132"/>
      <c r="N126" s="132"/>
    </row>
    <row r="127" s="4" customFormat="true" ht="22.5" hidden="false" customHeight="false" outlineLevel="0" collapsed="false">
      <c r="A127" s="5" t="n">
        <f aca="false">IF(B127&lt;&gt;"", COUNTA($B$2:B127), "")</f>
        <v>126</v>
      </c>
      <c r="B127" s="124" t="s">
        <v>57</v>
      </c>
      <c r="C127" s="12" t="s">
        <v>2444</v>
      </c>
      <c r="D127" s="8" t="n">
        <v>6074032</v>
      </c>
      <c r="E127" s="140"/>
      <c r="F127" s="8" t="s">
        <v>241</v>
      </c>
      <c r="G127" s="10" t="s">
        <v>2451</v>
      </c>
      <c r="H127" s="12" t="s">
        <v>2476</v>
      </c>
      <c r="I127" s="140"/>
      <c r="J127" s="69" t="s">
        <v>1966</v>
      </c>
      <c r="K127" s="5"/>
      <c r="L127" s="5"/>
      <c r="M127" s="6"/>
      <c r="N127" s="8"/>
      <c r="O127" s="141"/>
    </row>
    <row r="128" customFormat="false" ht="22.5" hidden="false" customHeight="false" outlineLevel="0" collapsed="false">
      <c r="A128" s="5" t="n">
        <f aca="false">IF(B128&lt;&gt;"", COUNTA($B$2:B128), "")</f>
        <v>127</v>
      </c>
      <c r="B128" s="124" t="s">
        <v>57</v>
      </c>
      <c r="C128" s="12" t="s">
        <v>2444</v>
      </c>
      <c r="D128" s="136" t="n">
        <v>6074030</v>
      </c>
      <c r="E128" s="132"/>
      <c r="F128" s="8" t="s">
        <v>241</v>
      </c>
      <c r="G128" s="10" t="n">
        <v>0.1</v>
      </c>
      <c r="H128" s="12" t="s">
        <v>2477</v>
      </c>
      <c r="I128" s="8" t="s">
        <v>2453</v>
      </c>
      <c r="J128" s="69" t="s">
        <v>1966</v>
      </c>
      <c r="K128" s="132"/>
      <c r="L128" s="132"/>
      <c r="M128" s="132"/>
      <c r="N128" s="132"/>
    </row>
    <row r="129" customFormat="false" ht="22.5" hidden="false" customHeight="false" outlineLevel="0" collapsed="false">
      <c r="A129" s="5" t="n">
        <f aca="false">IF(B129&lt;&gt;"", COUNTA($B$2:B129), "")</f>
        <v>128</v>
      </c>
      <c r="B129" s="124" t="s">
        <v>57</v>
      </c>
      <c r="C129" s="12" t="s">
        <v>2444</v>
      </c>
      <c r="D129" s="136" t="n">
        <v>6074031</v>
      </c>
      <c r="E129" s="132"/>
      <c r="F129" s="8" t="s">
        <v>241</v>
      </c>
      <c r="G129" s="10" t="n">
        <v>0.1</v>
      </c>
      <c r="H129" s="12" t="s">
        <v>2478</v>
      </c>
      <c r="I129" s="8" t="s">
        <v>2453</v>
      </c>
      <c r="J129" s="69" t="s">
        <v>1966</v>
      </c>
      <c r="K129" s="132"/>
      <c r="L129" s="132"/>
      <c r="M129" s="132"/>
      <c r="N129" s="132"/>
    </row>
    <row r="130" customFormat="false" ht="22.5" hidden="false" customHeight="false" outlineLevel="0" collapsed="false">
      <c r="A130" s="5" t="n">
        <f aca="false">IF(B130&lt;&gt;"", COUNTA($B$2:B130), "")</f>
        <v>129</v>
      </c>
      <c r="B130" s="124" t="s">
        <v>57</v>
      </c>
      <c r="C130" s="12" t="s">
        <v>2440</v>
      </c>
      <c r="D130" s="136" t="n">
        <v>6072455</v>
      </c>
      <c r="E130" s="132"/>
      <c r="F130" s="8" t="s">
        <v>2415</v>
      </c>
      <c r="G130" s="10" t="n">
        <v>0.1</v>
      </c>
      <c r="H130" s="8" t="s">
        <v>2479</v>
      </c>
      <c r="I130" s="8" t="s">
        <v>2453</v>
      </c>
      <c r="J130" s="69" t="s">
        <v>1966</v>
      </c>
      <c r="K130" s="132"/>
      <c r="L130" s="132"/>
      <c r="M130" s="132"/>
      <c r="N130" s="132"/>
    </row>
    <row r="131" customFormat="false" ht="22.5" hidden="false" customHeight="false" outlineLevel="0" collapsed="false">
      <c r="A131" s="5" t="n">
        <f aca="false">IF(B131&lt;&gt;"", COUNTA($B$2:B131), "")</f>
        <v>130</v>
      </c>
      <c r="B131" s="124" t="s">
        <v>57</v>
      </c>
      <c r="C131" s="12" t="s">
        <v>2440</v>
      </c>
      <c r="D131" s="136" t="n">
        <v>6071593</v>
      </c>
      <c r="E131" s="132"/>
      <c r="F131" s="8" t="s">
        <v>2415</v>
      </c>
      <c r="G131" s="10" t="n">
        <v>0.1</v>
      </c>
      <c r="H131" s="8" t="s">
        <v>2480</v>
      </c>
      <c r="I131" s="8" t="s">
        <v>2453</v>
      </c>
      <c r="J131" s="69" t="s">
        <v>1966</v>
      </c>
      <c r="K131" s="132"/>
      <c r="L131" s="132"/>
      <c r="M131" s="132"/>
      <c r="N131" s="132"/>
    </row>
    <row r="132" customFormat="false" ht="22.5" hidden="false" customHeight="false" outlineLevel="0" collapsed="false">
      <c r="A132" s="5" t="n">
        <f aca="false">IF(B132&lt;&gt;"", COUNTA($B$2:B132), "")</f>
        <v>131</v>
      </c>
      <c r="B132" s="124" t="s">
        <v>57</v>
      </c>
      <c r="C132" s="12" t="s">
        <v>2440</v>
      </c>
      <c r="D132" s="136" t="n">
        <v>61294412</v>
      </c>
      <c r="E132" s="132"/>
      <c r="F132" s="8" t="s">
        <v>2455</v>
      </c>
      <c r="G132" s="10" t="n">
        <v>0.1</v>
      </c>
      <c r="H132" s="8" t="s">
        <v>2481</v>
      </c>
      <c r="I132" s="8" t="s">
        <v>2453</v>
      </c>
      <c r="J132" s="69" t="s">
        <v>1966</v>
      </c>
      <c r="K132" s="132"/>
      <c r="L132" s="132"/>
      <c r="M132" s="132"/>
      <c r="N132" s="132"/>
    </row>
    <row r="133" customFormat="false" ht="22.5" hidden="false" customHeight="false" outlineLevel="0" collapsed="false">
      <c r="A133" s="5" t="n">
        <f aca="false">IF(B133&lt;&gt;"", COUNTA($B$2:B133), "")</f>
        <v>132</v>
      </c>
      <c r="B133" s="124" t="s">
        <v>57</v>
      </c>
      <c r="C133" s="12" t="s">
        <v>2440</v>
      </c>
      <c r="D133" s="136" t="n">
        <v>61294408</v>
      </c>
      <c r="E133" s="132"/>
      <c r="F133" s="8" t="s">
        <v>2455</v>
      </c>
      <c r="G133" s="10" t="n">
        <v>0.1</v>
      </c>
      <c r="H133" s="5" t="s">
        <v>2482</v>
      </c>
      <c r="I133" s="8" t="s">
        <v>2453</v>
      </c>
      <c r="J133" s="69" t="s">
        <v>1966</v>
      </c>
      <c r="K133" s="132"/>
      <c r="L133" s="132"/>
      <c r="M133" s="132"/>
      <c r="N133" s="132"/>
    </row>
    <row r="134" customFormat="false" ht="22.5" hidden="false" customHeight="false" outlineLevel="0" collapsed="false">
      <c r="A134" s="5" t="n">
        <f aca="false">IF(B134&lt;&gt;"", COUNTA($B$2:B134), "")</f>
        <v>133</v>
      </c>
      <c r="B134" s="124" t="s">
        <v>57</v>
      </c>
      <c r="C134" s="12" t="s">
        <v>2440</v>
      </c>
      <c r="D134" s="136" t="n">
        <v>6129416</v>
      </c>
      <c r="E134" s="132"/>
      <c r="F134" s="8" t="s">
        <v>2455</v>
      </c>
      <c r="G134" s="10" t="n">
        <v>0.1</v>
      </c>
      <c r="H134" s="8" t="s">
        <v>2483</v>
      </c>
      <c r="I134" s="8" t="s">
        <v>2453</v>
      </c>
      <c r="J134" s="69" t="s">
        <v>1966</v>
      </c>
      <c r="K134" s="132"/>
      <c r="L134" s="132"/>
      <c r="M134" s="132"/>
      <c r="N134" s="132"/>
    </row>
    <row r="135" customFormat="false" ht="22.5" hidden="false" customHeight="false" outlineLevel="0" collapsed="false">
      <c r="A135" s="5" t="n">
        <f aca="false">IF(B135&lt;&gt;"", COUNTA($B$2:B135), "")</f>
        <v>134</v>
      </c>
      <c r="B135" s="124" t="s">
        <v>57</v>
      </c>
      <c r="C135" s="8" t="s">
        <v>2484</v>
      </c>
      <c r="D135" s="136" t="s">
        <v>2485</v>
      </c>
      <c r="E135" s="132"/>
      <c r="F135" s="8" t="s">
        <v>192</v>
      </c>
      <c r="G135" s="132" t="n">
        <v>0.1</v>
      </c>
      <c r="H135" s="12" t="s">
        <v>2486</v>
      </c>
      <c r="I135" s="8" t="s">
        <v>2453</v>
      </c>
      <c r="J135" s="69" t="s">
        <v>1966</v>
      </c>
      <c r="K135" s="142"/>
      <c r="L135" s="132"/>
      <c r="M135" s="132"/>
      <c r="N135" s="132"/>
    </row>
    <row r="136" customFormat="false" ht="22.5" hidden="false" customHeight="false" outlineLevel="0" collapsed="false">
      <c r="A136" s="5" t="n">
        <f aca="false">IF(B136&lt;&gt;"", COUNTA($B$2:B136), "")</f>
        <v>135</v>
      </c>
      <c r="B136" s="125" t="s">
        <v>57</v>
      </c>
      <c r="C136" s="10" t="s">
        <v>2487</v>
      </c>
      <c r="D136" s="10" t="s">
        <v>2488</v>
      </c>
      <c r="E136" s="143"/>
      <c r="F136" s="19" t="s">
        <v>271</v>
      </c>
      <c r="G136" s="10" t="n">
        <v>0.1</v>
      </c>
      <c r="H136" s="12" t="s">
        <v>2489</v>
      </c>
      <c r="I136" s="8" t="s">
        <v>2453</v>
      </c>
      <c r="J136" s="69" t="s">
        <v>1966</v>
      </c>
      <c r="K136" s="142"/>
      <c r="L136" s="132"/>
      <c r="M136" s="132"/>
      <c r="N136" s="132"/>
    </row>
    <row r="137" customFormat="false" ht="22.5" hidden="false" customHeight="false" outlineLevel="0" collapsed="false">
      <c r="A137" s="5" t="n">
        <f aca="false">IF(B137&lt;&gt;"", COUNTA($B$2:B137), "")</f>
        <v>136</v>
      </c>
      <c r="B137" s="125" t="s">
        <v>57</v>
      </c>
      <c r="C137" s="12" t="s">
        <v>2440</v>
      </c>
      <c r="D137" s="136" t="n">
        <v>1635005</v>
      </c>
      <c r="E137" s="132"/>
      <c r="F137" s="8" t="s">
        <v>192</v>
      </c>
      <c r="G137" s="10" t="n">
        <v>0.1</v>
      </c>
      <c r="H137" s="8" t="s">
        <v>2490</v>
      </c>
      <c r="I137" s="8" t="s">
        <v>2491</v>
      </c>
      <c r="J137" s="69" t="s">
        <v>1966</v>
      </c>
      <c r="K137" s="132"/>
      <c r="L137" s="132"/>
      <c r="M137" s="132"/>
      <c r="N137" s="132"/>
    </row>
    <row r="138" customFormat="false" ht="22.5" hidden="false" customHeight="false" outlineLevel="0" collapsed="false">
      <c r="A138" s="5" t="n">
        <f aca="false">IF(B138&lt;&gt;"", COUNTA($B$2:B138), "")</f>
        <v>137</v>
      </c>
      <c r="B138" s="125" t="s">
        <v>57</v>
      </c>
      <c r="C138" s="12" t="s">
        <v>2440</v>
      </c>
      <c r="D138" s="136" t="n">
        <v>1634485</v>
      </c>
      <c r="E138" s="132"/>
      <c r="F138" s="8" t="s">
        <v>192</v>
      </c>
      <c r="G138" s="10" t="n">
        <v>0.1</v>
      </c>
      <c r="H138" s="8" t="s">
        <v>2492</v>
      </c>
      <c r="I138" s="8" t="s">
        <v>1024</v>
      </c>
      <c r="J138" s="69" t="s">
        <v>1966</v>
      </c>
      <c r="K138" s="132"/>
      <c r="L138" s="132"/>
      <c r="M138" s="132"/>
      <c r="N138" s="132"/>
    </row>
    <row r="139" customFormat="false" ht="22.5" hidden="false" customHeight="false" outlineLevel="0" collapsed="false">
      <c r="A139" s="5" t="n">
        <f aca="false">IF(B139&lt;&gt;"", COUNTA($B$2:B139), "")</f>
        <v>138</v>
      </c>
      <c r="B139" s="125" t="s">
        <v>57</v>
      </c>
      <c r="C139" s="12" t="s">
        <v>2440</v>
      </c>
      <c r="D139" s="136" t="n">
        <v>1635004</v>
      </c>
      <c r="E139" s="132"/>
      <c r="F139" s="8" t="s">
        <v>192</v>
      </c>
      <c r="G139" s="10" t="n">
        <v>0.1</v>
      </c>
      <c r="H139" s="8" t="s">
        <v>2493</v>
      </c>
      <c r="I139" s="8" t="s">
        <v>1024</v>
      </c>
      <c r="J139" s="69" t="s">
        <v>1966</v>
      </c>
      <c r="K139" s="132"/>
      <c r="L139" s="132"/>
      <c r="M139" s="132"/>
      <c r="N139" s="132"/>
    </row>
    <row r="140" customFormat="false" ht="22.5" hidden="false" customHeight="false" outlineLevel="0" collapsed="false">
      <c r="A140" s="5" t="n">
        <f aca="false">IF(B140&lt;&gt;"", COUNTA($B$2:B140), "")</f>
        <v>139</v>
      </c>
      <c r="B140" s="124" t="s">
        <v>57</v>
      </c>
      <c r="C140" s="12" t="s">
        <v>2444</v>
      </c>
      <c r="D140" s="136" t="n">
        <v>1634474</v>
      </c>
      <c r="E140" s="140"/>
      <c r="F140" s="8" t="s">
        <v>260</v>
      </c>
      <c r="G140" s="10" t="n">
        <v>0.1</v>
      </c>
      <c r="H140" s="12" t="s">
        <v>2494</v>
      </c>
      <c r="I140" s="8" t="s">
        <v>1024</v>
      </c>
      <c r="J140" s="69" t="s">
        <v>1966</v>
      </c>
      <c r="K140" s="132"/>
      <c r="L140" s="132"/>
      <c r="M140" s="132"/>
      <c r="N140" s="132"/>
    </row>
    <row r="141" customFormat="false" ht="22.5" hidden="false" customHeight="false" outlineLevel="0" collapsed="false">
      <c r="A141" s="5" t="n">
        <f aca="false">IF(B141&lt;&gt;"", COUNTA($B$2:B141), "")</f>
        <v>140</v>
      </c>
      <c r="B141" s="124" t="s">
        <v>57</v>
      </c>
      <c r="C141" s="12" t="s">
        <v>2444</v>
      </c>
      <c r="D141" s="136" t="n">
        <v>1634469</v>
      </c>
      <c r="E141" s="132"/>
      <c r="F141" s="8" t="s">
        <v>260</v>
      </c>
      <c r="G141" s="10" t="n">
        <v>0.1</v>
      </c>
      <c r="H141" s="12" t="s">
        <v>2495</v>
      </c>
      <c r="I141" s="8" t="s">
        <v>1024</v>
      </c>
      <c r="J141" s="69" t="s">
        <v>1966</v>
      </c>
      <c r="K141" s="132"/>
      <c r="L141" s="132"/>
      <c r="M141" s="132"/>
      <c r="N141" s="132"/>
    </row>
    <row r="142" customFormat="false" ht="22.5" hidden="false" customHeight="false" outlineLevel="0" collapsed="false">
      <c r="A142" s="5" t="n">
        <f aca="false">IF(B142&lt;&gt;"", COUNTA($B$2:B142), "")</f>
        <v>141</v>
      </c>
      <c r="B142" s="124" t="s">
        <v>57</v>
      </c>
      <c r="C142" s="12" t="s">
        <v>2444</v>
      </c>
      <c r="D142" s="136" t="n">
        <v>1634572</v>
      </c>
      <c r="E142" s="132"/>
      <c r="F142" s="8" t="s">
        <v>241</v>
      </c>
      <c r="G142" s="10" t="n">
        <v>0.1</v>
      </c>
      <c r="H142" s="12" t="s">
        <v>2496</v>
      </c>
      <c r="I142" s="8" t="s">
        <v>1024</v>
      </c>
      <c r="J142" s="69" t="s">
        <v>1966</v>
      </c>
      <c r="K142" s="132"/>
      <c r="L142" s="132"/>
      <c r="M142" s="132"/>
      <c r="N142" s="132"/>
    </row>
    <row r="143" customFormat="false" ht="22.5" hidden="false" customHeight="false" outlineLevel="0" collapsed="false">
      <c r="A143" s="5" t="n">
        <f aca="false">IF(B143&lt;&gt;"", COUNTA($B$2:B143), "")</f>
        <v>142</v>
      </c>
      <c r="B143" s="124" t="s">
        <v>57</v>
      </c>
      <c r="C143" s="12" t="s">
        <v>2444</v>
      </c>
      <c r="D143" s="136" t="n">
        <v>1634569</v>
      </c>
      <c r="E143" s="132"/>
      <c r="F143" s="8" t="s">
        <v>241</v>
      </c>
      <c r="G143" s="10" t="n">
        <v>0.1</v>
      </c>
      <c r="H143" s="12" t="s">
        <v>2497</v>
      </c>
      <c r="I143" s="8" t="s">
        <v>1024</v>
      </c>
      <c r="J143" s="69" t="s">
        <v>1966</v>
      </c>
      <c r="K143" s="132"/>
      <c r="L143" s="132"/>
      <c r="M143" s="132"/>
      <c r="N143" s="132"/>
    </row>
    <row r="144" customFormat="false" ht="22.5" hidden="false" customHeight="false" outlineLevel="0" collapsed="false">
      <c r="A144" s="5" t="n">
        <f aca="false">IF(B144&lt;&gt;"", COUNTA($B$2:B144), "")</f>
        <v>143</v>
      </c>
      <c r="B144" s="124" t="s">
        <v>2498</v>
      </c>
      <c r="C144" s="12" t="s">
        <v>2499</v>
      </c>
      <c r="D144" s="136" t="s">
        <v>2500</v>
      </c>
      <c r="E144" s="132"/>
      <c r="F144" s="8" t="s">
        <v>241</v>
      </c>
      <c r="G144" s="132" t="n">
        <v>0.25</v>
      </c>
      <c r="H144" s="12" t="s">
        <v>2501</v>
      </c>
      <c r="I144" s="8" t="s">
        <v>1024</v>
      </c>
      <c r="J144" s="69" t="s">
        <v>1966</v>
      </c>
      <c r="K144" s="132"/>
      <c r="L144" s="132"/>
      <c r="M144" s="132"/>
      <c r="N144" s="132"/>
    </row>
    <row r="145" customFormat="false" ht="22.5" hidden="false" customHeight="false" outlineLevel="0" collapsed="false">
      <c r="A145" s="5" t="n">
        <f aca="false">IF(B145&lt;&gt;"", COUNTA($B$2:B145), "")</f>
        <v>144</v>
      </c>
      <c r="B145" s="124" t="s">
        <v>2498</v>
      </c>
      <c r="C145" s="12" t="s">
        <v>2499</v>
      </c>
      <c r="D145" s="136" t="s">
        <v>2502</v>
      </c>
      <c r="E145" s="132"/>
      <c r="F145" s="8" t="s">
        <v>241</v>
      </c>
      <c r="G145" s="132" t="n">
        <v>0.25</v>
      </c>
      <c r="H145" s="12" t="s">
        <v>2503</v>
      </c>
      <c r="I145" s="8" t="s">
        <v>1024</v>
      </c>
      <c r="J145" s="69" t="s">
        <v>1966</v>
      </c>
      <c r="K145" s="132"/>
      <c r="L145" s="132"/>
      <c r="M145" s="132"/>
      <c r="N145" s="132"/>
    </row>
    <row r="146" customFormat="false" ht="22.5" hidden="false" customHeight="false" outlineLevel="0" collapsed="false">
      <c r="A146" s="5" t="n">
        <f aca="false">IF(B146&lt;&gt;"", COUNTA($B$2:B146), "")</f>
        <v>145</v>
      </c>
      <c r="B146" s="124" t="s">
        <v>2498</v>
      </c>
      <c r="C146" s="12" t="s">
        <v>2499</v>
      </c>
      <c r="D146" s="136" t="s">
        <v>2504</v>
      </c>
      <c r="E146" s="132"/>
      <c r="F146" s="8" t="s">
        <v>241</v>
      </c>
      <c r="G146" s="132" t="n">
        <v>0.25</v>
      </c>
      <c r="H146" s="12" t="s">
        <v>2505</v>
      </c>
      <c r="I146" s="8" t="s">
        <v>1024</v>
      </c>
      <c r="J146" s="69" t="s">
        <v>1966</v>
      </c>
      <c r="K146" s="132"/>
      <c r="L146" s="132"/>
      <c r="M146" s="132"/>
      <c r="N146" s="132"/>
    </row>
    <row r="147" customFormat="false" ht="22.5" hidden="false" customHeight="false" outlineLevel="0" collapsed="false">
      <c r="A147" s="5" t="n">
        <f aca="false">IF(B147&lt;&gt;"", COUNTA($B$2:B147), "")</f>
        <v>146</v>
      </c>
      <c r="B147" s="124" t="s">
        <v>2498</v>
      </c>
      <c r="C147" s="12" t="s">
        <v>2499</v>
      </c>
      <c r="D147" s="136" t="s">
        <v>2506</v>
      </c>
      <c r="E147" s="132"/>
      <c r="F147" s="8" t="s">
        <v>241</v>
      </c>
      <c r="G147" s="132" t="n">
        <v>0.25</v>
      </c>
      <c r="H147" s="12" t="s">
        <v>2507</v>
      </c>
      <c r="I147" s="8" t="s">
        <v>1024</v>
      </c>
      <c r="J147" s="69" t="s">
        <v>1966</v>
      </c>
      <c r="K147" s="132"/>
      <c r="L147" s="132"/>
      <c r="M147" s="132"/>
      <c r="N147" s="132"/>
    </row>
    <row r="148" customFormat="false" ht="22.5" hidden="false" customHeight="false" outlineLevel="0" collapsed="false">
      <c r="A148" s="5" t="n">
        <f aca="false">IF(B148&lt;&gt;"", COUNTA($B$2:B148), "")</f>
        <v>147</v>
      </c>
      <c r="B148" s="124" t="s">
        <v>57</v>
      </c>
      <c r="C148" s="12" t="s">
        <v>2444</v>
      </c>
      <c r="D148" s="136" t="n">
        <v>6064461</v>
      </c>
      <c r="E148" s="132"/>
      <c r="F148" s="8" t="s">
        <v>241</v>
      </c>
      <c r="G148" s="10" t="n">
        <v>0.1</v>
      </c>
      <c r="H148" s="12" t="s">
        <v>2508</v>
      </c>
      <c r="I148" s="132"/>
      <c r="J148" s="69" t="s">
        <v>1966</v>
      </c>
      <c r="K148" s="132"/>
      <c r="L148" s="132"/>
      <c r="M148" s="132"/>
      <c r="N148" s="132"/>
    </row>
    <row r="149" customFormat="false" ht="22.5" hidden="false" customHeight="false" outlineLevel="0" collapsed="false">
      <c r="A149" s="5" t="n">
        <f aca="false">IF(B149&lt;&gt;"", COUNTA($B$2:B149), "")</f>
        <v>148</v>
      </c>
      <c r="B149" s="124" t="s">
        <v>57</v>
      </c>
      <c r="C149" s="12" t="s">
        <v>2444</v>
      </c>
      <c r="D149" s="136" t="n">
        <v>6074029</v>
      </c>
      <c r="E149" s="132"/>
      <c r="F149" s="8" t="s">
        <v>241</v>
      </c>
      <c r="G149" s="10" t="n">
        <v>0.1</v>
      </c>
      <c r="H149" s="12" t="s">
        <v>2509</v>
      </c>
      <c r="I149" s="132"/>
      <c r="J149" s="69" t="s">
        <v>1966</v>
      </c>
      <c r="K149" s="132"/>
      <c r="L149" s="132"/>
      <c r="M149" s="132"/>
      <c r="N149" s="132"/>
    </row>
    <row r="150" customFormat="false" ht="22.5" hidden="false" customHeight="false" outlineLevel="0" collapsed="false">
      <c r="A150" s="5" t="n">
        <f aca="false">IF(B150&lt;&gt;"", COUNTA($B$2:B150), "")</f>
        <v>149</v>
      </c>
      <c r="B150" s="125" t="s">
        <v>57</v>
      </c>
      <c r="C150" s="12" t="s">
        <v>2440</v>
      </c>
      <c r="D150" s="134" t="n">
        <v>6081376</v>
      </c>
      <c r="E150" s="144" t="n">
        <v>43282</v>
      </c>
      <c r="F150" s="8" t="s">
        <v>2128</v>
      </c>
      <c r="G150" s="10" t="n">
        <v>0.1</v>
      </c>
      <c r="H150" s="12" t="s">
        <v>2510</v>
      </c>
      <c r="I150" s="134" t="s">
        <v>2511</v>
      </c>
      <c r="J150" s="69" t="s">
        <v>1966</v>
      </c>
      <c r="K150" s="132"/>
      <c r="L150" s="132"/>
      <c r="M150" s="132"/>
      <c r="N150" s="132"/>
    </row>
    <row r="151" customFormat="false" ht="22.5" hidden="false" customHeight="false" outlineLevel="0" collapsed="false">
      <c r="A151" s="5" t="n">
        <f aca="false">IF(B151&lt;&gt;"", COUNTA($B$2:B151), "")</f>
        <v>150</v>
      </c>
      <c r="B151" s="125" t="s">
        <v>57</v>
      </c>
      <c r="C151" s="12" t="s">
        <v>2440</v>
      </c>
      <c r="D151" s="134" t="n">
        <v>6085981</v>
      </c>
      <c r="E151" s="144" t="n">
        <v>43344</v>
      </c>
      <c r="F151" s="8" t="s">
        <v>2255</v>
      </c>
      <c r="G151" s="10" t="n">
        <v>0.1</v>
      </c>
      <c r="H151" s="12" t="s">
        <v>2512</v>
      </c>
      <c r="I151" s="145"/>
      <c r="J151" s="69" t="s">
        <v>1966</v>
      </c>
      <c r="K151" s="132"/>
      <c r="L151" s="132"/>
      <c r="M151" s="132"/>
      <c r="N151" s="132"/>
    </row>
    <row r="152" customFormat="false" ht="22.5" hidden="false" customHeight="false" outlineLevel="0" collapsed="false">
      <c r="A152" s="5" t="n">
        <f aca="false">IF(B152&lt;&gt;"", COUNTA($B$2:B152), "")</f>
        <v>151</v>
      </c>
      <c r="B152" s="125" t="s">
        <v>57</v>
      </c>
      <c r="C152" s="12" t="s">
        <v>2440</v>
      </c>
      <c r="D152" s="134" t="n">
        <v>6081379</v>
      </c>
      <c r="E152" s="144" t="n">
        <v>43282</v>
      </c>
      <c r="F152" s="8" t="s">
        <v>2128</v>
      </c>
      <c r="G152" s="10" t="n">
        <v>0.1</v>
      </c>
      <c r="H152" s="12" t="s">
        <v>2513</v>
      </c>
      <c r="I152" s="145"/>
      <c r="J152" s="69" t="s">
        <v>1966</v>
      </c>
      <c r="K152" s="132"/>
      <c r="L152" s="132"/>
      <c r="M152" s="132"/>
      <c r="N152" s="132"/>
      <c r="P152" s="122"/>
    </row>
    <row r="153" customFormat="false" ht="22.5" hidden="false" customHeight="false" outlineLevel="0" collapsed="false">
      <c r="A153" s="5" t="n">
        <f aca="false">IF(B153&lt;&gt;"", COUNTA($B$2:B153), "")</f>
        <v>152</v>
      </c>
      <c r="B153" s="125" t="s">
        <v>57</v>
      </c>
      <c r="C153" s="12" t="s">
        <v>2440</v>
      </c>
      <c r="D153" s="134" t="n">
        <v>6085988</v>
      </c>
      <c r="E153" s="144" t="n">
        <v>43344</v>
      </c>
      <c r="F153" s="8" t="s">
        <v>2128</v>
      </c>
      <c r="G153" s="10" t="n">
        <v>0.1</v>
      </c>
      <c r="H153" s="12" t="s">
        <v>2514</v>
      </c>
      <c r="I153" s="145"/>
      <c r="J153" s="69" t="s">
        <v>1966</v>
      </c>
      <c r="K153" s="132"/>
      <c r="L153" s="132"/>
      <c r="M153" s="132"/>
      <c r="N153" s="132"/>
    </row>
    <row r="154" customFormat="false" ht="22.5" hidden="false" customHeight="false" outlineLevel="0" collapsed="false">
      <c r="A154" s="5" t="n">
        <f aca="false">IF(B154&lt;&gt;"", COUNTA($B$2:B154), "")</f>
        <v>153</v>
      </c>
      <c r="B154" s="125" t="s">
        <v>57</v>
      </c>
      <c r="C154" s="12" t="s">
        <v>2444</v>
      </c>
      <c r="D154" s="10" t="n">
        <v>6104417</v>
      </c>
      <c r="E154" s="10"/>
      <c r="F154" s="8" t="s">
        <v>2450</v>
      </c>
      <c r="G154" s="10" t="s">
        <v>2451</v>
      </c>
      <c r="H154" s="12" t="s">
        <v>2515</v>
      </c>
      <c r="I154" s="8"/>
      <c r="J154" s="69" t="s">
        <v>1966</v>
      </c>
      <c r="K154" s="132"/>
      <c r="L154" s="132"/>
      <c r="M154" s="132"/>
      <c r="N154" s="132"/>
    </row>
    <row r="155" customFormat="false" ht="22.5" hidden="false" customHeight="false" outlineLevel="0" collapsed="false">
      <c r="A155" s="5" t="n">
        <f aca="false">IF(B155&lt;&gt;"", COUNTA($B$2:B155), "")</f>
        <v>154</v>
      </c>
      <c r="B155" s="125" t="s">
        <v>64</v>
      </c>
      <c r="C155" s="12" t="s">
        <v>2516</v>
      </c>
      <c r="D155" s="134" t="s">
        <v>2517</v>
      </c>
      <c r="E155" s="134" t="n">
        <v>2018</v>
      </c>
      <c r="F155" s="19" t="s">
        <v>2518</v>
      </c>
      <c r="G155" s="134" t="s">
        <v>2519</v>
      </c>
      <c r="H155" s="12" t="s">
        <v>2520</v>
      </c>
      <c r="I155" s="8"/>
      <c r="J155" s="69" t="s">
        <v>1966</v>
      </c>
      <c r="K155" s="132"/>
      <c r="L155" s="132"/>
      <c r="M155" s="132"/>
      <c r="N155" s="132"/>
    </row>
    <row r="156" customFormat="false" ht="22.5" hidden="false" customHeight="false" outlineLevel="0" collapsed="false">
      <c r="A156" s="5" t="n">
        <f aca="false">IF(B156&lt;&gt;"", COUNTA($B$2:B156), "")</f>
        <v>155</v>
      </c>
      <c r="B156" s="125" t="s">
        <v>64</v>
      </c>
      <c r="C156" s="12" t="s">
        <v>2521</v>
      </c>
      <c r="D156" s="134" t="n">
        <v>625</v>
      </c>
      <c r="E156" s="134"/>
      <c r="F156" s="19" t="s">
        <v>2522</v>
      </c>
      <c r="G156" s="134"/>
      <c r="H156" s="5" t="s">
        <v>2523</v>
      </c>
      <c r="I156" s="8"/>
      <c r="J156" s="69" t="s">
        <v>1966</v>
      </c>
      <c r="K156" s="132"/>
      <c r="L156" s="132"/>
      <c r="M156" s="132"/>
      <c r="N156" s="132"/>
    </row>
    <row r="157" customFormat="false" ht="22.5" hidden="false" customHeight="false" outlineLevel="0" collapsed="false">
      <c r="A157" s="5" t="n">
        <f aca="false">IF(B157&lt;&gt;"", COUNTA($B$2:B157), "")</f>
        <v>156</v>
      </c>
      <c r="B157" s="125" t="s">
        <v>64</v>
      </c>
      <c r="C157" s="12" t="s">
        <v>2521</v>
      </c>
      <c r="D157" s="134" t="n">
        <v>627</v>
      </c>
      <c r="E157" s="134"/>
      <c r="F157" s="19" t="s">
        <v>2522</v>
      </c>
      <c r="G157" s="134"/>
      <c r="H157" s="12" t="s">
        <v>2524</v>
      </c>
      <c r="I157" s="8"/>
      <c r="J157" s="69" t="s">
        <v>1966</v>
      </c>
      <c r="K157" s="132"/>
      <c r="L157" s="132"/>
      <c r="M157" s="132"/>
      <c r="N157" s="132"/>
    </row>
    <row r="158" customFormat="false" ht="22.5" hidden="false" customHeight="false" outlineLevel="0" collapsed="false">
      <c r="A158" s="5" t="n">
        <f aca="false">IF(B158&lt;&gt;"", COUNTA($B$2:B158), "")</f>
        <v>157</v>
      </c>
      <c r="B158" s="125" t="s">
        <v>64</v>
      </c>
      <c r="C158" s="12" t="s">
        <v>2521</v>
      </c>
      <c r="D158" s="134" t="n">
        <v>626</v>
      </c>
      <c r="E158" s="134"/>
      <c r="F158" s="19" t="s">
        <v>2522</v>
      </c>
      <c r="G158" s="134"/>
      <c r="H158" s="12" t="s">
        <v>2525</v>
      </c>
      <c r="I158" s="8"/>
      <c r="J158" s="69" t="s">
        <v>1966</v>
      </c>
      <c r="K158" s="132"/>
      <c r="L158" s="132"/>
      <c r="M158" s="132"/>
      <c r="N158" s="132"/>
    </row>
    <row r="159" customFormat="false" ht="22.5" hidden="false" customHeight="false" outlineLevel="0" collapsed="false">
      <c r="A159" s="5" t="n">
        <f aca="false">IF(B159&lt;&gt;"", COUNTA($B$2:B159), "")</f>
        <v>158</v>
      </c>
      <c r="B159" s="124" t="s">
        <v>64</v>
      </c>
      <c r="C159" s="12" t="s">
        <v>2521</v>
      </c>
      <c r="D159" s="136" t="n">
        <v>36</v>
      </c>
      <c r="E159" s="136"/>
      <c r="F159" s="19" t="s">
        <v>2526</v>
      </c>
      <c r="G159" s="136"/>
      <c r="H159" s="5" t="s">
        <v>2527</v>
      </c>
      <c r="I159" s="8"/>
      <c r="J159" s="69" t="s">
        <v>1966</v>
      </c>
      <c r="K159" s="132"/>
      <c r="L159" s="132"/>
      <c r="M159" s="132"/>
      <c r="N159" s="132"/>
    </row>
    <row r="160" customFormat="false" ht="22.5" hidden="false" customHeight="false" outlineLevel="0" collapsed="false">
      <c r="A160" s="5" t="n">
        <f aca="false">IF(B160&lt;&gt;"", COUNTA($B$2:B160), "")</f>
        <v>159</v>
      </c>
      <c r="B160" s="124" t="s">
        <v>64</v>
      </c>
      <c r="C160" s="12" t="s">
        <v>2521</v>
      </c>
      <c r="D160" s="136" t="n">
        <v>799</v>
      </c>
      <c r="E160" s="136"/>
      <c r="F160" s="19" t="s">
        <v>2528</v>
      </c>
      <c r="G160" s="136"/>
      <c r="H160" s="5" t="s">
        <v>2529</v>
      </c>
      <c r="I160" s="8"/>
      <c r="J160" s="69" t="s">
        <v>1966</v>
      </c>
      <c r="K160" s="132"/>
      <c r="L160" s="132"/>
      <c r="M160" s="132"/>
      <c r="N160" s="132"/>
    </row>
    <row r="161" customFormat="false" ht="22.5" hidden="false" customHeight="false" outlineLevel="0" collapsed="false">
      <c r="A161" s="5" t="n">
        <f aca="false">IF(B161&lt;&gt;"", COUNTA($B$2:B161), "")</f>
        <v>160</v>
      </c>
      <c r="B161" s="124" t="s">
        <v>64</v>
      </c>
      <c r="C161" s="12" t="s">
        <v>2521</v>
      </c>
      <c r="D161" s="136" t="n">
        <v>809</v>
      </c>
      <c r="E161" s="136"/>
      <c r="F161" s="19" t="s">
        <v>2528</v>
      </c>
      <c r="G161" s="136"/>
      <c r="H161" s="5" t="s">
        <v>2530</v>
      </c>
      <c r="I161" s="8"/>
      <c r="J161" s="69" t="s">
        <v>1966</v>
      </c>
      <c r="K161" s="132"/>
      <c r="L161" s="132"/>
      <c r="M161" s="132"/>
      <c r="N161" s="132"/>
    </row>
    <row r="162" customFormat="false" ht="22.5" hidden="false" customHeight="false" outlineLevel="0" collapsed="false">
      <c r="A162" s="5" t="n">
        <f aca="false">IF(B162&lt;&gt;"", COUNTA($B$2:B162), "")</f>
        <v>161</v>
      </c>
      <c r="B162" s="124" t="s">
        <v>64</v>
      </c>
      <c r="C162" s="12" t="s">
        <v>2521</v>
      </c>
      <c r="D162" s="136" t="n">
        <v>788</v>
      </c>
      <c r="E162" s="136"/>
      <c r="F162" s="19" t="s">
        <v>2528</v>
      </c>
      <c r="G162" s="136"/>
      <c r="H162" s="5" t="s">
        <v>2531</v>
      </c>
      <c r="I162" s="8"/>
      <c r="J162" s="69" t="s">
        <v>1966</v>
      </c>
      <c r="K162" s="132"/>
      <c r="L162" s="132"/>
      <c r="M162" s="132"/>
      <c r="N162" s="132"/>
    </row>
    <row r="163" customFormat="false" ht="22.5" hidden="false" customHeight="false" outlineLevel="0" collapsed="false">
      <c r="A163" s="5" t="n">
        <f aca="false">IF(B163&lt;&gt;"", COUNTA($B$2:B163), "")</f>
        <v>162</v>
      </c>
      <c r="B163" s="124" t="s">
        <v>64</v>
      </c>
      <c r="C163" s="12" t="s">
        <v>2521</v>
      </c>
      <c r="D163" s="136" t="n">
        <v>729</v>
      </c>
      <c r="E163" s="136"/>
      <c r="F163" s="19" t="s">
        <v>2532</v>
      </c>
      <c r="G163" s="136"/>
      <c r="H163" s="5" t="s">
        <v>2533</v>
      </c>
      <c r="I163" s="8"/>
      <c r="J163" s="69" t="s">
        <v>1966</v>
      </c>
      <c r="K163" s="132"/>
      <c r="L163" s="132"/>
      <c r="M163" s="132"/>
      <c r="N163" s="132"/>
    </row>
    <row r="164" customFormat="false" ht="22.5" hidden="false" customHeight="false" outlineLevel="0" collapsed="false">
      <c r="A164" s="5" t="n">
        <f aca="false">IF(B164&lt;&gt;"", COUNTA($B$2:B164), "")</f>
        <v>163</v>
      </c>
      <c r="B164" s="124" t="s">
        <v>64</v>
      </c>
      <c r="C164" s="12" t="s">
        <v>2534</v>
      </c>
      <c r="D164" s="136" t="n">
        <v>589</v>
      </c>
      <c r="E164" s="136"/>
      <c r="F164" s="19" t="s">
        <v>2535</v>
      </c>
      <c r="G164" s="136"/>
      <c r="H164" s="5" t="s">
        <v>2536</v>
      </c>
      <c r="I164" s="8"/>
      <c r="J164" s="69" t="s">
        <v>1966</v>
      </c>
      <c r="K164" s="132"/>
      <c r="L164" s="132"/>
      <c r="M164" s="132"/>
      <c r="N164" s="132"/>
    </row>
    <row r="165" customFormat="false" ht="22.5" hidden="false" customHeight="false" outlineLevel="0" collapsed="false">
      <c r="A165" s="5" t="n">
        <f aca="false">IF(B165&lt;&gt;"", COUNTA($B$2:B165), "")</f>
        <v>164</v>
      </c>
      <c r="B165" s="124" t="s">
        <v>64</v>
      </c>
      <c r="C165" s="12" t="s">
        <v>2521</v>
      </c>
      <c r="D165" s="136" t="n">
        <v>812</v>
      </c>
      <c r="E165" s="136"/>
      <c r="F165" s="19" t="s">
        <v>2537</v>
      </c>
      <c r="G165" s="136"/>
      <c r="H165" s="5" t="s">
        <v>2538</v>
      </c>
      <c r="I165" s="8"/>
      <c r="J165" s="69" t="s">
        <v>1966</v>
      </c>
      <c r="K165" s="132"/>
      <c r="L165" s="132"/>
      <c r="M165" s="132"/>
      <c r="N165" s="132"/>
    </row>
    <row r="166" customFormat="false" ht="22.5" hidden="false" customHeight="false" outlineLevel="0" collapsed="false">
      <c r="A166" s="5" t="n">
        <f aca="false">IF(B166&lt;&gt;"", COUNTA($B$2:B166), "")</f>
        <v>165</v>
      </c>
      <c r="B166" s="125" t="s">
        <v>64</v>
      </c>
      <c r="C166" s="12" t="s">
        <v>2521</v>
      </c>
      <c r="D166" s="136" t="n">
        <v>1581</v>
      </c>
      <c r="E166" s="145"/>
      <c r="F166" s="19" t="s">
        <v>2528</v>
      </c>
      <c r="G166" s="136"/>
      <c r="H166" s="5" t="s">
        <v>2539</v>
      </c>
      <c r="I166" s="8"/>
      <c r="J166" s="69" t="s">
        <v>1966</v>
      </c>
      <c r="K166" s="132"/>
      <c r="L166" s="132"/>
      <c r="M166" s="132"/>
      <c r="N166" s="132"/>
    </row>
    <row r="167" customFormat="false" ht="22.5" hidden="false" customHeight="false" outlineLevel="0" collapsed="false">
      <c r="A167" s="5" t="n">
        <f aca="false">IF(B167&lt;&gt;"", COUNTA($B$2:B167), "")</f>
        <v>166</v>
      </c>
      <c r="B167" s="125" t="s">
        <v>64</v>
      </c>
      <c r="C167" s="12" t="s">
        <v>2521</v>
      </c>
      <c r="D167" s="136" t="n">
        <v>921</v>
      </c>
      <c r="E167" s="136"/>
      <c r="F167" s="19" t="s">
        <v>2537</v>
      </c>
      <c r="G167" s="136"/>
      <c r="H167" s="5" t="s">
        <v>2540</v>
      </c>
      <c r="I167" s="8"/>
      <c r="J167" s="69" t="s">
        <v>1966</v>
      </c>
      <c r="K167" s="132"/>
      <c r="L167" s="132"/>
      <c r="M167" s="132"/>
      <c r="N167" s="132"/>
    </row>
    <row r="168" customFormat="false" ht="22.5" hidden="false" customHeight="false" outlineLevel="0" collapsed="false">
      <c r="A168" s="5" t="n">
        <f aca="false">IF(B168&lt;&gt;"", COUNTA($B$2:B168), "")</f>
        <v>167</v>
      </c>
      <c r="B168" s="125" t="s">
        <v>64</v>
      </c>
      <c r="C168" s="12" t="s">
        <v>2521</v>
      </c>
      <c r="D168" s="136" t="n">
        <v>922</v>
      </c>
      <c r="E168" s="137" t="n">
        <v>43252</v>
      </c>
      <c r="F168" s="19" t="s">
        <v>2537</v>
      </c>
      <c r="G168" s="136"/>
      <c r="H168" s="12" t="s">
        <v>2541</v>
      </c>
      <c r="I168" s="8"/>
      <c r="J168" s="69" t="s">
        <v>1966</v>
      </c>
      <c r="K168" s="132"/>
      <c r="L168" s="132"/>
      <c r="M168" s="132"/>
      <c r="N168" s="132"/>
    </row>
    <row r="169" customFormat="false" ht="22.5" hidden="false" customHeight="false" outlineLevel="0" collapsed="false">
      <c r="A169" s="5" t="n">
        <f aca="false">IF(B169&lt;&gt;"", COUNTA($B$2:B169), "")</f>
        <v>168</v>
      </c>
      <c r="B169" s="125" t="s">
        <v>64</v>
      </c>
      <c r="C169" s="12" t="s">
        <v>2542</v>
      </c>
      <c r="D169" s="146" t="s">
        <v>2543</v>
      </c>
      <c r="E169" s="146" t="n">
        <v>2018</v>
      </c>
      <c r="F169" s="19" t="s">
        <v>2544</v>
      </c>
      <c r="G169" s="147"/>
      <c r="H169" s="12" t="s">
        <v>2545</v>
      </c>
      <c r="I169" s="148"/>
      <c r="J169" s="69" t="s">
        <v>1966</v>
      </c>
      <c r="K169" s="132"/>
      <c r="L169" s="132"/>
      <c r="M169" s="132"/>
      <c r="N169" s="132"/>
      <c r="O169" s="122"/>
    </row>
    <row r="170" customFormat="false" ht="22.5" hidden="false" customHeight="false" outlineLevel="0" collapsed="false">
      <c r="A170" s="5" t="n">
        <f aca="false">IF(B170&lt;&gt;"", COUNTA($B$2:B170), "")</f>
        <v>169</v>
      </c>
      <c r="B170" s="125" t="s">
        <v>64</v>
      </c>
      <c r="C170" s="12" t="s">
        <v>2521</v>
      </c>
      <c r="D170" s="136" t="n">
        <v>33</v>
      </c>
      <c r="E170" s="137" t="n">
        <v>43252</v>
      </c>
      <c r="F170" s="19" t="s">
        <v>2546</v>
      </c>
      <c r="G170" s="136"/>
      <c r="H170" s="12" t="s">
        <v>2547</v>
      </c>
      <c r="I170" s="8"/>
      <c r="J170" s="69" t="s">
        <v>1966</v>
      </c>
      <c r="K170" s="132"/>
      <c r="L170" s="132"/>
      <c r="M170" s="132"/>
      <c r="N170" s="132"/>
    </row>
    <row r="171" customFormat="false" ht="22.5" hidden="false" customHeight="false" outlineLevel="0" collapsed="false">
      <c r="A171" s="5" t="n">
        <f aca="false">IF(B171&lt;&gt;"", COUNTA($B$2:B171), "")</f>
        <v>170</v>
      </c>
      <c r="B171" s="124" t="s">
        <v>64</v>
      </c>
      <c r="C171" s="12" t="s">
        <v>2548</v>
      </c>
      <c r="D171" s="136" t="n">
        <v>34</v>
      </c>
      <c r="E171" s="137" t="n">
        <v>43191</v>
      </c>
      <c r="F171" s="19" t="s">
        <v>2546</v>
      </c>
      <c r="G171" s="136"/>
      <c r="H171" s="5" t="s">
        <v>2549</v>
      </c>
      <c r="I171" s="8"/>
      <c r="J171" s="69" t="s">
        <v>1966</v>
      </c>
      <c r="K171" s="132"/>
      <c r="L171" s="132"/>
      <c r="M171" s="132"/>
      <c r="N171" s="132"/>
    </row>
    <row r="172" customFormat="false" ht="22.5" hidden="false" customHeight="false" outlineLevel="0" collapsed="false">
      <c r="A172" s="5" t="n">
        <f aca="false">IF(B172&lt;&gt;"", COUNTA($B$2:B172), "")</f>
        <v>171</v>
      </c>
      <c r="B172" s="124" t="s">
        <v>64</v>
      </c>
      <c r="C172" s="12" t="s">
        <v>2521</v>
      </c>
      <c r="D172" s="136" t="n">
        <v>1577</v>
      </c>
      <c r="E172" s="136"/>
      <c r="F172" s="19" t="s">
        <v>2532</v>
      </c>
      <c r="G172" s="136"/>
      <c r="H172" s="5" t="s">
        <v>2550</v>
      </c>
      <c r="I172" s="8"/>
      <c r="J172" s="69" t="s">
        <v>1966</v>
      </c>
      <c r="K172" s="132"/>
      <c r="L172" s="132"/>
      <c r="M172" s="132"/>
      <c r="N172" s="132"/>
    </row>
    <row r="173" customFormat="false" ht="22.5" hidden="false" customHeight="false" outlineLevel="0" collapsed="false">
      <c r="A173" s="5" t="n">
        <f aca="false">IF(B173&lt;&gt;"", COUNTA($B$2:B173), "")</f>
        <v>172</v>
      </c>
      <c r="B173" s="124" t="s">
        <v>64</v>
      </c>
      <c r="C173" s="12" t="s">
        <v>2521</v>
      </c>
      <c r="D173" s="136" t="n">
        <v>1580</v>
      </c>
      <c r="E173" s="136"/>
      <c r="F173" s="19" t="s">
        <v>2528</v>
      </c>
      <c r="G173" s="136"/>
      <c r="H173" s="5" t="s">
        <v>2551</v>
      </c>
      <c r="I173" s="8"/>
      <c r="J173" s="69" t="s">
        <v>1966</v>
      </c>
      <c r="K173" s="132"/>
      <c r="L173" s="132"/>
      <c r="M173" s="132"/>
      <c r="N173" s="132"/>
    </row>
    <row r="174" customFormat="false" ht="22.5" hidden="false" customHeight="false" outlineLevel="0" collapsed="false">
      <c r="A174" s="5" t="n">
        <f aca="false">IF(B174&lt;&gt;"", COUNTA($B$2:B174), "")</f>
        <v>173</v>
      </c>
      <c r="B174" s="124" t="s">
        <v>64</v>
      </c>
      <c r="C174" s="12" t="s">
        <v>2552</v>
      </c>
      <c r="D174" s="136" t="n">
        <v>600</v>
      </c>
      <c r="E174" s="136"/>
      <c r="F174" s="19" t="s">
        <v>2535</v>
      </c>
      <c r="G174" s="136"/>
      <c r="H174" s="5" t="s">
        <v>2553</v>
      </c>
      <c r="I174" s="8"/>
      <c r="J174" s="69" t="s">
        <v>1966</v>
      </c>
      <c r="K174" s="149"/>
      <c r="L174" s="132"/>
      <c r="M174" s="132"/>
      <c r="N174" s="132"/>
    </row>
    <row r="175" customFormat="false" ht="22.5" hidden="false" customHeight="false" outlineLevel="0" collapsed="false">
      <c r="A175" s="5" t="n">
        <f aca="false">IF(B175&lt;&gt;"", COUNTA($B$2:B175), "")</f>
        <v>174</v>
      </c>
      <c r="B175" s="124" t="s">
        <v>64</v>
      </c>
      <c r="C175" s="12" t="s">
        <v>2554</v>
      </c>
      <c r="D175" s="136" t="n">
        <v>634</v>
      </c>
      <c r="E175" s="137" t="n">
        <v>43282</v>
      </c>
      <c r="F175" s="19" t="s">
        <v>2537</v>
      </c>
      <c r="G175" s="136"/>
      <c r="H175" s="5" t="s">
        <v>2555</v>
      </c>
      <c r="I175" s="8"/>
      <c r="J175" s="69" t="s">
        <v>1966</v>
      </c>
      <c r="K175" s="132"/>
      <c r="L175" s="132"/>
      <c r="M175" s="132"/>
      <c r="N175" s="132"/>
    </row>
    <row r="176" customFormat="false" ht="22.5" hidden="false" customHeight="false" outlineLevel="0" collapsed="false">
      <c r="A176" s="5" t="n">
        <f aca="false">IF(B176&lt;&gt;"", COUNTA($B$2:B176), "")</f>
        <v>175</v>
      </c>
      <c r="B176" s="124" t="s">
        <v>64</v>
      </c>
      <c r="C176" s="12" t="s">
        <v>2521</v>
      </c>
      <c r="D176" s="136" t="n">
        <v>639</v>
      </c>
      <c r="E176" s="137" t="n">
        <v>43282</v>
      </c>
      <c r="F176" s="19" t="s">
        <v>2537</v>
      </c>
      <c r="G176" s="136" t="s">
        <v>1643</v>
      </c>
      <c r="H176" s="5" t="s">
        <v>2556</v>
      </c>
      <c r="I176" s="8"/>
      <c r="J176" s="69" t="s">
        <v>1966</v>
      </c>
      <c r="K176" s="132"/>
      <c r="L176" s="132"/>
      <c r="M176" s="132"/>
      <c r="N176" s="132"/>
    </row>
    <row r="177" customFormat="false" ht="22.5" hidden="false" customHeight="false" outlineLevel="0" collapsed="false">
      <c r="A177" s="5" t="n">
        <f aca="false">IF(B177&lt;&gt;"", COUNTA($B$2:B177), "")</f>
        <v>176</v>
      </c>
      <c r="B177" s="124" t="s">
        <v>64</v>
      </c>
      <c r="C177" s="12" t="s">
        <v>2521</v>
      </c>
      <c r="D177" s="136" t="n">
        <v>624</v>
      </c>
      <c r="E177" s="137" t="n">
        <v>43617</v>
      </c>
      <c r="F177" s="19" t="s">
        <v>2532</v>
      </c>
      <c r="G177" s="136"/>
      <c r="H177" s="5" t="s">
        <v>2557</v>
      </c>
      <c r="I177" s="8"/>
      <c r="J177" s="69" t="s">
        <v>1966</v>
      </c>
      <c r="K177" s="132"/>
      <c r="L177" s="132"/>
      <c r="M177" s="132"/>
      <c r="N177" s="132"/>
    </row>
    <row r="178" customFormat="false" ht="22.5" hidden="false" customHeight="false" outlineLevel="0" collapsed="false">
      <c r="A178" s="5" t="n">
        <f aca="false">IF(B178&lt;&gt;"", COUNTA($B$2:B178), "")</f>
        <v>177</v>
      </c>
      <c r="B178" s="124" t="s">
        <v>64</v>
      </c>
      <c r="C178" s="12" t="s">
        <v>2521</v>
      </c>
      <c r="D178" s="136" t="n">
        <v>75</v>
      </c>
      <c r="E178" s="136"/>
      <c r="F178" s="19" t="s">
        <v>2558</v>
      </c>
      <c r="G178" s="136"/>
      <c r="H178" s="12" t="s">
        <v>2559</v>
      </c>
      <c r="I178" s="8"/>
      <c r="J178" s="69" t="s">
        <v>1966</v>
      </c>
      <c r="K178" s="132"/>
      <c r="L178" s="132"/>
      <c r="M178" s="132"/>
      <c r="N178" s="132"/>
    </row>
    <row r="179" customFormat="false" ht="33.75" hidden="false" customHeight="false" outlineLevel="0" collapsed="false">
      <c r="A179" s="5" t="n">
        <f aca="false">IF(B179&lt;&gt;"", COUNTA($B$2:B179), "")</f>
        <v>178</v>
      </c>
      <c r="B179" s="124" t="s">
        <v>64</v>
      </c>
      <c r="C179" s="12" t="s">
        <v>2542</v>
      </c>
      <c r="D179" s="146" t="s">
        <v>2560</v>
      </c>
      <c r="E179" s="137" t="n">
        <v>43405</v>
      </c>
      <c r="F179" s="19" t="s">
        <v>2544</v>
      </c>
      <c r="G179" s="136"/>
      <c r="H179" s="12" t="s">
        <v>2561</v>
      </c>
      <c r="I179" s="8"/>
      <c r="J179" s="69"/>
      <c r="K179" s="132"/>
      <c r="L179" s="132"/>
      <c r="M179" s="132"/>
      <c r="N179" s="132"/>
      <c r="O179" s="122"/>
    </row>
    <row r="180" customFormat="false" ht="22.5" hidden="false" customHeight="false" outlineLevel="0" collapsed="false">
      <c r="A180" s="5" t="n">
        <f aca="false">IF(B180&lt;&gt;"", COUNTA($B$2:B180), "")</f>
        <v>179</v>
      </c>
      <c r="B180" s="125" t="s">
        <v>64</v>
      </c>
      <c r="C180" s="12" t="s">
        <v>2521</v>
      </c>
      <c r="D180" s="134" t="n">
        <v>1799</v>
      </c>
      <c r="E180" s="144" t="n">
        <v>43405</v>
      </c>
      <c r="F180" s="19" t="s">
        <v>2522</v>
      </c>
      <c r="G180" s="134"/>
      <c r="H180" s="5" t="s">
        <v>2562</v>
      </c>
      <c r="I180" s="8"/>
      <c r="J180" s="69"/>
      <c r="K180" s="132"/>
      <c r="L180" s="132"/>
      <c r="M180" s="132"/>
      <c r="N180" s="132"/>
    </row>
    <row r="181" customFormat="false" ht="22.5" hidden="false" customHeight="false" outlineLevel="0" collapsed="false">
      <c r="A181" s="5" t="n">
        <f aca="false">IF(B181&lt;&gt;"", COUNTA($B$2:B181), "")</f>
        <v>180</v>
      </c>
      <c r="B181" s="125" t="s">
        <v>64</v>
      </c>
      <c r="C181" s="12" t="s">
        <v>2554</v>
      </c>
      <c r="D181" s="10" t="n">
        <v>644</v>
      </c>
      <c r="E181" s="10" t="n">
        <v>2018</v>
      </c>
      <c r="F181" s="19" t="s">
        <v>2537</v>
      </c>
      <c r="G181" s="10" t="s">
        <v>1643</v>
      </c>
      <c r="H181" s="12" t="s">
        <v>2563</v>
      </c>
      <c r="I181" s="8"/>
      <c r="J181" s="69"/>
      <c r="K181" s="132"/>
      <c r="L181" s="132"/>
      <c r="M181" s="132"/>
      <c r="N181" s="132"/>
    </row>
    <row r="182" customFormat="false" ht="22.5" hidden="false" customHeight="false" outlineLevel="0" collapsed="false">
      <c r="A182" s="5" t="n">
        <f aca="false">IF(B182&lt;&gt;"", COUNTA($B$2:B182), "")</f>
        <v>181</v>
      </c>
      <c r="B182" s="124" t="s">
        <v>64</v>
      </c>
      <c r="C182" s="12" t="s">
        <v>2521</v>
      </c>
      <c r="D182" s="136" t="n">
        <v>1874</v>
      </c>
      <c r="E182" s="137" t="n">
        <v>43221</v>
      </c>
      <c r="F182" s="19" t="s">
        <v>2537</v>
      </c>
      <c r="G182" s="136"/>
      <c r="H182" s="5" t="s">
        <v>2564</v>
      </c>
      <c r="I182" s="8"/>
      <c r="J182" s="69" t="s">
        <v>1966</v>
      </c>
      <c r="K182" s="132"/>
      <c r="L182" s="132"/>
      <c r="M182" s="132"/>
      <c r="N182" s="132"/>
    </row>
    <row r="183" customFormat="false" ht="22.5" hidden="false" customHeight="false" outlineLevel="0" collapsed="false">
      <c r="A183" s="5" t="n">
        <f aca="false">IF(B183&lt;&gt;"", COUNTA($B$2:B183), "")</f>
        <v>182</v>
      </c>
      <c r="B183" s="125" t="s">
        <v>64</v>
      </c>
      <c r="C183" s="10" t="s">
        <v>2565</v>
      </c>
      <c r="D183" s="10" t="n">
        <v>2427562</v>
      </c>
      <c r="E183" s="150" t="n">
        <v>43191</v>
      </c>
      <c r="F183" s="19" t="s">
        <v>2566</v>
      </c>
      <c r="G183" s="143"/>
      <c r="H183" s="12" t="s">
        <v>2567</v>
      </c>
      <c r="I183" s="8" t="s">
        <v>2453</v>
      </c>
      <c r="J183" s="69" t="s">
        <v>1966</v>
      </c>
      <c r="K183" s="132"/>
      <c r="L183" s="132"/>
      <c r="M183" s="132"/>
      <c r="N183" s="132"/>
    </row>
    <row r="184" customFormat="false" ht="22.5" hidden="false" customHeight="false" outlineLevel="0" collapsed="false">
      <c r="A184" s="5" t="n">
        <f aca="false">IF(B184&lt;&gt;"", COUNTA($B$2:B184), "")</f>
        <v>183</v>
      </c>
      <c r="B184" s="125" t="s">
        <v>64</v>
      </c>
      <c r="C184" s="12" t="s">
        <v>2521</v>
      </c>
      <c r="D184" s="134" t="n">
        <v>798</v>
      </c>
      <c r="E184" s="144" t="n">
        <v>43221</v>
      </c>
      <c r="F184" s="19" t="s">
        <v>2537</v>
      </c>
      <c r="G184" s="134"/>
      <c r="H184" s="12" t="s">
        <v>2568</v>
      </c>
      <c r="I184" s="8"/>
      <c r="J184" s="69" t="s">
        <v>1966</v>
      </c>
      <c r="K184" s="132"/>
      <c r="L184" s="132"/>
      <c r="M184" s="132"/>
      <c r="N184" s="132"/>
    </row>
    <row r="185" customFormat="false" ht="22.5" hidden="false" customHeight="false" outlineLevel="0" collapsed="false">
      <c r="A185" s="5" t="n">
        <f aca="false">IF(B185&lt;&gt;"", COUNTA($B$2:B185), "")</f>
        <v>184</v>
      </c>
      <c r="B185" s="124" t="s">
        <v>64</v>
      </c>
      <c r="C185" s="12" t="s">
        <v>2534</v>
      </c>
      <c r="D185" s="136" t="n">
        <v>584</v>
      </c>
      <c r="E185" s="136"/>
      <c r="F185" s="19" t="s">
        <v>2535</v>
      </c>
      <c r="G185" s="136"/>
      <c r="H185" s="5" t="s">
        <v>2569</v>
      </c>
      <c r="I185" s="10" t="s">
        <v>2511</v>
      </c>
      <c r="J185" s="69" t="s">
        <v>1966</v>
      </c>
      <c r="K185" s="132"/>
      <c r="L185" s="132"/>
      <c r="M185" s="132"/>
      <c r="N185" s="132"/>
    </row>
    <row r="186" customFormat="false" ht="22.5" hidden="false" customHeight="false" outlineLevel="0" collapsed="false">
      <c r="A186" s="5" t="n">
        <f aca="false">IF(B186&lt;&gt;"", COUNTA($B$2:B186), "")</f>
        <v>185</v>
      </c>
      <c r="B186" s="124" t="s">
        <v>64</v>
      </c>
      <c r="C186" s="12" t="s">
        <v>2570</v>
      </c>
      <c r="D186" s="136" t="n">
        <v>103</v>
      </c>
      <c r="E186" s="137" t="n">
        <v>43678</v>
      </c>
      <c r="F186" s="19" t="s">
        <v>2571</v>
      </c>
      <c r="G186" s="136"/>
      <c r="H186" s="5" t="s">
        <v>2572</v>
      </c>
      <c r="I186" s="8"/>
      <c r="J186" s="69" t="s">
        <v>1966</v>
      </c>
      <c r="K186" s="132"/>
      <c r="L186" s="132"/>
      <c r="M186" s="132"/>
      <c r="N186" s="132"/>
    </row>
    <row r="187" customFormat="false" ht="22.5" hidden="false" customHeight="false" outlineLevel="0" collapsed="false">
      <c r="A187" s="5" t="n">
        <f aca="false">IF(B187&lt;&gt;"", COUNTA($B$2:B187), "")</f>
        <v>186</v>
      </c>
      <c r="B187" s="125" t="s">
        <v>64</v>
      </c>
      <c r="C187" s="12" t="s">
        <v>2570</v>
      </c>
      <c r="D187" s="134" t="n">
        <v>101</v>
      </c>
      <c r="E187" s="137" t="n">
        <v>43678</v>
      </c>
      <c r="F187" s="19" t="s">
        <v>2571</v>
      </c>
      <c r="G187" s="136" t="n">
        <v>0.3</v>
      </c>
      <c r="H187" s="5" t="s">
        <v>2573</v>
      </c>
      <c r="I187" s="8"/>
      <c r="J187" s="69" t="s">
        <v>1966</v>
      </c>
      <c r="K187" s="132"/>
      <c r="L187" s="132"/>
      <c r="M187" s="132"/>
      <c r="N187" s="132"/>
    </row>
    <row r="188" customFormat="false" ht="22.5" hidden="false" customHeight="false" outlineLevel="0" collapsed="false">
      <c r="A188" s="5" t="n">
        <f aca="false">IF(B188&lt;&gt;"", COUNTA($B$2:B188), "")</f>
        <v>187</v>
      </c>
      <c r="B188" s="125" t="s">
        <v>64</v>
      </c>
      <c r="C188" s="12" t="s">
        <v>2534</v>
      </c>
      <c r="D188" s="134" t="n">
        <v>584</v>
      </c>
      <c r="E188" s="144" t="n">
        <v>43282</v>
      </c>
      <c r="F188" s="19" t="s">
        <v>2535</v>
      </c>
      <c r="G188" s="134" t="s">
        <v>1643</v>
      </c>
      <c r="H188" s="10" t="s">
        <v>2574</v>
      </c>
      <c r="I188" s="10" t="s">
        <v>2511</v>
      </c>
      <c r="J188" s="69" t="s">
        <v>1966</v>
      </c>
      <c r="K188" s="132"/>
      <c r="L188" s="132"/>
      <c r="M188" s="132"/>
      <c r="N188" s="132"/>
    </row>
    <row r="189" customFormat="false" ht="22.5" hidden="false" customHeight="false" outlineLevel="0" collapsed="false">
      <c r="A189" s="5" t="n">
        <f aca="false">IF(B189&lt;&gt;"", COUNTA($B$2:B189), "")</f>
        <v>188</v>
      </c>
      <c r="B189" s="125" t="s">
        <v>64</v>
      </c>
      <c r="C189" s="12" t="s">
        <v>2575</v>
      </c>
      <c r="D189" s="134" t="n">
        <v>357</v>
      </c>
      <c r="E189" s="144" t="n">
        <v>43252</v>
      </c>
      <c r="F189" s="19" t="s">
        <v>2576</v>
      </c>
      <c r="G189" s="151" t="n">
        <v>0.0025</v>
      </c>
      <c r="H189" s="10" t="s">
        <v>2574</v>
      </c>
      <c r="I189" s="10" t="s">
        <v>2511</v>
      </c>
      <c r="J189" s="69" t="s">
        <v>1966</v>
      </c>
      <c r="K189" s="132"/>
      <c r="L189" s="132"/>
      <c r="M189" s="132"/>
      <c r="N189" s="132"/>
    </row>
    <row r="190" customFormat="false" ht="22.5" hidden="false" customHeight="false" outlineLevel="0" collapsed="false">
      <c r="A190" s="5" t="n">
        <f aca="false">IF(B190&lt;&gt;"", COUNTA($B$2:B190), "")</f>
        <v>189</v>
      </c>
      <c r="B190" s="125" t="s">
        <v>64</v>
      </c>
      <c r="C190" s="12" t="s">
        <v>2577</v>
      </c>
      <c r="D190" s="134" t="n">
        <v>2444268</v>
      </c>
      <c r="E190" s="144" t="n">
        <v>43282</v>
      </c>
      <c r="F190" s="19" t="s">
        <v>2578</v>
      </c>
      <c r="G190" s="134"/>
      <c r="H190" s="10" t="s">
        <v>2579</v>
      </c>
      <c r="I190" s="10" t="s">
        <v>2511</v>
      </c>
      <c r="J190" s="69" t="s">
        <v>1966</v>
      </c>
      <c r="K190" s="132"/>
      <c r="L190" s="132"/>
      <c r="M190" s="132"/>
      <c r="N190" s="132"/>
    </row>
    <row r="191" customFormat="false" ht="22.5" hidden="false" customHeight="false" outlineLevel="0" collapsed="false">
      <c r="A191" s="5" t="n">
        <f aca="false">IF(B191&lt;&gt;"", COUNTA($B$2:B191), "")</f>
        <v>190</v>
      </c>
      <c r="B191" s="125" t="s">
        <v>64</v>
      </c>
      <c r="C191" s="12" t="s">
        <v>2577</v>
      </c>
      <c r="D191" s="134" t="n">
        <v>2428411</v>
      </c>
      <c r="E191" s="144" t="n">
        <v>43282</v>
      </c>
      <c r="F191" s="19" t="s">
        <v>2578</v>
      </c>
      <c r="G191" s="134"/>
      <c r="H191" s="10" t="s">
        <v>2580</v>
      </c>
      <c r="I191" s="10" t="s">
        <v>2511</v>
      </c>
      <c r="J191" s="69" t="s">
        <v>1966</v>
      </c>
      <c r="K191" s="132"/>
      <c r="L191" s="132"/>
      <c r="M191" s="132"/>
      <c r="N191" s="132"/>
    </row>
    <row r="192" customFormat="false" ht="22.5" hidden="false" customHeight="false" outlineLevel="0" collapsed="false">
      <c r="A192" s="5" t="n">
        <f aca="false">IF(B192&lt;&gt;"", COUNTA($B$2:B192), "")</f>
        <v>191</v>
      </c>
      <c r="B192" s="125" t="s">
        <v>64</v>
      </c>
      <c r="C192" s="12" t="s">
        <v>2577</v>
      </c>
      <c r="D192" s="134" t="n">
        <v>2444552</v>
      </c>
      <c r="E192" s="144" t="n">
        <v>43282</v>
      </c>
      <c r="F192" s="19" t="s">
        <v>2578</v>
      </c>
      <c r="G192" s="134"/>
      <c r="H192" s="10" t="s">
        <v>2581</v>
      </c>
      <c r="I192" s="10" t="s">
        <v>2511</v>
      </c>
      <c r="J192" s="69" t="s">
        <v>1966</v>
      </c>
      <c r="K192" s="132"/>
      <c r="L192" s="132"/>
      <c r="M192" s="132"/>
      <c r="N192" s="132"/>
    </row>
    <row r="193" customFormat="false" ht="22.5" hidden="false" customHeight="false" outlineLevel="0" collapsed="false">
      <c r="A193" s="5" t="n">
        <f aca="false">IF(B193&lt;&gt;"", COUNTA($B$2:B193), "")</f>
        <v>192</v>
      </c>
      <c r="B193" s="125" t="s">
        <v>64</v>
      </c>
      <c r="C193" s="12" t="s">
        <v>2577</v>
      </c>
      <c r="D193" s="134" t="n">
        <v>2444553</v>
      </c>
      <c r="E193" s="144" t="n">
        <v>43282</v>
      </c>
      <c r="F193" s="19" t="s">
        <v>2578</v>
      </c>
      <c r="G193" s="134"/>
      <c r="H193" s="10" t="s">
        <v>2582</v>
      </c>
      <c r="I193" s="10" t="s">
        <v>2511</v>
      </c>
      <c r="J193" s="69" t="s">
        <v>1966</v>
      </c>
      <c r="K193" s="132"/>
      <c r="L193" s="132"/>
      <c r="M193" s="132"/>
      <c r="N193" s="132"/>
    </row>
    <row r="194" customFormat="false" ht="22.5" hidden="false" customHeight="false" outlineLevel="0" collapsed="false">
      <c r="A194" s="5" t="n">
        <f aca="false">IF(B194&lt;&gt;"", COUNTA($B$2:B194), "")</f>
        <v>193</v>
      </c>
      <c r="B194" s="125" t="s">
        <v>64</v>
      </c>
      <c r="C194" s="12" t="s">
        <v>2577</v>
      </c>
      <c r="D194" s="134" t="n">
        <v>2443185</v>
      </c>
      <c r="E194" s="144" t="n">
        <v>43282</v>
      </c>
      <c r="F194" s="19" t="s">
        <v>2578</v>
      </c>
      <c r="G194" s="134"/>
      <c r="H194" s="10" t="s">
        <v>2583</v>
      </c>
      <c r="I194" s="10" t="s">
        <v>2511</v>
      </c>
      <c r="J194" s="69" t="s">
        <v>1966</v>
      </c>
      <c r="K194" s="132"/>
      <c r="L194" s="132"/>
      <c r="M194" s="132"/>
      <c r="N194" s="132"/>
    </row>
    <row r="195" customFormat="false" ht="22.5" hidden="false" customHeight="false" outlineLevel="0" collapsed="false">
      <c r="A195" s="5" t="n">
        <f aca="false">IF(B195&lt;&gt;"", COUNTA($B$2:B195), "")</f>
        <v>194</v>
      </c>
      <c r="B195" s="125" t="s">
        <v>64</v>
      </c>
      <c r="C195" s="12" t="s">
        <v>2577</v>
      </c>
      <c r="D195" s="134" t="n">
        <v>2444269</v>
      </c>
      <c r="E195" s="144" t="n">
        <v>43282</v>
      </c>
      <c r="F195" s="19" t="s">
        <v>2578</v>
      </c>
      <c r="G195" s="134"/>
      <c r="H195" s="10" t="s">
        <v>2584</v>
      </c>
      <c r="I195" s="10" t="s">
        <v>2511</v>
      </c>
      <c r="J195" s="69" t="s">
        <v>1966</v>
      </c>
      <c r="K195" s="132"/>
      <c r="L195" s="132"/>
      <c r="M195" s="132"/>
      <c r="N195" s="132"/>
    </row>
    <row r="196" customFormat="false" ht="22.5" hidden="false" customHeight="false" outlineLevel="0" collapsed="false">
      <c r="A196" s="5" t="n">
        <f aca="false">IF(B196&lt;&gt;"", COUNTA($B$2:B196), "")</f>
        <v>195</v>
      </c>
      <c r="B196" s="10" t="s">
        <v>2585</v>
      </c>
      <c r="C196" s="10" t="s">
        <v>2586</v>
      </c>
      <c r="D196" s="10" t="n">
        <v>22334</v>
      </c>
      <c r="E196" s="133" t="n">
        <v>43282</v>
      </c>
      <c r="F196" s="8" t="s">
        <v>2587</v>
      </c>
      <c r="G196" s="140"/>
      <c r="H196" s="5" t="s">
        <v>2588</v>
      </c>
      <c r="I196" s="140"/>
      <c r="J196" s="69" t="s">
        <v>1966</v>
      </c>
      <c r="K196" s="140"/>
      <c r="L196" s="140"/>
      <c r="M196" s="140"/>
      <c r="N196" s="140"/>
    </row>
    <row r="197" customFormat="false" ht="22.5" hidden="false" customHeight="false" outlineLevel="0" collapsed="false">
      <c r="A197" s="5" t="n">
        <f aca="false">IF(B197&lt;&gt;"", COUNTA($B$2:B197), "")</f>
        <v>196</v>
      </c>
      <c r="B197" s="10" t="s">
        <v>2585</v>
      </c>
      <c r="C197" s="10" t="s">
        <v>2586</v>
      </c>
      <c r="D197" s="10" t="n">
        <v>22330</v>
      </c>
      <c r="E197" s="133" t="n">
        <v>43313</v>
      </c>
      <c r="F197" s="8" t="s">
        <v>2587</v>
      </c>
      <c r="G197" s="140"/>
      <c r="H197" s="5" t="s">
        <v>2589</v>
      </c>
      <c r="I197" s="140"/>
      <c r="J197" s="69" t="s">
        <v>1966</v>
      </c>
      <c r="K197" s="140"/>
      <c r="L197" s="140"/>
      <c r="M197" s="140"/>
      <c r="N197" s="140"/>
    </row>
    <row r="198" customFormat="false" ht="22.5" hidden="false" customHeight="false" outlineLevel="0" collapsed="false">
      <c r="A198" s="5" t="n">
        <f aca="false">IF(B198&lt;&gt;"", COUNTA($B$2:B198), "")</f>
        <v>197</v>
      </c>
      <c r="B198" s="125" t="s">
        <v>64</v>
      </c>
      <c r="C198" s="10" t="s">
        <v>2534</v>
      </c>
      <c r="D198" s="10" t="n">
        <v>589</v>
      </c>
      <c r="E198" s="78" t="s">
        <v>2590</v>
      </c>
      <c r="F198" s="19" t="s">
        <v>2535</v>
      </c>
      <c r="G198" s="143"/>
      <c r="H198" s="12" t="s">
        <v>2591</v>
      </c>
      <c r="I198" s="8" t="s">
        <v>2511</v>
      </c>
      <c r="J198" s="69" t="s">
        <v>1966</v>
      </c>
      <c r="K198" s="140"/>
      <c r="L198" s="140"/>
      <c r="M198" s="140"/>
      <c r="N198" s="140"/>
      <c r="O198" s="122"/>
    </row>
    <row r="199" customFormat="false" ht="22.5" hidden="false" customHeight="false" outlineLevel="0" collapsed="false">
      <c r="A199" s="5" t="n">
        <f aca="false">IF(B199&lt;&gt;"", COUNTA($B$2:B199), "")</f>
        <v>198</v>
      </c>
      <c r="B199" s="8" t="s">
        <v>1064</v>
      </c>
      <c r="C199" s="12" t="s">
        <v>2592</v>
      </c>
      <c r="D199" s="8" t="s">
        <v>2593</v>
      </c>
      <c r="E199" s="8" t="n">
        <v>2019</v>
      </c>
      <c r="F199" s="8" t="s">
        <v>2594</v>
      </c>
      <c r="G199" s="140"/>
      <c r="H199" s="8" t="s">
        <v>2595</v>
      </c>
      <c r="I199" s="8" t="s">
        <v>1024</v>
      </c>
      <c r="J199" s="69" t="s">
        <v>1966</v>
      </c>
      <c r="K199" s="140"/>
      <c r="L199" s="140"/>
      <c r="M199" s="140"/>
      <c r="N199" s="140"/>
      <c r="O199" s="122" t="s">
        <v>2596</v>
      </c>
    </row>
    <row r="200" customFormat="false" ht="22.5" hidden="false" customHeight="false" outlineLevel="0" collapsed="false">
      <c r="A200" s="5" t="n">
        <f aca="false">IF(B200&lt;&gt;"", COUNTA($B$2:B200), "")</f>
        <v>199</v>
      </c>
      <c r="B200" s="8" t="s">
        <v>1064</v>
      </c>
      <c r="C200" s="12" t="s">
        <v>2592</v>
      </c>
      <c r="D200" s="8" t="s">
        <v>2597</v>
      </c>
      <c r="E200" s="8" t="n">
        <v>2019</v>
      </c>
      <c r="F200" s="8" t="s">
        <v>2594</v>
      </c>
      <c r="G200" s="140"/>
      <c r="H200" s="8" t="s">
        <v>2598</v>
      </c>
      <c r="I200" s="8" t="s">
        <v>1024</v>
      </c>
      <c r="J200" s="69" t="s">
        <v>1966</v>
      </c>
      <c r="K200" s="140"/>
      <c r="L200" s="140"/>
      <c r="M200" s="140"/>
      <c r="N200" s="140"/>
      <c r="O200" s="122" t="s">
        <v>2596</v>
      </c>
    </row>
    <row r="201" customFormat="false" ht="22.5" hidden="false" customHeight="false" outlineLevel="0" collapsed="false">
      <c r="A201" s="5" t="n">
        <f aca="false">IF(B201&lt;&gt;"", COUNTA($B$2:B201), "")</f>
        <v>200</v>
      </c>
      <c r="B201" s="8" t="s">
        <v>1064</v>
      </c>
      <c r="C201" s="12" t="s">
        <v>2592</v>
      </c>
      <c r="D201" s="8" t="s">
        <v>2599</v>
      </c>
      <c r="E201" s="8" t="n">
        <v>2019</v>
      </c>
      <c r="F201" s="8" t="s">
        <v>2594</v>
      </c>
      <c r="G201" s="140"/>
      <c r="H201" s="8" t="s">
        <v>2600</v>
      </c>
      <c r="I201" s="8" t="s">
        <v>1024</v>
      </c>
      <c r="J201" s="69" t="s">
        <v>1966</v>
      </c>
      <c r="K201" s="140"/>
      <c r="L201" s="140"/>
      <c r="M201" s="140"/>
      <c r="N201" s="140"/>
      <c r="O201" s="122" t="s">
        <v>2596</v>
      </c>
    </row>
    <row r="202" customFormat="false" ht="22.5" hidden="false" customHeight="false" outlineLevel="0" collapsed="false">
      <c r="A202" s="5" t="n">
        <f aca="false">IF(B202&lt;&gt;"", COUNTA($B$2:B202), "")</f>
        <v>201</v>
      </c>
      <c r="B202" s="8" t="s">
        <v>1064</v>
      </c>
      <c r="C202" s="12" t="s">
        <v>2592</v>
      </c>
      <c r="D202" s="8" t="s">
        <v>2601</v>
      </c>
      <c r="E202" s="8" t="n">
        <v>2019</v>
      </c>
      <c r="F202" s="8" t="s">
        <v>2594</v>
      </c>
      <c r="G202" s="140"/>
      <c r="H202" s="8" t="s">
        <v>2602</v>
      </c>
      <c r="I202" s="8" t="s">
        <v>1024</v>
      </c>
      <c r="J202" s="69" t="s">
        <v>1966</v>
      </c>
      <c r="K202" s="140"/>
      <c r="L202" s="140"/>
      <c r="M202" s="140"/>
      <c r="N202" s="140"/>
      <c r="O202" s="122" t="s">
        <v>2596</v>
      </c>
    </row>
    <row r="203" customFormat="false" ht="22.5" hidden="false" customHeight="false" outlineLevel="0" collapsed="false">
      <c r="A203" s="5" t="n">
        <f aca="false">IF(B203&lt;&gt;"", COUNTA($B$2:B203), "")</f>
        <v>202</v>
      </c>
      <c r="B203" s="8" t="s">
        <v>1064</v>
      </c>
      <c r="C203" s="12" t="s">
        <v>2592</v>
      </c>
      <c r="D203" s="8" t="s">
        <v>2603</v>
      </c>
      <c r="E203" s="8" t="n">
        <v>2019</v>
      </c>
      <c r="F203" s="8" t="s">
        <v>2594</v>
      </c>
      <c r="G203" s="140"/>
      <c r="H203" s="8" t="s">
        <v>2604</v>
      </c>
      <c r="I203" s="8" t="s">
        <v>1024</v>
      </c>
      <c r="J203" s="69" t="s">
        <v>1966</v>
      </c>
      <c r="K203" s="140"/>
      <c r="L203" s="140"/>
      <c r="M203" s="140"/>
      <c r="N203" s="140"/>
      <c r="O203" s="122" t="s">
        <v>2596</v>
      </c>
    </row>
    <row r="204" customFormat="false" ht="22.5" hidden="false" customHeight="false" outlineLevel="0" collapsed="false">
      <c r="A204" s="5" t="n">
        <f aca="false">IF(B204&lt;&gt;"", COUNTA($B$2:B204), "")</f>
        <v>203</v>
      </c>
      <c r="B204" s="8" t="s">
        <v>1064</v>
      </c>
      <c r="C204" s="12" t="s">
        <v>2592</v>
      </c>
      <c r="D204" s="8" t="s">
        <v>2605</v>
      </c>
      <c r="E204" s="8" t="n">
        <v>2019</v>
      </c>
      <c r="F204" s="8" t="s">
        <v>2594</v>
      </c>
      <c r="G204" s="140"/>
      <c r="H204" s="8" t="s">
        <v>2606</v>
      </c>
      <c r="I204" s="8" t="s">
        <v>1024</v>
      </c>
      <c r="J204" s="69" t="s">
        <v>1966</v>
      </c>
      <c r="K204" s="140"/>
      <c r="L204" s="140"/>
      <c r="M204" s="140"/>
      <c r="N204" s="140"/>
      <c r="O204" s="122" t="s">
        <v>2596</v>
      </c>
    </row>
    <row r="205" customFormat="false" ht="22.5" hidden="false" customHeight="false" outlineLevel="0" collapsed="false">
      <c r="A205" s="5" t="n">
        <f aca="false">IF(B205&lt;&gt;"", COUNTA($B$2:B205), "")</f>
        <v>204</v>
      </c>
      <c r="B205" s="8" t="s">
        <v>1064</v>
      </c>
      <c r="C205" s="12" t="s">
        <v>2592</v>
      </c>
      <c r="D205" s="8" t="s">
        <v>2607</v>
      </c>
      <c r="E205" s="8" t="n">
        <v>2019</v>
      </c>
      <c r="F205" s="8" t="s">
        <v>2594</v>
      </c>
      <c r="G205" s="140"/>
      <c r="H205" s="8" t="s">
        <v>2608</v>
      </c>
      <c r="I205" s="8" t="s">
        <v>1024</v>
      </c>
      <c r="J205" s="69" t="s">
        <v>1966</v>
      </c>
      <c r="K205" s="140"/>
      <c r="L205" s="140"/>
      <c r="M205" s="140"/>
      <c r="N205" s="140"/>
      <c r="O205" s="122" t="s">
        <v>2596</v>
      </c>
    </row>
    <row r="206" customFormat="false" ht="22.5" hidden="false" customHeight="false" outlineLevel="0" collapsed="false">
      <c r="A206" s="5" t="n">
        <f aca="false">IF(B206&lt;&gt;"", COUNTA($B$2:B206), "")</f>
        <v>205</v>
      </c>
      <c r="B206" s="8" t="s">
        <v>1064</v>
      </c>
      <c r="C206" s="12" t="s">
        <v>2592</v>
      </c>
      <c r="D206" s="8" t="s">
        <v>2609</v>
      </c>
      <c r="E206" s="8" t="n">
        <v>2019</v>
      </c>
      <c r="F206" s="8" t="s">
        <v>2594</v>
      </c>
      <c r="G206" s="140"/>
      <c r="H206" s="8" t="s">
        <v>2610</v>
      </c>
      <c r="I206" s="8" t="s">
        <v>1024</v>
      </c>
      <c r="J206" s="69" t="s">
        <v>1966</v>
      </c>
      <c r="K206" s="140"/>
      <c r="L206" s="140"/>
      <c r="M206" s="140"/>
      <c r="N206" s="140"/>
      <c r="O206" s="122" t="s">
        <v>2596</v>
      </c>
    </row>
    <row r="207" customFormat="false" ht="22.5" hidden="false" customHeight="false" outlineLevel="0" collapsed="false">
      <c r="A207" s="5" t="n">
        <f aca="false">IF(B207&lt;&gt;"", COUNTA($B$2:B207), "")</f>
        <v>206</v>
      </c>
      <c r="B207" s="5" t="s">
        <v>1409</v>
      </c>
      <c r="C207" s="12" t="s">
        <v>2611</v>
      </c>
      <c r="D207" s="5" t="n">
        <v>283603</v>
      </c>
      <c r="E207" s="5" t="n">
        <v>2018</v>
      </c>
      <c r="F207" s="5" t="s">
        <v>214</v>
      </c>
      <c r="G207" s="152"/>
      <c r="H207" s="5" t="s">
        <v>2612</v>
      </c>
      <c r="I207" s="8" t="s">
        <v>1024</v>
      </c>
      <c r="J207" s="69" t="s">
        <v>1966</v>
      </c>
      <c r="K207" s="140"/>
      <c r="L207" s="140"/>
      <c r="M207" s="140"/>
      <c r="N207" s="140"/>
      <c r="O207" s="121" t="s">
        <v>2596</v>
      </c>
    </row>
    <row r="208" customFormat="false" ht="22.5" hidden="false" customHeight="false" outlineLevel="0" collapsed="false">
      <c r="A208" s="5" t="n">
        <f aca="false">IF(B208&lt;&gt;"", COUNTA($B$2:B208), "")</f>
        <v>207</v>
      </c>
      <c r="B208" s="5" t="s">
        <v>1409</v>
      </c>
      <c r="C208" s="12" t="s">
        <v>2611</v>
      </c>
      <c r="D208" s="5" t="n">
        <v>290839</v>
      </c>
      <c r="E208" s="5" t="n">
        <v>2019</v>
      </c>
      <c r="F208" s="5" t="s">
        <v>2613</v>
      </c>
      <c r="G208" s="152"/>
      <c r="H208" s="5" t="s">
        <v>2614</v>
      </c>
      <c r="I208" s="8" t="s">
        <v>1024</v>
      </c>
      <c r="J208" s="69" t="s">
        <v>1966</v>
      </c>
      <c r="K208" s="140"/>
      <c r="L208" s="140"/>
      <c r="M208" s="140"/>
      <c r="N208" s="140"/>
      <c r="O208" s="121" t="s">
        <v>2596</v>
      </c>
    </row>
    <row r="209" customFormat="false" ht="22.5" hidden="false" customHeight="false" outlineLevel="0" collapsed="false">
      <c r="A209" s="5" t="n">
        <f aca="false">IF(B209&lt;&gt;"", COUNTA($B$2:B209), "")</f>
        <v>208</v>
      </c>
      <c r="B209" s="5" t="s">
        <v>2394</v>
      </c>
      <c r="C209" s="12" t="s">
        <v>2615</v>
      </c>
      <c r="D209" s="5" t="s">
        <v>2616</v>
      </c>
      <c r="E209" s="5" t="n">
        <v>2018</v>
      </c>
      <c r="F209" s="5" t="s">
        <v>2150</v>
      </c>
      <c r="G209" s="152"/>
      <c r="H209" s="5" t="s">
        <v>2617</v>
      </c>
      <c r="I209" s="8" t="s">
        <v>1024</v>
      </c>
      <c r="J209" s="69" t="s">
        <v>1966</v>
      </c>
      <c r="K209" s="140"/>
      <c r="L209" s="140"/>
      <c r="M209" s="140"/>
      <c r="N209" s="140"/>
    </row>
    <row r="210" customFormat="false" ht="22.5" hidden="false" customHeight="false" outlineLevel="0" collapsed="false">
      <c r="A210" s="5" t="n">
        <f aca="false">IF(B210&lt;&gt;"", COUNTA($B$2:B210), "")</f>
        <v>209</v>
      </c>
      <c r="B210" s="5" t="s">
        <v>2394</v>
      </c>
      <c r="C210" s="12" t="s">
        <v>2615</v>
      </c>
      <c r="D210" s="5" t="s">
        <v>2618</v>
      </c>
      <c r="E210" s="5" t="n">
        <v>2018</v>
      </c>
      <c r="F210" s="5" t="s">
        <v>251</v>
      </c>
      <c r="G210" s="152"/>
      <c r="H210" s="5" t="s">
        <v>2619</v>
      </c>
      <c r="I210" s="8" t="s">
        <v>1024</v>
      </c>
      <c r="J210" s="69" t="s">
        <v>1966</v>
      </c>
      <c r="K210" s="140"/>
      <c r="L210" s="140"/>
      <c r="M210" s="140"/>
      <c r="N210" s="140"/>
    </row>
    <row r="211" customFormat="false" ht="22.5" hidden="false" customHeight="false" outlineLevel="0" collapsed="false">
      <c r="A211" s="5" t="n">
        <f aca="false">IF(B211&lt;&gt;"", COUNTA($B$2:B211), "")</f>
        <v>210</v>
      </c>
      <c r="B211" s="5" t="s">
        <v>2394</v>
      </c>
      <c r="C211" s="12" t="s">
        <v>2615</v>
      </c>
      <c r="D211" s="5" t="s">
        <v>2620</v>
      </c>
      <c r="E211" s="5" t="n">
        <v>2018</v>
      </c>
      <c r="F211" s="5" t="s">
        <v>2150</v>
      </c>
      <c r="G211" s="152"/>
      <c r="H211" s="5" t="s">
        <v>2621</v>
      </c>
      <c r="I211" s="8" t="s">
        <v>1024</v>
      </c>
      <c r="J211" s="69" t="s">
        <v>1966</v>
      </c>
      <c r="K211" s="140"/>
      <c r="L211" s="140"/>
      <c r="M211" s="140"/>
      <c r="N211" s="140"/>
    </row>
    <row r="212" customFormat="false" ht="22.5" hidden="false" customHeight="false" outlineLevel="0" collapsed="false">
      <c r="A212" s="5" t="n">
        <f aca="false">IF(B212&lt;&gt;"", COUNTA($B$2:B212), "")</f>
        <v>211</v>
      </c>
      <c r="B212" s="5" t="s">
        <v>2394</v>
      </c>
      <c r="C212" s="12" t="s">
        <v>2615</v>
      </c>
      <c r="D212" s="5" t="s">
        <v>2622</v>
      </c>
      <c r="E212" s="5" t="n">
        <v>2018</v>
      </c>
      <c r="F212" s="5" t="s">
        <v>251</v>
      </c>
      <c r="G212" s="152"/>
      <c r="H212" s="5" t="s">
        <v>2623</v>
      </c>
      <c r="I212" s="8" t="s">
        <v>1024</v>
      </c>
      <c r="J212" s="69" t="s">
        <v>1966</v>
      </c>
      <c r="K212" s="140"/>
      <c r="L212" s="140"/>
      <c r="M212" s="140"/>
      <c r="N212" s="140"/>
    </row>
    <row r="213" customFormat="false" ht="22.5" hidden="false" customHeight="false" outlineLevel="0" collapsed="false">
      <c r="A213" s="5" t="n">
        <f aca="false">IF(B213&lt;&gt;"", COUNTA($B$2:B213), "")</f>
        <v>212</v>
      </c>
      <c r="B213" s="5" t="s">
        <v>2394</v>
      </c>
      <c r="C213" s="12" t="s">
        <v>2615</v>
      </c>
      <c r="D213" s="5" t="s">
        <v>2624</v>
      </c>
      <c r="E213" s="5" t="n">
        <v>2018</v>
      </c>
      <c r="F213" s="5" t="s">
        <v>2150</v>
      </c>
      <c r="G213" s="152"/>
      <c r="H213" s="5" t="s">
        <v>2625</v>
      </c>
      <c r="I213" s="8" t="s">
        <v>1024</v>
      </c>
      <c r="J213" s="69" t="s">
        <v>1966</v>
      </c>
      <c r="K213" s="140"/>
      <c r="L213" s="140"/>
      <c r="M213" s="140"/>
      <c r="N213" s="140"/>
    </row>
    <row r="214" customFormat="false" ht="22.5" hidden="false" customHeight="false" outlineLevel="0" collapsed="false">
      <c r="A214" s="5" t="n">
        <f aca="false">IF(B214&lt;&gt;"", COUNTA($B$2:B214), "")</f>
        <v>213</v>
      </c>
      <c r="B214" s="5" t="s">
        <v>2394</v>
      </c>
      <c r="C214" s="12" t="s">
        <v>2615</v>
      </c>
      <c r="D214" s="5" t="s">
        <v>2626</v>
      </c>
      <c r="E214" s="5" t="n">
        <v>2018</v>
      </c>
      <c r="F214" s="5" t="s">
        <v>2150</v>
      </c>
      <c r="G214" s="152"/>
      <c r="H214" s="5" t="s">
        <v>2627</v>
      </c>
      <c r="I214" s="8" t="s">
        <v>1024</v>
      </c>
      <c r="J214" s="69" t="s">
        <v>1966</v>
      </c>
      <c r="K214" s="140"/>
      <c r="L214" s="140"/>
      <c r="M214" s="140"/>
      <c r="N214" s="140"/>
    </row>
    <row r="215" customFormat="false" ht="22.5" hidden="false" customHeight="false" outlineLevel="0" collapsed="false">
      <c r="A215" s="5" t="n">
        <f aca="false">IF(B215&lt;&gt;"", COUNTA($B$2:B215), "")</f>
        <v>214</v>
      </c>
      <c r="B215" s="5" t="s">
        <v>2394</v>
      </c>
      <c r="C215" s="12" t="s">
        <v>2615</v>
      </c>
      <c r="D215" s="5" t="s">
        <v>2628</v>
      </c>
      <c r="E215" s="5" t="n">
        <v>2018</v>
      </c>
      <c r="F215" s="5" t="s">
        <v>2629</v>
      </c>
      <c r="G215" s="152"/>
      <c r="H215" s="5" t="s">
        <v>2630</v>
      </c>
      <c r="I215" s="8" t="s">
        <v>1024</v>
      </c>
      <c r="J215" s="69" t="s">
        <v>1966</v>
      </c>
      <c r="K215" s="140"/>
      <c r="L215" s="140"/>
      <c r="M215" s="140"/>
      <c r="N215" s="140"/>
    </row>
    <row r="216" customFormat="false" ht="22.5" hidden="false" customHeight="false" outlineLevel="0" collapsed="false">
      <c r="A216" s="5" t="n">
        <f aca="false">IF(B216&lt;&gt;"", COUNTA($B$2:B216), "")</f>
        <v>215</v>
      </c>
      <c r="B216" s="5" t="s">
        <v>2394</v>
      </c>
      <c r="C216" s="12" t="s">
        <v>2615</v>
      </c>
      <c r="D216" s="5" t="s">
        <v>2631</v>
      </c>
      <c r="E216" s="5" t="n">
        <v>2018</v>
      </c>
      <c r="F216" s="5" t="s">
        <v>192</v>
      </c>
      <c r="G216" s="152"/>
      <c r="H216" s="5" t="s">
        <v>2632</v>
      </c>
      <c r="I216" s="8" t="s">
        <v>1024</v>
      </c>
      <c r="J216" s="69" t="s">
        <v>1966</v>
      </c>
      <c r="K216" s="140"/>
      <c r="L216" s="140"/>
      <c r="M216" s="140"/>
      <c r="N216" s="140"/>
    </row>
    <row r="217" customFormat="false" ht="33.75" hidden="false" customHeight="false" outlineLevel="0" collapsed="false">
      <c r="A217" s="5" t="n">
        <f aca="false">IF(B217&lt;&gt;"", COUNTA($B$2:B217), "")</f>
        <v>216</v>
      </c>
      <c r="B217" s="5" t="s">
        <v>2394</v>
      </c>
      <c r="C217" s="12" t="s">
        <v>2615</v>
      </c>
      <c r="D217" s="5" t="s">
        <v>2633</v>
      </c>
      <c r="E217" s="5" t="n">
        <v>2018</v>
      </c>
      <c r="F217" s="5" t="s">
        <v>192</v>
      </c>
      <c r="G217" s="152"/>
      <c r="H217" s="5" t="s">
        <v>2634</v>
      </c>
      <c r="I217" s="8" t="s">
        <v>1024</v>
      </c>
      <c r="J217" s="69" t="s">
        <v>1966</v>
      </c>
      <c r="K217" s="140"/>
      <c r="L217" s="140"/>
      <c r="M217" s="140"/>
      <c r="N217" s="140"/>
    </row>
    <row r="218" customFormat="false" ht="22.5" hidden="false" customHeight="false" outlineLevel="0" collapsed="false">
      <c r="A218" s="5" t="n">
        <f aca="false">IF(B218&lt;&gt;"", COUNTA($B$2:B218), "")</f>
        <v>217</v>
      </c>
      <c r="B218" s="5" t="s">
        <v>2394</v>
      </c>
      <c r="C218" s="12" t="s">
        <v>2615</v>
      </c>
      <c r="D218" s="5" t="s">
        <v>2635</v>
      </c>
      <c r="E218" s="5" t="n">
        <v>2018</v>
      </c>
      <c r="F218" s="5" t="s">
        <v>260</v>
      </c>
      <c r="G218" s="152"/>
      <c r="H218" s="5" t="s">
        <v>2636</v>
      </c>
      <c r="I218" s="8" t="s">
        <v>1024</v>
      </c>
      <c r="J218" s="69" t="s">
        <v>1966</v>
      </c>
      <c r="K218" s="140"/>
      <c r="L218" s="140"/>
      <c r="M218" s="140"/>
      <c r="N218" s="140"/>
    </row>
    <row r="219" customFormat="false" ht="22.5" hidden="false" customHeight="false" outlineLevel="0" collapsed="false">
      <c r="A219" s="5" t="n">
        <f aca="false">IF(B219&lt;&gt;"", COUNTA($B$2:B219), "")</f>
        <v>218</v>
      </c>
      <c r="B219" s="5" t="s">
        <v>2394</v>
      </c>
      <c r="C219" s="12" t="s">
        <v>2615</v>
      </c>
      <c r="D219" s="5" t="s">
        <v>2637</v>
      </c>
      <c r="E219" s="5" t="n">
        <v>2018</v>
      </c>
      <c r="F219" s="5" t="s">
        <v>260</v>
      </c>
      <c r="G219" s="152"/>
      <c r="H219" s="5" t="s">
        <v>2638</v>
      </c>
      <c r="I219" s="8" t="s">
        <v>1024</v>
      </c>
      <c r="J219" s="69" t="s">
        <v>1966</v>
      </c>
      <c r="K219" s="140"/>
      <c r="L219" s="140"/>
      <c r="M219" s="140"/>
      <c r="N219" s="140"/>
    </row>
    <row r="220" customFormat="false" ht="22.5" hidden="false" customHeight="false" outlineLevel="0" collapsed="false">
      <c r="A220" s="5" t="n">
        <f aca="false">IF(B220&lt;&gt;"", COUNTA($B$2:B220), "")</f>
        <v>219</v>
      </c>
      <c r="B220" s="5" t="s">
        <v>2394</v>
      </c>
      <c r="C220" s="12" t="s">
        <v>2615</v>
      </c>
      <c r="D220" s="5" t="s">
        <v>2639</v>
      </c>
      <c r="E220" s="5" t="n">
        <v>2018</v>
      </c>
      <c r="F220" s="5" t="s">
        <v>2640</v>
      </c>
      <c r="G220" s="152"/>
      <c r="H220" s="5" t="s">
        <v>2641</v>
      </c>
      <c r="I220" s="8" t="s">
        <v>1024</v>
      </c>
      <c r="J220" s="69" t="s">
        <v>1966</v>
      </c>
      <c r="K220" s="140"/>
      <c r="L220" s="140"/>
      <c r="M220" s="140"/>
      <c r="N220" s="140"/>
    </row>
    <row r="221" customFormat="false" ht="22.5" hidden="false" customHeight="false" outlineLevel="0" collapsed="false">
      <c r="A221" s="5" t="n">
        <f aca="false">IF(B221&lt;&gt;"", COUNTA($B$2:B221), "")</f>
        <v>220</v>
      </c>
      <c r="B221" s="5" t="s">
        <v>2394</v>
      </c>
      <c r="C221" s="12" t="s">
        <v>2615</v>
      </c>
      <c r="D221" s="5" t="s">
        <v>2642</v>
      </c>
      <c r="E221" s="5" t="n">
        <v>2018</v>
      </c>
      <c r="F221" s="5" t="s">
        <v>271</v>
      </c>
      <c r="G221" s="152"/>
      <c r="H221" s="5" t="s">
        <v>2643</v>
      </c>
      <c r="I221" s="8" t="s">
        <v>1024</v>
      </c>
      <c r="J221" s="69" t="s">
        <v>1966</v>
      </c>
      <c r="K221" s="140"/>
      <c r="L221" s="140"/>
      <c r="M221" s="140"/>
      <c r="N221" s="140"/>
    </row>
    <row r="222" customFormat="false" ht="22.5" hidden="false" customHeight="false" outlineLevel="0" collapsed="false">
      <c r="A222" s="5" t="n">
        <f aca="false">IF(B222&lt;&gt;"", COUNTA($B$2:B222), "")</f>
        <v>221</v>
      </c>
      <c r="B222" s="5" t="s">
        <v>2394</v>
      </c>
      <c r="C222" s="12" t="s">
        <v>2615</v>
      </c>
      <c r="D222" s="5" t="s">
        <v>2644</v>
      </c>
      <c r="E222" s="5" t="n">
        <v>2018</v>
      </c>
      <c r="F222" s="5" t="s">
        <v>2645</v>
      </c>
      <c r="G222" s="152"/>
      <c r="H222" s="5" t="s">
        <v>2646</v>
      </c>
      <c r="I222" s="8" t="s">
        <v>1024</v>
      </c>
      <c r="J222" s="69" t="s">
        <v>1966</v>
      </c>
      <c r="K222" s="140"/>
      <c r="L222" s="140"/>
      <c r="M222" s="140"/>
      <c r="N222" s="140"/>
    </row>
    <row r="223" s="141" customFormat="true" ht="22.5" hidden="false" customHeight="false" outlineLevel="0" collapsed="false">
      <c r="A223" s="5" t="n">
        <f aca="false">IF(B223&lt;&gt;"", COUNTA($B$2:B223), "")</f>
        <v>222</v>
      </c>
      <c r="B223" s="124" t="s">
        <v>64</v>
      </c>
      <c r="C223" s="12" t="s">
        <v>2548</v>
      </c>
      <c r="D223" s="136" t="n">
        <v>37</v>
      </c>
      <c r="E223" s="137" t="n">
        <v>43222</v>
      </c>
      <c r="F223" s="19" t="s">
        <v>2528</v>
      </c>
      <c r="G223" s="136"/>
      <c r="H223" s="5" t="s">
        <v>2647</v>
      </c>
      <c r="I223" s="8"/>
      <c r="J223" s="69" t="s">
        <v>1966</v>
      </c>
      <c r="K223" s="5"/>
      <c r="L223" s="5"/>
      <c r="M223" s="6"/>
      <c r="N223" s="8"/>
    </row>
    <row r="224" s="141" customFormat="true" ht="22.5" hidden="false" customHeight="false" outlineLevel="0" collapsed="false">
      <c r="A224" s="5" t="n">
        <f aca="false">IF(B224&lt;&gt;"", COUNTA($B$2:B224), "")</f>
        <v>223</v>
      </c>
      <c r="B224" s="125" t="s">
        <v>64</v>
      </c>
      <c r="C224" s="12" t="s">
        <v>2648</v>
      </c>
      <c r="D224" s="10" t="n">
        <v>358</v>
      </c>
      <c r="E224" s="78" t="s">
        <v>2590</v>
      </c>
      <c r="F224" s="19" t="s">
        <v>2576</v>
      </c>
      <c r="G224" s="153" t="n">
        <v>0.0025</v>
      </c>
      <c r="H224" s="10" t="s">
        <v>2649</v>
      </c>
      <c r="I224" s="8" t="s">
        <v>2292</v>
      </c>
      <c r="J224" s="5" t="s">
        <v>1966</v>
      </c>
      <c r="K224" s="5"/>
      <c r="L224" s="5"/>
      <c r="M224" s="140"/>
      <c r="N224" s="8"/>
    </row>
    <row r="225" customFormat="false" ht="33.75" hidden="false" customHeight="false" outlineLevel="0" collapsed="false">
      <c r="A225" s="5" t="n">
        <f aca="false">IF(B225&lt;&gt;"", COUNTA($B$2:B225), "")</f>
        <v>224</v>
      </c>
      <c r="B225" s="12" t="s">
        <v>2650</v>
      </c>
      <c r="C225" s="10" t="s">
        <v>2390</v>
      </c>
      <c r="D225" s="127" t="n">
        <v>15343</v>
      </c>
      <c r="E225" s="8" t="n">
        <v>2021</v>
      </c>
      <c r="F225" s="6"/>
      <c r="G225" s="10"/>
      <c r="H225" s="12" t="s">
        <v>2392</v>
      </c>
      <c r="I225" s="5" t="s">
        <v>2651</v>
      </c>
      <c r="J225" s="5" t="s">
        <v>1966</v>
      </c>
      <c r="K225" s="5"/>
      <c r="L225" s="5" t="n">
        <v>60</v>
      </c>
      <c r="M225" s="6"/>
      <c r="N225" s="8"/>
    </row>
    <row r="226" customFormat="false" ht="33.75" hidden="false" customHeight="false" outlineLevel="0" collapsed="false">
      <c r="A226" s="5" t="n">
        <f aca="false">IF(B226&lt;&gt;"", COUNTA($B$2:B226), "")</f>
        <v>225</v>
      </c>
      <c r="B226" s="12" t="s">
        <v>2650</v>
      </c>
      <c r="C226" s="10" t="s">
        <v>2390</v>
      </c>
      <c r="D226" s="154" t="n">
        <v>15327</v>
      </c>
      <c r="E226" s="8" t="n">
        <v>2021</v>
      </c>
      <c r="F226" s="6"/>
      <c r="G226" s="10"/>
      <c r="H226" s="12" t="s">
        <v>2392</v>
      </c>
      <c r="I226" s="5" t="s">
        <v>2652</v>
      </c>
      <c r="J226" s="5" t="s">
        <v>1966</v>
      </c>
      <c r="K226" s="5"/>
      <c r="L226" s="5" t="n">
        <v>61</v>
      </c>
      <c r="M226" s="6"/>
      <c r="N226" s="8"/>
    </row>
    <row r="227" customFormat="false" ht="33.75" hidden="false" customHeight="false" outlineLevel="0" collapsed="false">
      <c r="A227" s="5" t="n">
        <f aca="false">IF(B227&lt;&gt;"", COUNTA($B$2:B227), "")</f>
        <v>226</v>
      </c>
      <c r="B227" s="12" t="s">
        <v>2650</v>
      </c>
      <c r="C227" s="10" t="s">
        <v>2390</v>
      </c>
      <c r="D227" s="127" t="n">
        <v>15310</v>
      </c>
      <c r="E227" s="8" t="n">
        <v>2021</v>
      </c>
      <c r="F227" s="6"/>
      <c r="G227" s="10"/>
      <c r="H227" s="12" t="s">
        <v>2392</v>
      </c>
      <c r="I227" s="8" t="s">
        <v>1965</v>
      </c>
      <c r="J227" s="5" t="s">
        <v>1966</v>
      </c>
      <c r="K227" s="5"/>
      <c r="L227" s="5" t="n">
        <v>62</v>
      </c>
      <c r="M227" s="6"/>
      <c r="N227" s="8"/>
    </row>
    <row r="228" customFormat="false" ht="33.75" hidden="false" customHeight="false" outlineLevel="0" collapsed="false">
      <c r="A228" s="5" t="n">
        <f aca="false">IF(B228&lt;&gt;"", COUNTA($B$2:B228), "")</f>
        <v>227</v>
      </c>
      <c r="B228" s="12" t="s">
        <v>2650</v>
      </c>
      <c r="C228" s="10" t="s">
        <v>2390</v>
      </c>
      <c r="D228" s="154" t="n">
        <v>15338</v>
      </c>
      <c r="E228" s="8" t="n">
        <v>2021</v>
      </c>
      <c r="F228" s="6"/>
      <c r="G228" s="10"/>
      <c r="H228" s="12" t="s">
        <v>2392</v>
      </c>
      <c r="I228" s="8" t="s">
        <v>1965</v>
      </c>
      <c r="J228" s="5" t="s">
        <v>1966</v>
      </c>
      <c r="K228" s="5"/>
      <c r="L228" s="5" t="n">
        <v>63</v>
      </c>
      <c r="M228" s="6"/>
      <c r="N228" s="8"/>
    </row>
    <row r="229" customFormat="false" ht="33.75" hidden="false" customHeight="false" outlineLevel="0" collapsed="false">
      <c r="A229" s="5" t="n">
        <f aca="false">IF(B229&lt;&gt;"", COUNTA($B$2:B229), "")</f>
        <v>228</v>
      </c>
      <c r="B229" s="12" t="s">
        <v>2650</v>
      </c>
      <c r="C229" s="10" t="s">
        <v>2390</v>
      </c>
      <c r="D229" s="127" t="n">
        <v>15336</v>
      </c>
      <c r="E229" s="8" t="n">
        <v>2021</v>
      </c>
      <c r="F229" s="6"/>
      <c r="G229" s="10"/>
      <c r="H229" s="12" t="s">
        <v>2392</v>
      </c>
      <c r="I229" s="8" t="s">
        <v>1965</v>
      </c>
      <c r="J229" s="5" t="s">
        <v>1966</v>
      </c>
      <c r="K229" s="5"/>
      <c r="L229" s="5" t="n">
        <v>64</v>
      </c>
      <c r="M229" s="6"/>
      <c r="N229" s="8"/>
    </row>
  </sheetData>
  <conditionalFormatting sqref="M1:M1048576">
    <cfRule type="expression" priority="2" aboveAverage="0" equalAverage="0" bottom="0" percent="0" rank="0" text="" dxfId="32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2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P208" activeCellId="0" sqref="P208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57"/>
    <col collapsed="false" customWidth="true" hidden="false" outlineLevel="0" max="2" min="2" style="4" width="18"/>
    <col collapsed="false" customWidth="true" hidden="false" outlineLevel="0" max="3" min="3" style="4" width="20.86"/>
    <col collapsed="false" customWidth="true" hidden="false" outlineLevel="0" max="4" min="4" style="4" width="18.14"/>
    <col collapsed="false" customWidth="true" hidden="false" outlineLevel="0" max="5" min="5" style="4" width="6.57"/>
    <col collapsed="false" customWidth="true" hidden="false" outlineLevel="0" max="6" min="6" style="4" width="12.71"/>
    <col collapsed="false" customWidth="true" hidden="false" outlineLevel="0" max="7" min="7" style="4" width="7.42"/>
    <col collapsed="false" customWidth="true" hidden="false" outlineLevel="0" max="8" min="8" style="4" width="31.7"/>
    <col collapsed="false" customWidth="true" hidden="false" outlineLevel="0" max="9" min="9" style="4" width="14.01"/>
    <col collapsed="false" customWidth="true" hidden="false" outlineLevel="0" max="10" min="10" style="4" width="11.14"/>
    <col collapsed="false" customWidth="true" hidden="false" outlineLevel="0" max="11" min="11" style="4" width="8"/>
    <col collapsed="false" customWidth="true" hidden="false" outlineLevel="0" max="12" min="12" style="4" width="9.85"/>
    <col collapsed="false" customWidth="true" hidden="false" outlineLevel="0" max="13" min="13" style="4" width="8.86"/>
    <col collapsed="false" customWidth="true" hidden="false" outlineLevel="0" max="14" min="14" style="4" width="9.85"/>
    <col collapsed="false" customWidth="true" hidden="false" outlineLevel="0" max="15" min="15" style="85" width="13.86"/>
    <col collapsed="false" customWidth="true" hidden="false" outlineLevel="0" max="16" min="16" style="4" width="14.86"/>
    <col collapsed="false" customWidth="false" hidden="false" outlineLevel="0" max="1024" min="17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2253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  <c r="O1" s="8" t="s">
        <v>2653</v>
      </c>
    </row>
    <row r="2" customFormat="false" ht="22.5" hidden="false" customHeight="false" outlineLevel="0" collapsed="false">
      <c r="A2" s="5" t="n">
        <f aca="false">IF(B2&lt;&gt;"", COUNTA($B$2:B2), "")</f>
        <v>1</v>
      </c>
      <c r="B2" s="7" t="s">
        <v>27</v>
      </c>
      <c r="C2" s="8" t="s">
        <v>28</v>
      </c>
      <c r="D2" s="8" t="n">
        <v>7000114</v>
      </c>
      <c r="E2" s="8"/>
      <c r="F2" s="8" t="s">
        <v>192</v>
      </c>
      <c r="G2" s="8" t="n">
        <v>1.5</v>
      </c>
      <c r="H2" s="5" t="s">
        <v>2254</v>
      </c>
      <c r="I2" s="8" t="s">
        <v>2003</v>
      </c>
      <c r="J2" s="5" t="s">
        <v>1966</v>
      </c>
      <c r="K2" s="5"/>
      <c r="L2" s="5" t="n">
        <v>12</v>
      </c>
      <c r="M2" s="6" t="s">
        <v>41</v>
      </c>
      <c r="N2" s="8" t="s">
        <v>1</v>
      </c>
      <c r="O2" s="155"/>
    </row>
    <row r="3" customFormat="false" ht="22.5" hidden="false" customHeight="false" outlineLevel="0" collapsed="false">
      <c r="A3" s="5" t="n">
        <f aca="false">IF(B3&lt;&gt;"", COUNTA($B$2:B3), "")</f>
        <v>2</v>
      </c>
      <c r="B3" s="7" t="s">
        <v>27</v>
      </c>
      <c r="C3" s="8" t="s">
        <v>860</v>
      </c>
      <c r="D3" s="9" t="n">
        <v>700080</v>
      </c>
      <c r="E3" s="8"/>
      <c r="F3" s="8" t="s">
        <v>2255</v>
      </c>
      <c r="G3" s="8" t="n">
        <v>1</v>
      </c>
      <c r="H3" s="5" t="s">
        <v>2256</v>
      </c>
      <c r="I3" s="8" t="s">
        <v>2003</v>
      </c>
      <c r="J3" s="5" t="s">
        <v>1966</v>
      </c>
      <c r="K3" s="5"/>
      <c r="L3" s="5" t="n">
        <v>12</v>
      </c>
      <c r="M3" s="6" t="s">
        <v>41</v>
      </c>
      <c r="N3" s="8" t="s">
        <v>1</v>
      </c>
      <c r="O3" s="155"/>
    </row>
    <row r="4" customFormat="false" ht="22.5" hidden="false" customHeight="false" outlineLevel="0" collapsed="false">
      <c r="A4" s="5" t="n">
        <f aca="false">IF(B4&lt;&gt;"", COUNTA($B$2:B4), "")</f>
        <v>3</v>
      </c>
      <c r="B4" s="7" t="s">
        <v>27</v>
      </c>
      <c r="C4" s="8" t="s">
        <v>28</v>
      </c>
      <c r="D4" s="11" t="n">
        <v>600589</v>
      </c>
      <c r="E4" s="8"/>
      <c r="F4" s="5" t="s">
        <v>2654</v>
      </c>
      <c r="G4" s="8" t="n">
        <v>1.5</v>
      </c>
      <c r="H4" s="5" t="s">
        <v>2257</v>
      </c>
      <c r="I4" s="8" t="s">
        <v>2003</v>
      </c>
      <c r="J4" s="5" t="s">
        <v>1966</v>
      </c>
      <c r="K4" s="5"/>
      <c r="L4" s="5" t="n">
        <v>12</v>
      </c>
      <c r="M4" s="6" t="s">
        <v>41</v>
      </c>
      <c r="N4" s="8" t="s">
        <v>1</v>
      </c>
      <c r="O4" s="155"/>
    </row>
    <row r="5" customFormat="false" ht="22.5" hidden="false" customHeight="false" outlineLevel="0" collapsed="false">
      <c r="A5" s="5" t="n">
        <f aca="false">IF(B5&lt;&gt;"", COUNTA($B$2:B5), "")</f>
        <v>4</v>
      </c>
      <c r="B5" s="7" t="s">
        <v>27</v>
      </c>
      <c r="C5" s="8" t="s">
        <v>860</v>
      </c>
      <c r="D5" s="15" t="s">
        <v>2655</v>
      </c>
      <c r="E5" s="8"/>
      <c r="F5" s="8" t="s">
        <v>260</v>
      </c>
      <c r="G5" s="8" t="n">
        <v>1</v>
      </c>
      <c r="H5" s="5" t="s">
        <v>2259</v>
      </c>
      <c r="I5" s="8" t="s">
        <v>2003</v>
      </c>
      <c r="J5" s="5" t="s">
        <v>1966</v>
      </c>
      <c r="K5" s="5"/>
      <c r="L5" s="5" t="n">
        <v>12</v>
      </c>
      <c r="M5" s="6" t="s">
        <v>41</v>
      </c>
      <c r="N5" s="8" t="s">
        <v>1</v>
      </c>
      <c r="O5" s="155"/>
    </row>
    <row r="6" customFormat="false" ht="22.5" hidden="false" customHeight="false" outlineLevel="0" collapsed="false">
      <c r="A6" s="5" t="n">
        <f aca="false">IF(B6&lt;&gt;"", COUNTA($B$2:B6), "")</f>
        <v>5</v>
      </c>
      <c r="B6" s="7" t="s">
        <v>27</v>
      </c>
      <c r="C6" s="8" t="s">
        <v>28</v>
      </c>
      <c r="D6" s="15" t="s">
        <v>2656</v>
      </c>
      <c r="E6" s="8"/>
      <c r="F6" s="8" t="s">
        <v>2128</v>
      </c>
      <c r="G6" s="8" t="n">
        <v>1.5</v>
      </c>
      <c r="H6" s="5" t="s">
        <v>2261</v>
      </c>
      <c r="I6" s="8" t="s">
        <v>2003</v>
      </c>
      <c r="J6" s="5" t="s">
        <v>1966</v>
      </c>
      <c r="K6" s="5"/>
      <c r="L6" s="5" t="n">
        <v>12</v>
      </c>
      <c r="M6" s="6" t="s">
        <v>41</v>
      </c>
      <c r="N6" s="8" t="s">
        <v>1</v>
      </c>
      <c r="O6" s="155"/>
    </row>
    <row r="7" customFormat="false" ht="22.5" hidden="false" customHeight="false" outlineLevel="0" collapsed="false">
      <c r="A7" s="5" t="n">
        <f aca="false">IF(B7&lt;&gt;"", COUNTA($B$2:B7), "")</f>
        <v>6</v>
      </c>
      <c r="B7" s="7" t="s">
        <v>27</v>
      </c>
      <c r="C7" s="8" t="s">
        <v>860</v>
      </c>
      <c r="D7" s="15" t="s">
        <v>2657</v>
      </c>
      <c r="E7" s="8"/>
      <c r="F7" s="8" t="s">
        <v>309</v>
      </c>
      <c r="G7" s="8" t="n">
        <v>1</v>
      </c>
      <c r="H7" s="5" t="s">
        <v>2263</v>
      </c>
      <c r="I7" s="8" t="s">
        <v>2003</v>
      </c>
      <c r="J7" s="5" t="s">
        <v>1966</v>
      </c>
      <c r="K7" s="5"/>
      <c r="L7" s="5" t="n">
        <v>12</v>
      </c>
      <c r="M7" s="6" t="s">
        <v>41</v>
      </c>
      <c r="N7" s="8" t="s">
        <v>1</v>
      </c>
      <c r="O7" s="155"/>
    </row>
    <row r="8" customFormat="false" ht="22.5" hidden="false" customHeight="false" outlineLevel="0" collapsed="false">
      <c r="A8" s="5" t="n">
        <f aca="false">IF(B8&lt;&gt;"", COUNTA($B$2:B8), "")</f>
        <v>7</v>
      </c>
      <c r="B8" s="7" t="s">
        <v>27</v>
      </c>
      <c r="C8" s="8" t="s">
        <v>860</v>
      </c>
      <c r="D8" s="8" t="n">
        <v>7000190</v>
      </c>
      <c r="E8" s="8"/>
      <c r="F8" s="8" t="s">
        <v>2128</v>
      </c>
      <c r="G8" s="8" t="n">
        <v>1</v>
      </c>
      <c r="H8" s="5" t="s">
        <v>2264</v>
      </c>
      <c r="I8" s="8" t="s">
        <v>2003</v>
      </c>
      <c r="J8" s="5" t="s">
        <v>1966</v>
      </c>
      <c r="K8" s="5"/>
      <c r="L8" s="5" t="n">
        <v>12</v>
      </c>
      <c r="M8" s="6" t="s">
        <v>41</v>
      </c>
      <c r="N8" s="8" t="s">
        <v>1</v>
      </c>
      <c r="O8" s="155"/>
    </row>
    <row r="9" customFormat="false" ht="22.5" hidden="false" customHeight="false" outlineLevel="0" collapsed="false">
      <c r="A9" s="5" t="n">
        <f aca="false">IF(B9&lt;&gt;"", COUNTA($B$2:B9), "")</f>
        <v>8</v>
      </c>
      <c r="B9" s="7" t="s">
        <v>27</v>
      </c>
      <c r="C9" s="8" t="s">
        <v>860</v>
      </c>
      <c r="D9" s="10" t="n">
        <v>15392</v>
      </c>
      <c r="E9" s="16"/>
      <c r="F9" s="5" t="s">
        <v>29</v>
      </c>
      <c r="G9" s="8" t="n">
        <v>1</v>
      </c>
      <c r="H9" s="5" t="s">
        <v>2265</v>
      </c>
      <c r="I9" s="8" t="s">
        <v>2003</v>
      </c>
      <c r="J9" s="5" t="s">
        <v>1966</v>
      </c>
      <c r="K9" s="5"/>
      <c r="L9" s="5" t="n">
        <v>12</v>
      </c>
      <c r="M9" s="6" t="s">
        <v>37</v>
      </c>
      <c r="N9" s="8" t="s">
        <v>38</v>
      </c>
      <c r="O9" s="155"/>
    </row>
    <row r="10" customFormat="false" ht="22.5" hidden="false" customHeight="false" outlineLevel="0" collapsed="false">
      <c r="A10" s="5" t="n">
        <f aca="false">IF(B10&lt;&gt;"", COUNTA($B$2:B10), "")</f>
        <v>9</v>
      </c>
      <c r="B10" s="7" t="s">
        <v>27</v>
      </c>
      <c r="C10" s="12" t="s">
        <v>1882</v>
      </c>
      <c r="D10" s="12" t="s">
        <v>2658</v>
      </c>
      <c r="E10" s="17"/>
      <c r="F10" s="5" t="s">
        <v>29</v>
      </c>
      <c r="G10" s="8" t="n">
        <v>1</v>
      </c>
      <c r="H10" s="5" t="s">
        <v>2267</v>
      </c>
      <c r="I10" s="8" t="s">
        <v>2003</v>
      </c>
      <c r="J10" s="5" t="s">
        <v>1966</v>
      </c>
      <c r="K10" s="5"/>
      <c r="L10" s="5" t="n">
        <v>12</v>
      </c>
      <c r="M10" s="6" t="s">
        <v>41</v>
      </c>
      <c r="N10" s="8" t="s">
        <v>1</v>
      </c>
      <c r="O10" s="155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7" t="s">
        <v>27</v>
      </c>
      <c r="C11" s="12" t="s">
        <v>1882</v>
      </c>
      <c r="D11" s="12" t="s">
        <v>2659</v>
      </c>
      <c r="E11" s="17"/>
      <c r="F11" s="5" t="s">
        <v>29</v>
      </c>
      <c r="G11" s="8" t="n">
        <v>1</v>
      </c>
      <c r="H11" s="5" t="s">
        <v>2269</v>
      </c>
      <c r="I11" s="8" t="s">
        <v>2003</v>
      </c>
      <c r="J11" s="5" t="s">
        <v>1966</v>
      </c>
      <c r="K11" s="5"/>
      <c r="L11" s="5" t="n">
        <v>12</v>
      </c>
      <c r="M11" s="6" t="s">
        <v>41</v>
      </c>
      <c r="N11" s="8" t="s">
        <v>1</v>
      </c>
      <c r="O11" s="155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7" t="s">
        <v>27</v>
      </c>
      <c r="C12" s="12" t="s">
        <v>1882</v>
      </c>
      <c r="D12" s="12" t="s">
        <v>2660</v>
      </c>
      <c r="E12" s="17"/>
      <c r="F12" s="5" t="s">
        <v>29</v>
      </c>
      <c r="G12" s="8" t="n">
        <v>1</v>
      </c>
      <c r="H12" s="5" t="s">
        <v>2271</v>
      </c>
      <c r="I12" s="8" t="s">
        <v>2003</v>
      </c>
      <c r="J12" s="5" t="s">
        <v>1966</v>
      </c>
      <c r="K12" s="5"/>
      <c r="L12" s="5" t="n">
        <v>12</v>
      </c>
      <c r="M12" s="6" t="s">
        <v>41</v>
      </c>
      <c r="N12" s="8" t="s">
        <v>1</v>
      </c>
      <c r="O12" s="155"/>
    </row>
    <row r="13" customFormat="false" ht="22.5" hidden="false" customHeight="false" outlineLevel="0" collapsed="false">
      <c r="A13" s="5" t="n">
        <f aca="false">IF(B13&lt;&gt;"", COUNTA($B$2:B13), "")</f>
        <v>12</v>
      </c>
      <c r="B13" s="7" t="s">
        <v>27</v>
      </c>
      <c r="C13" s="12" t="s">
        <v>1882</v>
      </c>
      <c r="D13" s="12" t="s">
        <v>2661</v>
      </c>
      <c r="E13" s="17"/>
      <c r="F13" s="5" t="s">
        <v>29</v>
      </c>
      <c r="G13" s="8" t="n">
        <v>1</v>
      </c>
      <c r="H13" s="5" t="s">
        <v>2273</v>
      </c>
      <c r="I13" s="8" t="s">
        <v>2003</v>
      </c>
      <c r="J13" s="5" t="s">
        <v>1966</v>
      </c>
      <c r="K13" s="5"/>
      <c r="L13" s="5" t="n">
        <v>12</v>
      </c>
      <c r="M13" s="6" t="s">
        <v>41</v>
      </c>
      <c r="N13" s="8" t="s">
        <v>1</v>
      </c>
      <c r="O13" s="155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7" t="s">
        <v>27</v>
      </c>
      <c r="C14" s="8" t="s">
        <v>28</v>
      </c>
      <c r="D14" s="19" t="s">
        <v>2662</v>
      </c>
      <c r="E14" s="17"/>
      <c r="F14" s="8" t="s">
        <v>192</v>
      </c>
      <c r="G14" s="8" t="n">
        <v>1.5</v>
      </c>
      <c r="H14" s="5" t="s">
        <v>2275</v>
      </c>
      <c r="I14" s="8" t="s">
        <v>2003</v>
      </c>
      <c r="J14" s="5" t="s">
        <v>1966</v>
      </c>
      <c r="K14" s="5"/>
      <c r="L14" s="5" t="n">
        <v>12</v>
      </c>
      <c r="M14" s="6" t="s">
        <v>41</v>
      </c>
      <c r="N14" s="8" t="s">
        <v>1</v>
      </c>
      <c r="O14" s="155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7" t="s">
        <v>27</v>
      </c>
      <c r="C15" s="8" t="s">
        <v>860</v>
      </c>
      <c r="D15" s="6" t="s">
        <v>2663</v>
      </c>
      <c r="E15" s="17" t="n">
        <v>2018</v>
      </c>
      <c r="F15" s="8" t="s">
        <v>260</v>
      </c>
      <c r="G15" s="10" t="n">
        <v>1</v>
      </c>
      <c r="H15" s="5" t="s">
        <v>2664</v>
      </c>
      <c r="I15" s="8" t="s">
        <v>2003</v>
      </c>
      <c r="J15" s="5" t="s">
        <v>1966</v>
      </c>
      <c r="K15" s="5"/>
      <c r="L15" s="5" t="n">
        <v>12</v>
      </c>
      <c r="M15" s="6" t="s">
        <v>37</v>
      </c>
      <c r="N15" s="8" t="s">
        <v>38</v>
      </c>
      <c r="O15" s="155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7" t="s">
        <v>27</v>
      </c>
      <c r="C16" s="8" t="s">
        <v>28</v>
      </c>
      <c r="D16" s="6" t="s">
        <v>2665</v>
      </c>
      <c r="E16" s="17"/>
      <c r="F16" s="5" t="s">
        <v>34</v>
      </c>
      <c r="G16" s="10" t="n">
        <v>1</v>
      </c>
      <c r="H16" s="5" t="s">
        <v>2666</v>
      </c>
      <c r="I16" s="8" t="s">
        <v>2003</v>
      </c>
      <c r="J16" s="5" t="s">
        <v>1966</v>
      </c>
      <c r="K16" s="5"/>
      <c r="L16" s="5" t="n">
        <v>12</v>
      </c>
      <c r="M16" s="6" t="s">
        <v>37</v>
      </c>
      <c r="N16" s="8" t="s">
        <v>38</v>
      </c>
      <c r="O16" s="155"/>
    </row>
    <row r="17" customFormat="false" ht="22.5" hidden="false" customHeight="false" outlineLevel="0" collapsed="false">
      <c r="A17" s="5" t="n">
        <f aca="false">IF(B17&lt;&gt;"", COUNTA($B$2:B17), "")</f>
        <v>16</v>
      </c>
      <c r="B17" s="7" t="s">
        <v>27</v>
      </c>
      <c r="C17" s="8" t="s">
        <v>28</v>
      </c>
      <c r="D17" s="19" t="s">
        <v>2667</v>
      </c>
      <c r="E17" s="17"/>
      <c r="F17" s="8" t="s">
        <v>2128</v>
      </c>
      <c r="G17" s="8" t="n">
        <v>1.5</v>
      </c>
      <c r="H17" s="5" t="s">
        <v>2281</v>
      </c>
      <c r="I17" s="8" t="s">
        <v>2003</v>
      </c>
      <c r="J17" s="5" t="s">
        <v>1966</v>
      </c>
      <c r="K17" s="5"/>
      <c r="L17" s="5" t="n">
        <v>12</v>
      </c>
      <c r="M17" s="6" t="s">
        <v>41</v>
      </c>
      <c r="N17" s="8" t="s">
        <v>1</v>
      </c>
      <c r="O17" s="155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7" t="s">
        <v>27</v>
      </c>
      <c r="C18" s="8" t="s">
        <v>860</v>
      </c>
      <c r="D18" s="19" t="s">
        <v>2668</v>
      </c>
      <c r="E18" s="17"/>
      <c r="F18" s="8" t="s">
        <v>2128</v>
      </c>
      <c r="G18" s="10" t="n">
        <v>1</v>
      </c>
      <c r="H18" s="5" t="s">
        <v>2283</v>
      </c>
      <c r="I18" s="8" t="s">
        <v>2003</v>
      </c>
      <c r="J18" s="5" t="s">
        <v>1966</v>
      </c>
      <c r="K18" s="5"/>
      <c r="L18" s="5" t="n">
        <v>12</v>
      </c>
      <c r="M18" s="6" t="s">
        <v>41</v>
      </c>
      <c r="N18" s="8" t="s">
        <v>1</v>
      </c>
      <c r="O18" s="155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27</v>
      </c>
      <c r="C19" s="8" t="s">
        <v>28</v>
      </c>
      <c r="D19" s="19" t="s">
        <v>2669</v>
      </c>
      <c r="E19" s="17"/>
      <c r="F19" s="5" t="s">
        <v>178</v>
      </c>
      <c r="G19" s="10" t="n">
        <v>1.5</v>
      </c>
      <c r="H19" s="5" t="s">
        <v>2285</v>
      </c>
      <c r="I19" s="8" t="s">
        <v>2003</v>
      </c>
      <c r="J19" s="5" t="s">
        <v>1966</v>
      </c>
      <c r="K19" s="5"/>
      <c r="L19" s="5" t="n">
        <v>12</v>
      </c>
      <c r="M19" s="6" t="s">
        <v>41</v>
      </c>
      <c r="N19" s="8" t="s">
        <v>1</v>
      </c>
      <c r="O19" s="155"/>
    </row>
    <row r="20" customFormat="false" ht="22.5" hidden="false" customHeight="false" outlineLevel="0" collapsed="false">
      <c r="A20" s="5" t="n">
        <f aca="false">IF(B20&lt;&gt;"", COUNTA($B$2:B20), "")</f>
        <v>19</v>
      </c>
      <c r="B20" s="7" t="s">
        <v>27</v>
      </c>
      <c r="C20" s="8" t="s">
        <v>28</v>
      </c>
      <c r="D20" s="6" t="s">
        <v>2670</v>
      </c>
      <c r="E20" s="17"/>
      <c r="F20" s="5" t="s">
        <v>178</v>
      </c>
      <c r="G20" s="10" t="n">
        <v>1.5</v>
      </c>
      <c r="H20" s="5" t="s">
        <v>2286</v>
      </c>
      <c r="I20" s="8" t="s">
        <v>2003</v>
      </c>
      <c r="J20" s="5" t="s">
        <v>1966</v>
      </c>
      <c r="K20" s="5"/>
      <c r="L20" s="5" t="n">
        <v>12</v>
      </c>
      <c r="M20" s="6" t="s">
        <v>41</v>
      </c>
      <c r="N20" s="8" t="s">
        <v>1</v>
      </c>
      <c r="O20" s="155"/>
    </row>
    <row r="21" customFormat="false" ht="22.5" hidden="false" customHeight="false" outlineLevel="0" collapsed="false">
      <c r="A21" s="5" t="n">
        <f aca="false">IF(B21&lt;&gt;"", COUNTA($B$2:B21), "")</f>
        <v>20</v>
      </c>
      <c r="B21" s="7" t="s">
        <v>27</v>
      </c>
      <c r="C21" s="8" t="s">
        <v>1156</v>
      </c>
      <c r="D21" s="6" t="s">
        <v>2671</v>
      </c>
      <c r="E21" s="17"/>
      <c r="F21" s="8" t="s">
        <v>309</v>
      </c>
      <c r="G21" s="10" t="n">
        <v>1</v>
      </c>
      <c r="H21" s="5" t="s">
        <v>2288</v>
      </c>
      <c r="I21" s="8" t="s">
        <v>2003</v>
      </c>
      <c r="J21" s="5" t="s">
        <v>1966</v>
      </c>
      <c r="K21" s="5"/>
      <c r="L21" s="5" t="n">
        <v>12</v>
      </c>
      <c r="M21" s="6" t="s">
        <v>41</v>
      </c>
      <c r="N21" s="8" t="s">
        <v>1</v>
      </c>
      <c r="O21" s="155"/>
    </row>
    <row r="22" customFormat="false" ht="22.5" hidden="false" customHeight="false" outlineLevel="0" collapsed="false">
      <c r="A22" s="5" t="n">
        <f aca="false">IF(B22&lt;&gt;"", COUNTA($B$2:B22), "")</f>
        <v>21</v>
      </c>
      <c r="B22" s="7" t="s">
        <v>27</v>
      </c>
      <c r="C22" s="8" t="s">
        <v>860</v>
      </c>
      <c r="D22" s="6" t="s">
        <v>2672</v>
      </c>
      <c r="E22" s="17"/>
      <c r="F22" s="8" t="s">
        <v>2126</v>
      </c>
      <c r="G22" s="10" t="n">
        <v>1</v>
      </c>
      <c r="H22" s="5" t="s">
        <v>2289</v>
      </c>
      <c r="I22" s="8" t="s">
        <v>2003</v>
      </c>
      <c r="J22" s="5" t="s">
        <v>1966</v>
      </c>
      <c r="K22" s="5"/>
      <c r="L22" s="5" t="n">
        <v>12</v>
      </c>
      <c r="M22" s="6" t="s">
        <v>41</v>
      </c>
      <c r="N22" s="8" t="s">
        <v>1</v>
      </c>
      <c r="O22" s="155"/>
    </row>
    <row r="23" customFormat="false" ht="22.5" hidden="false" customHeight="false" outlineLevel="0" collapsed="false">
      <c r="A23" s="5" t="n">
        <f aca="false">IF(B23&lt;&gt;"", COUNTA($B$2:B23), "")</f>
        <v>22</v>
      </c>
      <c r="B23" s="7" t="s">
        <v>27</v>
      </c>
      <c r="C23" s="8" t="s">
        <v>1324</v>
      </c>
      <c r="D23" s="15" t="s">
        <v>2391</v>
      </c>
      <c r="E23" s="17"/>
      <c r="F23" s="8" t="s">
        <v>2106</v>
      </c>
      <c r="G23" s="10" t="n">
        <v>1.5</v>
      </c>
      <c r="H23" s="5" t="s">
        <v>2291</v>
      </c>
      <c r="I23" s="8" t="s">
        <v>2673</v>
      </c>
      <c r="J23" s="5" t="s">
        <v>1966</v>
      </c>
      <c r="K23" s="5"/>
      <c r="L23" s="5" t="n">
        <v>12</v>
      </c>
      <c r="M23" s="6" t="s">
        <v>41</v>
      </c>
      <c r="N23" s="8" t="s">
        <v>1</v>
      </c>
      <c r="O23" s="155"/>
    </row>
    <row r="24" customFormat="false" ht="22.5" hidden="false" customHeight="false" outlineLevel="0" collapsed="false">
      <c r="A24" s="5" t="n">
        <f aca="false">IF(B24&lt;&gt;"", COUNTA($B$2:B24), "")</f>
        <v>23</v>
      </c>
      <c r="B24" s="7" t="s">
        <v>27</v>
      </c>
      <c r="C24" s="8" t="s">
        <v>1324</v>
      </c>
      <c r="D24" s="15" t="s">
        <v>2674</v>
      </c>
      <c r="E24" s="17" t="n">
        <v>2013</v>
      </c>
      <c r="F24" s="8" t="s">
        <v>501</v>
      </c>
      <c r="G24" s="10" t="n">
        <v>1.5</v>
      </c>
      <c r="H24" s="5" t="s">
        <v>2294</v>
      </c>
      <c r="I24" s="8" t="s">
        <v>2673</v>
      </c>
      <c r="J24" s="5" t="s">
        <v>1966</v>
      </c>
      <c r="K24" s="5"/>
      <c r="L24" s="5" t="n">
        <v>12</v>
      </c>
      <c r="M24" s="6" t="s">
        <v>37</v>
      </c>
      <c r="N24" s="8" t="s">
        <v>38</v>
      </c>
      <c r="O24" s="155"/>
    </row>
    <row r="25" customFormat="false" ht="22.5" hidden="false" customHeight="false" outlineLevel="0" collapsed="false">
      <c r="A25" s="5" t="n">
        <f aca="false">IF(B25&lt;&gt;"", COUNTA($B$2:B25), "")</f>
        <v>24</v>
      </c>
      <c r="B25" s="7" t="s">
        <v>27</v>
      </c>
      <c r="C25" s="8" t="s">
        <v>1324</v>
      </c>
      <c r="D25" s="15" t="s">
        <v>2675</v>
      </c>
      <c r="E25" s="17"/>
      <c r="F25" s="8" t="s">
        <v>501</v>
      </c>
      <c r="G25" s="10" t="n">
        <v>1.5</v>
      </c>
      <c r="H25" s="5" t="s">
        <v>2296</v>
      </c>
      <c r="I25" s="8" t="s">
        <v>2673</v>
      </c>
      <c r="J25" s="5" t="s">
        <v>1966</v>
      </c>
      <c r="K25" s="5"/>
      <c r="L25" s="5" t="n">
        <v>12</v>
      </c>
      <c r="M25" s="6" t="s">
        <v>37</v>
      </c>
      <c r="N25" s="8" t="s">
        <v>38</v>
      </c>
      <c r="O25" s="155"/>
    </row>
    <row r="26" customFormat="false" ht="22.5" hidden="false" customHeight="false" outlineLevel="0" collapsed="false">
      <c r="A26" s="5" t="n">
        <f aca="false">IF(B26&lt;&gt;"", COUNTA($B$2:B26), "")</f>
        <v>25</v>
      </c>
      <c r="B26" s="7" t="s">
        <v>27</v>
      </c>
      <c r="C26" s="8" t="s">
        <v>1324</v>
      </c>
      <c r="D26" s="15" t="s">
        <v>2676</v>
      </c>
      <c r="E26" s="17" t="n">
        <v>2013</v>
      </c>
      <c r="F26" s="8" t="s">
        <v>501</v>
      </c>
      <c r="G26" s="10" t="n">
        <v>1.5</v>
      </c>
      <c r="H26" s="5" t="s">
        <v>2298</v>
      </c>
      <c r="I26" s="8" t="s">
        <v>2673</v>
      </c>
      <c r="J26" s="5" t="s">
        <v>1966</v>
      </c>
      <c r="K26" s="5"/>
      <c r="L26" s="5" t="n">
        <v>12</v>
      </c>
      <c r="M26" s="6" t="s">
        <v>37</v>
      </c>
      <c r="N26" s="8" t="s">
        <v>38</v>
      </c>
      <c r="O26" s="155"/>
    </row>
    <row r="27" customFormat="false" ht="22.5" hidden="false" customHeight="false" outlineLevel="0" collapsed="false">
      <c r="A27" s="5" t="n">
        <f aca="false">IF(B27&lt;&gt;"", COUNTA($B$2:B27), "")</f>
        <v>26</v>
      </c>
      <c r="B27" s="7" t="s">
        <v>27</v>
      </c>
      <c r="C27" s="8" t="s">
        <v>1324</v>
      </c>
      <c r="D27" s="15" t="s">
        <v>2677</v>
      </c>
      <c r="E27" s="17" t="n">
        <v>2020</v>
      </c>
      <c r="F27" s="8" t="s">
        <v>501</v>
      </c>
      <c r="G27" s="10" t="n">
        <v>1.5</v>
      </c>
      <c r="H27" s="5" t="s">
        <v>2300</v>
      </c>
      <c r="I27" s="8" t="s">
        <v>2673</v>
      </c>
      <c r="J27" s="5" t="s">
        <v>1966</v>
      </c>
      <c r="K27" s="5"/>
      <c r="L27" s="5" t="n">
        <v>12</v>
      </c>
      <c r="M27" s="6" t="s">
        <v>37</v>
      </c>
      <c r="N27" s="8" t="s">
        <v>38</v>
      </c>
      <c r="O27" s="155"/>
    </row>
    <row r="28" customFormat="false" ht="22.5" hidden="false" customHeight="false" outlineLevel="0" collapsed="false">
      <c r="A28" s="5" t="n">
        <f aca="false">IF(B28&lt;&gt;"", COUNTA($B$2:B28), "")</f>
        <v>27</v>
      </c>
      <c r="B28" s="7" t="s">
        <v>2301</v>
      </c>
      <c r="C28" s="12" t="s">
        <v>1321</v>
      </c>
      <c r="D28" s="12" t="s">
        <v>2678</v>
      </c>
      <c r="E28" s="17"/>
      <c r="F28" s="8" t="s">
        <v>2303</v>
      </c>
      <c r="G28" s="10"/>
      <c r="H28" s="123" t="s">
        <v>2304</v>
      </c>
      <c r="I28" s="8" t="s">
        <v>2673</v>
      </c>
      <c r="J28" s="5" t="s">
        <v>1966</v>
      </c>
      <c r="K28" s="5"/>
      <c r="L28" s="5" t="n">
        <v>12</v>
      </c>
      <c r="M28" s="6" t="s">
        <v>2305</v>
      </c>
      <c r="N28" s="8" t="s">
        <v>1</v>
      </c>
      <c r="O28" s="155"/>
    </row>
    <row r="29" customFormat="false" ht="22.5" hidden="false" customHeight="false" outlineLevel="0" collapsed="false">
      <c r="A29" s="5" t="n">
        <f aca="false">IF(B29&lt;&gt;"", COUNTA($B$2:B29), "")</f>
        <v>28</v>
      </c>
      <c r="B29" s="7" t="s">
        <v>2306</v>
      </c>
      <c r="C29" s="12" t="s">
        <v>1321</v>
      </c>
      <c r="D29" s="12" t="s">
        <v>2679</v>
      </c>
      <c r="E29" s="17"/>
      <c r="F29" s="8" t="s">
        <v>2303</v>
      </c>
      <c r="G29" s="10"/>
      <c r="H29" s="123" t="s">
        <v>2304</v>
      </c>
      <c r="I29" s="8" t="s">
        <v>2673</v>
      </c>
      <c r="J29" s="5" t="s">
        <v>1966</v>
      </c>
      <c r="K29" s="5"/>
      <c r="L29" s="5" t="n">
        <v>12</v>
      </c>
      <c r="M29" s="6" t="s">
        <v>2305</v>
      </c>
      <c r="N29" s="8" t="s">
        <v>1</v>
      </c>
      <c r="O29" s="155"/>
    </row>
    <row r="30" customFormat="false" ht="22.5" hidden="false" customHeight="false" outlineLevel="0" collapsed="false">
      <c r="A30" s="5" t="n">
        <f aca="false">IF(B30&lt;&gt;"", COUNTA($B$2:B30), "")</f>
        <v>29</v>
      </c>
      <c r="B30" s="7" t="s">
        <v>2308</v>
      </c>
      <c r="C30" s="12" t="s">
        <v>1321</v>
      </c>
      <c r="D30" s="12" t="s">
        <v>2680</v>
      </c>
      <c r="E30" s="17"/>
      <c r="F30" s="8" t="s">
        <v>2303</v>
      </c>
      <c r="G30" s="10"/>
      <c r="H30" s="123" t="s">
        <v>2304</v>
      </c>
      <c r="I30" s="8" t="s">
        <v>2673</v>
      </c>
      <c r="J30" s="5" t="s">
        <v>1966</v>
      </c>
      <c r="K30" s="5"/>
      <c r="L30" s="5" t="n">
        <v>12</v>
      </c>
      <c r="M30" s="6" t="s">
        <v>2305</v>
      </c>
      <c r="N30" s="8" t="s">
        <v>1</v>
      </c>
      <c r="O30" s="155"/>
    </row>
    <row r="31" customFormat="false" ht="22.5" hidden="false" customHeight="false" outlineLevel="0" collapsed="false">
      <c r="A31" s="5" t="n">
        <f aca="false">IF(B31&lt;&gt;"", COUNTA($B$2:B31), "")</f>
        <v>30</v>
      </c>
      <c r="B31" s="7" t="s">
        <v>2310</v>
      </c>
      <c r="C31" s="12" t="s">
        <v>1321</v>
      </c>
      <c r="D31" s="12" t="s">
        <v>2681</v>
      </c>
      <c r="E31" s="17"/>
      <c r="F31" s="8" t="s">
        <v>2303</v>
      </c>
      <c r="G31" s="10"/>
      <c r="H31" s="123" t="s">
        <v>2304</v>
      </c>
      <c r="I31" s="8" t="s">
        <v>2673</v>
      </c>
      <c r="J31" s="5" t="s">
        <v>1966</v>
      </c>
      <c r="K31" s="5"/>
      <c r="L31" s="5" t="n">
        <v>12</v>
      </c>
      <c r="M31" s="6" t="s">
        <v>2305</v>
      </c>
      <c r="N31" s="8" t="s">
        <v>1</v>
      </c>
      <c r="O31" s="155"/>
    </row>
    <row r="32" customFormat="false" ht="22.5" hidden="false" customHeight="false" outlineLevel="0" collapsed="false">
      <c r="A32" s="5" t="n">
        <f aca="false">IF(B32&lt;&gt;"", COUNTA($B$2:B32), "")</f>
        <v>31</v>
      </c>
      <c r="B32" s="7" t="s">
        <v>2312</v>
      </c>
      <c r="C32" s="12" t="s">
        <v>1321</v>
      </c>
      <c r="D32" s="12" t="s">
        <v>2682</v>
      </c>
      <c r="E32" s="8"/>
      <c r="F32" s="8" t="s">
        <v>2303</v>
      </c>
      <c r="G32" s="10"/>
      <c r="H32" s="123" t="s">
        <v>2304</v>
      </c>
      <c r="I32" s="8" t="s">
        <v>2673</v>
      </c>
      <c r="J32" s="5" t="s">
        <v>1966</v>
      </c>
      <c r="K32" s="5"/>
      <c r="L32" s="5" t="n">
        <v>12</v>
      </c>
      <c r="M32" s="6" t="s">
        <v>2305</v>
      </c>
      <c r="N32" s="8" t="s">
        <v>1</v>
      </c>
      <c r="O32" s="155"/>
    </row>
    <row r="33" customFormat="false" ht="22.5" hidden="false" customHeight="false" outlineLevel="0" collapsed="false">
      <c r="A33" s="5" t="n">
        <f aca="false">IF(B33&lt;&gt;"", COUNTA($B$2:B33), "")</f>
        <v>32</v>
      </c>
      <c r="B33" s="7" t="s">
        <v>27</v>
      </c>
      <c r="C33" s="8" t="s">
        <v>1869</v>
      </c>
      <c r="D33" s="5" t="n">
        <v>7000182</v>
      </c>
      <c r="E33" s="8"/>
      <c r="F33" s="8" t="s">
        <v>2314</v>
      </c>
      <c r="G33" s="10" t="n">
        <v>1.5</v>
      </c>
      <c r="H33" s="5" t="s">
        <v>2315</v>
      </c>
      <c r="I33" s="8" t="s">
        <v>2673</v>
      </c>
      <c r="J33" s="5" t="s">
        <v>1966</v>
      </c>
      <c r="K33" s="5"/>
      <c r="L33" s="5" t="n">
        <v>12</v>
      </c>
      <c r="M33" s="6" t="s">
        <v>2305</v>
      </c>
      <c r="N33" s="8" t="s">
        <v>1</v>
      </c>
      <c r="O33" s="155"/>
    </row>
    <row r="34" customFormat="false" ht="22.5" hidden="false" customHeight="false" outlineLevel="0" collapsed="false">
      <c r="A34" s="5" t="n">
        <f aca="false">IF(B34&lt;&gt;"", COUNTA($B$2:B34), "")</f>
        <v>33</v>
      </c>
      <c r="B34" s="7" t="s">
        <v>27</v>
      </c>
      <c r="C34" s="8" t="s">
        <v>1869</v>
      </c>
      <c r="D34" s="5" t="n">
        <v>7000183</v>
      </c>
      <c r="E34" s="17"/>
      <c r="F34" s="8" t="s">
        <v>2314</v>
      </c>
      <c r="G34" s="10" t="n">
        <v>1.5</v>
      </c>
      <c r="H34" s="5" t="s">
        <v>2316</v>
      </c>
      <c r="I34" s="8" t="s">
        <v>2673</v>
      </c>
      <c r="J34" s="5" t="s">
        <v>1966</v>
      </c>
      <c r="K34" s="5"/>
      <c r="L34" s="5" t="n">
        <v>12</v>
      </c>
      <c r="M34" s="6" t="s">
        <v>2305</v>
      </c>
      <c r="N34" s="8" t="s">
        <v>1</v>
      </c>
      <c r="O34" s="155"/>
    </row>
    <row r="35" customFormat="false" ht="22.5" hidden="false" customHeight="false" outlineLevel="0" collapsed="false">
      <c r="A35" s="5" t="n">
        <f aca="false">IF(B35&lt;&gt;"", COUNTA($B$2:B35), "")</f>
        <v>34</v>
      </c>
      <c r="B35" s="7" t="s">
        <v>27</v>
      </c>
      <c r="C35" s="8" t="s">
        <v>860</v>
      </c>
      <c r="D35" s="5" t="n">
        <v>7000184</v>
      </c>
      <c r="E35" s="17" t="n">
        <v>2018</v>
      </c>
      <c r="F35" s="8" t="s">
        <v>501</v>
      </c>
      <c r="G35" s="10" t="n">
        <v>1.5</v>
      </c>
      <c r="H35" s="5" t="s">
        <v>2317</v>
      </c>
      <c r="I35" s="8" t="s">
        <v>2003</v>
      </c>
      <c r="J35" s="5" t="s">
        <v>1966</v>
      </c>
      <c r="K35" s="5"/>
      <c r="L35" s="5" t="n">
        <v>12</v>
      </c>
      <c r="M35" s="6" t="s">
        <v>37</v>
      </c>
      <c r="N35" s="8" t="s">
        <v>38</v>
      </c>
      <c r="O35" s="155"/>
    </row>
    <row r="36" customFormat="false" ht="22.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8" t="s">
        <v>1156</v>
      </c>
      <c r="D36" s="10" t="n">
        <v>311695</v>
      </c>
      <c r="E36" s="17"/>
      <c r="F36" s="5" t="s">
        <v>29</v>
      </c>
      <c r="G36" s="10" t="n">
        <v>1</v>
      </c>
      <c r="H36" s="21" t="s">
        <v>2318</v>
      </c>
      <c r="I36" s="8" t="s">
        <v>2003</v>
      </c>
      <c r="J36" s="5" t="s">
        <v>1966</v>
      </c>
      <c r="K36" s="5"/>
      <c r="L36" s="5" t="n">
        <v>12</v>
      </c>
      <c r="M36" s="6" t="s">
        <v>37</v>
      </c>
      <c r="N36" s="8" t="s">
        <v>38</v>
      </c>
      <c r="O36" s="155"/>
    </row>
    <row r="37" customFormat="false" ht="22.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8" t="s">
        <v>1156</v>
      </c>
      <c r="D37" s="10" t="n">
        <v>312141</v>
      </c>
      <c r="E37" s="8"/>
      <c r="F37" s="5" t="s">
        <v>29</v>
      </c>
      <c r="G37" s="10" t="n">
        <v>1</v>
      </c>
      <c r="H37" s="21" t="s">
        <v>2319</v>
      </c>
      <c r="I37" s="8" t="s">
        <v>2003</v>
      </c>
      <c r="J37" s="5" t="s">
        <v>1966</v>
      </c>
      <c r="K37" s="5"/>
      <c r="L37" s="5" t="n">
        <v>12</v>
      </c>
      <c r="M37" s="6" t="s">
        <v>37</v>
      </c>
      <c r="N37" s="8" t="s">
        <v>38</v>
      </c>
      <c r="O37" s="155"/>
    </row>
    <row r="38" customFormat="false" ht="22.5" hidden="false" customHeight="false" outlineLevel="0" collapsed="false">
      <c r="A38" s="5" t="n">
        <f aca="false">IF(B38&lt;&gt;"", COUNTA($B$2:B38), "")</f>
        <v>37</v>
      </c>
      <c r="B38" s="7" t="s">
        <v>27</v>
      </c>
      <c r="C38" s="8" t="s">
        <v>1156</v>
      </c>
      <c r="D38" s="10" t="n">
        <v>312544</v>
      </c>
      <c r="E38" s="8"/>
      <c r="F38" s="5" t="s">
        <v>29</v>
      </c>
      <c r="G38" s="10" t="n">
        <v>1</v>
      </c>
      <c r="H38" s="21" t="s">
        <v>2320</v>
      </c>
      <c r="I38" s="8" t="s">
        <v>2003</v>
      </c>
      <c r="J38" s="5" t="s">
        <v>1966</v>
      </c>
      <c r="K38" s="5"/>
      <c r="L38" s="5" t="n">
        <v>12</v>
      </c>
      <c r="M38" s="6" t="s">
        <v>37</v>
      </c>
      <c r="N38" s="8" t="s">
        <v>38</v>
      </c>
      <c r="O38" s="155"/>
    </row>
    <row r="39" customFormat="false" ht="22.5" hidden="false" customHeight="false" outlineLevel="0" collapsed="false">
      <c r="A39" s="5" t="n">
        <f aca="false">IF(B39&lt;&gt;"", COUNTA($B$2:B39), "")</f>
        <v>38</v>
      </c>
      <c r="B39" s="7" t="s">
        <v>27</v>
      </c>
      <c r="C39" s="8" t="s">
        <v>1156</v>
      </c>
      <c r="D39" s="10" t="n">
        <v>310366</v>
      </c>
      <c r="E39" s="8"/>
      <c r="F39" s="5" t="s">
        <v>29</v>
      </c>
      <c r="G39" s="10" t="n">
        <v>1</v>
      </c>
      <c r="H39" s="21" t="s">
        <v>2321</v>
      </c>
      <c r="I39" s="8" t="s">
        <v>2003</v>
      </c>
      <c r="J39" s="5" t="s">
        <v>1966</v>
      </c>
      <c r="K39" s="5"/>
      <c r="L39" s="5" t="n">
        <v>12</v>
      </c>
      <c r="M39" s="6" t="s">
        <v>37</v>
      </c>
      <c r="N39" s="8" t="s">
        <v>38</v>
      </c>
      <c r="O39" s="155"/>
    </row>
    <row r="40" customFormat="false" ht="22.5" hidden="false" customHeight="false" outlineLevel="0" collapsed="false">
      <c r="A40" s="5" t="n">
        <f aca="false">IF(B40&lt;&gt;"", COUNTA($B$2:B40), "")</f>
        <v>39</v>
      </c>
      <c r="B40" s="7" t="s">
        <v>27</v>
      </c>
      <c r="C40" s="8" t="s">
        <v>28</v>
      </c>
      <c r="D40" s="10" t="n">
        <v>15620</v>
      </c>
      <c r="E40" s="8"/>
      <c r="F40" s="5" t="s">
        <v>29</v>
      </c>
      <c r="G40" s="10" t="n">
        <v>1</v>
      </c>
      <c r="H40" s="5" t="s">
        <v>2322</v>
      </c>
      <c r="I40" s="8" t="s">
        <v>2003</v>
      </c>
      <c r="J40" s="5" t="s">
        <v>1966</v>
      </c>
      <c r="K40" s="5"/>
      <c r="L40" s="5" t="n">
        <v>12</v>
      </c>
      <c r="M40" s="6" t="s">
        <v>37</v>
      </c>
      <c r="N40" s="8" t="s">
        <v>38</v>
      </c>
      <c r="O40" s="155"/>
    </row>
    <row r="41" s="162" customFormat="true" ht="22.5" hidden="false" customHeight="false" outlineLevel="0" collapsed="false">
      <c r="A41" s="156" t="n">
        <f aca="false">IF(B41&lt;&gt;"", COUNTA($B$2:B41), "")</f>
        <v>40</v>
      </c>
      <c r="B41" s="157" t="s">
        <v>27</v>
      </c>
      <c r="C41" s="158" t="s">
        <v>28</v>
      </c>
      <c r="D41" s="159" t="s">
        <v>2683</v>
      </c>
      <c r="E41" s="158"/>
      <c r="F41" s="156" t="s">
        <v>29</v>
      </c>
      <c r="G41" s="159" t="n">
        <v>1</v>
      </c>
      <c r="H41" s="156" t="s">
        <v>2323</v>
      </c>
      <c r="I41" s="158" t="s">
        <v>2003</v>
      </c>
      <c r="J41" s="156" t="s">
        <v>1966</v>
      </c>
      <c r="K41" s="156"/>
      <c r="L41" s="156" t="n">
        <v>12</v>
      </c>
      <c r="M41" s="160" t="s">
        <v>37</v>
      </c>
      <c r="N41" s="158" t="s">
        <v>38</v>
      </c>
      <c r="O41" s="161" t="n">
        <v>15548</v>
      </c>
    </row>
    <row r="42" customFormat="false" ht="22.5" hidden="false" customHeight="false" outlineLevel="0" collapsed="false">
      <c r="A42" s="5" t="n">
        <f aca="false">IF(B42&lt;&gt;"", COUNTA($B$2:B42), "")</f>
        <v>41</v>
      </c>
      <c r="B42" s="7" t="s">
        <v>27</v>
      </c>
      <c r="C42" s="8" t="s">
        <v>28</v>
      </c>
      <c r="D42" s="10" t="n">
        <v>15568</v>
      </c>
      <c r="E42" s="8"/>
      <c r="F42" s="5" t="s">
        <v>29</v>
      </c>
      <c r="G42" s="10" t="n">
        <v>1</v>
      </c>
      <c r="H42" s="5" t="s">
        <v>2324</v>
      </c>
      <c r="I42" s="8" t="s">
        <v>2003</v>
      </c>
      <c r="J42" s="5" t="s">
        <v>1966</v>
      </c>
      <c r="K42" s="5"/>
      <c r="L42" s="5" t="n">
        <v>12</v>
      </c>
      <c r="M42" s="6" t="s">
        <v>37</v>
      </c>
      <c r="N42" s="8" t="s">
        <v>38</v>
      </c>
      <c r="O42" s="155" t="s">
        <v>1015</v>
      </c>
    </row>
    <row r="43" customFormat="false" ht="22.5" hidden="false" customHeight="false" outlineLevel="0" collapsed="false">
      <c r="A43" s="5" t="n">
        <f aca="false">IF(B43&lt;&gt;"", COUNTA($B$2:B43), "")</f>
        <v>42</v>
      </c>
      <c r="B43" s="7" t="s">
        <v>27</v>
      </c>
      <c r="C43" s="8" t="s">
        <v>860</v>
      </c>
      <c r="D43" s="10" t="n">
        <v>700070</v>
      </c>
      <c r="E43" s="8"/>
      <c r="F43" s="5" t="s">
        <v>29</v>
      </c>
      <c r="G43" s="10" t="n">
        <v>1</v>
      </c>
      <c r="H43" s="5" t="s">
        <v>2325</v>
      </c>
      <c r="I43" s="8" t="s">
        <v>2003</v>
      </c>
      <c r="J43" s="5" t="s">
        <v>1966</v>
      </c>
      <c r="K43" s="5"/>
      <c r="L43" s="5" t="n">
        <v>12</v>
      </c>
      <c r="M43" s="6" t="s">
        <v>37</v>
      </c>
      <c r="N43" s="8" t="s">
        <v>38</v>
      </c>
      <c r="O43" s="155"/>
    </row>
    <row r="44" customFormat="false" ht="22.5" hidden="false" customHeight="false" outlineLevel="0" collapsed="false">
      <c r="A44" s="5" t="n">
        <f aca="false">IF(B44&lt;&gt;"", COUNTA($B$2:B44), "")</f>
        <v>43</v>
      </c>
      <c r="B44" s="7" t="s">
        <v>27</v>
      </c>
      <c r="C44" s="8" t="s">
        <v>860</v>
      </c>
      <c r="D44" s="8" t="n">
        <v>2097318</v>
      </c>
      <c r="E44" s="8"/>
      <c r="F44" s="8" t="s">
        <v>192</v>
      </c>
      <c r="G44" s="10" t="n">
        <v>1</v>
      </c>
      <c r="H44" s="5" t="s">
        <v>2326</v>
      </c>
      <c r="I44" s="8" t="s">
        <v>2003</v>
      </c>
      <c r="J44" s="5" t="s">
        <v>1966</v>
      </c>
      <c r="K44" s="5"/>
      <c r="L44" s="5" t="n">
        <v>12</v>
      </c>
      <c r="M44" s="6" t="s">
        <v>41</v>
      </c>
      <c r="N44" s="8" t="s">
        <v>1</v>
      </c>
      <c r="O44" s="155"/>
    </row>
    <row r="45" customFormat="false" ht="22.5" hidden="false" customHeight="false" outlineLevel="0" collapsed="false">
      <c r="A45" s="5" t="n">
        <f aca="false">IF(B45&lt;&gt;"", COUNTA($B$2:B45), "")</f>
        <v>44</v>
      </c>
      <c r="B45" s="7" t="s">
        <v>27</v>
      </c>
      <c r="C45" s="8" t="s">
        <v>1312</v>
      </c>
      <c r="D45" s="15" t="s">
        <v>2684</v>
      </c>
      <c r="E45" s="8"/>
      <c r="F45" s="8" t="s">
        <v>2213</v>
      </c>
      <c r="G45" s="10" t="n">
        <v>1.5</v>
      </c>
      <c r="H45" s="5" t="s">
        <v>2328</v>
      </c>
      <c r="I45" s="8" t="s">
        <v>2685</v>
      </c>
      <c r="J45" s="5" t="s">
        <v>1966</v>
      </c>
      <c r="K45" s="5"/>
      <c r="L45" s="5" t="n">
        <v>12</v>
      </c>
      <c r="M45" s="6" t="s">
        <v>41</v>
      </c>
      <c r="N45" s="8" t="s">
        <v>1</v>
      </c>
      <c r="O45" s="155"/>
    </row>
    <row r="46" customFormat="false" ht="22.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8" t="s">
        <v>1324</v>
      </c>
      <c r="D46" s="15" t="s">
        <v>2686</v>
      </c>
      <c r="E46" s="8"/>
      <c r="F46" s="8" t="s">
        <v>2415</v>
      </c>
      <c r="G46" s="10" t="n">
        <v>1.5</v>
      </c>
      <c r="H46" s="5" t="s">
        <v>2332</v>
      </c>
      <c r="I46" s="8" t="s">
        <v>2685</v>
      </c>
      <c r="J46" s="5" t="s">
        <v>1966</v>
      </c>
      <c r="K46" s="5"/>
      <c r="L46" s="5" t="n">
        <v>12</v>
      </c>
      <c r="M46" s="6" t="s">
        <v>41</v>
      </c>
      <c r="N46" s="8" t="s">
        <v>1</v>
      </c>
      <c r="O46" s="155"/>
    </row>
    <row r="47" customFormat="false" ht="22.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8" t="s">
        <v>28</v>
      </c>
      <c r="D47" s="15" t="s">
        <v>2687</v>
      </c>
      <c r="E47" s="8"/>
      <c r="F47" s="5" t="s">
        <v>29</v>
      </c>
      <c r="G47" s="10" t="n">
        <v>1</v>
      </c>
      <c r="H47" s="5" t="s">
        <v>2334</v>
      </c>
      <c r="I47" s="8" t="s">
        <v>2003</v>
      </c>
      <c r="J47" s="5" t="s">
        <v>1966</v>
      </c>
      <c r="K47" s="5"/>
      <c r="L47" s="5" t="n">
        <v>12</v>
      </c>
      <c r="M47" s="6" t="s">
        <v>41</v>
      </c>
      <c r="N47" s="8" t="s">
        <v>1</v>
      </c>
      <c r="O47" s="155"/>
    </row>
    <row r="48" customFormat="false" ht="22.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8" t="s">
        <v>28</v>
      </c>
      <c r="D48" s="15" t="s">
        <v>2688</v>
      </c>
      <c r="E48" s="8"/>
      <c r="F48" s="5" t="s">
        <v>29</v>
      </c>
      <c r="G48" s="10" t="n">
        <v>1</v>
      </c>
      <c r="H48" s="5" t="s">
        <v>2336</v>
      </c>
      <c r="I48" s="8" t="s">
        <v>2003</v>
      </c>
      <c r="J48" s="5" t="s">
        <v>1966</v>
      </c>
      <c r="K48" s="5"/>
      <c r="L48" s="5" t="n">
        <v>12</v>
      </c>
      <c r="M48" s="6" t="s">
        <v>41</v>
      </c>
      <c r="N48" s="8" t="s">
        <v>1</v>
      </c>
      <c r="O48" s="155"/>
    </row>
    <row r="49" customFormat="false" ht="22.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8" t="s">
        <v>860</v>
      </c>
      <c r="D49" s="15" t="s">
        <v>2689</v>
      </c>
      <c r="E49" s="8"/>
      <c r="F49" s="8" t="s">
        <v>192</v>
      </c>
      <c r="G49" s="10" t="n">
        <v>1</v>
      </c>
      <c r="H49" s="5" t="s">
        <v>2338</v>
      </c>
      <c r="I49" s="8" t="s">
        <v>2003</v>
      </c>
      <c r="J49" s="5" t="s">
        <v>1966</v>
      </c>
      <c r="K49" s="5"/>
      <c r="L49" s="5" t="n">
        <v>12</v>
      </c>
      <c r="M49" s="6" t="s">
        <v>41</v>
      </c>
      <c r="N49" s="8" t="s">
        <v>1</v>
      </c>
      <c r="O49" s="155"/>
    </row>
    <row r="50" customFormat="false" ht="22.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8" t="s">
        <v>28</v>
      </c>
      <c r="D50" s="15" t="s">
        <v>2690</v>
      </c>
      <c r="E50" s="8"/>
      <c r="F50" s="8" t="s">
        <v>192</v>
      </c>
      <c r="G50" s="10" t="n">
        <v>1.5</v>
      </c>
      <c r="H50" s="5" t="s">
        <v>2340</v>
      </c>
      <c r="I50" s="8" t="s">
        <v>2003</v>
      </c>
      <c r="J50" s="5" t="s">
        <v>1966</v>
      </c>
      <c r="K50" s="5"/>
      <c r="L50" s="5" t="n">
        <v>12</v>
      </c>
      <c r="M50" s="6" t="s">
        <v>41</v>
      </c>
      <c r="N50" s="8" t="s">
        <v>1</v>
      </c>
      <c r="O50" s="155"/>
    </row>
    <row r="51" s="162" customFormat="true" ht="22.5" hidden="false" customHeight="false" outlineLevel="0" collapsed="false">
      <c r="A51" s="156" t="n">
        <f aca="false">IF(B51&lt;&gt;"", COUNTA($B$2:B51), "")</f>
        <v>50</v>
      </c>
      <c r="B51" s="157" t="s">
        <v>27</v>
      </c>
      <c r="C51" s="158" t="s">
        <v>500</v>
      </c>
      <c r="D51" s="163" t="s">
        <v>2691</v>
      </c>
      <c r="E51" s="158" t="n">
        <v>2016</v>
      </c>
      <c r="F51" s="158" t="s">
        <v>192</v>
      </c>
      <c r="G51" s="159" t="n">
        <v>1.5</v>
      </c>
      <c r="H51" s="156" t="s">
        <v>2342</v>
      </c>
      <c r="I51" s="158" t="s">
        <v>2003</v>
      </c>
      <c r="J51" s="156" t="s">
        <v>1966</v>
      </c>
      <c r="K51" s="156"/>
      <c r="L51" s="156" t="n">
        <v>12</v>
      </c>
      <c r="M51" s="160" t="s">
        <v>37</v>
      </c>
      <c r="N51" s="158" t="s">
        <v>38</v>
      </c>
      <c r="O51" s="161" t="n">
        <v>212033571</v>
      </c>
    </row>
    <row r="52" customFormat="false" ht="22.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8" t="s">
        <v>28</v>
      </c>
      <c r="D52" s="15" t="s">
        <v>2692</v>
      </c>
      <c r="E52" s="8"/>
      <c r="F52" s="5" t="s">
        <v>29</v>
      </c>
      <c r="G52" s="10" t="n">
        <v>1</v>
      </c>
      <c r="H52" s="5" t="s">
        <v>2344</v>
      </c>
      <c r="I52" s="8" t="s">
        <v>2003</v>
      </c>
      <c r="J52" s="5" t="s">
        <v>1966</v>
      </c>
      <c r="K52" s="5"/>
      <c r="L52" s="5" t="n">
        <v>12</v>
      </c>
      <c r="M52" s="6" t="s">
        <v>41</v>
      </c>
      <c r="N52" s="8" t="s">
        <v>1</v>
      </c>
      <c r="O52" s="155"/>
    </row>
    <row r="53" customFormat="false" ht="22.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8" t="s">
        <v>28</v>
      </c>
      <c r="D53" s="15" t="s">
        <v>2690</v>
      </c>
      <c r="E53" s="8"/>
      <c r="F53" s="8" t="s">
        <v>192</v>
      </c>
      <c r="G53" s="10" t="n">
        <v>1.5</v>
      </c>
      <c r="H53" s="5" t="s">
        <v>2346</v>
      </c>
      <c r="I53" s="8" t="s">
        <v>2003</v>
      </c>
      <c r="J53" s="5" t="s">
        <v>1966</v>
      </c>
      <c r="K53" s="5"/>
      <c r="L53" s="5" t="n">
        <v>12</v>
      </c>
      <c r="M53" s="6" t="s">
        <v>41</v>
      </c>
      <c r="N53" s="8" t="s">
        <v>1</v>
      </c>
      <c r="O53" s="155"/>
    </row>
    <row r="54" customFormat="false" ht="22.5" hidden="false" customHeight="false" outlineLevel="0" collapsed="false">
      <c r="A54" s="5" t="n">
        <f aca="false">IF(B54&lt;&gt;"", COUNTA($B$2:B54), "")</f>
        <v>53</v>
      </c>
      <c r="B54" s="7" t="s">
        <v>27</v>
      </c>
      <c r="C54" s="8" t="s">
        <v>28</v>
      </c>
      <c r="D54" s="15" t="s">
        <v>2693</v>
      </c>
      <c r="E54" s="8"/>
      <c r="F54" s="8" t="s">
        <v>192</v>
      </c>
      <c r="G54" s="10" t="n">
        <v>1.5</v>
      </c>
      <c r="H54" s="5" t="s">
        <v>2348</v>
      </c>
      <c r="I54" s="8" t="s">
        <v>2003</v>
      </c>
      <c r="J54" s="5" t="s">
        <v>1966</v>
      </c>
      <c r="K54" s="5"/>
      <c r="L54" s="5" t="n">
        <v>12</v>
      </c>
      <c r="M54" s="6" t="s">
        <v>41</v>
      </c>
      <c r="N54" s="8" t="s">
        <v>1</v>
      </c>
      <c r="O54" s="155"/>
    </row>
    <row r="55" customFormat="false" ht="22.5" hidden="false" customHeight="false" outlineLevel="0" collapsed="false">
      <c r="A55" s="5" t="n">
        <f aca="false">IF(B55&lt;&gt;"", COUNTA($B$2:B55), "")</f>
        <v>54</v>
      </c>
      <c r="B55" s="7" t="s">
        <v>27</v>
      </c>
      <c r="C55" s="8" t="s">
        <v>28</v>
      </c>
      <c r="D55" s="5" t="n">
        <v>7000120</v>
      </c>
      <c r="E55" s="8"/>
      <c r="F55" s="8" t="s">
        <v>192</v>
      </c>
      <c r="G55" s="10" t="n">
        <v>1.5</v>
      </c>
      <c r="H55" s="5" t="s">
        <v>2349</v>
      </c>
      <c r="I55" s="8" t="s">
        <v>2003</v>
      </c>
      <c r="J55" s="5" t="s">
        <v>1966</v>
      </c>
      <c r="K55" s="5"/>
      <c r="L55" s="5" t="n">
        <v>12</v>
      </c>
      <c r="M55" s="6" t="s">
        <v>41</v>
      </c>
      <c r="N55" s="8" t="s">
        <v>1</v>
      </c>
      <c r="O55" s="155"/>
    </row>
    <row r="56" customFormat="false" ht="22.5" hidden="false" customHeight="false" outlineLevel="0" collapsed="false">
      <c r="A56" s="5" t="n">
        <f aca="false">IF(B56&lt;&gt;"", COUNTA($B$2:B56), "")</f>
        <v>55</v>
      </c>
      <c r="B56" s="7" t="s">
        <v>27</v>
      </c>
      <c r="C56" s="8" t="s">
        <v>28</v>
      </c>
      <c r="D56" s="19" t="s">
        <v>2694</v>
      </c>
      <c r="E56" s="17"/>
      <c r="F56" s="8" t="s">
        <v>192</v>
      </c>
      <c r="G56" s="10" t="n">
        <v>1.5</v>
      </c>
      <c r="H56" s="5" t="s">
        <v>2351</v>
      </c>
      <c r="I56" s="8" t="s">
        <v>2003</v>
      </c>
      <c r="J56" s="5" t="s">
        <v>1966</v>
      </c>
      <c r="K56" s="5"/>
      <c r="L56" s="5" t="n">
        <v>12</v>
      </c>
      <c r="M56" s="6" t="s">
        <v>41</v>
      </c>
      <c r="N56" s="8" t="s">
        <v>1</v>
      </c>
      <c r="O56" s="155"/>
    </row>
    <row r="57" customFormat="false" ht="22.5" hidden="false" customHeight="false" outlineLevel="0" collapsed="false">
      <c r="A57" s="5" t="n">
        <f aca="false">IF(B57&lt;&gt;"", COUNTA($B$2:B57), "")</f>
        <v>56</v>
      </c>
      <c r="B57" s="7" t="s">
        <v>27</v>
      </c>
      <c r="C57" s="8" t="s">
        <v>28</v>
      </c>
      <c r="D57" s="19" t="s">
        <v>2695</v>
      </c>
      <c r="E57" s="17"/>
      <c r="F57" s="8" t="s">
        <v>192</v>
      </c>
      <c r="G57" s="10" t="n">
        <v>1.5</v>
      </c>
      <c r="H57" s="5" t="s">
        <v>2353</v>
      </c>
      <c r="I57" s="8" t="s">
        <v>2003</v>
      </c>
      <c r="J57" s="5" t="s">
        <v>1966</v>
      </c>
      <c r="K57" s="5"/>
      <c r="L57" s="5" t="n">
        <v>12</v>
      </c>
      <c r="M57" s="6" t="s">
        <v>41</v>
      </c>
      <c r="N57" s="8" t="s">
        <v>1</v>
      </c>
      <c r="O57" s="155"/>
    </row>
    <row r="58" customFormat="false" ht="22.5" hidden="false" customHeight="false" outlineLevel="0" collapsed="false">
      <c r="A58" s="5" t="n">
        <f aca="false">IF(B58&lt;&gt;"", COUNTA($B$2:B58), "")</f>
        <v>57</v>
      </c>
      <c r="B58" s="7" t="s">
        <v>27</v>
      </c>
      <c r="C58" s="8" t="s">
        <v>500</v>
      </c>
      <c r="D58" s="19" t="s">
        <v>2696</v>
      </c>
      <c r="E58" s="16"/>
      <c r="F58" s="8" t="s">
        <v>192</v>
      </c>
      <c r="G58" s="10" t="n">
        <v>1</v>
      </c>
      <c r="H58" s="5" t="s">
        <v>2354</v>
      </c>
      <c r="I58" s="8" t="s">
        <v>2697</v>
      </c>
      <c r="J58" s="5" t="s">
        <v>1966</v>
      </c>
      <c r="K58" s="5"/>
      <c r="L58" s="5" t="n">
        <v>12</v>
      </c>
      <c r="M58" s="6" t="s">
        <v>41</v>
      </c>
      <c r="N58" s="8" t="s">
        <v>1</v>
      </c>
      <c r="O58" s="155"/>
    </row>
    <row r="59" customFormat="false" ht="22.5" hidden="false" customHeight="false" outlineLevel="0" collapsed="false">
      <c r="A59" s="5" t="n">
        <f aca="false">IF(B59&lt;&gt;"", COUNTA($B$2:B59), "")</f>
        <v>58</v>
      </c>
      <c r="B59" s="7" t="s">
        <v>27</v>
      </c>
      <c r="C59" s="8" t="s">
        <v>500</v>
      </c>
      <c r="D59" s="19" t="s">
        <v>2698</v>
      </c>
      <c r="E59" s="16"/>
      <c r="F59" s="8" t="s">
        <v>192</v>
      </c>
      <c r="G59" s="10" t="n">
        <v>1</v>
      </c>
      <c r="H59" s="5" t="s">
        <v>2354</v>
      </c>
      <c r="I59" s="8" t="s">
        <v>2697</v>
      </c>
      <c r="J59" s="5" t="s">
        <v>1966</v>
      </c>
      <c r="K59" s="5"/>
      <c r="L59" s="5" t="n">
        <v>12</v>
      </c>
      <c r="M59" s="6" t="s">
        <v>41</v>
      </c>
      <c r="N59" s="8" t="s">
        <v>1</v>
      </c>
      <c r="O59" s="155"/>
    </row>
    <row r="60" customFormat="false" ht="22.5" hidden="false" customHeight="false" outlineLevel="0" collapsed="false">
      <c r="A60" s="5" t="n">
        <f aca="false">IF(B60&lt;&gt;"", COUNTA($B$2:B60), "")</f>
        <v>59</v>
      </c>
      <c r="B60" s="7" t="s">
        <v>27</v>
      </c>
      <c r="C60" s="8" t="s">
        <v>500</v>
      </c>
      <c r="D60" s="78" t="s">
        <v>2699</v>
      </c>
      <c r="E60" s="16"/>
      <c r="F60" s="8" t="s">
        <v>192</v>
      </c>
      <c r="G60" s="10" t="n">
        <v>1</v>
      </c>
      <c r="H60" s="5" t="s">
        <v>2354</v>
      </c>
      <c r="I60" s="8" t="s">
        <v>2697</v>
      </c>
      <c r="J60" s="5" t="s">
        <v>1966</v>
      </c>
      <c r="K60" s="5"/>
      <c r="L60" s="5" t="n">
        <v>12</v>
      </c>
      <c r="M60" s="6" t="s">
        <v>41</v>
      </c>
      <c r="N60" s="8" t="s">
        <v>1</v>
      </c>
      <c r="O60" s="155"/>
    </row>
    <row r="61" customFormat="false" ht="22.5" hidden="false" customHeight="false" outlineLevel="0" collapsed="false">
      <c r="A61" s="5" t="n">
        <f aca="false">IF(B61&lt;&gt;"", COUNTA($B$2:B61), "")</f>
        <v>60</v>
      </c>
      <c r="B61" s="7" t="s">
        <v>27</v>
      </c>
      <c r="C61" s="8" t="s">
        <v>500</v>
      </c>
      <c r="D61" s="19" t="s">
        <v>2700</v>
      </c>
      <c r="E61" s="19"/>
      <c r="F61" s="8" t="s">
        <v>192</v>
      </c>
      <c r="G61" s="10" t="n">
        <v>1</v>
      </c>
      <c r="H61" s="5" t="s">
        <v>2354</v>
      </c>
      <c r="I61" s="8" t="s">
        <v>2697</v>
      </c>
      <c r="J61" s="5" t="s">
        <v>1966</v>
      </c>
      <c r="K61" s="5"/>
      <c r="L61" s="5" t="n">
        <v>12</v>
      </c>
      <c r="M61" s="6" t="s">
        <v>41</v>
      </c>
      <c r="N61" s="8" t="s">
        <v>1</v>
      </c>
      <c r="O61" s="155"/>
    </row>
    <row r="62" customFormat="false" ht="22.5" hidden="false" customHeight="false" outlineLevel="0" collapsed="false">
      <c r="A62" s="5" t="n">
        <f aca="false">IF(B62&lt;&gt;"", COUNTA($B$2:B62), "")</f>
        <v>61</v>
      </c>
      <c r="B62" s="7" t="s">
        <v>27</v>
      </c>
      <c r="C62" s="8" t="s">
        <v>500</v>
      </c>
      <c r="D62" s="6" t="s">
        <v>2701</v>
      </c>
      <c r="E62" s="17"/>
      <c r="F62" s="8" t="s">
        <v>192</v>
      </c>
      <c r="G62" s="10" t="n">
        <v>1</v>
      </c>
      <c r="H62" s="5" t="s">
        <v>2354</v>
      </c>
      <c r="I62" s="8" t="s">
        <v>2697</v>
      </c>
      <c r="J62" s="5" t="s">
        <v>1966</v>
      </c>
      <c r="K62" s="5"/>
      <c r="L62" s="5" t="n">
        <v>12</v>
      </c>
      <c r="M62" s="6" t="s">
        <v>41</v>
      </c>
      <c r="N62" s="8" t="s">
        <v>1</v>
      </c>
      <c r="O62" s="155"/>
    </row>
    <row r="63" customFormat="false" ht="22.5" hidden="false" customHeight="false" outlineLevel="0" collapsed="false">
      <c r="A63" s="5" t="n">
        <f aca="false">IF(B63&lt;&gt;"", COUNTA($B$2:B63), "")</f>
        <v>62</v>
      </c>
      <c r="B63" s="7" t="s">
        <v>27</v>
      </c>
      <c r="C63" s="8" t="s">
        <v>500</v>
      </c>
      <c r="D63" s="19" t="s">
        <v>2702</v>
      </c>
      <c r="E63" s="17"/>
      <c r="F63" s="8" t="s">
        <v>192</v>
      </c>
      <c r="G63" s="10" t="n">
        <v>1</v>
      </c>
      <c r="H63" s="5" t="s">
        <v>2354</v>
      </c>
      <c r="I63" s="8" t="s">
        <v>2697</v>
      </c>
      <c r="J63" s="5" t="s">
        <v>1966</v>
      </c>
      <c r="K63" s="5"/>
      <c r="L63" s="5" t="n">
        <v>12</v>
      </c>
      <c r="M63" s="6" t="s">
        <v>41</v>
      </c>
      <c r="N63" s="8" t="s">
        <v>1</v>
      </c>
      <c r="O63" s="155"/>
    </row>
    <row r="64" customFormat="false" ht="22.5" hidden="false" customHeight="false" outlineLevel="0" collapsed="false">
      <c r="A64" s="5" t="n">
        <f aca="false">IF(B64&lt;&gt;"", COUNTA($B$2:B64), "")</f>
        <v>63</v>
      </c>
      <c r="B64" s="7" t="s">
        <v>27</v>
      </c>
      <c r="C64" s="8" t="s">
        <v>500</v>
      </c>
      <c r="D64" s="78" t="s">
        <v>2703</v>
      </c>
      <c r="E64" s="8"/>
      <c r="F64" s="8" t="s">
        <v>192</v>
      </c>
      <c r="G64" s="10" t="n">
        <v>1</v>
      </c>
      <c r="H64" s="5" t="s">
        <v>2354</v>
      </c>
      <c r="I64" s="8" t="s">
        <v>2697</v>
      </c>
      <c r="J64" s="5" t="s">
        <v>1966</v>
      </c>
      <c r="K64" s="5"/>
      <c r="L64" s="5" t="n">
        <v>12</v>
      </c>
      <c r="M64" s="6" t="s">
        <v>41</v>
      </c>
      <c r="N64" s="8" t="s">
        <v>1</v>
      </c>
      <c r="O64" s="155"/>
    </row>
    <row r="65" customFormat="false" ht="22.5" hidden="false" customHeight="false" outlineLevel="0" collapsed="false">
      <c r="A65" s="5" t="n">
        <f aca="false">IF(B65&lt;&gt;"", COUNTA($B$2:B65), "")</f>
        <v>64</v>
      </c>
      <c r="B65" s="7" t="s">
        <v>27</v>
      </c>
      <c r="C65" s="8" t="s">
        <v>500</v>
      </c>
      <c r="D65" s="78" t="s">
        <v>2704</v>
      </c>
      <c r="E65" s="8"/>
      <c r="F65" s="8" t="s">
        <v>192</v>
      </c>
      <c r="G65" s="10" t="n">
        <v>1</v>
      </c>
      <c r="H65" s="5" t="s">
        <v>2354</v>
      </c>
      <c r="I65" s="8" t="s">
        <v>2697</v>
      </c>
      <c r="J65" s="5" t="s">
        <v>1966</v>
      </c>
      <c r="K65" s="5"/>
      <c r="L65" s="5" t="n">
        <v>12</v>
      </c>
      <c r="M65" s="6" t="s">
        <v>41</v>
      </c>
      <c r="N65" s="8" t="s">
        <v>1</v>
      </c>
      <c r="O65" s="155"/>
    </row>
    <row r="66" customFormat="false" ht="22.5" hidden="false" customHeight="false" outlineLevel="0" collapsed="false">
      <c r="A66" s="5" t="n">
        <f aca="false">IF(B66&lt;&gt;"", COUNTA($B$2:B66), "")</f>
        <v>65</v>
      </c>
      <c r="B66" s="7" t="s">
        <v>27</v>
      </c>
      <c r="C66" s="8" t="s">
        <v>860</v>
      </c>
      <c r="D66" s="10" t="n">
        <v>2097324</v>
      </c>
      <c r="E66" s="8"/>
      <c r="F66" s="8" t="s">
        <v>192</v>
      </c>
      <c r="G66" s="10" t="n">
        <v>1</v>
      </c>
      <c r="H66" s="5" t="s">
        <v>2359</v>
      </c>
      <c r="I66" s="8" t="s">
        <v>2003</v>
      </c>
      <c r="J66" s="5" t="s">
        <v>1966</v>
      </c>
      <c r="K66" s="5"/>
      <c r="L66" s="5" t="n">
        <v>12</v>
      </c>
      <c r="M66" s="6" t="s">
        <v>41</v>
      </c>
      <c r="N66" s="8" t="s">
        <v>1</v>
      </c>
      <c r="O66" s="155"/>
    </row>
    <row r="67" customFormat="false" ht="22.5" hidden="false" customHeight="false" outlineLevel="0" collapsed="false">
      <c r="A67" s="5" t="n">
        <f aca="false">IF(B67&lt;&gt;"", COUNTA($B$2:B67), "")</f>
        <v>66</v>
      </c>
      <c r="B67" s="124" t="s">
        <v>46</v>
      </c>
      <c r="C67" s="12" t="s">
        <v>2360</v>
      </c>
      <c r="D67" s="12" t="n">
        <v>7317</v>
      </c>
      <c r="E67" s="16"/>
      <c r="F67" s="8" t="s">
        <v>48</v>
      </c>
      <c r="G67" s="10" t="n">
        <v>1.5</v>
      </c>
      <c r="H67" s="12" t="s">
        <v>2361</v>
      </c>
      <c r="I67" s="8" t="s">
        <v>2003</v>
      </c>
      <c r="J67" s="5" t="s">
        <v>1966</v>
      </c>
      <c r="K67" s="5"/>
      <c r="L67" s="5" t="n">
        <v>24</v>
      </c>
      <c r="M67" s="6" t="s">
        <v>41</v>
      </c>
      <c r="N67" s="8" t="s">
        <v>1</v>
      </c>
      <c r="O67" s="155"/>
    </row>
    <row r="68" customFormat="false" ht="22.5" hidden="false" customHeight="false" outlineLevel="0" collapsed="false">
      <c r="A68" s="5" t="n">
        <f aca="false">IF(B68&lt;&gt;"", COUNTA($B$2:B68), "")</f>
        <v>67</v>
      </c>
      <c r="B68" s="124" t="s">
        <v>46</v>
      </c>
      <c r="C68" s="12" t="s">
        <v>47</v>
      </c>
      <c r="D68" s="12" t="n">
        <v>8572</v>
      </c>
      <c r="E68" s="17"/>
      <c r="F68" s="15" t="s">
        <v>2362</v>
      </c>
      <c r="G68" s="10" t="n">
        <v>1</v>
      </c>
      <c r="H68" s="12" t="s">
        <v>2363</v>
      </c>
      <c r="I68" s="8" t="s">
        <v>2697</v>
      </c>
      <c r="J68" s="5" t="s">
        <v>1966</v>
      </c>
      <c r="K68" s="5"/>
      <c r="L68" s="5" t="n">
        <v>24</v>
      </c>
      <c r="M68" s="6" t="s">
        <v>2364</v>
      </c>
      <c r="N68" s="8" t="s">
        <v>1</v>
      </c>
      <c r="O68" s="155"/>
    </row>
    <row r="69" customFormat="false" ht="22.5" hidden="false" customHeight="false" outlineLevel="0" collapsed="false">
      <c r="A69" s="5" t="n">
        <f aca="false">IF(B69&lt;&gt;"", COUNTA($B$2:B69), "")</f>
        <v>68</v>
      </c>
      <c r="B69" s="124" t="s">
        <v>46</v>
      </c>
      <c r="C69" s="12" t="s">
        <v>47</v>
      </c>
      <c r="D69" s="12" t="n">
        <v>8528</v>
      </c>
      <c r="E69" s="17"/>
      <c r="F69" s="15" t="s">
        <v>2362</v>
      </c>
      <c r="G69" s="10" t="n">
        <v>1</v>
      </c>
      <c r="H69" s="12" t="s">
        <v>2363</v>
      </c>
      <c r="I69" s="8" t="s">
        <v>2697</v>
      </c>
      <c r="J69" s="5" t="s">
        <v>1966</v>
      </c>
      <c r="K69" s="5"/>
      <c r="L69" s="5" t="n">
        <v>24</v>
      </c>
      <c r="M69" s="6" t="s">
        <v>2364</v>
      </c>
      <c r="N69" s="8" t="s">
        <v>1</v>
      </c>
      <c r="O69" s="155"/>
    </row>
    <row r="70" customFormat="false" ht="22.5" hidden="false" customHeight="false" outlineLevel="0" collapsed="false">
      <c r="A70" s="5" t="n">
        <f aca="false">IF(B70&lt;&gt;"", COUNTA($B$2:B70), "")</f>
        <v>69</v>
      </c>
      <c r="B70" s="124" t="s">
        <v>46</v>
      </c>
      <c r="C70" s="12" t="s">
        <v>47</v>
      </c>
      <c r="D70" s="12" t="n">
        <v>8533</v>
      </c>
      <c r="E70" s="17"/>
      <c r="F70" s="15" t="s">
        <v>2362</v>
      </c>
      <c r="G70" s="10" t="n">
        <v>1</v>
      </c>
      <c r="H70" s="12" t="s">
        <v>2363</v>
      </c>
      <c r="I70" s="8" t="s">
        <v>2697</v>
      </c>
      <c r="J70" s="5" t="s">
        <v>1966</v>
      </c>
      <c r="K70" s="5"/>
      <c r="L70" s="5" t="n">
        <v>24</v>
      </c>
      <c r="M70" s="6" t="s">
        <v>2364</v>
      </c>
      <c r="N70" s="8" t="s">
        <v>1</v>
      </c>
      <c r="O70" s="155"/>
    </row>
    <row r="71" customFormat="false" ht="22.5" hidden="false" customHeight="false" outlineLevel="0" collapsed="false">
      <c r="A71" s="5" t="n">
        <f aca="false">IF(B71&lt;&gt;"", COUNTA($B$2:B71), "")</f>
        <v>70</v>
      </c>
      <c r="B71" s="124" t="s">
        <v>46</v>
      </c>
      <c r="C71" s="12" t="s">
        <v>47</v>
      </c>
      <c r="D71" s="12" t="n">
        <v>8567</v>
      </c>
      <c r="E71" s="17"/>
      <c r="F71" s="15" t="s">
        <v>2362</v>
      </c>
      <c r="G71" s="10" t="n">
        <v>1</v>
      </c>
      <c r="H71" s="12" t="s">
        <v>2363</v>
      </c>
      <c r="I71" s="8" t="s">
        <v>2697</v>
      </c>
      <c r="J71" s="5" t="s">
        <v>1966</v>
      </c>
      <c r="K71" s="5"/>
      <c r="L71" s="5" t="n">
        <v>24</v>
      </c>
      <c r="M71" s="6" t="s">
        <v>2364</v>
      </c>
      <c r="N71" s="8" t="s">
        <v>1</v>
      </c>
      <c r="O71" s="155"/>
    </row>
    <row r="72" customFormat="false" ht="22.5" hidden="false" customHeight="false" outlineLevel="0" collapsed="false">
      <c r="A72" s="5" t="n">
        <f aca="false">IF(B72&lt;&gt;"", COUNTA($B$2:B72), "")</f>
        <v>71</v>
      </c>
      <c r="B72" s="124" t="s">
        <v>46</v>
      </c>
      <c r="C72" s="12" t="s">
        <v>47</v>
      </c>
      <c r="D72" s="12" t="n">
        <v>8559</v>
      </c>
      <c r="E72" s="17"/>
      <c r="F72" s="15" t="s">
        <v>2362</v>
      </c>
      <c r="G72" s="10" t="n">
        <v>1</v>
      </c>
      <c r="H72" s="12" t="s">
        <v>2363</v>
      </c>
      <c r="I72" s="8" t="s">
        <v>2697</v>
      </c>
      <c r="J72" s="5" t="s">
        <v>1966</v>
      </c>
      <c r="K72" s="5"/>
      <c r="L72" s="5" t="n">
        <v>24</v>
      </c>
      <c r="M72" s="6" t="s">
        <v>2364</v>
      </c>
      <c r="N72" s="8" t="s">
        <v>1</v>
      </c>
      <c r="O72" s="155"/>
    </row>
    <row r="73" customFormat="false" ht="22.5" hidden="false" customHeight="false" outlineLevel="0" collapsed="false">
      <c r="A73" s="5" t="n">
        <f aca="false">IF(B73&lt;&gt;"", COUNTA($B$2:B73), "")</f>
        <v>72</v>
      </c>
      <c r="B73" s="124" t="s">
        <v>46</v>
      </c>
      <c r="C73" s="12" t="s">
        <v>47</v>
      </c>
      <c r="D73" s="12" t="n">
        <v>8535</v>
      </c>
      <c r="E73" s="16"/>
      <c r="F73" s="15" t="s">
        <v>2362</v>
      </c>
      <c r="G73" s="10" t="n">
        <v>1</v>
      </c>
      <c r="H73" s="12" t="s">
        <v>2363</v>
      </c>
      <c r="I73" s="8" t="s">
        <v>2697</v>
      </c>
      <c r="J73" s="5" t="s">
        <v>1966</v>
      </c>
      <c r="K73" s="5"/>
      <c r="L73" s="5" t="n">
        <v>24</v>
      </c>
      <c r="M73" s="6" t="s">
        <v>2364</v>
      </c>
      <c r="N73" s="8" t="s">
        <v>1</v>
      </c>
      <c r="O73" s="155"/>
    </row>
    <row r="74" customFormat="false" ht="22.5" hidden="false" customHeight="false" outlineLevel="0" collapsed="false">
      <c r="A74" s="5" t="n">
        <f aca="false">IF(B74&lt;&gt;"", COUNTA($B$2:B74), "")</f>
        <v>73</v>
      </c>
      <c r="B74" s="124" t="s">
        <v>46</v>
      </c>
      <c r="C74" s="12" t="s">
        <v>47</v>
      </c>
      <c r="D74" s="12" t="n">
        <v>8565</v>
      </c>
      <c r="E74" s="16"/>
      <c r="F74" s="15" t="s">
        <v>2362</v>
      </c>
      <c r="G74" s="10" t="n">
        <v>1</v>
      </c>
      <c r="H74" s="12" t="s">
        <v>2363</v>
      </c>
      <c r="I74" s="8" t="s">
        <v>2697</v>
      </c>
      <c r="J74" s="5" t="s">
        <v>1966</v>
      </c>
      <c r="K74" s="5"/>
      <c r="L74" s="5" t="n">
        <v>24</v>
      </c>
      <c r="M74" s="6" t="s">
        <v>2364</v>
      </c>
      <c r="N74" s="8" t="s">
        <v>1</v>
      </c>
      <c r="O74" s="155"/>
    </row>
    <row r="75" customFormat="false" ht="22.5" hidden="false" customHeight="false" outlineLevel="0" collapsed="false">
      <c r="A75" s="5" t="n">
        <f aca="false">IF(B75&lt;&gt;"", COUNTA($B$2:B75), "")</f>
        <v>74</v>
      </c>
      <c r="B75" s="124" t="s">
        <v>46</v>
      </c>
      <c r="C75" s="12" t="s">
        <v>47</v>
      </c>
      <c r="D75" s="12" t="n">
        <v>8570</v>
      </c>
      <c r="E75" s="16"/>
      <c r="F75" s="15" t="s">
        <v>2362</v>
      </c>
      <c r="G75" s="10" t="n">
        <v>1</v>
      </c>
      <c r="H75" s="12" t="s">
        <v>2363</v>
      </c>
      <c r="I75" s="8" t="s">
        <v>2697</v>
      </c>
      <c r="J75" s="5" t="s">
        <v>1966</v>
      </c>
      <c r="K75" s="5"/>
      <c r="L75" s="5" t="n">
        <v>24</v>
      </c>
      <c r="M75" s="6" t="s">
        <v>2364</v>
      </c>
      <c r="N75" s="8" t="s">
        <v>1</v>
      </c>
      <c r="O75" s="155"/>
    </row>
    <row r="76" customFormat="false" ht="22.5" hidden="false" customHeight="false" outlineLevel="0" collapsed="false">
      <c r="A76" s="5" t="n">
        <f aca="false">IF(B76&lt;&gt;"", COUNTA($B$2:B76), "")</f>
        <v>75</v>
      </c>
      <c r="B76" s="124" t="s">
        <v>1836</v>
      </c>
      <c r="C76" s="12" t="s">
        <v>2365</v>
      </c>
      <c r="D76" s="12" t="s">
        <v>2705</v>
      </c>
      <c r="E76" s="16" t="n">
        <v>2018</v>
      </c>
      <c r="F76" s="27" t="s">
        <v>2367</v>
      </c>
      <c r="G76" s="10"/>
      <c r="H76" s="5" t="s">
        <v>2368</v>
      </c>
      <c r="I76" s="8" t="s">
        <v>2003</v>
      </c>
      <c r="J76" s="5" t="s">
        <v>1966</v>
      </c>
      <c r="K76" s="5"/>
      <c r="L76" s="5" t="n">
        <v>60</v>
      </c>
      <c r="M76" s="6"/>
      <c r="N76" s="8"/>
      <c r="O76" s="164"/>
    </row>
    <row r="77" customFormat="false" ht="22.5" hidden="false" customHeight="false" outlineLevel="0" collapsed="false">
      <c r="A77" s="5" t="n">
        <f aca="false">IF(B77&lt;&gt;"", COUNTA($B$2:B77), "")</f>
        <v>76</v>
      </c>
      <c r="B77" s="124" t="s">
        <v>1836</v>
      </c>
      <c r="C77" s="12" t="s">
        <v>2365</v>
      </c>
      <c r="D77" s="12" t="s">
        <v>2706</v>
      </c>
      <c r="E77" s="16" t="n">
        <v>2018</v>
      </c>
      <c r="F77" s="27" t="s">
        <v>2367</v>
      </c>
      <c r="G77" s="10"/>
      <c r="H77" s="5" t="s">
        <v>2370</v>
      </c>
      <c r="I77" s="8" t="s">
        <v>2003</v>
      </c>
      <c r="J77" s="5" t="s">
        <v>1966</v>
      </c>
      <c r="K77" s="5"/>
      <c r="L77" s="5" t="n">
        <v>60</v>
      </c>
      <c r="M77" s="6"/>
      <c r="N77" s="8"/>
      <c r="O77" s="164"/>
    </row>
    <row r="78" customFormat="false" ht="22.5" hidden="false" customHeight="false" outlineLevel="0" collapsed="false">
      <c r="A78" s="5" t="n">
        <f aca="false">IF(B78&lt;&gt;"", COUNTA($B$2:B78), "")</f>
        <v>77</v>
      </c>
      <c r="B78" s="124" t="s">
        <v>1836</v>
      </c>
      <c r="C78" s="12" t="s">
        <v>2365</v>
      </c>
      <c r="D78" s="12" t="s">
        <v>2707</v>
      </c>
      <c r="E78" s="16" t="n">
        <v>2018</v>
      </c>
      <c r="F78" s="27" t="s">
        <v>2372</v>
      </c>
      <c r="G78" s="10"/>
      <c r="H78" s="5" t="s">
        <v>2373</v>
      </c>
      <c r="I78" s="8" t="s">
        <v>2003</v>
      </c>
      <c r="J78" s="5" t="s">
        <v>1966</v>
      </c>
      <c r="K78" s="5"/>
      <c r="L78" s="5" t="n">
        <v>60</v>
      </c>
      <c r="M78" s="6"/>
      <c r="N78" s="8"/>
      <c r="O78" s="164"/>
    </row>
    <row r="79" customFormat="false" ht="22.5" hidden="false" customHeight="false" outlineLevel="0" collapsed="false">
      <c r="A79" s="5" t="n">
        <f aca="false">IF(B79&lt;&gt;"", COUNTA($B$2:B79), "")</f>
        <v>78</v>
      </c>
      <c r="B79" s="124" t="s">
        <v>1836</v>
      </c>
      <c r="C79" s="12" t="s">
        <v>2365</v>
      </c>
      <c r="D79" s="12" t="s">
        <v>2708</v>
      </c>
      <c r="E79" s="16" t="n">
        <v>2018</v>
      </c>
      <c r="F79" s="27" t="s">
        <v>2372</v>
      </c>
      <c r="G79" s="10"/>
      <c r="H79" s="5" t="s">
        <v>2375</v>
      </c>
      <c r="I79" s="8" t="s">
        <v>2003</v>
      </c>
      <c r="J79" s="5" t="s">
        <v>1966</v>
      </c>
      <c r="K79" s="5"/>
      <c r="L79" s="5" t="n">
        <v>60</v>
      </c>
      <c r="M79" s="6"/>
      <c r="N79" s="8"/>
      <c r="O79" s="164"/>
    </row>
    <row r="80" customFormat="false" ht="22.5" hidden="false" customHeight="false" outlineLevel="0" collapsed="false">
      <c r="A80" s="5" t="n">
        <f aca="false">IF(B80&lt;&gt;"", COUNTA($B$2:B80), "")</f>
        <v>79</v>
      </c>
      <c r="B80" s="124" t="s">
        <v>1836</v>
      </c>
      <c r="C80" s="12" t="s">
        <v>2376</v>
      </c>
      <c r="D80" s="12" t="n">
        <v>90651</v>
      </c>
      <c r="E80" s="16" t="n">
        <v>2018</v>
      </c>
      <c r="F80" s="27" t="s">
        <v>2377</v>
      </c>
      <c r="G80" s="126" t="n">
        <v>0.02</v>
      </c>
      <c r="H80" s="12" t="s">
        <v>2378</v>
      </c>
      <c r="I80" s="8" t="s">
        <v>2003</v>
      </c>
      <c r="J80" s="5" t="s">
        <v>1966</v>
      </c>
      <c r="K80" s="5"/>
      <c r="L80" s="5" t="n">
        <v>60</v>
      </c>
      <c r="M80" s="6"/>
      <c r="N80" s="8"/>
      <c r="O80" s="155"/>
    </row>
    <row r="81" customFormat="false" ht="22.5" hidden="false" customHeight="false" outlineLevel="0" collapsed="false">
      <c r="A81" s="5" t="n">
        <f aca="false">IF(B81&lt;&gt;"", COUNTA($B$2:B81), "")</f>
        <v>80</v>
      </c>
      <c r="B81" s="6" t="s">
        <v>2379</v>
      </c>
      <c r="C81" s="12" t="s">
        <v>2380</v>
      </c>
      <c r="D81" s="12" t="n">
        <v>1119090075</v>
      </c>
      <c r="E81" s="17" t="n">
        <v>2019</v>
      </c>
      <c r="F81" s="6"/>
      <c r="G81" s="10"/>
      <c r="H81" s="12" t="s">
        <v>2381</v>
      </c>
      <c r="I81" s="8" t="s">
        <v>2685</v>
      </c>
      <c r="J81" s="5" t="s">
        <v>1966</v>
      </c>
      <c r="K81" s="5"/>
      <c r="L81" s="5" t="n">
        <v>60</v>
      </c>
      <c r="M81" s="6"/>
      <c r="N81" s="8"/>
      <c r="O81" s="155"/>
    </row>
    <row r="82" customFormat="false" ht="22.5" hidden="false" customHeight="false" outlineLevel="0" collapsed="false">
      <c r="A82" s="5" t="n">
        <f aca="false">IF(B82&lt;&gt;"", COUNTA($B$2:B82), "")</f>
        <v>81</v>
      </c>
      <c r="B82" s="7" t="s">
        <v>2382</v>
      </c>
      <c r="C82" s="12" t="s">
        <v>2383</v>
      </c>
      <c r="D82" s="78" t="s">
        <v>2709</v>
      </c>
      <c r="E82" s="17" t="n">
        <v>2019</v>
      </c>
      <c r="F82" s="6"/>
      <c r="G82" s="10"/>
      <c r="H82" s="12" t="s">
        <v>2381</v>
      </c>
      <c r="I82" s="8" t="s">
        <v>2685</v>
      </c>
      <c r="J82" s="5" t="s">
        <v>1966</v>
      </c>
      <c r="K82" s="5"/>
      <c r="L82" s="5" t="n">
        <v>60</v>
      </c>
      <c r="M82" s="6"/>
      <c r="N82" s="8"/>
      <c r="O82" s="155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7" t="s">
        <v>2385</v>
      </c>
      <c r="C83" s="12" t="s">
        <v>2386</v>
      </c>
      <c r="D83" s="78" t="s">
        <v>2710</v>
      </c>
      <c r="E83" s="17" t="n">
        <v>2019</v>
      </c>
      <c r="F83" s="27" t="s">
        <v>2388</v>
      </c>
      <c r="G83" s="126" t="n">
        <v>0.01</v>
      </c>
      <c r="H83" s="12" t="s">
        <v>2381</v>
      </c>
      <c r="I83" s="8" t="s">
        <v>2685</v>
      </c>
      <c r="J83" s="5" t="s">
        <v>1966</v>
      </c>
      <c r="K83" s="5"/>
      <c r="L83" s="5" t="n">
        <v>60</v>
      </c>
      <c r="M83" s="6"/>
      <c r="N83" s="8"/>
      <c r="O83" s="155"/>
    </row>
    <row r="84" customFormat="false" ht="22.5" hidden="false" customHeight="false" outlineLevel="0" collapsed="false">
      <c r="A84" s="5" t="n">
        <f aca="false">IF(B84&lt;&gt;"", COUNTA($B$2:B84), "")</f>
        <v>83</v>
      </c>
      <c r="B84" s="7" t="s">
        <v>2389</v>
      </c>
      <c r="C84" s="165" t="s">
        <v>2390</v>
      </c>
      <c r="D84" s="78" t="s">
        <v>2091</v>
      </c>
      <c r="E84" s="8" t="n">
        <v>2021</v>
      </c>
      <c r="F84" s="6"/>
      <c r="G84" s="10"/>
      <c r="H84" s="12" t="s">
        <v>2392</v>
      </c>
      <c r="I84" s="8" t="s">
        <v>2685</v>
      </c>
      <c r="J84" s="5" t="s">
        <v>1966</v>
      </c>
      <c r="K84" s="5"/>
      <c r="L84" s="5" t="n">
        <v>60</v>
      </c>
      <c r="M84" s="6"/>
      <c r="N84" s="8"/>
      <c r="O84" s="155"/>
    </row>
    <row r="85" customFormat="false" ht="22.5" hidden="false" customHeight="false" outlineLevel="0" collapsed="false">
      <c r="A85" s="5" t="n">
        <f aca="false">IF(B85&lt;&gt;"", COUNTA($B$2:B85), "")</f>
        <v>84</v>
      </c>
      <c r="B85" s="7" t="s">
        <v>2389</v>
      </c>
      <c r="C85" s="165" t="s">
        <v>2390</v>
      </c>
      <c r="D85" s="78" t="s">
        <v>2175</v>
      </c>
      <c r="E85" s="8" t="n">
        <v>2021</v>
      </c>
      <c r="F85" s="6"/>
      <c r="G85" s="10"/>
      <c r="H85" s="12" t="s">
        <v>2392</v>
      </c>
      <c r="I85" s="8" t="s">
        <v>2685</v>
      </c>
      <c r="J85" s="5" t="s">
        <v>1966</v>
      </c>
      <c r="K85" s="5"/>
      <c r="L85" s="5" t="n">
        <v>60</v>
      </c>
      <c r="M85" s="6"/>
      <c r="N85" s="8"/>
      <c r="O85" s="155"/>
    </row>
    <row r="86" customFormat="false" ht="22.5" hidden="false" customHeight="false" outlineLevel="0" collapsed="false">
      <c r="A86" s="5" t="n">
        <f aca="false">IF(B86&lt;&gt;"", COUNTA($B$2:B86), "")</f>
        <v>85</v>
      </c>
      <c r="B86" s="7" t="s">
        <v>2394</v>
      </c>
      <c r="C86" s="12" t="s">
        <v>2395</v>
      </c>
      <c r="D86" s="78" t="s">
        <v>2711</v>
      </c>
      <c r="E86" s="8" t="n">
        <v>2018</v>
      </c>
      <c r="F86" s="8" t="s">
        <v>246</v>
      </c>
      <c r="G86" s="10"/>
      <c r="H86" s="12" t="s">
        <v>2397</v>
      </c>
      <c r="I86" s="8" t="s">
        <v>2685</v>
      </c>
      <c r="J86" s="5" t="s">
        <v>1966</v>
      </c>
      <c r="K86" s="5"/>
      <c r="L86" s="5" t="n">
        <v>60</v>
      </c>
      <c r="M86" s="6"/>
      <c r="N86" s="8"/>
      <c r="O86" s="164"/>
    </row>
    <row r="87" customFormat="false" ht="22.5" hidden="false" customHeight="false" outlineLevel="0" collapsed="false">
      <c r="A87" s="5" t="n">
        <f aca="false">IF(B87&lt;&gt;"", COUNTA($B$2:B87), "")</f>
        <v>86</v>
      </c>
      <c r="B87" s="7" t="s">
        <v>64</v>
      </c>
      <c r="C87" s="12" t="s">
        <v>2398</v>
      </c>
      <c r="D87" s="78" t="s">
        <v>2712</v>
      </c>
      <c r="E87" s="8" t="n">
        <v>2019</v>
      </c>
      <c r="F87" s="15" t="s">
        <v>2400</v>
      </c>
      <c r="G87" s="10"/>
      <c r="H87" s="12" t="s">
        <v>2401</v>
      </c>
      <c r="I87" s="8" t="s">
        <v>2685</v>
      </c>
      <c r="J87" s="5" t="s">
        <v>1966</v>
      </c>
      <c r="K87" s="5"/>
      <c r="L87" s="5"/>
      <c r="M87" s="6"/>
      <c r="N87" s="8"/>
      <c r="O87" s="155"/>
    </row>
    <row r="88" customFormat="false" ht="22.5" hidden="false" customHeight="false" outlineLevel="0" collapsed="false">
      <c r="A88" s="5" t="n">
        <f aca="false">IF(B88&lt;&gt;"", COUNTA($B$2:B88), "")</f>
        <v>87</v>
      </c>
      <c r="B88" s="7" t="s">
        <v>2394</v>
      </c>
      <c r="C88" s="12" t="s">
        <v>2402</v>
      </c>
      <c r="D88" s="78" t="s">
        <v>2713</v>
      </c>
      <c r="E88" s="8" t="n">
        <v>2018</v>
      </c>
      <c r="F88" s="8" t="s">
        <v>139</v>
      </c>
      <c r="G88" s="10"/>
      <c r="H88" s="12" t="s">
        <v>2404</v>
      </c>
      <c r="I88" s="8" t="s">
        <v>2685</v>
      </c>
      <c r="J88" s="5" t="s">
        <v>1966</v>
      </c>
      <c r="K88" s="5"/>
      <c r="L88" s="5" t="n">
        <v>60</v>
      </c>
      <c r="M88" s="6"/>
      <c r="N88" s="8"/>
      <c r="O88" s="164"/>
    </row>
    <row r="89" customFormat="false" ht="22.5" hidden="false" customHeight="false" outlineLevel="0" collapsed="false">
      <c r="A89" s="5" t="n">
        <f aca="false">IF(B89&lt;&gt;"", COUNTA($B$2:B89), "")</f>
        <v>88</v>
      </c>
      <c r="B89" s="7" t="s">
        <v>64</v>
      </c>
      <c r="C89" s="12" t="s">
        <v>2405</v>
      </c>
      <c r="D89" s="78" t="s">
        <v>2714</v>
      </c>
      <c r="E89" s="8" t="n">
        <v>2019</v>
      </c>
      <c r="F89" s="15" t="s">
        <v>2407</v>
      </c>
      <c r="G89" s="10"/>
      <c r="H89" s="12" t="s">
        <v>2408</v>
      </c>
      <c r="I89" s="8" t="s">
        <v>2685</v>
      </c>
      <c r="J89" s="5" t="s">
        <v>1966</v>
      </c>
      <c r="K89" s="5"/>
      <c r="L89" s="5"/>
      <c r="M89" s="6"/>
      <c r="N89" s="8"/>
      <c r="O89" s="155"/>
    </row>
    <row r="90" customFormat="false" ht="22.5" hidden="false" customHeight="false" outlineLevel="0" collapsed="false">
      <c r="A90" s="5" t="n">
        <f aca="false">IF(B90&lt;&gt;"", COUNTA($B$2:B90), "")</f>
        <v>89</v>
      </c>
      <c r="B90" s="7" t="s">
        <v>2409</v>
      </c>
      <c r="C90" s="12" t="s">
        <v>2410</v>
      </c>
      <c r="D90" s="78" t="s">
        <v>2715</v>
      </c>
      <c r="E90" s="8"/>
      <c r="F90" s="8" t="s">
        <v>139</v>
      </c>
      <c r="G90" s="10"/>
      <c r="H90" s="12" t="s">
        <v>2412</v>
      </c>
      <c r="I90" s="8" t="s">
        <v>2685</v>
      </c>
      <c r="J90" s="5" t="s">
        <v>1966</v>
      </c>
      <c r="K90" s="5"/>
      <c r="L90" s="5"/>
      <c r="M90" s="6"/>
      <c r="N90" s="8"/>
      <c r="O90" s="164"/>
    </row>
    <row r="91" customFormat="false" ht="22.5" hidden="false" customHeight="false" outlineLevel="0" collapsed="false">
      <c r="A91" s="5" t="n">
        <f aca="false">IF(B91&lt;&gt;"", COUNTA($B$2:B91), "")</f>
        <v>90</v>
      </c>
      <c r="B91" s="7" t="s">
        <v>2394</v>
      </c>
      <c r="C91" s="12" t="s">
        <v>2413</v>
      </c>
      <c r="D91" s="78" t="s">
        <v>2716</v>
      </c>
      <c r="E91" s="8" t="n">
        <v>2018</v>
      </c>
      <c r="F91" s="8" t="s">
        <v>2415</v>
      </c>
      <c r="G91" s="10"/>
      <c r="H91" s="12" t="s">
        <v>2416</v>
      </c>
      <c r="I91" s="8" t="s">
        <v>2685</v>
      </c>
      <c r="J91" s="5" t="s">
        <v>1966</v>
      </c>
      <c r="K91" s="5"/>
      <c r="L91" s="5"/>
      <c r="M91" s="6"/>
      <c r="N91" s="8"/>
      <c r="O91" s="164"/>
    </row>
    <row r="92" customFormat="false" ht="22.5" hidden="false" customHeight="false" outlineLevel="0" collapsed="false">
      <c r="A92" s="5" t="n">
        <f aca="false">IF(B92&lt;&gt;"", COUNTA($B$2:B92), "")</f>
        <v>91</v>
      </c>
      <c r="B92" s="7" t="s">
        <v>64</v>
      </c>
      <c r="C92" s="12" t="s">
        <v>2417</v>
      </c>
      <c r="D92" s="78" t="s">
        <v>2717</v>
      </c>
      <c r="E92" s="8" t="n">
        <v>2018</v>
      </c>
      <c r="F92" s="15" t="s">
        <v>2419</v>
      </c>
      <c r="G92" s="10"/>
      <c r="H92" s="12" t="s">
        <v>2420</v>
      </c>
      <c r="I92" s="8" t="s">
        <v>2685</v>
      </c>
      <c r="J92" s="5" t="s">
        <v>1966</v>
      </c>
      <c r="K92" s="5"/>
      <c r="L92" s="5"/>
      <c r="M92" s="6"/>
      <c r="N92" s="8"/>
      <c r="O92" s="155"/>
    </row>
    <row r="93" customFormat="false" ht="22.5" hidden="false" customHeight="false" outlineLevel="0" collapsed="false">
      <c r="A93" s="5" t="n">
        <f aca="false">IF(B93&lt;&gt;"", COUNTA($B$2:B93), "")</f>
        <v>92</v>
      </c>
      <c r="B93" s="7" t="s">
        <v>64</v>
      </c>
      <c r="C93" s="12" t="s">
        <v>2417</v>
      </c>
      <c r="D93" s="78" t="s">
        <v>2718</v>
      </c>
      <c r="E93" s="8" t="n">
        <v>2018</v>
      </c>
      <c r="F93" s="15" t="s">
        <v>2400</v>
      </c>
      <c r="G93" s="10"/>
      <c r="H93" s="12" t="s">
        <v>2422</v>
      </c>
      <c r="I93" s="8" t="s">
        <v>2685</v>
      </c>
      <c r="J93" s="5" t="s">
        <v>1966</v>
      </c>
      <c r="K93" s="5"/>
      <c r="L93" s="5"/>
      <c r="M93" s="6"/>
      <c r="N93" s="8"/>
      <c r="O93" s="155"/>
    </row>
    <row r="94" customFormat="false" ht="22.5" hidden="false" customHeight="false" outlineLevel="0" collapsed="false">
      <c r="A94" s="5" t="n">
        <f aca="false">IF(B94&lt;&gt;"", COUNTA($B$2:B94), "")</f>
        <v>93</v>
      </c>
      <c r="B94" s="7" t="s">
        <v>2409</v>
      </c>
      <c r="C94" s="12" t="s">
        <v>2423</v>
      </c>
      <c r="D94" s="78" t="s">
        <v>2719</v>
      </c>
      <c r="E94" s="8"/>
      <c r="F94" s="8" t="s">
        <v>139</v>
      </c>
      <c r="G94" s="10"/>
      <c r="H94" s="12" t="s">
        <v>2425</v>
      </c>
      <c r="I94" s="8" t="s">
        <v>2685</v>
      </c>
      <c r="J94" s="5" t="s">
        <v>1966</v>
      </c>
      <c r="K94" s="5"/>
      <c r="L94" s="5"/>
      <c r="M94" s="6"/>
      <c r="N94" s="8"/>
      <c r="O94" s="164"/>
    </row>
    <row r="95" customFormat="false" ht="22.5" hidden="false" customHeight="false" outlineLevel="0" collapsed="false">
      <c r="A95" s="5" t="n">
        <f aca="false">IF(B95&lt;&gt;"", COUNTA($B$2:B95), "")</f>
        <v>94</v>
      </c>
      <c r="B95" s="7" t="s">
        <v>64</v>
      </c>
      <c r="C95" s="12" t="s">
        <v>2405</v>
      </c>
      <c r="D95" s="19" t="s">
        <v>2720</v>
      </c>
      <c r="E95" s="8" t="n">
        <v>2019</v>
      </c>
      <c r="F95" s="15" t="s">
        <v>2407</v>
      </c>
      <c r="G95" s="10"/>
      <c r="H95" s="12" t="s">
        <v>2427</v>
      </c>
      <c r="I95" s="8" t="s">
        <v>2685</v>
      </c>
      <c r="J95" s="5" t="s">
        <v>1966</v>
      </c>
      <c r="K95" s="5"/>
      <c r="L95" s="5"/>
      <c r="M95" s="6"/>
      <c r="N95" s="8"/>
      <c r="O95" s="155"/>
    </row>
    <row r="96" customFormat="false" ht="22.5" hidden="false" customHeight="false" outlineLevel="0" collapsed="false">
      <c r="A96" s="5" t="n">
        <f aca="false">IF(B96&lt;&gt;"", COUNTA($B$2:B96), "")</f>
        <v>95</v>
      </c>
      <c r="B96" s="7" t="s">
        <v>2428</v>
      </c>
      <c r="C96" s="12" t="s">
        <v>2429</v>
      </c>
      <c r="D96" s="78" t="s">
        <v>2430</v>
      </c>
      <c r="E96" s="8"/>
      <c r="F96" s="8" t="s">
        <v>133</v>
      </c>
      <c r="G96" s="10"/>
      <c r="H96" s="12" t="s">
        <v>2431</v>
      </c>
      <c r="I96" s="8" t="s">
        <v>2685</v>
      </c>
      <c r="J96" s="5" t="s">
        <v>1966</v>
      </c>
      <c r="K96" s="5"/>
      <c r="L96" s="5"/>
      <c r="M96" s="6"/>
      <c r="N96" s="8"/>
      <c r="O96" s="164"/>
      <c r="P96" s="166" t="s">
        <v>2432</v>
      </c>
    </row>
    <row r="97" customFormat="false" ht="22.5" hidden="false" customHeight="false" outlineLevel="0" collapsed="false">
      <c r="A97" s="5" t="n">
        <f aca="false">IF(B97&lt;&gt;"", COUNTA($B$2:B97), "")</f>
        <v>96</v>
      </c>
      <c r="B97" s="7" t="s">
        <v>2428</v>
      </c>
      <c r="C97" s="12" t="s">
        <v>2433</v>
      </c>
      <c r="D97" s="78" t="s">
        <v>2721</v>
      </c>
      <c r="E97" s="8"/>
      <c r="F97" s="8" t="s">
        <v>139</v>
      </c>
      <c r="G97" s="10"/>
      <c r="H97" s="12" t="s">
        <v>2435</v>
      </c>
      <c r="I97" s="8" t="s">
        <v>2685</v>
      </c>
      <c r="J97" s="5" t="s">
        <v>1966</v>
      </c>
      <c r="K97" s="5"/>
      <c r="L97" s="5"/>
      <c r="M97" s="6"/>
      <c r="N97" s="8"/>
      <c r="O97" s="164"/>
      <c r="P97" s="166" t="s">
        <v>2432</v>
      </c>
    </row>
    <row r="98" customFormat="false" ht="15" hidden="false" customHeight="true" outlineLevel="0" collapsed="false">
      <c r="A98" s="5" t="n">
        <f aca="false">IF(B98&lt;&gt;"", COUNTA($B$2:B98), "")</f>
        <v>97</v>
      </c>
      <c r="B98" s="7" t="s">
        <v>2428</v>
      </c>
      <c r="C98" s="12" t="s">
        <v>2433</v>
      </c>
      <c r="D98" s="78" t="s">
        <v>2722</v>
      </c>
      <c r="E98" s="8"/>
      <c r="F98" s="8" t="s">
        <v>139</v>
      </c>
      <c r="G98" s="10"/>
      <c r="H98" s="12" t="s">
        <v>2436</v>
      </c>
      <c r="I98" s="8" t="s">
        <v>2685</v>
      </c>
      <c r="J98" s="5" t="s">
        <v>1966</v>
      </c>
      <c r="K98" s="5"/>
      <c r="L98" s="5"/>
      <c r="M98" s="6"/>
      <c r="N98" s="8"/>
      <c r="O98" s="164"/>
      <c r="P98" s="166" t="s">
        <v>2432</v>
      </c>
    </row>
    <row r="99" customFormat="false" ht="22.5" hidden="false" customHeight="false" outlineLevel="0" collapsed="false">
      <c r="A99" s="5" t="n">
        <f aca="false">IF(B99&lt;&gt;"", COUNTA($B$2:B99), "")</f>
        <v>98</v>
      </c>
      <c r="B99" s="7" t="s">
        <v>2428</v>
      </c>
      <c r="C99" s="12" t="s">
        <v>2429</v>
      </c>
      <c r="D99" s="78" t="s">
        <v>2430</v>
      </c>
      <c r="E99" s="8"/>
      <c r="F99" s="8" t="s">
        <v>133</v>
      </c>
      <c r="G99" s="10"/>
      <c r="H99" s="12" t="s">
        <v>2437</v>
      </c>
      <c r="I99" s="8" t="s">
        <v>2685</v>
      </c>
      <c r="J99" s="5" t="s">
        <v>1966</v>
      </c>
      <c r="K99" s="5"/>
      <c r="L99" s="5"/>
      <c r="M99" s="6"/>
      <c r="N99" s="8"/>
      <c r="O99" s="164"/>
      <c r="P99" s="166" t="s">
        <v>2432</v>
      </c>
    </row>
    <row r="100" customFormat="false" ht="22.5" hidden="false" customHeight="false" outlineLevel="0" collapsed="false">
      <c r="A100" s="5" t="n">
        <f aca="false">IF(B100&lt;&gt;"", COUNTA($B$2:B100), "")</f>
        <v>99</v>
      </c>
      <c r="B100" s="7" t="s">
        <v>2428</v>
      </c>
      <c r="C100" s="12" t="s">
        <v>2433</v>
      </c>
      <c r="D100" s="78" t="s">
        <v>2713</v>
      </c>
      <c r="E100" s="8"/>
      <c r="F100" s="8" t="s">
        <v>139</v>
      </c>
      <c r="G100" s="10"/>
      <c r="H100" s="12" t="s">
        <v>2439</v>
      </c>
      <c r="I100" s="8" t="s">
        <v>2685</v>
      </c>
      <c r="J100" s="5" t="s">
        <v>1966</v>
      </c>
      <c r="K100" s="5"/>
      <c r="L100" s="5"/>
      <c r="M100" s="6"/>
      <c r="N100" s="8"/>
      <c r="O100" s="164"/>
      <c r="P100" s="166" t="s">
        <v>2432</v>
      </c>
    </row>
    <row r="101" customFormat="false" ht="20.25" hidden="false" customHeight="true" outlineLevel="0" collapsed="false">
      <c r="A101" s="5" t="n">
        <f aca="false">IF(B101&lt;&gt;"", COUNTA($B$2:B101), "")</f>
        <v>100</v>
      </c>
      <c r="B101" s="124" t="s">
        <v>57</v>
      </c>
      <c r="C101" s="12" t="s">
        <v>2440</v>
      </c>
      <c r="D101" s="12" t="n">
        <v>6178295</v>
      </c>
      <c r="E101" s="129" t="n">
        <v>44317</v>
      </c>
      <c r="F101" s="8" t="s">
        <v>2415</v>
      </c>
      <c r="G101" s="10" t="s">
        <v>2451</v>
      </c>
      <c r="H101" s="12" t="s">
        <v>2441</v>
      </c>
      <c r="I101" s="8" t="s">
        <v>2442</v>
      </c>
      <c r="J101" s="5" t="s">
        <v>1966</v>
      </c>
      <c r="K101" s="5"/>
      <c r="L101" s="5"/>
      <c r="M101" s="6"/>
      <c r="N101" s="8"/>
      <c r="O101" s="155"/>
    </row>
    <row r="102" customFormat="false" ht="22.5" hidden="false" customHeight="false" outlineLevel="0" collapsed="false">
      <c r="A102" s="5" t="n">
        <f aca="false">IF(B102&lt;&gt;"", COUNTA($B$2:B102), "")</f>
        <v>101</v>
      </c>
      <c r="B102" s="124" t="s">
        <v>57</v>
      </c>
      <c r="C102" s="12" t="s">
        <v>2440</v>
      </c>
      <c r="D102" s="12" t="n">
        <v>6178289</v>
      </c>
      <c r="E102" s="130"/>
      <c r="F102" s="8" t="s">
        <v>2415</v>
      </c>
      <c r="G102" s="10" t="s">
        <v>2451</v>
      </c>
      <c r="H102" s="12" t="s">
        <v>2443</v>
      </c>
      <c r="I102" s="8" t="s">
        <v>2442</v>
      </c>
      <c r="J102" s="5" t="s">
        <v>1966</v>
      </c>
      <c r="K102" s="5"/>
      <c r="L102" s="5"/>
      <c r="M102" s="6"/>
      <c r="N102" s="8"/>
      <c r="O102" s="155"/>
    </row>
    <row r="103" customFormat="false" ht="22.5" hidden="false" customHeight="false" outlineLevel="0" collapsed="false">
      <c r="A103" s="5" t="n">
        <f aca="false">IF(B103&lt;&gt;"", COUNTA($B$2:B103), "")</f>
        <v>102</v>
      </c>
      <c r="B103" s="124" t="s">
        <v>57</v>
      </c>
      <c r="C103" s="12" t="s">
        <v>2444</v>
      </c>
      <c r="D103" s="12" t="n">
        <v>6178329</v>
      </c>
      <c r="E103" s="17"/>
      <c r="F103" s="8" t="s">
        <v>241</v>
      </c>
      <c r="G103" s="10" t="s">
        <v>2451</v>
      </c>
      <c r="H103" s="12" t="s">
        <v>2445</v>
      </c>
      <c r="I103" s="8" t="s">
        <v>2442</v>
      </c>
      <c r="J103" s="5" t="s">
        <v>1966</v>
      </c>
      <c r="K103" s="5"/>
      <c r="L103" s="5"/>
      <c r="M103" s="6"/>
      <c r="N103" s="8"/>
      <c r="O103" s="155"/>
    </row>
    <row r="104" customFormat="false" ht="22.5" hidden="false" customHeight="false" outlineLevel="0" collapsed="false">
      <c r="A104" s="5" t="n">
        <f aca="false">IF(B104&lt;&gt;"", COUNTA($B$2:B104), "")</f>
        <v>103</v>
      </c>
      <c r="B104" s="124" t="s">
        <v>57</v>
      </c>
      <c r="C104" s="12" t="s">
        <v>2444</v>
      </c>
      <c r="D104" s="12" t="n">
        <v>6178303</v>
      </c>
      <c r="E104" s="16"/>
      <c r="F104" s="8" t="s">
        <v>241</v>
      </c>
      <c r="G104" s="10" t="s">
        <v>2451</v>
      </c>
      <c r="H104" s="12" t="s">
        <v>2446</v>
      </c>
      <c r="I104" s="8" t="s">
        <v>2442</v>
      </c>
      <c r="J104" s="5" t="s">
        <v>1966</v>
      </c>
      <c r="K104" s="5"/>
      <c r="L104" s="5"/>
      <c r="M104" s="6"/>
      <c r="N104" s="8"/>
      <c r="O104" s="155"/>
    </row>
    <row r="105" customFormat="false" ht="22.5" hidden="false" customHeight="false" outlineLevel="0" collapsed="false">
      <c r="A105" s="5" t="n">
        <f aca="false">IF(B105&lt;&gt;"", COUNTA($B$2:B105), "")</f>
        <v>104</v>
      </c>
      <c r="B105" s="124" t="s">
        <v>57</v>
      </c>
      <c r="C105" s="12" t="s">
        <v>2444</v>
      </c>
      <c r="D105" s="12" t="n">
        <v>6178371</v>
      </c>
      <c r="E105" s="17"/>
      <c r="F105" s="8" t="s">
        <v>241</v>
      </c>
      <c r="G105" s="10" t="s">
        <v>2451</v>
      </c>
      <c r="H105" s="12" t="s">
        <v>2447</v>
      </c>
      <c r="I105" s="8" t="s">
        <v>2442</v>
      </c>
      <c r="J105" s="5" t="s">
        <v>1966</v>
      </c>
      <c r="K105" s="5"/>
      <c r="L105" s="5"/>
      <c r="M105" s="6"/>
      <c r="N105" s="8"/>
      <c r="O105" s="155"/>
    </row>
    <row r="106" customFormat="false" ht="22.5" hidden="false" customHeight="false" outlineLevel="0" collapsed="false">
      <c r="A106" s="5" t="n">
        <f aca="false">IF(B106&lt;&gt;"", COUNTA($B$2:B106), "")</f>
        <v>105</v>
      </c>
      <c r="B106" s="124" t="s">
        <v>57</v>
      </c>
      <c r="C106" s="12" t="s">
        <v>2448</v>
      </c>
      <c r="D106" s="12" t="n">
        <v>6178275</v>
      </c>
      <c r="E106" s="17"/>
      <c r="F106" s="8" t="s">
        <v>290</v>
      </c>
      <c r="G106" s="10" t="s">
        <v>2451</v>
      </c>
      <c r="H106" s="12" t="s">
        <v>2449</v>
      </c>
      <c r="I106" s="8" t="s">
        <v>2442</v>
      </c>
      <c r="J106" s="5" t="s">
        <v>1966</v>
      </c>
      <c r="K106" s="5"/>
      <c r="L106" s="5"/>
      <c r="M106" s="6"/>
      <c r="N106" s="8"/>
      <c r="O106" s="155"/>
    </row>
    <row r="107" customFormat="false" ht="22.5" hidden="false" customHeight="false" outlineLevel="0" collapsed="false">
      <c r="A107" s="5" t="n">
        <f aca="false">IF(B107&lt;&gt;"", COUNTA($B$2:B107), "")</f>
        <v>106</v>
      </c>
      <c r="B107" s="124" t="s">
        <v>57</v>
      </c>
      <c r="C107" s="12" t="s">
        <v>2444</v>
      </c>
      <c r="D107" s="12" t="n">
        <v>6095173</v>
      </c>
      <c r="E107" s="16"/>
      <c r="F107" s="8" t="s">
        <v>2450</v>
      </c>
      <c r="G107" s="10" t="s">
        <v>2451</v>
      </c>
      <c r="H107" s="12" t="s">
        <v>2452</v>
      </c>
      <c r="I107" s="8" t="s">
        <v>2453</v>
      </c>
      <c r="J107" s="5" t="s">
        <v>1966</v>
      </c>
      <c r="K107" s="5"/>
      <c r="L107" s="5"/>
      <c r="M107" s="6"/>
      <c r="N107" s="8"/>
      <c r="O107" s="155"/>
    </row>
    <row r="108" customFormat="false" ht="22.5" hidden="false" customHeight="false" outlineLevel="0" collapsed="false">
      <c r="A108" s="5" t="n">
        <f aca="false">IF(B108&lt;&gt;"", COUNTA($B$2:B108), "")</f>
        <v>107</v>
      </c>
      <c r="B108" s="124" t="s">
        <v>57</v>
      </c>
      <c r="C108" s="12" t="s">
        <v>2448</v>
      </c>
      <c r="D108" s="12" t="n">
        <v>6104418</v>
      </c>
      <c r="E108" s="17"/>
      <c r="F108" s="8" t="s">
        <v>2450</v>
      </c>
      <c r="G108" s="10" t="s">
        <v>2451</v>
      </c>
      <c r="H108" s="12" t="s">
        <v>2454</v>
      </c>
      <c r="I108" s="8" t="s">
        <v>2453</v>
      </c>
      <c r="J108" s="5" t="s">
        <v>1966</v>
      </c>
      <c r="K108" s="5"/>
      <c r="L108" s="5"/>
      <c r="M108" s="6"/>
      <c r="N108" s="8"/>
      <c r="O108" s="155"/>
    </row>
    <row r="109" customFormat="false" ht="22.5" hidden="false" customHeight="false" outlineLevel="0" collapsed="false">
      <c r="A109" s="5" t="n">
        <f aca="false">IF(B109&lt;&gt;"", COUNTA($B$2:B109), "")</f>
        <v>108</v>
      </c>
      <c r="B109" s="124" t="s">
        <v>57</v>
      </c>
      <c r="C109" s="12" t="s">
        <v>2440</v>
      </c>
      <c r="D109" s="131" t="n">
        <v>6072973</v>
      </c>
      <c r="E109" s="33"/>
      <c r="F109" s="36" t="s">
        <v>2455</v>
      </c>
      <c r="G109" s="10" t="s">
        <v>2451</v>
      </c>
      <c r="H109" s="70" t="s">
        <v>2456</v>
      </c>
      <c r="I109" s="67" t="s">
        <v>2453</v>
      </c>
      <c r="J109" s="69" t="s">
        <v>1966</v>
      </c>
      <c r="K109" s="5"/>
      <c r="L109" s="5"/>
      <c r="M109" s="6"/>
      <c r="N109" s="8"/>
      <c r="O109" s="155"/>
    </row>
    <row r="110" customFormat="false" ht="22.5" hidden="false" customHeight="false" outlineLevel="0" collapsed="false">
      <c r="A110" s="5" t="n">
        <f aca="false">IF(B110&lt;&gt;"", COUNTA($B$2:B110), "")</f>
        <v>109</v>
      </c>
      <c r="B110" s="124" t="s">
        <v>57</v>
      </c>
      <c r="C110" s="12" t="s">
        <v>2440</v>
      </c>
      <c r="D110" s="8" t="n">
        <v>6072979</v>
      </c>
      <c r="E110" s="140"/>
      <c r="F110" s="36" t="s">
        <v>2255</v>
      </c>
      <c r="G110" s="10" t="s">
        <v>2451</v>
      </c>
      <c r="H110" s="12" t="s">
        <v>2457</v>
      </c>
      <c r="I110" s="8" t="s">
        <v>2453</v>
      </c>
      <c r="J110" s="69" t="s">
        <v>1966</v>
      </c>
      <c r="K110" s="5"/>
      <c r="L110" s="5"/>
      <c r="M110" s="6"/>
      <c r="N110" s="8"/>
      <c r="O110" s="155"/>
    </row>
    <row r="111" customFormat="false" ht="22.5" hidden="false" customHeight="false" outlineLevel="0" collapsed="false">
      <c r="A111" s="5" t="n">
        <f aca="false">IF(B111&lt;&gt;"", COUNTA($B$2:B111), "")</f>
        <v>110</v>
      </c>
      <c r="B111" s="124" t="s">
        <v>57</v>
      </c>
      <c r="C111" s="12" t="s">
        <v>2440</v>
      </c>
      <c r="D111" s="8" t="n">
        <v>6072983</v>
      </c>
      <c r="E111" s="140"/>
      <c r="F111" s="36" t="s">
        <v>2255</v>
      </c>
      <c r="G111" s="10" t="s">
        <v>2451</v>
      </c>
      <c r="H111" s="12" t="s">
        <v>2458</v>
      </c>
      <c r="I111" s="140"/>
      <c r="J111" s="69" t="s">
        <v>1966</v>
      </c>
      <c r="K111" s="5"/>
      <c r="L111" s="5"/>
      <c r="M111" s="6"/>
      <c r="N111" s="8"/>
      <c r="O111" s="155"/>
    </row>
    <row r="112" customFormat="false" ht="22.5" hidden="false" customHeight="false" outlineLevel="0" collapsed="false">
      <c r="A112" s="5" t="n">
        <f aca="false">IF(B112&lt;&gt;"", COUNTA($B$2:B112), "")</f>
        <v>111</v>
      </c>
      <c r="B112" s="124" t="s">
        <v>57</v>
      </c>
      <c r="C112" s="12" t="s">
        <v>2440</v>
      </c>
      <c r="D112" s="8" t="n">
        <v>6072996</v>
      </c>
      <c r="E112" s="140"/>
      <c r="F112" s="36" t="s">
        <v>2415</v>
      </c>
      <c r="G112" s="10" t="s">
        <v>2451</v>
      </c>
      <c r="H112" s="8" t="s">
        <v>2459</v>
      </c>
      <c r="I112" s="140"/>
      <c r="J112" s="69" t="s">
        <v>1966</v>
      </c>
      <c r="K112" s="5"/>
      <c r="L112" s="5"/>
      <c r="M112" s="6"/>
      <c r="N112" s="8"/>
      <c r="O112" s="155"/>
    </row>
    <row r="113" customFormat="false" ht="22.5" hidden="false" customHeight="false" outlineLevel="0" collapsed="false">
      <c r="A113" s="5" t="n">
        <f aca="false">IF(B113&lt;&gt;"", COUNTA($B$2:B113), "")</f>
        <v>112</v>
      </c>
      <c r="B113" s="124" t="s">
        <v>57</v>
      </c>
      <c r="C113" s="12" t="s">
        <v>2444</v>
      </c>
      <c r="D113" s="8" t="n">
        <v>6090618</v>
      </c>
      <c r="E113" s="140"/>
      <c r="F113" s="8" t="s">
        <v>241</v>
      </c>
      <c r="G113" s="10" t="s">
        <v>2451</v>
      </c>
      <c r="H113" s="12" t="s">
        <v>2460</v>
      </c>
      <c r="I113" s="140"/>
      <c r="J113" s="69" t="s">
        <v>1966</v>
      </c>
      <c r="K113" s="5"/>
      <c r="L113" s="5"/>
      <c r="M113" s="6"/>
      <c r="N113" s="8"/>
      <c r="O113" s="155"/>
    </row>
    <row r="114" customFormat="false" ht="22.5" hidden="false" customHeight="false" outlineLevel="0" collapsed="false">
      <c r="A114" s="5" t="n">
        <f aca="false">IF(B114&lt;&gt;"", COUNTA($B$2:B114), "")</f>
        <v>113</v>
      </c>
      <c r="B114" s="125" t="s">
        <v>57</v>
      </c>
      <c r="C114" s="12" t="s">
        <v>2444</v>
      </c>
      <c r="D114" s="10" t="n">
        <v>6067669</v>
      </c>
      <c r="E114" s="143" t="n">
        <v>2018</v>
      </c>
      <c r="F114" s="8" t="s">
        <v>2450</v>
      </c>
      <c r="G114" s="10" t="s">
        <v>2451</v>
      </c>
      <c r="H114" s="10" t="s">
        <v>2461</v>
      </c>
      <c r="I114" s="143"/>
      <c r="J114" s="69" t="s">
        <v>1966</v>
      </c>
      <c r="K114" s="5"/>
      <c r="L114" s="5"/>
      <c r="M114" s="6"/>
      <c r="N114" s="8"/>
      <c r="O114" s="164"/>
    </row>
    <row r="115" customFormat="false" ht="22.5" hidden="false" customHeight="false" outlineLevel="0" collapsed="false">
      <c r="A115" s="5" t="n">
        <f aca="false">IF(B115&lt;&gt;"", COUNTA($B$2:B115), "")</f>
        <v>114</v>
      </c>
      <c r="B115" s="124" t="s">
        <v>57</v>
      </c>
      <c r="C115" s="12" t="s">
        <v>2444</v>
      </c>
      <c r="D115" s="8" t="n">
        <v>6067672</v>
      </c>
      <c r="E115" s="140"/>
      <c r="F115" s="8" t="s">
        <v>2450</v>
      </c>
      <c r="G115" s="10" t="s">
        <v>2451</v>
      </c>
      <c r="H115" s="5" t="s">
        <v>2462</v>
      </c>
      <c r="I115" s="140"/>
      <c r="J115" s="69" t="s">
        <v>1966</v>
      </c>
      <c r="K115" s="5"/>
      <c r="L115" s="5"/>
      <c r="M115" s="6"/>
      <c r="N115" s="8"/>
      <c r="O115" s="155"/>
    </row>
    <row r="116" customFormat="false" ht="22.5" hidden="false" customHeight="false" outlineLevel="0" collapsed="false">
      <c r="A116" s="5" t="n">
        <f aca="false">IF(B116&lt;&gt;"", COUNTA($B$2:B116), "")</f>
        <v>115</v>
      </c>
      <c r="B116" s="124" t="s">
        <v>57</v>
      </c>
      <c r="C116" s="12" t="s">
        <v>2444</v>
      </c>
      <c r="D116" s="8" t="n">
        <v>6129351</v>
      </c>
      <c r="E116" s="140"/>
      <c r="F116" s="8" t="s">
        <v>2450</v>
      </c>
      <c r="G116" s="10" t="s">
        <v>2451</v>
      </c>
      <c r="H116" s="12" t="s">
        <v>2463</v>
      </c>
      <c r="I116" s="140"/>
      <c r="J116" s="69" t="s">
        <v>1966</v>
      </c>
      <c r="K116" s="5"/>
      <c r="L116" s="5"/>
      <c r="M116" s="6"/>
      <c r="N116" s="8"/>
      <c r="O116" s="155"/>
    </row>
    <row r="117" customFormat="false" ht="22.5" hidden="false" customHeight="false" outlineLevel="0" collapsed="false">
      <c r="A117" s="5" t="n">
        <f aca="false">IF(B117&lt;&gt;"", COUNTA($B$2:B117), "")</f>
        <v>116</v>
      </c>
      <c r="B117" s="124" t="s">
        <v>57</v>
      </c>
      <c r="C117" s="12" t="s">
        <v>2464</v>
      </c>
      <c r="D117" s="8" t="n">
        <v>6080901</v>
      </c>
      <c r="E117" s="140"/>
      <c r="F117" s="8" t="s">
        <v>2128</v>
      </c>
      <c r="G117" s="10" t="s">
        <v>2451</v>
      </c>
      <c r="H117" s="8" t="s">
        <v>2465</v>
      </c>
      <c r="I117" s="8" t="s">
        <v>2466</v>
      </c>
      <c r="J117" s="69" t="s">
        <v>1966</v>
      </c>
      <c r="K117" s="5"/>
      <c r="L117" s="5"/>
      <c r="M117" s="6"/>
      <c r="N117" s="8"/>
      <c r="O117" s="155"/>
    </row>
    <row r="118" customFormat="false" ht="22.5" hidden="false" customHeight="false" outlineLevel="0" collapsed="false">
      <c r="A118" s="5" t="n">
        <f aca="false">IF(B118&lt;&gt;"", COUNTA($B$2:B118), "")</f>
        <v>117</v>
      </c>
      <c r="B118" s="124" t="s">
        <v>57</v>
      </c>
      <c r="C118" s="12" t="s">
        <v>2440</v>
      </c>
      <c r="D118" s="105" t="n">
        <v>6071972</v>
      </c>
      <c r="E118" s="167"/>
      <c r="F118" s="8" t="s">
        <v>2415</v>
      </c>
      <c r="G118" s="10" t="s">
        <v>2451</v>
      </c>
      <c r="H118" s="107" t="s">
        <v>2467</v>
      </c>
      <c r="I118" s="8" t="s">
        <v>2453</v>
      </c>
      <c r="J118" s="69" t="s">
        <v>1966</v>
      </c>
      <c r="K118" s="5"/>
      <c r="L118" s="5"/>
      <c r="M118" s="6"/>
      <c r="N118" s="8"/>
      <c r="O118" s="155"/>
    </row>
    <row r="119" customFormat="false" ht="22.5" hidden="false" customHeight="false" outlineLevel="0" collapsed="false">
      <c r="A119" s="5" t="n">
        <f aca="false">IF(B119&lt;&gt;"", COUNTA($B$2:B119), "")</f>
        <v>118</v>
      </c>
      <c r="B119" s="124" t="s">
        <v>57</v>
      </c>
      <c r="C119" s="12" t="s">
        <v>2440</v>
      </c>
      <c r="D119" s="8" t="n">
        <v>6071981</v>
      </c>
      <c r="E119" s="140"/>
      <c r="F119" s="8" t="s">
        <v>2128</v>
      </c>
      <c r="G119" s="10" t="s">
        <v>2451</v>
      </c>
      <c r="H119" s="8" t="s">
        <v>2468</v>
      </c>
      <c r="I119" s="8" t="s">
        <v>2453</v>
      </c>
      <c r="J119" s="69" t="s">
        <v>1966</v>
      </c>
      <c r="K119" s="5"/>
      <c r="L119" s="5"/>
      <c r="M119" s="6"/>
      <c r="N119" s="8"/>
      <c r="O119" s="155"/>
    </row>
    <row r="120" customFormat="false" ht="22.5" hidden="false" customHeight="false" outlineLevel="0" collapsed="false">
      <c r="A120" s="5" t="n">
        <f aca="false">IF(B120&lt;&gt;"", COUNTA($B$2:B120), "")</f>
        <v>119</v>
      </c>
      <c r="B120" s="124" t="s">
        <v>57</v>
      </c>
      <c r="C120" s="12" t="s">
        <v>2444</v>
      </c>
      <c r="D120" s="8" t="n">
        <v>6071982</v>
      </c>
      <c r="E120" s="140"/>
      <c r="F120" s="8" t="s">
        <v>2455</v>
      </c>
      <c r="G120" s="10" t="s">
        <v>2451</v>
      </c>
      <c r="H120" s="12" t="s">
        <v>2469</v>
      </c>
      <c r="I120" s="8" t="s">
        <v>2453</v>
      </c>
      <c r="J120" s="69" t="s">
        <v>1966</v>
      </c>
      <c r="K120" s="5"/>
      <c r="L120" s="5"/>
      <c r="M120" s="6"/>
      <c r="N120" s="8"/>
      <c r="O120" s="155"/>
    </row>
    <row r="121" customFormat="false" ht="22.5" hidden="false" customHeight="false" outlineLevel="0" collapsed="false">
      <c r="A121" s="5" t="n">
        <f aca="false">IF(B121&lt;&gt;"", COUNTA($B$2:B121), "")</f>
        <v>120</v>
      </c>
      <c r="B121" s="124" t="s">
        <v>57</v>
      </c>
      <c r="C121" s="12" t="s">
        <v>2440</v>
      </c>
      <c r="D121" s="8" t="n">
        <v>6077554</v>
      </c>
      <c r="E121" s="140"/>
      <c r="F121" s="8" t="s">
        <v>2128</v>
      </c>
      <c r="G121" s="10" t="s">
        <v>2451</v>
      </c>
      <c r="H121" s="5" t="s">
        <v>2470</v>
      </c>
      <c r="I121" s="8" t="s">
        <v>2453</v>
      </c>
      <c r="J121" s="69" t="s">
        <v>1966</v>
      </c>
      <c r="K121" s="5"/>
      <c r="L121" s="5"/>
      <c r="M121" s="6"/>
      <c r="N121" s="8"/>
      <c r="O121" s="155"/>
    </row>
    <row r="122" customFormat="false" ht="22.5" hidden="false" customHeight="false" outlineLevel="0" collapsed="false">
      <c r="A122" s="5" t="n">
        <f aca="false">IF(B122&lt;&gt;"", COUNTA($B$2:B122), "")</f>
        <v>121</v>
      </c>
      <c r="B122" s="124" t="s">
        <v>57</v>
      </c>
      <c r="C122" s="12" t="s">
        <v>2440</v>
      </c>
      <c r="D122" s="8" t="n">
        <v>607755</v>
      </c>
      <c r="E122" s="140"/>
      <c r="F122" s="8" t="s">
        <v>2128</v>
      </c>
      <c r="G122" s="10" t="s">
        <v>2451</v>
      </c>
      <c r="H122" s="5" t="s">
        <v>2471</v>
      </c>
      <c r="I122" s="8" t="s">
        <v>2453</v>
      </c>
      <c r="J122" s="69" t="s">
        <v>1966</v>
      </c>
      <c r="K122" s="5"/>
      <c r="L122" s="5"/>
      <c r="M122" s="6"/>
      <c r="N122" s="8"/>
      <c r="O122" s="155"/>
    </row>
    <row r="123" customFormat="false" ht="33.75" hidden="false" customHeight="false" outlineLevel="0" collapsed="false">
      <c r="A123" s="5" t="n">
        <f aca="false">IF(B123&lt;&gt;"", COUNTA($B$2:B123), "")</f>
        <v>122</v>
      </c>
      <c r="B123" s="124" t="s">
        <v>57</v>
      </c>
      <c r="C123" s="12" t="s">
        <v>2444</v>
      </c>
      <c r="D123" s="8" t="n">
        <v>6077535</v>
      </c>
      <c r="E123" s="140"/>
      <c r="F123" s="8" t="s">
        <v>241</v>
      </c>
      <c r="G123" s="10" t="s">
        <v>2451</v>
      </c>
      <c r="H123" s="12" t="s">
        <v>2472</v>
      </c>
      <c r="I123" s="8" t="s">
        <v>2453</v>
      </c>
      <c r="J123" s="69" t="s">
        <v>1966</v>
      </c>
      <c r="K123" s="5"/>
      <c r="L123" s="5"/>
      <c r="M123" s="6"/>
      <c r="N123" s="8"/>
      <c r="O123" s="155"/>
    </row>
    <row r="124" customFormat="false" ht="33.75" hidden="false" customHeight="false" outlineLevel="0" collapsed="false">
      <c r="A124" s="5" t="n">
        <f aca="false">IF(B124&lt;&gt;"", COUNTA($B$2:B124), "")</f>
        <v>123</v>
      </c>
      <c r="B124" s="124" t="s">
        <v>57</v>
      </c>
      <c r="C124" s="12" t="s">
        <v>2444</v>
      </c>
      <c r="D124" s="8" t="n">
        <v>6077541</v>
      </c>
      <c r="E124" s="140"/>
      <c r="F124" s="8" t="s">
        <v>241</v>
      </c>
      <c r="G124" s="10" t="s">
        <v>2451</v>
      </c>
      <c r="H124" s="12" t="s">
        <v>2473</v>
      </c>
      <c r="I124" s="8" t="s">
        <v>2453</v>
      </c>
      <c r="J124" s="69" t="s">
        <v>1966</v>
      </c>
      <c r="K124" s="5"/>
      <c r="L124" s="5"/>
      <c r="M124" s="6"/>
      <c r="N124" s="8"/>
      <c r="O124" s="155"/>
    </row>
    <row r="125" customFormat="false" ht="22.5" hidden="false" customHeight="false" outlineLevel="0" collapsed="false">
      <c r="A125" s="5" t="n">
        <f aca="false">IF(B125&lt;&gt;"", COUNTA($B$2:B125), "")</f>
        <v>124</v>
      </c>
      <c r="B125" s="124" t="s">
        <v>57</v>
      </c>
      <c r="C125" s="12" t="s">
        <v>2444</v>
      </c>
      <c r="D125" s="8" t="n">
        <v>6071986</v>
      </c>
      <c r="E125" s="140"/>
      <c r="F125" s="8" t="s">
        <v>241</v>
      </c>
      <c r="G125" s="10" t="s">
        <v>2451</v>
      </c>
      <c r="H125" s="12" t="s">
        <v>2474</v>
      </c>
      <c r="I125" s="140"/>
      <c r="J125" s="69" t="s">
        <v>1966</v>
      </c>
      <c r="K125" s="5"/>
      <c r="L125" s="5"/>
      <c r="M125" s="6"/>
      <c r="N125" s="8"/>
      <c r="O125" s="155"/>
    </row>
    <row r="126" customFormat="false" ht="22.5" hidden="false" customHeight="false" outlineLevel="0" collapsed="false">
      <c r="A126" s="5" t="n">
        <f aca="false">IF(B126&lt;&gt;"", COUNTA($B$2:B126), "")</f>
        <v>125</v>
      </c>
      <c r="B126" s="124" t="s">
        <v>57</v>
      </c>
      <c r="C126" s="12" t="s">
        <v>2444</v>
      </c>
      <c r="D126" s="8" t="n">
        <v>6072439</v>
      </c>
      <c r="E126" s="140"/>
      <c r="F126" s="8" t="s">
        <v>241</v>
      </c>
      <c r="G126" s="10" t="s">
        <v>2451</v>
      </c>
      <c r="H126" s="12" t="s">
        <v>2475</v>
      </c>
      <c r="I126" s="140"/>
      <c r="J126" s="69" t="s">
        <v>1966</v>
      </c>
      <c r="K126" s="5"/>
      <c r="L126" s="5"/>
      <c r="M126" s="6"/>
      <c r="N126" s="8"/>
      <c r="O126" s="155"/>
    </row>
    <row r="127" customFormat="false" ht="22.5" hidden="false" customHeight="false" outlineLevel="0" collapsed="false">
      <c r="A127" s="5" t="n">
        <f aca="false">IF(B127&lt;&gt;"", COUNTA($B$2:B127), "")</f>
        <v>126</v>
      </c>
      <c r="B127" s="124" t="s">
        <v>57</v>
      </c>
      <c r="C127" s="12" t="s">
        <v>2444</v>
      </c>
      <c r="D127" s="8" t="n">
        <v>6074032</v>
      </c>
      <c r="E127" s="140"/>
      <c r="F127" s="8" t="s">
        <v>241</v>
      </c>
      <c r="G127" s="10" t="s">
        <v>2451</v>
      </c>
      <c r="H127" s="12" t="s">
        <v>2476</v>
      </c>
      <c r="I127" s="140"/>
      <c r="J127" s="69" t="s">
        <v>1966</v>
      </c>
      <c r="K127" s="5"/>
      <c r="L127" s="5"/>
      <c r="M127" s="6"/>
      <c r="N127" s="8"/>
      <c r="O127" s="155"/>
    </row>
    <row r="128" customFormat="false" ht="22.5" hidden="false" customHeight="false" outlineLevel="0" collapsed="false">
      <c r="A128" s="5" t="n">
        <f aca="false">IF(B128&lt;&gt;"", COUNTA($B$2:B128), "")</f>
        <v>127</v>
      </c>
      <c r="B128" s="124" t="s">
        <v>57</v>
      </c>
      <c r="C128" s="12" t="s">
        <v>2444</v>
      </c>
      <c r="D128" s="8" t="n">
        <v>6074028</v>
      </c>
      <c r="E128" s="140"/>
      <c r="F128" s="8" t="s">
        <v>241</v>
      </c>
      <c r="G128" s="10" t="s">
        <v>2451</v>
      </c>
      <c r="H128" s="12" t="s">
        <v>2477</v>
      </c>
      <c r="I128" s="8" t="s">
        <v>2453</v>
      </c>
      <c r="J128" s="69" t="s">
        <v>1966</v>
      </c>
      <c r="K128" s="5"/>
      <c r="L128" s="5"/>
      <c r="M128" s="6"/>
      <c r="N128" s="8"/>
      <c r="O128" s="155"/>
    </row>
    <row r="129" customFormat="false" ht="22.5" hidden="false" customHeight="false" outlineLevel="0" collapsed="false">
      <c r="A129" s="5" t="n">
        <f aca="false">IF(B129&lt;&gt;"", COUNTA($B$2:B129), "")</f>
        <v>128</v>
      </c>
      <c r="B129" s="124" t="s">
        <v>57</v>
      </c>
      <c r="C129" s="12" t="s">
        <v>2444</v>
      </c>
      <c r="D129" s="8" t="n">
        <v>6074026</v>
      </c>
      <c r="E129" s="140"/>
      <c r="F129" s="8" t="s">
        <v>241</v>
      </c>
      <c r="G129" s="10" t="s">
        <v>2451</v>
      </c>
      <c r="H129" s="12" t="s">
        <v>2478</v>
      </c>
      <c r="I129" s="8" t="s">
        <v>2453</v>
      </c>
      <c r="J129" s="69" t="s">
        <v>1966</v>
      </c>
      <c r="K129" s="5"/>
      <c r="L129" s="5"/>
      <c r="M129" s="6"/>
      <c r="N129" s="8"/>
      <c r="O129" s="155"/>
    </row>
    <row r="130" customFormat="false" ht="22.5" hidden="false" customHeight="false" outlineLevel="0" collapsed="false">
      <c r="A130" s="5" t="n">
        <f aca="false">IF(B130&lt;&gt;"", COUNTA($B$2:B130), "")</f>
        <v>129</v>
      </c>
      <c r="B130" s="124" t="s">
        <v>57</v>
      </c>
      <c r="C130" s="12" t="s">
        <v>2440</v>
      </c>
      <c r="D130" s="8" t="n">
        <v>6072454</v>
      </c>
      <c r="E130" s="140"/>
      <c r="F130" s="8" t="s">
        <v>2415</v>
      </c>
      <c r="G130" s="10" t="s">
        <v>2451</v>
      </c>
      <c r="H130" s="8" t="s">
        <v>2479</v>
      </c>
      <c r="I130" s="8" t="s">
        <v>2453</v>
      </c>
      <c r="J130" s="69" t="s">
        <v>1966</v>
      </c>
      <c r="K130" s="5"/>
      <c r="L130" s="5"/>
      <c r="M130" s="6"/>
      <c r="N130" s="8"/>
      <c r="O130" s="155"/>
    </row>
    <row r="131" customFormat="false" ht="22.5" hidden="false" customHeight="false" outlineLevel="0" collapsed="false">
      <c r="A131" s="5" t="n">
        <f aca="false">IF(B131&lt;&gt;"", COUNTA($B$2:B131), "")</f>
        <v>130</v>
      </c>
      <c r="B131" s="124" t="s">
        <v>57</v>
      </c>
      <c r="C131" s="12" t="s">
        <v>2440</v>
      </c>
      <c r="D131" s="8" t="n">
        <v>6071590</v>
      </c>
      <c r="E131" s="140"/>
      <c r="F131" s="8" t="s">
        <v>2415</v>
      </c>
      <c r="G131" s="10" t="s">
        <v>2451</v>
      </c>
      <c r="H131" s="8" t="s">
        <v>2480</v>
      </c>
      <c r="I131" s="8" t="s">
        <v>2453</v>
      </c>
      <c r="J131" s="69" t="s">
        <v>1966</v>
      </c>
      <c r="K131" s="5"/>
      <c r="L131" s="5"/>
      <c r="M131" s="6"/>
      <c r="N131" s="8"/>
      <c r="O131" s="155"/>
    </row>
    <row r="132" customFormat="false" ht="22.5" hidden="false" customHeight="false" outlineLevel="0" collapsed="false">
      <c r="A132" s="5" t="n">
        <f aca="false">IF(B132&lt;&gt;"", COUNTA($B$2:B132), "")</f>
        <v>131</v>
      </c>
      <c r="B132" s="124" t="s">
        <v>57</v>
      </c>
      <c r="C132" s="12" t="s">
        <v>2440</v>
      </c>
      <c r="D132" s="8" t="n">
        <v>6129374</v>
      </c>
      <c r="E132" s="140"/>
      <c r="F132" s="8" t="s">
        <v>2455</v>
      </c>
      <c r="G132" s="10" t="s">
        <v>2451</v>
      </c>
      <c r="H132" s="8" t="s">
        <v>2481</v>
      </c>
      <c r="I132" s="8" t="s">
        <v>2453</v>
      </c>
      <c r="J132" s="69" t="s">
        <v>1966</v>
      </c>
      <c r="K132" s="5"/>
      <c r="L132" s="5"/>
      <c r="M132" s="6"/>
      <c r="N132" s="8"/>
      <c r="O132" s="155"/>
    </row>
    <row r="133" customFormat="false" ht="22.5" hidden="false" customHeight="false" outlineLevel="0" collapsed="false">
      <c r="A133" s="5" t="n">
        <f aca="false">IF(B133&lt;&gt;"", COUNTA($B$2:B133), "")</f>
        <v>132</v>
      </c>
      <c r="B133" s="124" t="s">
        <v>57</v>
      </c>
      <c r="C133" s="12" t="s">
        <v>2440</v>
      </c>
      <c r="D133" s="8" t="n">
        <v>6129378</v>
      </c>
      <c r="E133" s="140"/>
      <c r="F133" s="8" t="s">
        <v>2455</v>
      </c>
      <c r="G133" s="10" t="s">
        <v>2451</v>
      </c>
      <c r="H133" s="5" t="s">
        <v>2482</v>
      </c>
      <c r="I133" s="8" t="s">
        <v>2453</v>
      </c>
      <c r="J133" s="69" t="s">
        <v>1966</v>
      </c>
      <c r="K133" s="5"/>
      <c r="L133" s="5"/>
      <c r="M133" s="6"/>
      <c r="N133" s="8"/>
      <c r="O133" s="155"/>
    </row>
    <row r="134" customFormat="false" ht="22.5" hidden="false" customHeight="false" outlineLevel="0" collapsed="false">
      <c r="A134" s="5" t="n">
        <f aca="false">IF(B134&lt;&gt;"", COUNTA($B$2:B134), "")</f>
        <v>133</v>
      </c>
      <c r="B134" s="124" t="s">
        <v>57</v>
      </c>
      <c r="C134" s="12" t="s">
        <v>2440</v>
      </c>
      <c r="D134" s="8" t="n">
        <v>6129372</v>
      </c>
      <c r="E134" s="140"/>
      <c r="F134" s="8" t="s">
        <v>2455</v>
      </c>
      <c r="G134" s="10" t="s">
        <v>2451</v>
      </c>
      <c r="H134" s="8" t="s">
        <v>2483</v>
      </c>
      <c r="I134" s="8" t="s">
        <v>2453</v>
      </c>
      <c r="J134" s="69" t="s">
        <v>1966</v>
      </c>
      <c r="K134" s="5"/>
      <c r="L134" s="5"/>
      <c r="M134" s="6"/>
      <c r="N134" s="8"/>
      <c r="O134" s="155"/>
    </row>
    <row r="135" customFormat="false" ht="22.5" hidden="false" customHeight="false" outlineLevel="0" collapsed="false">
      <c r="A135" s="5" t="n">
        <f aca="false">IF(B135&lt;&gt;"", COUNTA($B$2:B135), "")</f>
        <v>134</v>
      </c>
      <c r="B135" s="124" t="s">
        <v>57</v>
      </c>
      <c r="C135" s="8" t="s">
        <v>2484</v>
      </c>
      <c r="D135" s="8" t="s">
        <v>2723</v>
      </c>
      <c r="E135" s="140"/>
      <c r="F135" s="8" t="s">
        <v>192</v>
      </c>
      <c r="G135" s="10" t="s">
        <v>2451</v>
      </c>
      <c r="H135" s="12" t="s">
        <v>2486</v>
      </c>
      <c r="I135" s="8" t="s">
        <v>2453</v>
      </c>
      <c r="J135" s="69" t="s">
        <v>1966</v>
      </c>
      <c r="K135" s="5"/>
      <c r="L135" s="5"/>
      <c r="M135" s="6"/>
      <c r="N135" s="8"/>
      <c r="O135" s="164"/>
    </row>
    <row r="136" customFormat="false" ht="22.5" hidden="false" customHeight="false" outlineLevel="0" collapsed="false">
      <c r="A136" s="5" t="n">
        <f aca="false">IF(B136&lt;&gt;"", COUNTA($B$2:B136), "")</f>
        <v>135</v>
      </c>
      <c r="B136" s="125" t="s">
        <v>57</v>
      </c>
      <c r="C136" s="10" t="s">
        <v>2487</v>
      </c>
      <c r="D136" s="10" t="s">
        <v>2724</v>
      </c>
      <c r="E136" s="143" t="n">
        <v>2018</v>
      </c>
      <c r="F136" s="19" t="s">
        <v>271</v>
      </c>
      <c r="G136" s="10" t="n">
        <v>0.1</v>
      </c>
      <c r="H136" s="12" t="s">
        <v>2489</v>
      </c>
      <c r="I136" s="10" t="s">
        <v>2453</v>
      </c>
      <c r="J136" s="69" t="s">
        <v>1966</v>
      </c>
      <c r="K136" s="5"/>
      <c r="L136" s="5"/>
      <c r="M136" s="6"/>
      <c r="N136" s="8"/>
      <c r="O136" s="164"/>
    </row>
    <row r="137" customFormat="false" ht="22.5" hidden="false" customHeight="false" outlineLevel="0" collapsed="false">
      <c r="A137" s="5" t="n">
        <f aca="false">IF(B137&lt;&gt;"", COUNTA($B$2:B137), "")</f>
        <v>136</v>
      </c>
      <c r="B137" s="124" t="s">
        <v>57</v>
      </c>
      <c r="C137" s="12" t="s">
        <v>2440</v>
      </c>
      <c r="D137" s="8" t="n">
        <v>1635006</v>
      </c>
      <c r="E137" s="140"/>
      <c r="F137" s="8" t="s">
        <v>192</v>
      </c>
      <c r="G137" s="10" t="s">
        <v>2451</v>
      </c>
      <c r="H137" s="8" t="s">
        <v>2490</v>
      </c>
      <c r="I137" s="8" t="s">
        <v>1024</v>
      </c>
      <c r="J137" s="69" t="s">
        <v>1966</v>
      </c>
      <c r="K137" s="5"/>
      <c r="L137" s="5"/>
      <c r="M137" s="6"/>
      <c r="N137" s="8"/>
      <c r="O137" s="155"/>
    </row>
    <row r="138" customFormat="false" ht="22.5" hidden="false" customHeight="false" outlineLevel="0" collapsed="false">
      <c r="A138" s="5" t="n">
        <f aca="false">IF(B138&lt;&gt;"", COUNTA($B$2:B138), "")</f>
        <v>137</v>
      </c>
      <c r="B138" s="124" t="s">
        <v>57</v>
      </c>
      <c r="C138" s="12" t="s">
        <v>2440</v>
      </c>
      <c r="D138" s="8" t="n">
        <v>1635009</v>
      </c>
      <c r="E138" s="140"/>
      <c r="F138" s="8" t="s">
        <v>192</v>
      </c>
      <c r="G138" s="10" t="s">
        <v>2451</v>
      </c>
      <c r="H138" s="8" t="s">
        <v>2492</v>
      </c>
      <c r="I138" s="8" t="s">
        <v>1024</v>
      </c>
      <c r="J138" s="69" t="s">
        <v>1966</v>
      </c>
      <c r="K138" s="5"/>
      <c r="L138" s="5"/>
      <c r="M138" s="6"/>
      <c r="N138" s="8"/>
      <c r="O138" s="155"/>
    </row>
    <row r="139" customFormat="false" ht="22.5" hidden="false" customHeight="false" outlineLevel="0" collapsed="false">
      <c r="A139" s="5" t="n">
        <f aca="false">IF(B139&lt;&gt;"", COUNTA($B$2:B139), "")</f>
        <v>138</v>
      </c>
      <c r="B139" s="124" t="s">
        <v>57</v>
      </c>
      <c r="C139" s="12" t="s">
        <v>2440</v>
      </c>
      <c r="D139" s="8" t="n">
        <v>1635003</v>
      </c>
      <c r="E139" s="140"/>
      <c r="F139" s="8" t="s">
        <v>192</v>
      </c>
      <c r="G139" s="10" t="s">
        <v>2451</v>
      </c>
      <c r="H139" s="8" t="s">
        <v>2493</v>
      </c>
      <c r="I139" s="8" t="s">
        <v>1024</v>
      </c>
      <c r="J139" s="69" t="s">
        <v>1966</v>
      </c>
      <c r="K139" s="5"/>
      <c r="L139" s="5"/>
      <c r="M139" s="6"/>
      <c r="N139" s="8"/>
      <c r="O139" s="155"/>
    </row>
    <row r="140" customFormat="false" ht="22.5" hidden="false" customHeight="false" outlineLevel="0" collapsed="false">
      <c r="A140" s="5" t="n">
        <f aca="false">IF(B140&lt;&gt;"", COUNTA($B$2:B140), "")</f>
        <v>139</v>
      </c>
      <c r="B140" s="124" t="s">
        <v>57</v>
      </c>
      <c r="C140" s="12" t="s">
        <v>2444</v>
      </c>
      <c r="D140" s="8" t="n">
        <v>1634472</v>
      </c>
      <c r="E140" s="140"/>
      <c r="F140" s="8" t="s">
        <v>260</v>
      </c>
      <c r="G140" s="10" t="s">
        <v>2451</v>
      </c>
      <c r="H140" s="12" t="s">
        <v>2494</v>
      </c>
      <c r="I140" s="8" t="s">
        <v>1024</v>
      </c>
      <c r="J140" s="69" t="s">
        <v>1966</v>
      </c>
      <c r="K140" s="5"/>
      <c r="L140" s="5"/>
      <c r="M140" s="6"/>
      <c r="N140" s="8"/>
      <c r="O140" s="155"/>
    </row>
    <row r="141" customFormat="false" ht="22.5" hidden="false" customHeight="false" outlineLevel="0" collapsed="false">
      <c r="A141" s="5" t="n">
        <f aca="false">IF(B141&lt;&gt;"", COUNTA($B$2:B141), "")</f>
        <v>140</v>
      </c>
      <c r="B141" s="124" t="s">
        <v>57</v>
      </c>
      <c r="C141" s="12" t="s">
        <v>2444</v>
      </c>
      <c r="D141" s="8" t="n">
        <v>1634471</v>
      </c>
      <c r="E141" s="140"/>
      <c r="F141" s="8" t="s">
        <v>260</v>
      </c>
      <c r="G141" s="10" t="s">
        <v>2451</v>
      </c>
      <c r="H141" s="12" t="s">
        <v>2495</v>
      </c>
      <c r="I141" s="8" t="s">
        <v>1024</v>
      </c>
      <c r="J141" s="69" t="s">
        <v>1966</v>
      </c>
      <c r="K141" s="5"/>
      <c r="L141" s="5"/>
      <c r="M141" s="6"/>
      <c r="N141" s="8"/>
      <c r="O141" s="155"/>
    </row>
    <row r="142" customFormat="false" ht="22.5" hidden="false" customHeight="false" outlineLevel="0" collapsed="false">
      <c r="A142" s="5" t="n">
        <f aca="false">IF(B142&lt;&gt;"", COUNTA($B$2:B142), "")</f>
        <v>141</v>
      </c>
      <c r="B142" s="124" t="s">
        <v>57</v>
      </c>
      <c r="C142" s="12" t="s">
        <v>2444</v>
      </c>
      <c r="D142" s="8" t="n">
        <v>1634571</v>
      </c>
      <c r="E142" s="140"/>
      <c r="F142" s="8" t="s">
        <v>2128</v>
      </c>
      <c r="G142" s="10" t="s">
        <v>2451</v>
      </c>
      <c r="H142" s="12" t="s">
        <v>2496</v>
      </c>
      <c r="I142" s="8" t="s">
        <v>1024</v>
      </c>
      <c r="J142" s="69" t="s">
        <v>1966</v>
      </c>
      <c r="K142" s="5"/>
      <c r="L142" s="5"/>
      <c r="M142" s="6"/>
      <c r="N142" s="8"/>
      <c r="O142" s="155"/>
    </row>
    <row r="143" customFormat="false" ht="22.5" hidden="false" customHeight="false" outlineLevel="0" collapsed="false">
      <c r="A143" s="5" t="n">
        <f aca="false">IF(B143&lt;&gt;"", COUNTA($B$2:B143), "")</f>
        <v>142</v>
      </c>
      <c r="B143" s="124" t="s">
        <v>57</v>
      </c>
      <c r="C143" s="12" t="s">
        <v>2444</v>
      </c>
      <c r="D143" s="8" t="n">
        <v>1634574</v>
      </c>
      <c r="E143" s="140"/>
      <c r="F143" s="8" t="s">
        <v>2128</v>
      </c>
      <c r="G143" s="10" t="s">
        <v>2451</v>
      </c>
      <c r="H143" s="12" t="s">
        <v>2497</v>
      </c>
      <c r="I143" s="8" t="s">
        <v>1024</v>
      </c>
      <c r="J143" s="69" t="s">
        <v>1966</v>
      </c>
      <c r="K143" s="5"/>
      <c r="L143" s="5"/>
      <c r="M143" s="6"/>
      <c r="N143" s="8"/>
      <c r="O143" s="155"/>
    </row>
    <row r="144" customFormat="false" ht="22.5" hidden="false" customHeight="false" outlineLevel="0" collapsed="false">
      <c r="A144" s="5" t="n">
        <f aca="false">IF(B144&lt;&gt;"", COUNTA($B$2:B144), "")</f>
        <v>143</v>
      </c>
      <c r="B144" s="124" t="s">
        <v>2498</v>
      </c>
      <c r="C144" s="12" t="s">
        <v>2499</v>
      </c>
      <c r="D144" s="8" t="s">
        <v>2725</v>
      </c>
      <c r="E144" s="140"/>
      <c r="F144" s="8" t="s">
        <v>241</v>
      </c>
      <c r="G144" s="132" t="n">
        <v>0.25</v>
      </c>
      <c r="H144" s="12" t="s">
        <v>2501</v>
      </c>
      <c r="I144" s="8" t="s">
        <v>1024</v>
      </c>
      <c r="J144" s="69" t="s">
        <v>1966</v>
      </c>
      <c r="K144" s="5"/>
      <c r="L144" s="5"/>
      <c r="M144" s="6"/>
      <c r="N144" s="8"/>
      <c r="O144" s="155"/>
    </row>
    <row r="145" customFormat="false" ht="22.5" hidden="false" customHeight="false" outlineLevel="0" collapsed="false">
      <c r="A145" s="5" t="n">
        <f aca="false">IF(B145&lt;&gt;"", COUNTA($B$2:B145), "")</f>
        <v>144</v>
      </c>
      <c r="B145" s="124" t="s">
        <v>2498</v>
      </c>
      <c r="C145" s="12" t="s">
        <v>2499</v>
      </c>
      <c r="D145" s="8" t="s">
        <v>2726</v>
      </c>
      <c r="E145" s="140"/>
      <c r="F145" s="8" t="s">
        <v>241</v>
      </c>
      <c r="G145" s="132" t="n">
        <v>0.25</v>
      </c>
      <c r="H145" s="12" t="s">
        <v>2503</v>
      </c>
      <c r="I145" s="8" t="s">
        <v>1024</v>
      </c>
      <c r="J145" s="69" t="s">
        <v>1966</v>
      </c>
      <c r="K145" s="5"/>
      <c r="L145" s="5"/>
      <c r="M145" s="6"/>
      <c r="N145" s="8"/>
      <c r="O145" s="155"/>
    </row>
    <row r="146" customFormat="false" ht="22.5" hidden="false" customHeight="false" outlineLevel="0" collapsed="false">
      <c r="A146" s="5" t="n">
        <f aca="false">IF(B146&lt;&gt;"", COUNTA($B$2:B146), "")</f>
        <v>145</v>
      </c>
      <c r="B146" s="124" t="s">
        <v>2498</v>
      </c>
      <c r="C146" s="12" t="s">
        <v>2499</v>
      </c>
      <c r="D146" s="8" t="s">
        <v>2727</v>
      </c>
      <c r="E146" s="140"/>
      <c r="F146" s="8" t="s">
        <v>241</v>
      </c>
      <c r="G146" s="132" t="n">
        <v>0.25</v>
      </c>
      <c r="H146" s="12" t="s">
        <v>2505</v>
      </c>
      <c r="I146" s="8" t="s">
        <v>1024</v>
      </c>
      <c r="J146" s="69" t="s">
        <v>1966</v>
      </c>
      <c r="K146" s="5"/>
      <c r="L146" s="5"/>
      <c r="M146" s="6"/>
      <c r="N146" s="8"/>
      <c r="O146" s="155"/>
    </row>
    <row r="147" customFormat="false" ht="22.5" hidden="false" customHeight="false" outlineLevel="0" collapsed="false">
      <c r="A147" s="5" t="n">
        <f aca="false">IF(B147&lt;&gt;"", COUNTA($B$2:B147), "")</f>
        <v>146</v>
      </c>
      <c r="B147" s="124" t="s">
        <v>2498</v>
      </c>
      <c r="C147" s="12" t="s">
        <v>2499</v>
      </c>
      <c r="D147" s="8" t="s">
        <v>2728</v>
      </c>
      <c r="E147" s="140"/>
      <c r="F147" s="8" t="s">
        <v>241</v>
      </c>
      <c r="G147" s="132" t="n">
        <v>0.25</v>
      </c>
      <c r="H147" s="12" t="s">
        <v>2507</v>
      </c>
      <c r="I147" s="8" t="s">
        <v>1024</v>
      </c>
      <c r="J147" s="69" t="s">
        <v>1966</v>
      </c>
      <c r="K147" s="5"/>
      <c r="L147" s="5"/>
      <c r="M147" s="6"/>
      <c r="N147" s="8"/>
      <c r="O147" s="155"/>
    </row>
    <row r="148" customFormat="false" ht="22.5" hidden="false" customHeight="false" outlineLevel="0" collapsed="false">
      <c r="A148" s="5" t="n">
        <f aca="false">IF(B148&lt;&gt;"", COUNTA($B$2:B148), "")</f>
        <v>147</v>
      </c>
      <c r="B148" s="124" t="s">
        <v>57</v>
      </c>
      <c r="C148" s="12" t="s">
        <v>2444</v>
      </c>
      <c r="D148" s="8" t="n">
        <v>6064458</v>
      </c>
      <c r="E148" s="140"/>
      <c r="F148" s="8" t="s">
        <v>241</v>
      </c>
      <c r="G148" s="10" t="s">
        <v>2451</v>
      </c>
      <c r="H148" s="12" t="s">
        <v>2508</v>
      </c>
      <c r="I148" s="140"/>
      <c r="J148" s="69" t="s">
        <v>1966</v>
      </c>
      <c r="K148" s="5"/>
      <c r="L148" s="5"/>
      <c r="M148" s="6"/>
      <c r="N148" s="8"/>
      <c r="O148" s="155"/>
    </row>
    <row r="149" customFormat="false" ht="22.5" hidden="false" customHeight="false" outlineLevel="0" collapsed="false">
      <c r="A149" s="5" t="n">
        <f aca="false">IF(B149&lt;&gt;"", COUNTA($B$2:B149), "")</f>
        <v>148</v>
      </c>
      <c r="B149" s="124" t="s">
        <v>57</v>
      </c>
      <c r="C149" s="12" t="s">
        <v>2444</v>
      </c>
      <c r="D149" s="8" t="n">
        <v>6074033</v>
      </c>
      <c r="E149" s="140"/>
      <c r="F149" s="8" t="s">
        <v>241</v>
      </c>
      <c r="G149" s="10" t="s">
        <v>2451</v>
      </c>
      <c r="H149" s="12" t="s">
        <v>2509</v>
      </c>
      <c r="I149" s="140"/>
      <c r="J149" s="69" t="s">
        <v>1966</v>
      </c>
      <c r="K149" s="5"/>
      <c r="L149" s="5"/>
      <c r="M149" s="6"/>
      <c r="N149" s="8"/>
      <c r="O149" s="155"/>
    </row>
    <row r="150" customFormat="false" ht="22.5" hidden="false" customHeight="false" outlineLevel="0" collapsed="false">
      <c r="A150" s="5" t="n">
        <f aca="false">IF(B150&lt;&gt;"", COUNTA($B$2:B150), "")</f>
        <v>149</v>
      </c>
      <c r="B150" s="125" t="s">
        <v>57</v>
      </c>
      <c r="C150" s="12" t="s">
        <v>2440</v>
      </c>
      <c r="D150" s="10" t="n">
        <v>6077575</v>
      </c>
      <c r="E150" s="168"/>
      <c r="F150" s="8" t="s">
        <v>2128</v>
      </c>
      <c r="G150" s="10" t="s">
        <v>2451</v>
      </c>
      <c r="H150" s="12" t="s">
        <v>2510</v>
      </c>
      <c r="I150" s="10" t="s">
        <v>2511</v>
      </c>
      <c r="J150" s="70" t="s">
        <v>1966</v>
      </c>
      <c r="K150" s="12"/>
      <c r="L150" s="12"/>
      <c r="M150" s="19"/>
      <c r="N150" s="10"/>
      <c r="O150" s="169"/>
    </row>
    <row r="151" customFormat="false" ht="22.5" hidden="false" customHeight="false" outlineLevel="0" collapsed="false">
      <c r="A151" s="5" t="n">
        <f aca="false">IF(B151&lt;&gt;"", COUNTA($B$2:B151), "")</f>
        <v>150</v>
      </c>
      <c r="B151" s="125" t="s">
        <v>57</v>
      </c>
      <c r="C151" s="12" t="s">
        <v>2440</v>
      </c>
      <c r="D151" s="10" t="n">
        <v>6085983</v>
      </c>
      <c r="E151" s="143"/>
      <c r="F151" s="8" t="s">
        <v>2255</v>
      </c>
      <c r="G151" s="10" t="s">
        <v>2451</v>
      </c>
      <c r="H151" s="12" t="s">
        <v>2512</v>
      </c>
      <c r="I151" s="10" t="s">
        <v>2511</v>
      </c>
      <c r="J151" s="70" t="s">
        <v>1966</v>
      </c>
      <c r="K151" s="5"/>
      <c r="L151" s="5"/>
      <c r="M151" s="6"/>
      <c r="N151" s="8"/>
      <c r="O151" s="155"/>
    </row>
    <row r="152" customFormat="false" ht="22.5" hidden="false" customHeight="false" outlineLevel="0" collapsed="false">
      <c r="A152" s="5" t="n">
        <f aca="false">IF(B152&lt;&gt;"", COUNTA($B$2:B152), "")</f>
        <v>151</v>
      </c>
      <c r="B152" s="125" t="s">
        <v>57</v>
      </c>
      <c r="C152" s="12" t="s">
        <v>2440</v>
      </c>
      <c r="D152" s="10" t="n">
        <v>6081378</v>
      </c>
      <c r="E152" s="170"/>
      <c r="F152" s="8" t="s">
        <v>2128</v>
      </c>
      <c r="G152" s="10" t="s">
        <v>2451</v>
      </c>
      <c r="H152" s="12" t="s">
        <v>2513</v>
      </c>
      <c r="I152" s="10" t="s">
        <v>2511</v>
      </c>
      <c r="J152" s="69" t="s">
        <v>1966</v>
      </c>
      <c r="K152" s="5"/>
      <c r="L152" s="5"/>
      <c r="M152" s="6"/>
      <c r="N152" s="8"/>
      <c r="O152" s="155"/>
    </row>
    <row r="153" customFormat="false" ht="22.5" hidden="false" customHeight="false" outlineLevel="0" collapsed="false">
      <c r="A153" s="5" t="n">
        <f aca="false">IF(B153&lt;&gt;"", COUNTA($B$2:B153), "")</f>
        <v>152</v>
      </c>
      <c r="B153" s="125" t="s">
        <v>57</v>
      </c>
      <c r="C153" s="12" t="s">
        <v>2440</v>
      </c>
      <c r="D153" s="10" t="n">
        <v>6085990</v>
      </c>
      <c r="E153" s="171"/>
      <c r="F153" s="8" t="s">
        <v>2128</v>
      </c>
      <c r="G153" s="10" t="s">
        <v>2451</v>
      </c>
      <c r="H153" s="12" t="s">
        <v>2514</v>
      </c>
      <c r="I153" s="10" t="s">
        <v>2511</v>
      </c>
      <c r="J153" s="70" t="s">
        <v>1966</v>
      </c>
      <c r="K153" s="12"/>
      <c r="L153" s="5"/>
      <c r="M153" s="6"/>
      <c r="N153" s="8"/>
      <c r="O153" s="155"/>
    </row>
    <row r="154" customFormat="false" ht="22.5" hidden="false" customHeight="false" outlineLevel="0" collapsed="false">
      <c r="A154" s="5" t="n">
        <f aca="false">IF(B154&lt;&gt;"", COUNTA($B$2:B154), "")</f>
        <v>153</v>
      </c>
      <c r="B154" s="124" t="s">
        <v>57</v>
      </c>
      <c r="C154" s="12" t="s">
        <v>2444</v>
      </c>
      <c r="D154" s="8" t="n">
        <v>61060411</v>
      </c>
      <c r="E154" s="8"/>
      <c r="F154" s="8" t="s">
        <v>2450</v>
      </c>
      <c r="G154" s="10" t="s">
        <v>2451</v>
      </c>
      <c r="H154" s="12" t="s">
        <v>2515</v>
      </c>
      <c r="I154" s="8"/>
      <c r="J154" s="69" t="s">
        <v>1966</v>
      </c>
      <c r="K154" s="5"/>
      <c r="L154" s="5"/>
      <c r="M154" s="6"/>
      <c r="N154" s="8"/>
      <c r="O154" s="155"/>
    </row>
    <row r="155" customFormat="false" ht="22.5" hidden="false" customHeight="false" outlineLevel="0" collapsed="false">
      <c r="A155" s="5" t="n">
        <f aca="false">IF(B155&lt;&gt;"", COUNTA($B$2:B155), "")</f>
        <v>154</v>
      </c>
      <c r="B155" s="125" t="s">
        <v>64</v>
      </c>
      <c r="C155" s="12" t="s">
        <v>2516</v>
      </c>
      <c r="D155" s="78" t="s">
        <v>2729</v>
      </c>
      <c r="E155" s="10" t="n">
        <v>2015</v>
      </c>
      <c r="F155" s="19" t="s">
        <v>2518</v>
      </c>
      <c r="G155" s="134" t="s">
        <v>2519</v>
      </c>
      <c r="H155" s="12" t="s">
        <v>2520</v>
      </c>
      <c r="I155" s="8" t="s">
        <v>1024</v>
      </c>
      <c r="J155" s="69" t="s">
        <v>1966</v>
      </c>
      <c r="K155" s="5"/>
      <c r="L155" s="5"/>
      <c r="M155" s="6"/>
      <c r="N155" s="8"/>
      <c r="O155" s="155"/>
    </row>
    <row r="156" customFormat="false" ht="22.5" hidden="false" customHeight="false" outlineLevel="0" collapsed="false">
      <c r="A156" s="5" t="n">
        <f aca="false">IF(B156&lt;&gt;"", COUNTA($B$2:B156), "")</f>
        <v>155</v>
      </c>
      <c r="B156" s="124" t="s">
        <v>64</v>
      </c>
      <c r="C156" s="12" t="s">
        <v>2521</v>
      </c>
      <c r="D156" s="8" t="n">
        <v>1117</v>
      </c>
      <c r="E156" s="8"/>
      <c r="F156" s="19" t="s">
        <v>2522</v>
      </c>
      <c r="G156" s="8"/>
      <c r="H156" s="5" t="s">
        <v>2523</v>
      </c>
      <c r="I156" s="8" t="s">
        <v>2442</v>
      </c>
      <c r="J156" s="69" t="s">
        <v>1966</v>
      </c>
      <c r="K156" s="5"/>
      <c r="L156" s="5"/>
      <c r="M156" s="6"/>
      <c r="N156" s="8"/>
      <c r="O156" s="155"/>
    </row>
    <row r="157" customFormat="false" ht="22.5" hidden="false" customHeight="false" outlineLevel="0" collapsed="false">
      <c r="A157" s="5" t="n">
        <f aca="false">IF(B157&lt;&gt;"", COUNTA($B$2:B157), "")</f>
        <v>156</v>
      </c>
      <c r="B157" s="124" t="s">
        <v>64</v>
      </c>
      <c r="C157" s="12" t="s">
        <v>2521</v>
      </c>
      <c r="D157" s="8" t="n">
        <v>1118</v>
      </c>
      <c r="E157" s="8"/>
      <c r="F157" s="19" t="s">
        <v>2522</v>
      </c>
      <c r="G157" s="8"/>
      <c r="H157" s="12" t="s">
        <v>2524</v>
      </c>
      <c r="I157" s="8" t="s">
        <v>2442</v>
      </c>
      <c r="J157" s="69" t="s">
        <v>1966</v>
      </c>
      <c r="K157" s="5"/>
      <c r="L157" s="5"/>
      <c r="M157" s="6"/>
      <c r="N157" s="8"/>
      <c r="O157" s="155"/>
    </row>
    <row r="158" customFormat="false" ht="22.5" hidden="false" customHeight="false" outlineLevel="0" collapsed="false">
      <c r="A158" s="5" t="n">
        <f aca="false">IF(B158&lt;&gt;"", COUNTA($B$2:B158), "")</f>
        <v>157</v>
      </c>
      <c r="B158" s="124" t="s">
        <v>64</v>
      </c>
      <c r="C158" s="12" t="s">
        <v>2521</v>
      </c>
      <c r="D158" s="8" t="n">
        <v>1115</v>
      </c>
      <c r="E158" s="8"/>
      <c r="F158" s="19" t="s">
        <v>2522</v>
      </c>
      <c r="G158" s="8"/>
      <c r="H158" s="12" t="s">
        <v>2525</v>
      </c>
      <c r="I158" s="8" t="s">
        <v>2442</v>
      </c>
      <c r="J158" s="69" t="s">
        <v>1966</v>
      </c>
      <c r="K158" s="5"/>
      <c r="L158" s="5"/>
      <c r="M158" s="6"/>
      <c r="N158" s="8"/>
      <c r="O158" s="155"/>
    </row>
    <row r="159" customFormat="false" ht="22.5" hidden="false" customHeight="false" outlineLevel="0" collapsed="false">
      <c r="A159" s="5" t="n">
        <f aca="false">IF(B159&lt;&gt;"", COUNTA($B$2:B159), "")</f>
        <v>158</v>
      </c>
      <c r="B159" s="124" t="s">
        <v>64</v>
      </c>
      <c r="C159" s="12" t="s">
        <v>2521</v>
      </c>
      <c r="D159" s="8" t="n">
        <v>34</v>
      </c>
      <c r="E159" s="8"/>
      <c r="F159" s="19" t="s">
        <v>2526</v>
      </c>
      <c r="G159" s="8"/>
      <c r="H159" s="5" t="s">
        <v>2527</v>
      </c>
      <c r="I159" s="8"/>
      <c r="J159" s="69" t="s">
        <v>1966</v>
      </c>
      <c r="K159" s="92"/>
      <c r="L159" s="5"/>
      <c r="M159" s="6"/>
      <c r="N159" s="8"/>
      <c r="O159" s="164"/>
    </row>
    <row r="160" customFormat="false" ht="22.5" hidden="false" customHeight="false" outlineLevel="0" collapsed="false">
      <c r="A160" s="5" t="n">
        <f aca="false">IF(B160&lt;&gt;"", COUNTA($B$2:B160), "")</f>
        <v>159</v>
      </c>
      <c r="B160" s="125" t="s">
        <v>64</v>
      </c>
      <c r="C160" s="12" t="s">
        <v>2521</v>
      </c>
      <c r="D160" s="10" t="n">
        <v>803</v>
      </c>
      <c r="E160" s="10"/>
      <c r="F160" s="19" t="s">
        <v>2528</v>
      </c>
      <c r="G160" s="10"/>
      <c r="H160" s="5" t="s">
        <v>2529</v>
      </c>
      <c r="I160" s="10"/>
      <c r="J160" s="69" t="s">
        <v>1966</v>
      </c>
      <c r="K160" s="5"/>
      <c r="L160" s="5"/>
      <c r="M160" s="6"/>
      <c r="N160" s="8"/>
      <c r="O160" s="155"/>
    </row>
    <row r="161" customFormat="false" ht="22.5" hidden="false" customHeight="false" outlineLevel="0" collapsed="false">
      <c r="A161" s="5" t="n">
        <f aca="false">IF(B161&lt;&gt;"", COUNTA($B$2:B161), "")</f>
        <v>160</v>
      </c>
      <c r="B161" s="125" t="s">
        <v>64</v>
      </c>
      <c r="C161" s="12" t="s">
        <v>2521</v>
      </c>
      <c r="D161" s="10" t="n">
        <v>802</v>
      </c>
      <c r="E161" s="10"/>
      <c r="F161" s="19" t="s">
        <v>2528</v>
      </c>
      <c r="G161" s="10"/>
      <c r="H161" s="5" t="s">
        <v>2530</v>
      </c>
      <c r="I161" s="172"/>
      <c r="J161" s="69" t="s">
        <v>1966</v>
      </c>
      <c r="K161" s="5"/>
      <c r="L161" s="5"/>
      <c r="M161" s="6"/>
      <c r="N161" s="8"/>
      <c r="O161" s="155"/>
    </row>
    <row r="162" customFormat="false" ht="22.5" hidden="false" customHeight="false" outlineLevel="0" collapsed="false">
      <c r="A162" s="5" t="n">
        <f aca="false">IF(B162&lt;&gt;"", COUNTA($B$2:B162), "")</f>
        <v>161</v>
      </c>
      <c r="B162" s="124" t="s">
        <v>64</v>
      </c>
      <c r="C162" s="12" t="s">
        <v>2521</v>
      </c>
      <c r="D162" s="8" t="n">
        <v>808</v>
      </c>
      <c r="E162" s="8"/>
      <c r="F162" s="19" t="s">
        <v>2528</v>
      </c>
      <c r="G162" s="8"/>
      <c r="H162" s="5" t="s">
        <v>2531</v>
      </c>
      <c r="I162" s="8"/>
      <c r="J162" s="69" t="s">
        <v>1966</v>
      </c>
      <c r="K162" s="5"/>
      <c r="L162" s="5"/>
      <c r="M162" s="6"/>
      <c r="N162" s="8"/>
      <c r="O162" s="155"/>
    </row>
    <row r="163" customFormat="false" ht="22.5" hidden="false" customHeight="false" outlineLevel="0" collapsed="false">
      <c r="A163" s="5" t="n">
        <f aca="false">IF(B163&lt;&gt;"", COUNTA($B$2:B163), "")</f>
        <v>162</v>
      </c>
      <c r="B163" s="124" t="s">
        <v>64</v>
      </c>
      <c r="C163" s="12" t="s">
        <v>2521</v>
      </c>
      <c r="D163" s="8" t="n">
        <v>730</v>
      </c>
      <c r="E163" s="133" t="n">
        <v>43191</v>
      </c>
      <c r="F163" s="19" t="s">
        <v>2532</v>
      </c>
      <c r="G163" s="8"/>
      <c r="H163" s="5" t="s">
        <v>2533</v>
      </c>
      <c r="I163" s="8"/>
      <c r="J163" s="69" t="s">
        <v>1966</v>
      </c>
      <c r="K163" s="5"/>
      <c r="L163" s="5"/>
      <c r="M163" s="6"/>
      <c r="N163" s="8"/>
      <c r="O163" s="155"/>
    </row>
    <row r="164" customFormat="false" ht="22.5" hidden="false" customHeight="false" outlineLevel="0" collapsed="false">
      <c r="A164" s="5" t="n">
        <f aca="false">IF(B164&lt;&gt;"", COUNTA($B$2:B164), "")</f>
        <v>163</v>
      </c>
      <c r="B164" s="124" t="s">
        <v>64</v>
      </c>
      <c r="C164" s="12" t="s">
        <v>2534</v>
      </c>
      <c r="D164" s="8" t="n">
        <v>597</v>
      </c>
      <c r="E164" s="8"/>
      <c r="F164" s="19" t="s">
        <v>2535</v>
      </c>
      <c r="G164" s="8"/>
      <c r="H164" s="5" t="s">
        <v>2536</v>
      </c>
      <c r="I164" s="8"/>
      <c r="J164" s="69" t="s">
        <v>1966</v>
      </c>
      <c r="K164" s="5"/>
      <c r="L164" s="5"/>
      <c r="M164" s="6"/>
      <c r="N164" s="8"/>
      <c r="O164" s="155"/>
    </row>
    <row r="165" customFormat="false" ht="22.5" hidden="false" customHeight="false" outlineLevel="0" collapsed="false">
      <c r="A165" s="5" t="n">
        <f aca="false">IF(B165&lt;&gt;"", COUNTA($B$2:B165), "")</f>
        <v>164</v>
      </c>
      <c r="B165" s="125" t="s">
        <v>64</v>
      </c>
      <c r="C165" s="12" t="s">
        <v>2521</v>
      </c>
      <c r="D165" s="10" t="n">
        <v>814</v>
      </c>
      <c r="E165" s="10"/>
      <c r="F165" s="19" t="s">
        <v>2537</v>
      </c>
      <c r="G165" s="10"/>
      <c r="H165" s="5" t="s">
        <v>2538</v>
      </c>
      <c r="I165" s="10"/>
      <c r="J165" s="70" t="s">
        <v>1966</v>
      </c>
      <c r="K165" s="12"/>
      <c r="L165" s="12"/>
      <c r="M165" s="19"/>
      <c r="N165" s="10"/>
      <c r="O165" s="169"/>
    </row>
    <row r="166" customFormat="false" ht="22.5" hidden="false" customHeight="false" outlineLevel="0" collapsed="false">
      <c r="A166" s="5" t="n">
        <f aca="false">IF(B166&lt;&gt;"", COUNTA($B$2:B166), "")</f>
        <v>165</v>
      </c>
      <c r="B166" s="124" t="s">
        <v>64</v>
      </c>
      <c r="C166" s="12" t="s">
        <v>2521</v>
      </c>
      <c r="D166" s="8" t="n">
        <v>364</v>
      </c>
      <c r="E166" s="8"/>
      <c r="F166" s="19" t="s">
        <v>2535</v>
      </c>
      <c r="G166" s="8"/>
      <c r="H166" s="5" t="s">
        <v>2539</v>
      </c>
      <c r="I166" s="8"/>
      <c r="J166" s="69" t="s">
        <v>1966</v>
      </c>
      <c r="K166" s="5"/>
      <c r="L166" s="5"/>
      <c r="M166" s="6"/>
      <c r="N166" s="8"/>
      <c r="O166" s="155"/>
    </row>
    <row r="167" customFormat="false" ht="22.5" hidden="false" customHeight="false" outlineLevel="0" collapsed="false">
      <c r="A167" s="5" t="n">
        <f aca="false">IF(B167&lt;&gt;"", COUNTA($B$2:B167), "")</f>
        <v>166</v>
      </c>
      <c r="B167" s="125" t="s">
        <v>64</v>
      </c>
      <c r="C167" s="12" t="s">
        <v>2521</v>
      </c>
      <c r="D167" s="10" t="n">
        <v>914</v>
      </c>
      <c r="E167" s="10"/>
      <c r="F167" s="19" t="s">
        <v>2537</v>
      </c>
      <c r="G167" s="10"/>
      <c r="H167" s="5" t="s">
        <v>2540</v>
      </c>
      <c r="I167" s="10"/>
      <c r="J167" s="70" t="s">
        <v>1966</v>
      </c>
      <c r="K167" s="12"/>
      <c r="L167" s="12"/>
      <c r="M167" s="78"/>
      <c r="N167" s="10"/>
      <c r="O167" s="169"/>
    </row>
    <row r="168" customFormat="false" ht="22.5" hidden="false" customHeight="false" outlineLevel="0" collapsed="false">
      <c r="A168" s="5" t="n">
        <f aca="false">IF(B168&lt;&gt;"", COUNTA($B$2:B168), "")</f>
        <v>167</v>
      </c>
      <c r="B168" s="124" t="s">
        <v>64</v>
      </c>
      <c r="C168" s="12" t="s">
        <v>2521</v>
      </c>
      <c r="D168" s="8" t="n">
        <v>913</v>
      </c>
      <c r="E168" s="8"/>
      <c r="F168" s="19" t="s">
        <v>2537</v>
      </c>
      <c r="G168" s="8"/>
      <c r="H168" s="12" t="s">
        <v>2541</v>
      </c>
      <c r="I168" s="8"/>
      <c r="J168" s="69" t="s">
        <v>1966</v>
      </c>
      <c r="K168" s="5"/>
      <c r="L168" s="5"/>
      <c r="M168" s="6"/>
      <c r="N168" s="8"/>
      <c r="O168" s="155"/>
    </row>
    <row r="169" customFormat="false" ht="22.5" hidden="false" customHeight="false" outlineLevel="0" collapsed="false">
      <c r="A169" s="5" t="n">
        <f aca="false">IF(B169&lt;&gt;"", COUNTA($B$2:B169), "")</f>
        <v>168</v>
      </c>
      <c r="B169" s="125" t="s">
        <v>64</v>
      </c>
      <c r="C169" s="12" t="s">
        <v>2542</v>
      </c>
      <c r="D169" s="146" t="s">
        <v>2730</v>
      </c>
      <c r="E169" s="146" t="n">
        <v>2018</v>
      </c>
      <c r="F169" s="19" t="s">
        <v>2544</v>
      </c>
      <c r="G169" s="10"/>
      <c r="H169" s="12" t="s">
        <v>2545</v>
      </c>
      <c r="I169" s="10"/>
      <c r="J169" s="69" t="s">
        <v>1966</v>
      </c>
      <c r="K169" s="5"/>
      <c r="L169" s="5"/>
      <c r="M169" s="6"/>
      <c r="N169" s="8"/>
      <c r="O169" s="169"/>
    </row>
    <row r="170" customFormat="false" ht="22.5" hidden="false" customHeight="false" outlineLevel="0" collapsed="false">
      <c r="A170" s="5" t="n">
        <f aca="false">IF(B170&lt;&gt;"", COUNTA($B$2:B170), "")</f>
        <v>169</v>
      </c>
      <c r="B170" s="124" t="s">
        <v>64</v>
      </c>
      <c r="C170" s="12" t="s">
        <v>2521</v>
      </c>
      <c r="D170" s="8" t="n">
        <v>1071</v>
      </c>
      <c r="E170" s="8"/>
      <c r="F170" s="19" t="s">
        <v>2528</v>
      </c>
      <c r="G170" s="8"/>
      <c r="H170" s="12" t="s">
        <v>2547</v>
      </c>
      <c r="I170" s="8"/>
      <c r="J170" s="69" t="s">
        <v>1966</v>
      </c>
      <c r="K170" s="5"/>
      <c r="L170" s="5"/>
      <c r="M170" s="6"/>
      <c r="N170" s="8"/>
      <c r="O170" s="155"/>
    </row>
    <row r="171" customFormat="false" ht="22.5" hidden="false" customHeight="false" outlineLevel="0" collapsed="false">
      <c r="A171" s="5" t="n">
        <f aca="false">IF(B171&lt;&gt;"", COUNTA($B$2:B171), "")</f>
        <v>170</v>
      </c>
      <c r="B171" s="124" t="s">
        <v>64</v>
      </c>
      <c r="C171" s="12" t="s">
        <v>2548</v>
      </c>
      <c r="D171" s="8" t="n">
        <v>46</v>
      </c>
      <c r="E171" s="8"/>
      <c r="F171" s="19" t="s">
        <v>2546</v>
      </c>
      <c r="G171" s="8"/>
      <c r="H171" s="5" t="s">
        <v>2549</v>
      </c>
      <c r="I171" s="8"/>
      <c r="J171" s="69" t="s">
        <v>1966</v>
      </c>
      <c r="K171" s="5"/>
      <c r="L171" s="5"/>
      <c r="M171" s="6"/>
      <c r="N171" s="8"/>
      <c r="O171" s="155"/>
    </row>
    <row r="172" customFormat="false" ht="22.5" hidden="false" customHeight="false" outlineLevel="0" collapsed="false">
      <c r="A172" s="5" t="n">
        <f aca="false">IF(B172&lt;&gt;"", COUNTA($B$2:B172), "")</f>
        <v>171</v>
      </c>
      <c r="B172" s="124" t="s">
        <v>64</v>
      </c>
      <c r="C172" s="12" t="s">
        <v>2521</v>
      </c>
      <c r="D172" s="8" t="n">
        <v>1576</v>
      </c>
      <c r="E172" s="8"/>
      <c r="F172" s="19" t="s">
        <v>2532</v>
      </c>
      <c r="G172" s="8"/>
      <c r="H172" s="5" t="s">
        <v>2550</v>
      </c>
      <c r="I172" s="8"/>
      <c r="J172" s="69" t="s">
        <v>1966</v>
      </c>
      <c r="K172" s="5"/>
      <c r="L172" s="5"/>
      <c r="M172" s="6"/>
      <c r="N172" s="8"/>
      <c r="O172" s="155"/>
    </row>
    <row r="173" customFormat="false" ht="22.5" hidden="false" customHeight="false" outlineLevel="0" collapsed="false">
      <c r="A173" s="5" t="n">
        <f aca="false">IF(B173&lt;&gt;"", COUNTA($B$2:B173), "")</f>
        <v>172</v>
      </c>
      <c r="B173" s="124" t="s">
        <v>64</v>
      </c>
      <c r="C173" s="12" t="s">
        <v>2521</v>
      </c>
      <c r="D173" s="8" t="n">
        <v>1583</v>
      </c>
      <c r="E173" s="8"/>
      <c r="F173" s="19" t="s">
        <v>2528</v>
      </c>
      <c r="G173" s="8"/>
      <c r="H173" s="5" t="s">
        <v>2551</v>
      </c>
      <c r="I173" s="8"/>
      <c r="J173" s="69" t="s">
        <v>1966</v>
      </c>
      <c r="K173" s="5"/>
      <c r="L173" s="5"/>
      <c r="M173" s="6"/>
      <c r="N173" s="8"/>
      <c r="O173" s="155"/>
    </row>
    <row r="174" customFormat="false" ht="22.5" hidden="false" customHeight="false" outlineLevel="0" collapsed="false">
      <c r="A174" s="5" t="n">
        <f aca="false">IF(B174&lt;&gt;"", COUNTA($B$2:B174), "")</f>
        <v>173</v>
      </c>
      <c r="B174" s="124" t="s">
        <v>64</v>
      </c>
      <c r="C174" s="12" t="s">
        <v>2552</v>
      </c>
      <c r="D174" s="8" t="n">
        <v>601</v>
      </c>
      <c r="E174" s="8"/>
      <c r="F174" s="19" t="s">
        <v>2535</v>
      </c>
      <c r="G174" s="8"/>
      <c r="H174" s="5" t="s">
        <v>2553</v>
      </c>
      <c r="I174" s="8"/>
      <c r="J174" s="69" t="s">
        <v>1966</v>
      </c>
      <c r="K174" s="5"/>
      <c r="L174" s="5"/>
      <c r="M174" s="6"/>
      <c r="N174" s="8"/>
      <c r="O174" s="164"/>
    </row>
    <row r="175" customFormat="false" ht="22.5" hidden="false" customHeight="false" outlineLevel="0" collapsed="false">
      <c r="A175" s="5" t="n">
        <f aca="false">IF(B175&lt;&gt;"", COUNTA($B$2:B175), "")</f>
        <v>174</v>
      </c>
      <c r="B175" s="124" t="s">
        <v>64</v>
      </c>
      <c r="C175" s="12" t="s">
        <v>2554</v>
      </c>
      <c r="D175" s="8" t="n">
        <v>633</v>
      </c>
      <c r="E175" s="8"/>
      <c r="F175" s="19" t="s">
        <v>2537</v>
      </c>
      <c r="G175" s="8"/>
      <c r="H175" s="5" t="s">
        <v>2555</v>
      </c>
      <c r="I175" s="8"/>
      <c r="J175" s="69" t="s">
        <v>1966</v>
      </c>
      <c r="K175" s="173"/>
      <c r="L175" s="5"/>
      <c r="M175" s="6"/>
      <c r="N175" s="8"/>
      <c r="O175" s="155"/>
    </row>
    <row r="176" customFormat="false" ht="22.5" hidden="false" customHeight="false" outlineLevel="0" collapsed="false">
      <c r="A176" s="5" t="n">
        <f aca="false">IF(B176&lt;&gt;"", COUNTA($B$2:B176), "")</f>
        <v>175</v>
      </c>
      <c r="B176" s="124" t="s">
        <v>64</v>
      </c>
      <c r="C176" s="12" t="s">
        <v>2521</v>
      </c>
      <c r="D176" s="8" t="n">
        <v>632</v>
      </c>
      <c r="E176" s="8"/>
      <c r="F176" s="19" t="s">
        <v>2537</v>
      </c>
      <c r="G176" s="8"/>
      <c r="H176" s="5" t="s">
        <v>2556</v>
      </c>
      <c r="I176" s="8"/>
      <c r="J176" s="69" t="s">
        <v>1966</v>
      </c>
      <c r="K176" s="5"/>
      <c r="L176" s="5"/>
      <c r="M176" s="140"/>
      <c r="N176" s="8"/>
      <c r="O176" s="155"/>
    </row>
    <row r="177" customFormat="false" ht="22.5" hidden="false" customHeight="false" outlineLevel="0" collapsed="false">
      <c r="A177" s="5" t="n">
        <f aca="false">IF(B177&lt;&gt;"", COUNTA($B$2:B177), "")</f>
        <v>176</v>
      </c>
      <c r="B177" s="124" t="s">
        <v>64</v>
      </c>
      <c r="C177" s="12" t="s">
        <v>2521</v>
      </c>
      <c r="D177" s="8" t="n">
        <v>1116</v>
      </c>
      <c r="E177" s="8"/>
      <c r="F177" s="19" t="s">
        <v>2532</v>
      </c>
      <c r="G177" s="8"/>
      <c r="H177" s="5" t="s">
        <v>2557</v>
      </c>
      <c r="I177" s="8"/>
      <c r="J177" s="69" t="s">
        <v>1966</v>
      </c>
      <c r="K177" s="5"/>
      <c r="L177" s="5"/>
      <c r="M177" s="140"/>
      <c r="N177" s="8"/>
      <c r="O177" s="155"/>
    </row>
    <row r="178" customFormat="false" ht="22.5" hidden="false" customHeight="false" outlineLevel="0" collapsed="false">
      <c r="A178" s="5" t="n">
        <f aca="false">IF(B178&lt;&gt;"", COUNTA($B$2:B178), "")</f>
        <v>177</v>
      </c>
      <c r="B178" s="125" t="s">
        <v>64</v>
      </c>
      <c r="C178" s="12" t="s">
        <v>2521</v>
      </c>
      <c r="D178" s="10" t="n">
        <v>74</v>
      </c>
      <c r="E178" s="10"/>
      <c r="F178" s="19" t="s">
        <v>2558</v>
      </c>
      <c r="G178" s="174" t="n">
        <v>0.005</v>
      </c>
      <c r="H178" s="12" t="s">
        <v>2559</v>
      </c>
      <c r="I178" s="10"/>
      <c r="J178" s="69" t="s">
        <v>1966</v>
      </c>
      <c r="K178" s="5"/>
      <c r="L178" s="5"/>
      <c r="M178" s="140"/>
      <c r="N178" s="8"/>
      <c r="O178" s="164"/>
    </row>
    <row r="179" customFormat="false" ht="33.75" hidden="false" customHeight="false" outlineLevel="0" collapsed="false">
      <c r="A179" s="5" t="n">
        <f aca="false">IF(B179&lt;&gt;"", COUNTA($B$2:B179), "")</f>
        <v>178</v>
      </c>
      <c r="B179" s="125" t="s">
        <v>64</v>
      </c>
      <c r="C179" s="12" t="s">
        <v>2542</v>
      </c>
      <c r="D179" s="146" t="s">
        <v>2731</v>
      </c>
      <c r="E179" s="137" t="n">
        <v>43405</v>
      </c>
      <c r="F179" s="19" t="s">
        <v>2544</v>
      </c>
      <c r="G179" s="10"/>
      <c r="H179" s="12" t="s">
        <v>2561</v>
      </c>
      <c r="I179" s="10"/>
      <c r="J179" s="69" t="s">
        <v>1966</v>
      </c>
      <c r="K179" s="5"/>
      <c r="L179" s="5"/>
      <c r="M179" s="140"/>
      <c r="N179" s="8"/>
      <c r="O179" s="169"/>
    </row>
    <row r="180" customFormat="false" ht="22.5" hidden="false" customHeight="false" outlineLevel="0" collapsed="false">
      <c r="A180" s="5" t="n">
        <f aca="false">IF(B180&lt;&gt;"", COUNTA($B$2:B180), "")</f>
        <v>179</v>
      </c>
      <c r="B180" s="124" t="s">
        <v>64</v>
      </c>
      <c r="C180" s="12" t="s">
        <v>2521</v>
      </c>
      <c r="D180" s="8" t="n">
        <v>1804</v>
      </c>
      <c r="E180" s="8" t="n">
        <v>2018</v>
      </c>
      <c r="F180" s="19" t="s">
        <v>2522</v>
      </c>
      <c r="G180" s="8"/>
      <c r="H180" s="5" t="s">
        <v>2562</v>
      </c>
      <c r="I180" s="8"/>
      <c r="J180" s="69" t="s">
        <v>1966</v>
      </c>
      <c r="K180" s="5"/>
      <c r="L180" s="5"/>
      <c r="M180" s="140"/>
      <c r="N180" s="8"/>
      <c r="O180" s="155"/>
    </row>
    <row r="181" customFormat="false" ht="22.5" hidden="false" customHeight="false" outlineLevel="0" collapsed="false">
      <c r="A181" s="5" t="n">
        <f aca="false">IF(B181&lt;&gt;"", COUNTA($B$2:B181), "")</f>
        <v>180</v>
      </c>
      <c r="B181" s="125" t="s">
        <v>64</v>
      </c>
      <c r="C181" s="12" t="s">
        <v>2554</v>
      </c>
      <c r="D181" s="10" t="n">
        <v>645</v>
      </c>
      <c r="E181" s="10" t="n">
        <v>2018</v>
      </c>
      <c r="F181" s="19" t="s">
        <v>2537</v>
      </c>
      <c r="G181" s="10"/>
      <c r="H181" s="12" t="s">
        <v>2563</v>
      </c>
      <c r="I181" s="8"/>
      <c r="J181" s="69" t="s">
        <v>1966</v>
      </c>
      <c r="K181" s="5"/>
      <c r="L181" s="5"/>
      <c r="M181" s="140"/>
      <c r="N181" s="8"/>
      <c r="O181" s="164"/>
    </row>
    <row r="182" customFormat="false" ht="22.5" hidden="false" customHeight="false" outlineLevel="0" collapsed="false">
      <c r="A182" s="5" t="n">
        <f aca="false">IF(B182&lt;&gt;"", COUNTA($B$2:B182), "")</f>
        <v>181</v>
      </c>
      <c r="B182" s="125" t="s">
        <v>64</v>
      </c>
      <c r="C182" s="12" t="s">
        <v>2521</v>
      </c>
      <c r="D182" s="10" t="n">
        <v>1864</v>
      </c>
      <c r="E182" s="10" t="n">
        <v>2018</v>
      </c>
      <c r="F182" s="19" t="s">
        <v>2537</v>
      </c>
      <c r="G182" s="10" t="s">
        <v>1643</v>
      </c>
      <c r="H182" s="5" t="s">
        <v>2564</v>
      </c>
      <c r="I182" s="8"/>
      <c r="J182" s="69"/>
      <c r="K182" s="5"/>
      <c r="L182" s="5"/>
      <c r="M182" s="140"/>
      <c r="N182" s="8"/>
      <c r="O182" s="164"/>
    </row>
    <row r="183" customFormat="false" ht="22.5" hidden="false" customHeight="false" outlineLevel="0" collapsed="false">
      <c r="A183" s="5" t="n">
        <f aca="false">IF(B183&lt;&gt;"", COUNTA($B$2:B183), "")</f>
        <v>182</v>
      </c>
      <c r="B183" s="125" t="s">
        <v>64</v>
      </c>
      <c r="C183" s="10" t="s">
        <v>2565</v>
      </c>
      <c r="D183" s="10" t="n">
        <v>2433631</v>
      </c>
      <c r="E183" s="150" t="n">
        <v>43191</v>
      </c>
      <c r="F183" s="19" t="s">
        <v>2566</v>
      </c>
      <c r="G183" s="175" t="n">
        <v>0.0025</v>
      </c>
      <c r="H183" s="12" t="s">
        <v>2567</v>
      </c>
      <c r="I183" s="10"/>
      <c r="J183" s="70" t="s">
        <v>1966</v>
      </c>
      <c r="K183" s="5"/>
      <c r="L183" s="5"/>
      <c r="M183" s="6"/>
      <c r="N183" s="8"/>
      <c r="O183" s="155"/>
    </row>
    <row r="184" customFormat="false" ht="22.5" hidden="false" customHeight="false" outlineLevel="0" collapsed="false">
      <c r="A184" s="5" t="n">
        <f aca="false">IF(B184&lt;&gt;"", COUNTA($B$2:B184), "")</f>
        <v>183</v>
      </c>
      <c r="B184" s="124" t="s">
        <v>64</v>
      </c>
      <c r="C184" s="12" t="s">
        <v>2521</v>
      </c>
      <c r="D184" s="8" t="n">
        <v>795</v>
      </c>
      <c r="E184" s="8"/>
      <c r="F184" s="19" t="s">
        <v>2528</v>
      </c>
      <c r="G184" s="8"/>
      <c r="H184" s="12" t="s">
        <v>2568</v>
      </c>
      <c r="I184" s="8"/>
      <c r="J184" s="69" t="s">
        <v>1966</v>
      </c>
      <c r="K184" s="5"/>
      <c r="L184" s="5"/>
      <c r="M184" s="140"/>
      <c r="N184" s="8"/>
      <c r="O184" s="155"/>
    </row>
    <row r="185" customFormat="false" ht="22.5" hidden="false" customHeight="false" outlineLevel="0" collapsed="false">
      <c r="A185" s="5" t="n">
        <f aca="false">IF(B185&lt;&gt;"", COUNTA($B$2:B185), "")</f>
        <v>184</v>
      </c>
      <c r="B185" s="124" t="s">
        <v>64</v>
      </c>
      <c r="C185" s="12" t="s">
        <v>2534</v>
      </c>
      <c r="D185" s="8" t="n">
        <v>590</v>
      </c>
      <c r="E185" s="15"/>
      <c r="F185" s="19" t="s">
        <v>2535</v>
      </c>
      <c r="G185" s="8"/>
      <c r="H185" s="5" t="s">
        <v>2569</v>
      </c>
      <c r="I185" s="8"/>
      <c r="J185" s="69" t="s">
        <v>1966</v>
      </c>
      <c r="K185" s="5"/>
      <c r="L185" s="5"/>
      <c r="M185" s="140"/>
      <c r="N185" s="8"/>
      <c r="O185" s="155"/>
    </row>
    <row r="186" customFormat="false" ht="22.5" hidden="false" customHeight="false" outlineLevel="0" collapsed="false">
      <c r="A186" s="5" t="n">
        <f aca="false">IF(B186&lt;&gt;"", COUNTA($B$2:B186), "")</f>
        <v>185</v>
      </c>
      <c r="B186" s="124" t="s">
        <v>64</v>
      </c>
      <c r="C186" s="12" t="s">
        <v>2570</v>
      </c>
      <c r="D186" s="8" t="n">
        <v>105</v>
      </c>
      <c r="E186" s="15" t="s">
        <v>2590</v>
      </c>
      <c r="F186" s="19" t="s">
        <v>2571</v>
      </c>
      <c r="G186" s="8"/>
      <c r="H186" s="5" t="s">
        <v>2572</v>
      </c>
      <c r="I186" s="8"/>
      <c r="J186" s="69"/>
      <c r="K186" s="5"/>
      <c r="L186" s="5"/>
      <c r="M186" s="140"/>
      <c r="N186" s="8"/>
      <c r="O186" s="155"/>
    </row>
    <row r="187" customFormat="false" ht="22.5" hidden="false" customHeight="false" outlineLevel="0" collapsed="false">
      <c r="A187" s="5" t="n">
        <f aca="false">IF(B187&lt;&gt;"", COUNTA($B$2:B187), "")</f>
        <v>186</v>
      </c>
      <c r="B187" s="125" t="s">
        <v>64</v>
      </c>
      <c r="C187" s="12" t="s">
        <v>2570</v>
      </c>
      <c r="D187" s="10" t="n">
        <v>100</v>
      </c>
      <c r="E187" s="78" t="s">
        <v>2590</v>
      </c>
      <c r="F187" s="19" t="s">
        <v>2571</v>
      </c>
      <c r="G187" s="10" t="n">
        <v>0.3</v>
      </c>
      <c r="H187" s="5" t="s">
        <v>2573</v>
      </c>
      <c r="I187" s="8"/>
      <c r="J187" s="69"/>
      <c r="K187" s="5"/>
      <c r="L187" s="5"/>
      <c r="M187" s="140"/>
      <c r="N187" s="8"/>
      <c r="O187" s="155"/>
    </row>
    <row r="188" customFormat="false" ht="22.5" hidden="false" customHeight="false" outlineLevel="0" collapsed="false">
      <c r="A188" s="5" t="n">
        <f aca="false">IF(B188&lt;&gt;"", COUNTA($B$2:B188), "")</f>
        <v>187</v>
      </c>
      <c r="B188" s="125" t="s">
        <v>64</v>
      </c>
      <c r="C188" s="12" t="s">
        <v>2534</v>
      </c>
      <c r="D188" s="10" t="n">
        <v>590</v>
      </c>
      <c r="E188" s="78" t="s">
        <v>2590</v>
      </c>
      <c r="F188" s="19" t="s">
        <v>2576</v>
      </c>
      <c r="G188" s="175" t="n">
        <v>0.0025</v>
      </c>
      <c r="H188" s="10" t="s">
        <v>2574</v>
      </c>
      <c r="I188" s="8"/>
      <c r="J188" s="69" t="s">
        <v>1966</v>
      </c>
      <c r="K188" s="5"/>
      <c r="L188" s="5"/>
      <c r="M188" s="140"/>
      <c r="N188" s="8"/>
      <c r="O188" s="155"/>
    </row>
    <row r="189" customFormat="false" ht="22.5" hidden="false" customHeight="false" outlineLevel="0" collapsed="false">
      <c r="A189" s="5" t="n">
        <f aca="false">IF(B189&lt;&gt;"", COUNTA($B$2:B189), "")</f>
        <v>188</v>
      </c>
      <c r="B189" s="125" t="s">
        <v>64</v>
      </c>
      <c r="C189" s="12" t="s">
        <v>2575</v>
      </c>
      <c r="D189" s="10" t="n">
        <v>365</v>
      </c>
      <c r="E189" s="78" t="s">
        <v>2590</v>
      </c>
      <c r="F189" s="19" t="s">
        <v>2535</v>
      </c>
      <c r="G189" s="143" t="s">
        <v>1643</v>
      </c>
      <c r="H189" s="10" t="s">
        <v>2574</v>
      </c>
      <c r="I189" s="8"/>
      <c r="J189" s="69" t="s">
        <v>1966</v>
      </c>
      <c r="K189" s="5"/>
      <c r="L189" s="5"/>
      <c r="M189" s="140"/>
      <c r="N189" s="8"/>
      <c r="O189" s="155"/>
    </row>
    <row r="190" customFormat="false" ht="22.5" hidden="false" customHeight="false" outlineLevel="0" collapsed="false">
      <c r="A190" s="5" t="n">
        <f aca="false">IF(B190&lt;&gt;"", COUNTA($B$2:B190), "")</f>
        <v>189</v>
      </c>
      <c r="B190" s="125" t="s">
        <v>64</v>
      </c>
      <c r="C190" s="12" t="s">
        <v>2577</v>
      </c>
      <c r="D190" s="10" t="n">
        <v>2444273</v>
      </c>
      <c r="E190" s="15" t="s">
        <v>2590</v>
      </c>
      <c r="F190" s="19" t="s">
        <v>2578</v>
      </c>
      <c r="G190" s="143"/>
      <c r="H190" s="10" t="s">
        <v>2579</v>
      </c>
      <c r="I190" s="8"/>
      <c r="J190" s="69" t="s">
        <v>1966</v>
      </c>
      <c r="K190" s="5"/>
      <c r="L190" s="5"/>
      <c r="M190" s="6"/>
      <c r="N190" s="8"/>
      <c r="O190" s="155"/>
    </row>
    <row r="191" customFormat="false" ht="22.5" hidden="false" customHeight="false" outlineLevel="0" collapsed="false">
      <c r="A191" s="5" t="n">
        <f aca="false">IF(B191&lt;&gt;"", COUNTA($B$2:B191), "")</f>
        <v>190</v>
      </c>
      <c r="B191" s="125" t="s">
        <v>64</v>
      </c>
      <c r="C191" s="12" t="s">
        <v>2577</v>
      </c>
      <c r="D191" s="10" t="n">
        <v>2444562</v>
      </c>
      <c r="E191" s="15" t="s">
        <v>2590</v>
      </c>
      <c r="F191" s="19" t="s">
        <v>2578</v>
      </c>
      <c r="G191" s="143"/>
      <c r="H191" s="10" t="s">
        <v>2580</v>
      </c>
      <c r="I191" s="8"/>
      <c r="J191" s="69" t="s">
        <v>1966</v>
      </c>
      <c r="K191" s="5"/>
      <c r="L191" s="5"/>
      <c r="M191" s="6"/>
      <c r="N191" s="8"/>
      <c r="O191" s="155"/>
    </row>
    <row r="192" customFormat="false" ht="22.5" hidden="false" customHeight="false" outlineLevel="0" collapsed="false">
      <c r="A192" s="5" t="n">
        <f aca="false">IF(B192&lt;&gt;"", COUNTA($B$2:B192), "")</f>
        <v>191</v>
      </c>
      <c r="B192" s="125" t="s">
        <v>64</v>
      </c>
      <c r="C192" s="12" t="s">
        <v>2577</v>
      </c>
      <c r="D192" s="10" t="n">
        <v>2421627</v>
      </c>
      <c r="E192" s="150" t="n">
        <v>43282</v>
      </c>
      <c r="F192" s="19" t="s">
        <v>2578</v>
      </c>
      <c r="G192" s="143"/>
      <c r="H192" s="10" t="s">
        <v>2581</v>
      </c>
      <c r="I192" s="8"/>
      <c r="J192" s="69" t="s">
        <v>1966</v>
      </c>
      <c r="K192" s="5"/>
      <c r="L192" s="5"/>
      <c r="M192" s="6"/>
      <c r="N192" s="8"/>
      <c r="O192" s="155"/>
    </row>
    <row r="193" customFormat="false" ht="22.5" hidden="false" customHeight="false" outlineLevel="0" collapsed="false">
      <c r="A193" s="5" t="n">
        <f aca="false">IF(B193&lt;&gt;"", COUNTA($B$2:B193), "")</f>
        <v>192</v>
      </c>
      <c r="B193" s="125" t="s">
        <v>64</v>
      </c>
      <c r="C193" s="12" t="s">
        <v>2577</v>
      </c>
      <c r="D193" s="10" t="n">
        <v>2444270</v>
      </c>
      <c r="E193" s="150" t="n">
        <v>43282</v>
      </c>
      <c r="F193" s="19" t="s">
        <v>2578</v>
      </c>
      <c r="G193" s="143"/>
      <c r="H193" s="10" t="s">
        <v>2582</v>
      </c>
      <c r="I193" s="8"/>
      <c r="J193" s="69" t="s">
        <v>1966</v>
      </c>
      <c r="K193" s="5"/>
      <c r="L193" s="5"/>
      <c r="M193" s="6"/>
      <c r="N193" s="8"/>
      <c r="O193" s="155"/>
    </row>
    <row r="194" customFormat="false" ht="22.5" hidden="false" customHeight="false" outlineLevel="0" collapsed="false">
      <c r="A194" s="5" t="n">
        <f aca="false">IF(B194&lt;&gt;"", COUNTA($B$2:B194), "")</f>
        <v>193</v>
      </c>
      <c r="B194" s="125" t="s">
        <v>64</v>
      </c>
      <c r="C194" s="12" t="s">
        <v>2577</v>
      </c>
      <c r="D194" s="10" t="n">
        <v>2428406</v>
      </c>
      <c r="E194" s="150" t="n">
        <v>43282</v>
      </c>
      <c r="F194" s="19" t="s">
        <v>2578</v>
      </c>
      <c r="G194" s="143"/>
      <c r="H194" s="10" t="s">
        <v>2583</v>
      </c>
      <c r="I194" s="8"/>
      <c r="J194" s="69" t="s">
        <v>1966</v>
      </c>
      <c r="K194" s="5"/>
      <c r="L194" s="5"/>
      <c r="M194" s="6"/>
      <c r="N194" s="8"/>
      <c r="O194" s="155"/>
    </row>
    <row r="195" customFormat="false" ht="22.5" hidden="false" customHeight="false" outlineLevel="0" collapsed="false">
      <c r="A195" s="5" t="n">
        <f aca="false">IF(B195&lt;&gt;"", COUNTA($B$2:B195), "")</f>
        <v>194</v>
      </c>
      <c r="B195" s="125" t="s">
        <v>64</v>
      </c>
      <c r="C195" s="12" t="s">
        <v>2577</v>
      </c>
      <c r="D195" s="10" t="n">
        <v>2428412</v>
      </c>
      <c r="E195" s="150" t="n">
        <v>43282</v>
      </c>
      <c r="F195" s="19" t="s">
        <v>2578</v>
      </c>
      <c r="G195" s="143"/>
      <c r="H195" s="10" t="s">
        <v>2584</v>
      </c>
      <c r="I195" s="8"/>
      <c r="J195" s="69" t="s">
        <v>1966</v>
      </c>
      <c r="K195" s="5"/>
      <c r="L195" s="5"/>
      <c r="M195" s="6"/>
      <c r="N195" s="8"/>
      <c r="O195" s="155"/>
    </row>
    <row r="196" customFormat="false" ht="22.5" hidden="false" customHeight="false" outlineLevel="0" collapsed="false">
      <c r="A196" s="5" t="n">
        <f aca="false">IF(B196&lt;&gt;"", COUNTA($B$2:B196), "")</f>
        <v>195</v>
      </c>
      <c r="B196" s="8" t="s">
        <v>2585</v>
      </c>
      <c r="C196" s="10" t="s">
        <v>2586</v>
      </c>
      <c r="D196" s="8" t="n">
        <v>22321</v>
      </c>
      <c r="E196" s="133" t="n">
        <v>43282</v>
      </c>
      <c r="F196" s="8" t="s">
        <v>2587</v>
      </c>
      <c r="G196" s="140"/>
      <c r="H196" s="5" t="s">
        <v>2588</v>
      </c>
      <c r="I196" s="8" t="s">
        <v>2453</v>
      </c>
      <c r="J196" s="69" t="s">
        <v>1966</v>
      </c>
      <c r="K196" s="5"/>
      <c r="L196" s="5"/>
      <c r="M196" s="6"/>
      <c r="N196" s="8"/>
      <c r="O196" s="164"/>
    </row>
    <row r="197" customFormat="false" ht="22.5" hidden="false" customHeight="false" outlineLevel="0" collapsed="false">
      <c r="A197" s="5" t="n">
        <f aca="false">IF(B197&lt;&gt;"", COUNTA($B$2:B197), "")</f>
        <v>196</v>
      </c>
      <c r="B197" s="8" t="s">
        <v>2585</v>
      </c>
      <c r="C197" s="10" t="s">
        <v>2586</v>
      </c>
      <c r="D197" s="8" t="n">
        <v>22333</v>
      </c>
      <c r="E197" s="133" t="n">
        <v>43282</v>
      </c>
      <c r="F197" s="8" t="s">
        <v>2587</v>
      </c>
      <c r="G197" s="140"/>
      <c r="H197" s="5" t="s">
        <v>2589</v>
      </c>
      <c r="I197" s="8" t="s">
        <v>2453</v>
      </c>
      <c r="J197" s="69" t="s">
        <v>1966</v>
      </c>
      <c r="K197" s="5"/>
      <c r="L197" s="5"/>
      <c r="M197" s="6"/>
      <c r="N197" s="8"/>
      <c r="O197" s="164"/>
    </row>
    <row r="198" customFormat="false" ht="22.5" hidden="false" customHeight="false" outlineLevel="0" collapsed="false">
      <c r="A198" s="5" t="n">
        <f aca="false">IF(B198&lt;&gt;"", COUNTA($B$2:B198), "")</f>
        <v>197</v>
      </c>
      <c r="B198" s="125" t="s">
        <v>64</v>
      </c>
      <c r="C198" s="10" t="s">
        <v>2534</v>
      </c>
      <c r="D198" s="10" t="n">
        <v>597</v>
      </c>
      <c r="E198" s="78" t="s">
        <v>2590</v>
      </c>
      <c r="F198" s="19" t="s">
        <v>2535</v>
      </c>
      <c r="G198" s="143" t="s">
        <v>1643</v>
      </c>
      <c r="H198" s="12" t="s">
        <v>2591</v>
      </c>
      <c r="I198" s="8"/>
      <c r="J198" s="69"/>
      <c r="K198" s="5"/>
      <c r="L198" s="5"/>
      <c r="M198" s="6"/>
      <c r="N198" s="8"/>
      <c r="O198" s="155"/>
    </row>
    <row r="199" customFormat="false" ht="22.5" hidden="false" customHeight="false" outlineLevel="0" collapsed="false">
      <c r="A199" s="5" t="n">
        <f aca="false">IF(B199&lt;&gt;"", COUNTA($B$2:B199), "")</f>
        <v>198</v>
      </c>
      <c r="B199" s="8" t="s">
        <v>1064</v>
      </c>
      <c r="C199" s="12" t="s">
        <v>2592</v>
      </c>
      <c r="D199" s="8" t="s">
        <v>2732</v>
      </c>
      <c r="E199" s="8" t="n">
        <v>2018</v>
      </c>
      <c r="F199" s="8" t="s">
        <v>2594</v>
      </c>
      <c r="G199" s="140"/>
      <c r="H199" s="8" t="s">
        <v>2595</v>
      </c>
      <c r="I199" s="8" t="s">
        <v>1024</v>
      </c>
      <c r="J199" s="69" t="s">
        <v>1966</v>
      </c>
      <c r="K199" s="5"/>
      <c r="L199" s="5"/>
      <c r="M199" s="6"/>
      <c r="N199" s="8"/>
      <c r="O199" s="169"/>
      <c r="P199" s="176" t="s">
        <v>2596</v>
      </c>
    </row>
    <row r="200" customFormat="false" ht="22.5" hidden="false" customHeight="false" outlineLevel="0" collapsed="false">
      <c r="A200" s="5" t="n">
        <f aca="false">IF(B200&lt;&gt;"", COUNTA($B$2:B200), "")</f>
        <v>199</v>
      </c>
      <c r="B200" s="8" t="s">
        <v>1064</v>
      </c>
      <c r="C200" s="12" t="s">
        <v>2592</v>
      </c>
      <c r="D200" s="8" t="s">
        <v>2733</v>
      </c>
      <c r="E200" s="8" t="n">
        <v>2018</v>
      </c>
      <c r="F200" s="8" t="s">
        <v>2594</v>
      </c>
      <c r="G200" s="140"/>
      <c r="H200" s="8" t="s">
        <v>2598</v>
      </c>
      <c r="I200" s="8" t="s">
        <v>1024</v>
      </c>
      <c r="J200" s="69" t="s">
        <v>1966</v>
      </c>
      <c r="K200" s="5"/>
      <c r="L200" s="5"/>
      <c r="M200" s="6"/>
      <c r="N200" s="8"/>
      <c r="O200" s="169"/>
      <c r="P200" s="176" t="s">
        <v>2596</v>
      </c>
    </row>
    <row r="201" customFormat="false" ht="22.5" hidden="false" customHeight="false" outlineLevel="0" collapsed="false">
      <c r="A201" s="5" t="n">
        <f aca="false">IF(B201&lt;&gt;"", COUNTA($B$2:B201), "")</f>
        <v>200</v>
      </c>
      <c r="B201" s="8" t="s">
        <v>1064</v>
      </c>
      <c r="C201" s="12" t="s">
        <v>2592</v>
      </c>
      <c r="D201" s="8" t="s">
        <v>2734</v>
      </c>
      <c r="E201" s="8" t="n">
        <v>2018</v>
      </c>
      <c r="F201" s="8" t="s">
        <v>2594</v>
      </c>
      <c r="G201" s="140"/>
      <c r="H201" s="8" t="s">
        <v>2600</v>
      </c>
      <c r="I201" s="8" t="s">
        <v>1024</v>
      </c>
      <c r="J201" s="69" t="s">
        <v>1966</v>
      </c>
      <c r="K201" s="5"/>
      <c r="L201" s="5"/>
      <c r="M201" s="6"/>
      <c r="N201" s="8"/>
      <c r="O201" s="169"/>
      <c r="P201" s="176" t="s">
        <v>2596</v>
      </c>
    </row>
    <row r="202" customFormat="false" ht="22.5" hidden="false" customHeight="false" outlineLevel="0" collapsed="false">
      <c r="A202" s="5" t="n">
        <f aca="false">IF(B202&lt;&gt;"", COUNTA($B$2:B202), "")</f>
        <v>201</v>
      </c>
      <c r="B202" s="8" t="s">
        <v>1064</v>
      </c>
      <c r="C202" s="12" t="s">
        <v>2592</v>
      </c>
      <c r="D202" s="8" t="s">
        <v>2735</v>
      </c>
      <c r="E202" s="8" t="n">
        <v>2018</v>
      </c>
      <c r="F202" s="8" t="s">
        <v>2594</v>
      </c>
      <c r="G202" s="140"/>
      <c r="H202" s="8" t="s">
        <v>2602</v>
      </c>
      <c r="I202" s="8" t="s">
        <v>1024</v>
      </c>
      <c r="J202" s="69" t="s">
        <v>1966</v>
      </c>
      <c r="K202" s="5"/>
      <c r="L202" s="5"/>
      <c r="M202" s="6"/>
      <c r="N202" s="8"/>
      <c r="O202" s="169"/>
      <c r="P202" s="176" t="s">
        <v>2596</v>
      </c>
    </row>
    <row r="203" customFormat="false" ht="22.5" hidden="false" customHeight="false" outlineLevel="0" collapsed="false">
      <c r="A203" s="5" t="n">
        <f aca="false">IF(B203&lt;&gt;"", COUNTA($B$2:B203), "")</f>
        <v>202</v>
      </c>
      <c r="B203" s="8" t="s">
        <v>1064</v>
      </c>
      <c r="C203" s="12" t="s">
        <v>2592</v>
      </c>
      <c r="D203" s="8" t="s">
        <v>2736</v>
      </c>
      <c r="E203" s="8" t="n">
        <v>2018</v>
      </c>
      <c r="F203" s="8" t="s">
        <v>2594</v>
      </c>
      <c r="G203" s="140"/>
      <c r="H203" s="8" t="s">
        <v>2604</v>
      </c>
      <c r="I203" s="8" t="s">
        <v>1024</v>
      </c>
      <c r="J203" s="69" t="s">
        <v>1966</v>
      </c>
      <c r="K203" s="5"/>
      <c r="L203" s="5"/>
      <c r="M203" s="6"/>
      <c r="N203" s="8"/>
      <c r="O203" s="169"/>
      <c r="P203" s="176" t="s">
        <v>2596</v>
      </c>
    </row>
    <row r="204" customFormat="false" ht="22.5" hidden="false" customHeight="false" outlineLevel="0" collapsed="false">
      <c r="A204" s="5" t="n">
        <f aca="false">IF(B204&lt;&gt;"", COUNTA($B$2:B204), "")</f>
        <v>203</v>
      </c>
      <c r="B204" s="8" t="s">
        <v>1064</v>
      </c>
      <c r="C204" s="12" t="s">
        <v>2592</v>
      </c>
      <c r="D204" s="8" t="s">
        <v>2737</v>
      </c>
      <c r="E204" s="8" t="n">
        <v>2018</v>
      </c>
      <c r="F204" s="8" t="s">
        <v>2594</v>
      </c>
      <c r="G204" s="140"/>
      <c r="H204" s="8" t="s">
        <v>2606</v>
      </c>
      <c r="I204" s="8" t="s">
        <v>1024</v>
      </c>
      <c r="J204" s="69" t="s">
        <v>1966</v>
      </c>
      <c r="K204" s="5"/>
      <c r="L204" s="5"/>
      <c r="M204" s="6"/>
      <c r="N204" s="8"/>
      <c r="O204" s="169"/>
      <c r="P204" s="176" t="s">
        <v>2596</v>
      </c>
    </row>
    <row r="205" customFormat="false" ht="22.5" hidden="false" customHeight="false" outlineLevel="0" collapsed="false">
      <c r="A205" s="5" t="n">
        <f aca="false">IF(B205&lt;&gt;"", COUNTA($B$2:B205), "")</f>
        <v>204</v>
      </c>
      <c r="B205" s="8" t="s">
        <v>1064</v>
      </c>
      <c r="C205" s="12" t="s">
        <v>2592</v>
      </c>
      <c r="D205" s="8" t="s">
        <v>2738</v>
      </c>
      <c r="E205" s="8" t="n">
        <v>2018</v>
      </c>
      <c r="F205" s="8" t="s">
        <v>2594</v>
      </c>
      <c r="G205" s="140"/>
      <c r="H205" s="8" t="s">
        <v>2608</v>
      </c>
      <c r="I205" s="8" t="s">
        <v>1024</v>
      </c>
      <c r="J205" s="69" t="s">
        <v>1966</v>
      </c>
      <c r="K205" s="5"/>
      <c r="L205" s="5"/>
      <c r="M205" s="6"/>
      <c r="N205" s="8"/>
      <c r="O205" s="169"/>
      <c r="P205" s="176" t="s">
        <v>2596</v>
      </c>
    </row>
    <row r="206" customFormat="false" ht="22.5" hidden="false" customHeight="false" outlineLevel="0" collapsed="false">
      <c r="A206" s="5" t="n">
        <f aca="false">IF(B206&lt;&gt;"", COUNTA($B$2:B206), "")</f>
        <v>205</v>
      </c>
      <c r="B206" s="8" t="s">
        <v>1064</v>
      </c>
      <c r="C206" s="12" t="s">
        <v>2592</v>
      </c>
      <c r="D206" s="8" t="s">
        <v>2739</v>
      </c>
      <c r="E206" s="8" t="n">
        <v>2018</v>
      </c>
      <c r="F206" s="8" t="s">
        <v>2594</v>
      </c>
      <c r="G206" s="140"/>
      <c r="H206" s="8" t="s">
        <v>2610</v>
      </c>
      <c r="I206" s="8" t="s">
        <v>1024</v>
      </c>
      <c r="J206" s="69" t="s">
        <v>1966</v>
      </c>
      <c r="K206" s="5"/>
      <c r="L206" s="5"/>
      <c r="M206" s="6"/>
      <c r="N206" s="8"/>
      <c r="O206" s="169"/>
      <c r="P206" s="176" t="s">
        <v>2596</v>
      </c>
    </row>
    <row r="207" s="28" customFormat="true" ht="22.5" hidden="false" customHeight="false" outlineLevel="0" collapsed="false">
      <c r="A207" s="21" t="n">
        <f aca="false">IF(B207&lt;&gt;"", COUNTA($B$2:B207), "")</f>
        <v>206</v>
      </c>
      <c r="B207" s="21" t="s">
        <v>1409</v>
      </c>
      <c r="C207" s="26" t="s">
        <v>2611</v>
      </c>
      <c r="D207" s="21"/>
      <c r="E207" s="21" t="n">
        <v>2018</v>
      </c>
      <c r="F207" s="21" t="s">
        <v>214</v>
      </c>
      <c r="G207" s="177"/>
      <c r="H207" s="21" t="s">
        <v>2612</v>
      </c>
      <c r="I207" s="23" t="s">
        <v>1024</v>
      </c>
      <c r="J207" s="178" t="s">
        <v>1966</v>
      </c>
      <c r="K207" s="21"/>
      <c r="L207" s="21"/>
      <c r="M207" s="27"/>
      <c r="N207" s="23"/>
      <c r="O207" s="179"/>
    </row>
    <row r="208" s="28" customFormat="true" ht="22.5" hidden="false" customHeight="false" outlineLevel="0" collapsed="false">
      <c r="A208" s="21" t="n">
        <f aca="false">IF(B208&lt;&gt;"", COUNTA($B$2:B208), "")</f>
        <v>207</v>
      </c>
      <c r="B208" s="21" t="s">
        <v>1409</v>
      </c>
      <c r="C208" s="26" t="s">
        <v>2611</v>
      </c>
      <c r="D208" s="21"/>
      <c r="E208" s="21" t="n">
        <v>2019</v>
      </c>
      <c r="F208" s="21" t="s">
        <v>2613</v>
      </c>
      <c r="G208" s="177"/>
      <c r="H208" s="21" t="s">
        <v>2614</v>
      </c>
      <c r="I208" s="23" t="s">
        <v>1024</v>
      </c>
      <c r="J208" s="178" t="s">
        <v>1966</v>
      </c>
      <c r="K208" s="21"/>
      <c r="L208" s="21"/>
      <c r="M208" s="27"/>
      <c r="N208" s="23"/>
      <c r="O208" s="179"/>
    </row>
    <row r="209" customFormat="false" ht="22.5" hidden="false" customHeight="false" outlineLevel="0" collapsed="false">
      <c r="A209" s="5" t="n">
        <f aca="false">IF(B209&lt;&gt;"", COUNTA($B$2:B209), "")</f>
        <v>208</v>
      </c>
      <c r="B209" s="5" t="s">
        <v>2394</v>
      </c>
      <c r="C209" s="12" t="s">
        <v>2615</v>
      </c>
      <c r="D209" s="5" t="s">
        <v>2740</v>
      </c>
      <c r="E209" s="5" t="n">
        <v>2018</v>
      </c>
      <c r="F209" s="5" t="s">
        <v>2150</v>
      </c>
      <c r="G209" s="152"/>
      <c r="H209" s="5" t="s">
        <v>2617</v>
      </c>
      <c r="I209" s="8" t="s">
        <v>1024</v>
      </c>
      <c r="J209" s="69" t="s">
        <v>1966</v>
      </c>
      <c r="K209" s="5"/>
      <c r="L209" s="5"/>
      <c r="M209" s="6"/>
      <c r="N209" s="8"/>
      <c r="O209" s="155"/>
    </row>
    <row r="210" customFormat="false" ht="22.5" hidden="false" customHeight="false" outlineLevel="0" collapsed="false">
      <c r="A210" s="5" t="n">
        <f aca="false">IF(B210&lt;&gt;"", COUNTA($B$2:B210), "")</f>
        <v>209</v>
      </c>
      <c r="B210" s="5" t="s">
        <v>2394</v>
      </c>
      <c r="C210" s="12" t="s">
        <v>2615</v>
      </c>
      <c r="D210" s="5" t="s">
        <v>2741</v>
      </c>
      <c r="E210" s="5" t="n">
        <v>2018</v>
      </c>
      <c r="F210" s="5" t="s">
        <v>2640</v>
      </c>
      <c r="G210" s="152"/>
      <c r="H210" s="5" t="s">
        <v>2619</v>
      </c>
      <c r="I210" s="8" t="s">
        <v>1024</v>
      </c>
      <c r="J210" s="69" t="s">
        <v>1966</v>
      </c>
      <c r="K210" s="5"/>
      <c r="L210" s="5"/>
      <c r="M210" s="6"/>
      <c r="N210" s="8"/>
      <c r="O210" s="155"/>
    </row>
    <row r="211" customFormat="false" ht="22.5" hidden="false" customHeight="false" outlineLevel="0" collapsed="false">
      <c r="A211" s="5" t="n">
        <f aca="false">IF(B211&lt;&gt;"", COUNTA($B$2:B211), "")</f>
        <v>210</v>
      </c>
      <c r="B211" s="5" t="s">
        <v>2394</v>
      </c>
      <c r="C211" s="12" t="s">
        <v>2615</v>
      </c>
      <c r="D211" s="5" t="s">
        <v>2742</v>
      </c>
      <c r="E211" s="5" t="n">
        <v>2018</v>
      </c>
      <c r="F211" s="5" t="s">
        <v>271</v>
      </c>
      <c r="G211" s="152"/>
      <c r="H211" s="5" t="s">
        <v>2621</v>
      </c>
      <c r="I211" s="8" t="s">
        <v>1024</v>
      </c>
      <c r="J211" s="69" t="s">
        <v>1966</v>
      </c>
      <c r="K211" s="5"/>
      <c r="L211" s="5"/>
      <c r="M211" s="6"/>
      <c r="N211" s="8"/>
      <c r="O211" s="155"/>
    </row>
    <row r="212" customFormat="false" ht="22.5" hidden="false" customHeight="false" outlineLevel="0" collapsed="false">
      <c r="A212" s="5" t="n">
        <f aca="false">IF(B212&lt;&gt;"", COUNTA($B$2:B212), "")</f>
        <v>211</v>
      </c>
      <c r="B212" s="5" t="s">
        <v>2394</v>
      </c>
      <c r="C212" s="12" t="s">
        <v>2615</v>
      </c>
      <c r="D212" s="5" t="s">
        <v>2743</v>
      </c>
      <c r="E212" s="5" t="n">
        <v>2018</v>
      </c>
      <c r="F212" s="5" t="s">
        <v>2640</v>
      </c>
      <c r="G212" s="152"/>
      <c r="H212" s="5" t="s">
        <v>2623</v>
      </c>
      <c r="I212" s="8" t="s">
        <v>1024</v>
      </c>
      <c r="J212" s="69" t="s">
        <v>1966</v>
      </c>
      <c r="K212" s="5"/>
      <c r="L212" s="5"/>
      <c r="M212" s="6"/>
      <c r="N212" s="8"/>
      <c r="O212" s="155"/>
    </row>
    <row r="213" customFormat="false" ht="22.5" hidden="false" customHeight="false" outlineLevel="0" collapsed="false">
      <c r="A213" s="5" t="n">
        <f aca="false">IF(B213&lt;&gt;"", COUNTA($B$2:B213), "")</f>
        <v>212</v>
      </c>
      <c r="B213" s="5" t="s">
        <v>2394</v>
      </c>
      <c r="C213" s="12" t="s">
        <v>2615</v>
      </c>
      <c r="D213" s="5" t="s">
        <v>2744</v>
      </c>
      <c r="E213" s="5" t="n">
        <v>2018</v>
      </c>
      <c r="F213" s="5" t="s">
        <v>271</v>
      </c>
      <c r="G213" s="152"/>
      <c r="H213" s="5" t="s">
        <v>2625</v>
      </c>
      <c r="I213" s="8" t="s">
        <v>1024</v>
      </c>
      <c r="J213" s="69" t="s">
        <v>1966</v>
      </c>
      <c r="K213" s="5"/>
      <c r="L213" s="5"/>
      <c r="M213" s="6"/>
      <c r="N213" s="8"/>
      <c r="O213" s="155"/>
    </row>
    <row r="214" customFormat="false" ht="22.5" hidden="false" customHeight="false" outlineLevel="0" collapsed="false">
      <c r="A214" s="5" t="n">
        <f aca="false">IF(B214&lt;&gt;"", COUNTA($B$2:B214), "")</f>
        <v>213</v>
      </c>
      <c r="B214" s="5" t="s">
        <v>2394</v>
      </c>
      <c r="C214" s="12" t="s">
        <v>2615</v>
      </c>
      <c r="D214" s="5" t="s">
        <v>2745</v>
      </c>
      <c r="E214" s="5" t="n">
        <v>2018</v>
      </c>
      <c r="F214" s="5" t="s">
        <v>271</v>
      </c>
      <c r="G214" s="152"/>
      <c r="H214" s="5" t="s">
        <v>2627</v>
      </c>
      <c r="I214" s="8" t="s">
        <v>1024</v>
      </c>
      <c r="J214" s="69" t="s">
        <v>1966</v>
      </c>
      <c r="K214" s="5"/>
      <c r="L214" s="5"/>
      <c r="M214" s="6"/>
      <c r="N214" s="8"/>
      <c r="O214" s="155"/>
    </row>
    <row r="215" customFormat="false" ht="22.5" hidden="false" customHeight="false" outlineLevel="0" collapsed="false">
      <c r="A215" s="5" t="n">
        <f aca="false">IF(B215&lt;&gt;"", COUNTA($B$2:B215), "")</f>
        <v>214</v>
      </c>
      <c r="B215" s="5" t="s">
        <v>2394</v>
      </c>
      <c r="C215" s="12" t="s">
        <v>2615</v>
      </c>
      <c r="D215" s="5" t="s">
        <v>2746</v>
      </c>
      <c r="E215" s="5" t="n">
        <v>2018</v>
      </c>
      <c r="F215" s="5" t="s">
        <v>2629</v>
      </c>
      <c r="G215" s="152"/>
      <c r="H215" s="5" t="s">
        <v>2630</v>
      </c>
      <c r="I215" s="8" t="s">
        <v>1024</v>
      </c>
      <c r="J215" s="69" t="s">
        <v>1966</v>
      </c>
      <c r="K215" s="5"/>
      <c r="L215" s="5"/>
      <c r="M215" s="6"/>
      <c r="N215" s="8"/>
      <c r="O215" s="155"/>
    </row>
    <row r="216" customFormat="false" ht="22.5" hidden="false" customHeight="false" outlineLevel="0" collapsed="false">
      <c r="A216" s="5" t="n">
        <f aca="false">IF(B216&lt;&gt;"", COUNTA($B$2:B216), "")</f>
        <v>215</v>
      </c>
      <c r="B216" s="5" t="s">
        <v>2394</v>
      </c>
      <c r="C216" s="12" t="s">
        <v>2615</v>
      </c>
      <c r="D216" s="5" t="s">
        <v>2747</v>
      </c>
      <c r="E216" s="5" t="n">
        <v>2018</v>
      </c>
      <c r="F216" s="5" t="s">
        <v>192</v>
      </c>
      <c r="G216" s="152"/>
      <c r="H216" s="5" t="s">
        <v>2632</v>
      </c>
      <c r="I216" s="8" t="s">
        <v>1024</v>
      </c>
      <c r="J216" s="69" t="s">
        <v>1966</v>
      </c>
      <c r="K216" s="5"/>
      <c r="L216" s="5"/>
      <c r="M216" s="6"/>
      <c r="N216" s="8"/>
      <c r="O216" s="155"/>
    </row>
    <row r="217" customFormat="false" ht="33.75" hidden="false" customHeight="false" outlineLevel="0" collapsed="false">
      <c r="A217" s="5" t="n">
        <f aca="false">IF(B217&lt;&gt;"", COUNTA($B$2:B217), "")</f>
        <v>216</v>
      </c>
      <c r="B217" s="5" t="s">
        <v>2394</v>
      </c>
      <c r="C217" s="12" t="s">
        <v>2615</v>
      </c>
      <c r="D217" s="5" t="s">
        <v>2748</v>
      </c>
      <c r="E217" s="5" t="n">
        <v>2018</v>
      </c>
      <c r="F217" s="5" t="s">
        <v>192</v>
      </c>
      <c r="G217" s="152"/>
      <c r="H217" s="5" t="s">
        <v>2634</v>
      </c>
      <c r="I217" s="8" t="s">
        <v>1024</v>
      </c>
      <c r="J217" s="69" t="s">
        <v>1966</v>
      </c>
      <c r="K217" s="5"/>
      <c r="L217" s="5"/>
      <c r="M217" s="6"/>
      <c r="N217" s="8"/>
      <c r="O217" s="155"/>
    </row>
    <row r="218" customFormat="false" ht="22.5" hidden="false" customHeight="false" outlineLevel="0" collapsed="false">
      <c r="A218" s="5" t="n">
        <f aca="false">IF(B218&lt;&gt;"", COUNTA($B$2:B218), "")</f>
        <v>217</v>
      </c>
      <c r="B218" s="5" t="s">
        <v>2394</v>
      </c>
      <c r="C218" s="12" t="s">
        <v>2615</v>
      </c>
      <c r="D218" s="5" t="s">
        <v>2749</v>
      </c>
      <c r="E218" s="5" t="n">
        <v>2018</v>
      </c>
      <c r="F218" s="5" t="s">
        <v>260</v>
      </c>
      <c r="G218" s="152"/>
      <c r="H218" s="5" t="s">
        <v>2636</v>
      </c>
      <c r="I218" s="8" t="s">
        <v>1024</v>
      </c>
      <c r="J218" s="69" t="s">
        <v>1966</v>
      </c>
      <c r="K218" s="5"/>
      <c r="L218" s="5"/>
      <c r="M218" s="6"/>
      <c r="N218" s="8"/>
      <c r="O218" s="155"/>
    </row>
    <row r="219" customFormat="false" ht="22.5" hidden="false" customHeight="false" outlineLevel="0" collapsed="false">
      <c r="A219" s="5" t="n">
        <f aca="false">IF(B219&lt;&gt;"", COUNTA($B$2:B219), "")</f>
        <v>218</v>
      </c>
      <c r="B219" s="5" t="s">
        <v>2394</v>
      </c>
      <c r="C219" s="12" t="s">
        <v>2615</v>
      </c>
      <c r="D219" s="5" t="s">
        <v>2750</v>
      </c>
      <c r="E219" s="5" t="n">
        <v>2018</v>
      </c>
      <c r="F219" s="5" t="s">
        <v>260</v>
      </c>
      <c r="G219" s="152"/>
      <c r="H219" s="5" t="s">
        <v>2638</v>
      </c>
      <c r="I219" s="8" t="s">
        <v>1024</v>
      </c>
      <c r="J219" s="69" t="s">
        <v>1966</v>
      </c>
      <c r="K219" s="5"/>
      <c r="L219" s="5"/>
      <c r="M219" s="6"/>
      <c r="N219" s="8"/>
      <c r="O219" s="155"/>
    </row>
    <row r="220" customFormat="false" ht="22.5" hidden="false" customHeight="false" outlineLevel="0" collapsed="false">
      <c r="A220" s="5" t="n">
        <f aca="false">IF(B220&lt;&gt;"", COUNTA($B$2:B220), "")</f>
        <v>219</v>
      </c>
      <c r="B220" s="5" t="s">
        <v>2394</v>
      </c>
      <c r="C220" s="12" t="s">
        <v>2615</v>
      </c>
      <c r="D220" s="5" t="s">
        <v>2751</v>
      </c>
      <c r="E220" s="5" t="n">
        <v>2018</v>
      </c>
      <c r="F220" s="5" t="s">
        <v>2640</v>
      </c>
      <c r="G220" s="152"/>
      <c r="H220" s="5" t="s">
        <v>2641</v>
      </c>
      <c r="I220" s="8" t="s">
        <v>1024</v>
      </c>
      <c r="J220" s="69" t="s">
        <v>1966</v>
      </c>
      <c r="K220" s="5"/>
      <c r="L220" s="5"/>
      <c r="M220" s="6"/>
      <c r="N220" s="8"/>
      <c r="O220" s="155"/>
    </row>
    <row r="221" customFormat="false" ht="22.5" hidden="false" customHeight="false" outlineLevel="0" collapsed="false">
      <c r="A221" s="5" t="n">
        <f aca="false">IF(B221&lt;&gt;"", COUNTA($B$2:B221), "")</f>
        <v>220</v>
      </c>
      <c r="B221" s="5" t="s">
        <v>2394</v>
      </c>
      <c r="C221" s="12" t="s">
        <v>2615</v>
      </c>
      <c r="D221" s="5" t="s">
        <v>2752</v>
      </c>
      <c r="E221" s="5" t="n">
        <v>2018</v>
      </c>
      <c r="F221" s="5" t="s">
        <v>271</v>
      </c>
      <c r="G221" s="152"/>
      <c r="H221" s="5" t="s">
        <v>2643</v>
      </c>
      <c r="I221" s="8" t="s">
        <v>1024</v>
      </c>
      <c r="J221" s="69" t="s">
        <v>1966</v>
      </c>
      <c r="K221" s="5"/>
      <c r="L221" s="5"/>
      <c r="M221" s="6"/>
      <c r="N221" s="8"/>
      <c r="O221" s="155"/>
    </row>
    <row r="222" customFormat="false" ht="22.5" hidden="false" customHeight="false" outlineLevel="0" collapsed="false">
      <c r="A222" s="5" t="n">
        <f aca="false">IF(B222&lt;&gt;"", COUNTA($B$2:B222), "")</f>
        <v>221</v>
      </c>
      <c r="B222" s="5" t="s">
        <v>2394</v>
      </c>
      <c r="C222" s="12" t="s">
        <v>2615</v>
      </c>
      <c r="D222" s="5" t="s">
        <v>2753</v>
      </c>
      <c r="E222" s="5" t="n">
        <v>2018</v>
      </c>
      <c r="F222" s="5" t="s">
        <v>2645</v>
      </c>
      <c r="G222" s="152"/>
      <c r="H222" s="5" t="s">
        <v>2646</v>
      </c>
      <c r="I222" s="8" t="s">
        <v>1024</v>
      </c>
      <c r="J222" s="69" t="s">
        <v>1966</v>
      </c>
      <c r="K222" s="5"/>
      <c r="L222" s="5"/>
      <c r="M222" s="6"/>
      <c r="N222" s="8"/>
      <c r="O222" s="155"/>
    </row>
    <row r="223" customFormat="false" ht="22.5" hidden="false" customHeight="false" outlineLevel="0" collapsed="false">
      <c r="A223" s="5" t="n">
        <f aca="false">IF(B223&lt;&gt;"", COUNTA($B$2:B223), "")</f>
        <v>222</v>
      </c>
      <c r="B223" s="124" t="s">
        <v>64</v>
      </c>
      <c r="C223" s="12" t="s">
        <v>2548</v>
      </c>
      <c r="D223" s="136" t="n">
        <v>24</v>
      </c>
      <c r="E223" s="137" t="n">
        <v>43222</v>
      </c>
      <c r="F223" s="19" t="s">
        <v>2528</v>
      </c>
      <c r="G223" s="136"/>
      <c r="H223" s="5" t="s">
        <v>2647</v>
      </c>
      <c r="I223" s="8"/>
      <c r="J223" s="69" t="s">
        <v>1966</v>
      </c>
      <c r="K223" s="5"/>
      <c r="L223" s="5"/>
      <c r="M223" s="6"/>
      <c r="N223" s="8"/>
      <c r="O223" s="155"/>
    </row>
    <row r="224" customFormat="false" ht="22.5" hidden="false" customHeight="false" outlineLevel="0" collapsed="false">
      <c r="A224" s="5" t="n">
        <f aca="false">IF(B224&lt;&gt;"", COUNTA($B$2:B224), "")</f>
        <v>223</v>
      </c>
      <c r="B224" s="125" t="s">
        <v>64</v>
      </c>
      <c r="C224" s="12" t="s">
        <v>2648</v>
      </c>
      <c r="D224" s="10" t="n">
        <v>364</v>
      </c>
      <c r="E224" s="78" t="s">
        <v>2590</v>
      </c>
      <c r="F224" s="19" t="s">
        <v>2576</v>
      </c>
      <c r="G224" s="175" t="n">
        <v>0.0025</v>
      </c>
      <c r="H224" s="10" t="s">
        <v>2649</v>
      </c>
      <c r="I224" s="8" t="s">
        <v>2673</v>
      </c>
      <c r="J224" s="5" t="s">
        <v>1966</v>
      </c>
      <c r="K224" s="5"/>
      <c r="L224" s="5"/>
      <c r="M224" s="140"/>
      <c r="N224" s="8"/>
      <c r="O224" s="155"/>
    </row>
    <row r="225" customFormat="false" ht="33.75" hidden="false" customHeight="false" outlineLevel="0" collapsed="false">
      <c r="A225" s="5" t="n">
        <f aca="false">IF(B225&lt;&gt;"", COUNTA($B$2:B225), "")</f>
        <v>224</v>
      </c>
      <c r="B225" s="12" t="s">
        <v>2650</v>
      </c>
      <c r="C225" s="10" t="s">
        <v>2390</v>
      </c>
      <c r="D225" s="127" t="n">
        <v>15340</v>
      </c>
      <c r="E225" s="8" t="n">
        <v>2021</v>
      </c>
      <c r="F225" s="6"/>
      <c r="G225" s="10"/>
      <c r="H225" s="12" t="s">
        <v>2392</v>
      </c>
      <c r="I225" s="5" t="s">
        <v>2651</v>
      </c>
      <c r="J225" s="5" t="s">
        <v>1966</v>
      </c>
      <c r="K225" s="5"/>
      <c r="L225" s="5" t="n">
        <v>60</v>
      </c>
      <c r="M225" s="6"/>
      <c r="N225" s="8"/>
      <c r="O225" s="155"/>
    </row>
    <row r="226" customFormat="false" ht="33.75" hidden="false" customHeight="false" outlineLevel="0" collapsed="false">
      <c r="A226" s="5" t="n">
        <f aca="false">IF(B226&lt;&gt;"", COUNTA($B$2:B226), "")</f>
        <v>225</v>
      </c>
      <c r="B226" s="12" t="s">
        <v>2650</v>
      </c>
      <c r="C226" s="10" t="s">
        <v>2390</v>
      </c>
      <c r="D226" s="154" t="n">
        <v>15328</v>
      </c>
      <c r="E226" s="8" t="n">
        <v>2021</v>
      </c>
      <c r="F226" s="6"/>
      <c r="G226" s="10"/>
      <c r="H226" s="12" t="s">
        <v>2392</v>
      </c>
      <c r="I226" s="5" t="s">
        <v>2652</v>
      </c>
      <c r="J226" s="5" t="s">
        <v>1966</v>
      </c>
      <c r="K226" s="5"/>
      <c r="L226" s="5" t="n">
        <v>61</v>
      </c>
      <c r="M226" s="6"/>
      <c r="N226" s="8"/>
      <c r="O226" s="155"/>
    </row>
    <row r="227" customFormat="false" ht="33.75" hidden="false" customHeight="false" outlineLevel="0" collapsed="false">
      <c r="A227" s="5" t="n">
        <f aca="false">IF(B227&lt;&gt;"", COUNTA($B$2:B227), "")</f>
        <v>226</v>
      </c>
      <c r="B227" s="12" t="s">
        <v>2650</v>
      </c>
      <c r="C227" s="10" t="s">
        <v>2390</v>
      </c>
      <c r="D227" s="127" t="n">
        <v>15315</v>
      </c>
      <c r="E227" s="8" t="n">
        <v>2021</v>
      </c>
      <c r="F227" s="6"/>
      <c r="G227" s="10"/>
      <c r="H227" s="12" t="s">
        <v>2392</v>
      </c>
      <c r="I227" s="8" t="s">
        <v>1965</v>
      </c>
      <c r="J227" s="5" t="s">
        <v>1966</v>
      </c>
      <c r="K227" s="5"/>
      <c r="L227" s="5" t="n">
        <v>62</v>
      </c>
      <c r="M227" s="6"/>
      <c r="N227" s="8"/>
      <c r="O227" s="155"/>
    </row>
    <row r="228" customFormat="false" ht="33.75" hidden="false" customHeight="false" outlineLevel="0" collapsed="false">
      <c r="A228" s="5" t="n">
        <f aca="false">IF(B228&lt;&gt;"", COUNTA($B$2:B228), "")</f>
        <v>227</v>
      </c>
      <c r="B228" s="12" t="s">
        <v>2650</v>
      </c>
      <c r="C228" s="10" t="s">
        <v>2390</v>
      </c>
      <c r="D228" s="154" t="n">
        <v>15355</v>
      </c>
      <c r="E228" s="8" t="n">
        <v>2021</v>
      </c>
      <c r="F228" s="6"/>
      <c r="G228" s="10"/>
      <c r="H228" s="12" t="s">
        <v>2392</v>
      </c>
      <c r="I228" s="8" t="s">
        <v>1965</v>
      </c>
      <c r="J228" s="5" t="s">
        <v>1966</v>
      </c>
      <c r="K228" s="5"/>
      <c r="L228" s="5" t="n">
        <v>63</v>
      </c>
      <c r="M228" s="6"/>
      <c r="N228" s="8"/>
      <c r="O228" s="155"/>
    </row>
    <row r="229" customFormat="false" ht="33.75" hidden="false" customHeight="false" outlineLevel="0" collapsed="false">
      <c r="A229" s="5" t="n">
        <f aca="false">IF(B229&lt;&gt;"", COUNTA($B$2:B229), "")</f>
        <v>228</v>
      </c>
      <c r="B229" s="12" t="s">
        <v>2650</v>
      </c>
      <c r="C229" s="10" t="s">
        <v>2390</v>
      </c>
      <c r="D229" s="127" t="n">
        <v>15339</v>
      </c>
      <c r="E229" s="8" t="n">
        <v>2021</v>
      </c>
      <c r="F229" s="6"/>
      <c r="G229" s="10"/>
      <c r="H229" s="12" t="s">
        <v>2392</v>
      </c>
      <c r="I229" s="8" t="s">
        <v>1965</v>
      </c>
      <c r="J229" s="5" t="s">
        <v>1966</v>
      </c>
      <c r="K229" s="5"/>
      <c r="L229" s="5" t="n">
        <v>64</v>
      </c>
      <c r="M229" s="6"/>
      <c r="N229" s="8"/>
      <c r="O229" s="155"/>
    </row>
  </sheetData>
  <conditionalFormatting sqref="M1:M1048576">
    <cfRule type="expression" priority="2" aboveAverage="0" equalAverage="0" bottom="0" percent="0" rank="0" text="" dxfId="33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84" activeCellId="0" sqref="A84"/>
    </sheetView>
  </sheetViews>
  <sheetFormatPr defaultColWidth="9.15625" defaultRowHeight="15" zeroHeight="false" outlineLevelRow="0" outlineLevelCol="0"/>
  <cols>
    <col collapsed="false" customWidth="true" hidden="false" outlineLevel="0" max="1" min="1" style="180" width="3.57"/>
    <col collapsed="false" customWidth="true" hidden="false" outlineLevel="0" max="2" min="2" style="180" width="18"/>
    <col collapsed="false" customWidth="true" hidden="false" outlineLevel="0" max="3" min="3" style="180" width="20.86"/>
    <col collapsed="false" customWidth="true" hidden="false" outlineLevel="0" max="4" min="4" style="180" width="18.14"/>
    <col collapsed="false" customWidth="true" hidden="false" outlineLevel="0" max="5" min="5" style="180" width="6.57"/>
    <col collapsed="false" customWidth="true" hidden="false" outlineLevel="0" max="6" min="6" style="180" width="12.71"/>
    <col collapsed="false" customWidth="true" hidden="false" outlineLevel="0" max="7" min="7" style="180" width="7.42"/>
    <col collapsed="false" customWidth="true" hidden="false" outlineLevel="0" max="8" min="8" style="180" width="31.7"/>
    <col collapsed="false" customWidth="true" hidden="false" outlineLevel="0" max="9" min="9" style="180" width="14.01"/>
    <col collapsed="false" customWidth="true" hidden="false" outlineLevel="0" max="10" min="10" style="180" width="11.14"/>
    <col collapsed="false" customWidth="true" hidden="false" outlineLevel="0" max="11" min="11" style="180" width="8"/>
    <col collapsed="false" customWidth="true" hidden="false" outlineLevel="0" max="12" min="12" style="180" width="9.85"/>
    <col collapsed="false" customWidth="true" hidden="false" outlineLevel="0" max="13" min="13" style="180" width="8.86"/>
    <col collapsed="false" customWidth="true" hidden="false" outlineLevel="0" max="14" min="14" style="180" width="9.85"/>
    <col collapsed="false" customWidth="true" hidden="false" outlineLevel="0" max="15" min="15" style="180" width="31.57"/>
    <col collapsed="false" customWidth="false" hidden="false" outlineLevel="0" max="1024" min="16" style="180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  <c r="O1" s="181"/>
    </row>
    <row r="2" customFormat="false" ht="22.5" hidden="false" customHeight="false" outlineLevel="0" collapsed="false">
      <c r="A2" s="5" t="n">
        <f aca="false">IF(B2&lt;&gt;"", COUNTA($B$2:B2), "")</f>
        <v>1</v>
      </c>
      <c r="B2" s="7" t="s">
        <v>27</v>
      </c>
      <c r="C2" s="5" t="s">
        <v>28</v>
      </c>
      <c r="D2" s="5" t="n">
        <v>700026</v>
      </c>
      <c r="E2" s="5"/>
      <c r="F2" s="8" t="s">
        <v>192</v>
      </c>
      <c r="G2" s="5" t="n">
        <v>1</v>
      </c>
      <c r="H2" s="5" t="s">
        <v>2254</v>
      </c>
      <c r="I2" s="5" t="s">
        <v>2015</v>
      </c>
      <c r="J2" s="5" t="s">
        <v>1966</v>
      </c>
      <c r="K2" s="5"/>
      <c r="L2" s="5" t="n">
        <v>12</v>
      </c>
      <c r="M2" s="6" t="s">
        <v>41</v>
      </c>
      <c r="N2" s="5" t="s">
        <v>1</v>
      </c>
      <c r="O2" s="181"/>
    </row>
    <row r="3" customFormat="false" ht="22.5" hidden="false" customHeight="false" outlineLevel="0" collapsed="false">
      <c r="A3" s="5" t="n">
        <f aca="false">IF(B3&lt;&gt;"", COUNTA($B$2:B3), "")</f>
        <v>2</v>
      </c>
      <c r="B3" s="7" t="s">
        <v>27</v>
      </c>
      <c r="C3" s="5" t="s">
        <v>860</v>
      </c>
      <c r="D3" s="17" t="n">
        <v>700075</v>
      </c>
      <c r="E3" s="5"/>
      <c r="F3" s="8" t="s">
        <v>2255</v>
      </c>
      <c r="G3" s="5" t="n">
        <v>1</v>
      </c>
      <c r="H3" s="5" t="s">
        <v>2256</v>
      </c>
      <c r="I3" s="5" t="s">
        <v>2015</v>
      </c>
      <c r="J3" s="5" t="s">
        <v>1966</v>
      </c>
      <c r="K3" s="5"/>
      <c r="L3" s="5" t="n">
        <v>12</v>
      </c>
      <c r="M3" s="6" t="s">
        <v>41</v>
      </c>
      <c r="N3" s="5" t="s">
        <v>1</v>
      </c>
      <c r="O3" s="181"/>
    </row>
    <row r="4" customFormat="false" ht="22.5" hidden="false" customHeight="false" outlineLevel="0" collapsed="false">
      <c r="A4" s="5" t="n">
        <f aca="false">IF(B4&lt;&gt;"", COUNTA($B$2:B4), "")</f>
        <v>3</v>
      </c>
      <c r="B4" s="7" t="s">
        <v>27</v>
      </c>
      <c r="C4" s="5" t="s">
        <v>860</v>
      </c>
      <c r="D4" s="16" t="n">
        <v>700073</v>
      </c>
      <c r="E4" s="5"/>
      <c r="F4" s="8" t="s">
        <v>2255</v>
      </c>
      <c r="G4" s="5" t="n">
        <v>1</v>
      </c>
      <c r="H4" s="5" t="s">
        <v>2257</v>
      </c>
      <c r="I4" s="5" t="s">
        <v>2015</v>
      </c>
      <c r="J4" s="5" t="s">
        <v>1966</v>
      </c>
      <c r="K4" s="5"/>
      <c r="L4" s="5" t="n">
        <v>12</v>
      </c>
      <c r="M4" s="6" t="s">
        <v>41</v>
      </c>
      <c r="N4" s="5" t="s">
        <v>1</v>
      </c>
      <c r="O4" s="181"/>
    </row>
    <row r="5" customFormat="false" ht="22.5" hidden="false" customHeight="false" outlineLevel="0" collapsed="false">
      <c r="A5" s="5" t="n">
        <f aca="false">IF(B5&lt;&gt;"", COUNTA($B$2:B5), "")</f>
        <v>4</v>
      </c>
      <c r="B5" s="7" t="s">
        <v>27</v>
      </c>
      <c r="C5" s="5" t="s">
        <v>860</v>
      </c>
      <c r="D5" s="6" t="s">
        <v>2754</v>
      </c>
      <c r="E5" s="5"/>
      <c r="F5" s="8" t="s">
        <v>260</v>
      </c>
      <c r="G5" s="5" t="n">
        <v>1</v>
      </c>
      <c r="H5" s="5" t="s">
        <v>2259</v>
      </c>
      <c r="I5" s="5" t="s">
        <v>2015</v>
      </c>
      <c r="J5" s="5" t="s">
        <v>1966</v>
      </c>
      <c r="K5" s="5"/>
      <c r="L5" s="5" t="n">
        <v>12</v>
      </c>
      <c r="M5" s="6" t="s">
        <v>41</v>
      </c>
      <c r="N5" s="5" t="s">
        <v>1</v>
      </c>
      <c r="O5" s="181"/>
    </row>
    <row r="6" customFormat="false" ht="22.5" hidden="false" customHeight="false" outlineLevel="0" collapsed="false">
      <c r="A6" s="5" t="n">
        <f aca="false">IF(B6&lt;&gt;"", COUNTA($B$2:B6), "")</f>
        <v>5</v>
      </c>
      <c r="B6" s="7" t="s">
        <v>27</v>
      </c>
      <c r="C6" s="5" t="s">
        <v>28</v>
      </c>
      <c r="D6" s="6" t="s">
        <v>2755</v>
      </c>
      <c r="E6" s="5"/>
      <c r="F6" s="5" t="s">
        <v>2756</v>
      </c>
      <c r="G6" s="5" t="n">
        <v>1.5</v>
      </c>
      <c r="H6" s="5" t="s">
        <v>2261</v>
      </c>
      <c r="I6" s="5" t="s">
        <v>2015</v>
      </c>
      <c r="J6" s="5" t="s">
        <v>1966</v>
      </c>
      <c r="K6" s="5"/>
      <c r="L6" s="5" t="n">
        <v>12</v>
      </c>
      <c r="M6" s="6" t="s">
        <v>41</v>
      </c>
      <c r="N6" s="5" t="s">
        <v>1</v>
      </c>
      <c r="O6" s="181"/>
    </row>
    <row r="7" customFormat="false" ht="22.5" hidden="false" customHeight="false" outlineLevel="0" collapsed="false">
      <c r="A7" s="5" t="n">
        <f aca="false">IF(B7&lt;&gt;"", COUNTA($B$2:B7), "")</f>
        <v>6</v>
      </c>
      <c r="B7" s="7" t="s">
        <v>27</v>
      </c>
      <c r="C7" s="5" t="s">
        <v>173</v>
      </c>
      <c r="D7" s="6" t="s">
        <v>2757</v>
      </c>
      <c r="E7" s="5"/>
      <c r="F7" s="8" t="s">
        <v>309</v>
      </c>
      <c r="G7" s="5" t="n">
        <v>1</v>
      </c>
      <c r="H7" s="5" t="s">
        <v>2263</v>
      </c>
      <c r="I7" s="5" t="s">
        <v>2015</v>
      </c>
      <c r="J7" s="5" t="s">
        <v>1966</v>
      </c>
      <c r="K7" s="5"/>
      <c r="L7" s="5" t="n">
        <v>12</v>
      </c>
      <c r="M7" s="6" t="s">
        <v>41</v>
      </c>
      <c r="N7" s="5" t="s">
        <v>1</v>
      </c>
      <c r="O7" s="181"/>
    </row>
    <row r="8" customFormat="false" ht="22.5" hidden="false" customHeight="false" outlineLevel="0" collapsed="false">
      <c r="A8" s="5" t="n">
        <f aca="false">IF(B8&lt;&gt;"", COUNTA($B$2:B8), "")</f>
        <v>7</v>
      </c>
      <c r="B8" s="7" t="s">
        <v>27</v>
      </c>
      <c r="C8" s="5" t="s">
        <v>28</v>
      </c>
      <c r="D8" s="5" t="n">
        <v>40233</v>
      </c>
      <c r="E8" s="16"/>
      <c r="F8" s="5" t="s">
        <v>2756</v>
      </c>
      <c r="G8" s="5" t="n">
        <v>1.5</v>
      </c>
      <c r="H8" s="5" t="s">
        <v>2264</v>
      </c>
      <c r="I8" s="5" t="s">
        <v>2015</v>
      </c>
      <c r="J8" s="5" t="s">
        <v>1966</v>
      </c>
      <c r="K8" s="5"/>
      <c r="L8" s="5" t="n">
        <v>12</v>
      </c>
      <c r="M8" s="6" t="s">
        <v>41</v>
      </c>
      <c r="N8" s="5" t="s">
        <v>1</v>
      </c>
      <c r="O8" s="181"/>
    </row>
    <row r="9" s="184" customFormat="true" ht="22.5" hidden="false" customHeight="false" outlineLevel="0" collapsed="false">
      <c r="A9" s="21" t="n">
        <f aca="false">IF(B9&lt;&gt;"", COUNTA($B$2:B9), "")</f>
        <v>8</v>
      </c>
      <c r="B9" s="22" t="s">
        <v>27</v>
      </c>
      <c r="C9" s="21" t="s">
        <v>28</v>
      </c>
      <c r="D9" s="21" t="n">
        <v>212032126</v>
      </c>
      <c r="E9" s="182"/>
      <c r="F9" s="21" t="s">
        <v>29</v>
      </c>
      <c r="G9" s="26" t="n">
        <v>1.5</v>
      </c>
      <c r="H9" s="21" t="s">
        <v>2265</v>
      </c>
      <c r="I9" s="21" t="s">
        <v>2015</v>
      </c>
      <c r="J9" s="21" t="s">
        <v>1966</v>
      </c>
      <c r="K9" s="21"/>
      <c r="L9" s="21" t="n">
        <v>12</v>
      </c>
      <c r="M9" s="27" t="s">
        <v>37</v>
      </c>
      <c r="N9" s="21" t="s">
        <v>38</v>
      </c>
      <c r="O9" s="183"/>
    </row>
    <row r="10" customFormat="false" ht="22.5" hidden="false" customHeight="false" outlineLevel="0" collapsed="false">
      <c r="A10" s="5" t="n">
        <f aca="false">IF(B10&lt;&gt;"", COUNTA($B$2:B10), "")</f>
        <v>9</v>
      </c>
      <c r="B10" s="7" t="s">
        <v>27</v>
      </c>
      <c r="C10" s="12" t="s">
        <v>1882</v>
      </c>
      <c r="D10" s="12" t="s">
        <v>2758</v>
      </c>
      <c r="E10" s="17"/>
      <c r="F10" s="5" t="s">
        <v>29</v>
      </c>
      <c r="G10" s="5" t="n">
        <v>1</v>
      </c>
      <c r="H10" s="5" t="s">
        <v>2267</v>
      </c>
      <c r="I10" s="5" t="s">
        <v>2015</v>
      </c>
      <c r="J10" s="5" t="s">
        <v>1966</v>
      </c>
      <c r="K10" s="5"/>
      <c r="L10" s="5" t="n">
        <v>12</v>
      </c>
      <c r="M10" s="6" t="s">
        <v>41</v>
      </c>
      <c r="N10" s="5" t="s">
        <v>1</v>
      </c>
      <c r="O10" s="181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7" t="s">
        <v>27</v>
      </c>
      <c r="C11" s="12" t="s">
        <v>1882</v>
      </c>
      <c r="D11" s="12" t="s">
        <v>2759</v>
      </c>
      <c r="E11" s="17"/>
      <c r="F11" s="5" t="s">
        <v>29</v>
      </c>
      <c r="G11" s="5" t="n">
        <v>1</v>
      </c>
      <c r="H11" s="5" t="s">
        <v>2269</v>
      </c>
      <c r="I11" s="5" t="s">
        <v>2015</v>
      </c>
      <c r="J11" s="5" t="s">
        <v>1966</v>
      </c>
      <c r="K11" s="5"/>
      <c r="L11" s="5" t="n">
        <v>12</v>
      </c>
      <c r="M11" s="6" t="s">
        <v>41</v>
      </c>
      <c r="N11" s="5" t="s">
        <v>1</v>
      </c>
      <c r="O11" s="181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7" t="s">
        <v>27</v>
      </c>
      <c r="C12" s="12" t="s">
        <v>1882</v>
      </c>
      <c r="D12" s="12" t="s">
        <v>2760</v>
      </c>
      <c r="E12" s="17"/>
      <c r="F12" s="5" t="s">
        <v>29</v>
      </c>
      <c r="G12" s="5" t="n">
        <v>1</v>
      </c>
      <c r="H12" s="5" t="s">
        <v>2271</v>
      </c>
      <c r="I12" s="5" t="s">
        <v>2015</v>
      </c>
      <c r="J12" s="5" t="s">
        <v>1966</v>
      </c>
      <c r="K12" s="5"/>
      <c r="L12" s="5" t="n">
        <v>12</v>
      </c>
      <c r="M12" s="6" t="s">
        <v>41</v>
      </c>
      <c r="N12" s="5" t="s">
        <v>1</v>
      </c>
      <c r="O12" s="181"/>
    </row>
    <row r="13" customFormat="false" ht="22.5" hidden="false" customHeight="false" outlineLevel="0" collapsed="false">
      <c r="A13" s="5" t="n">
        <f aca="false">IF(B13&lt;&gt;"", COUNTA($B$2:B13), "")</f>
        <v>12</v>
      </c>
      <c r="B13" s="7" t="s">
        <v>27</v>
      </c>
      <c r="C13" s="12" t="s">
        <v>1882</v>
      </c>
      <c r="D13" s="12" t="s">
        <v>2761</v>
      </c>
      <c r="E13" s="17"/>
      <c r="F13" s="5" t="s">
        <v>29</v>
      </c>
      <c r="G13" s="5" t="n">
        <v>1</v>
      </c>
      <c r="H13" s="5" t="s">
        <v>2273</v>
      </c>
      <c r="I13" s="5" t="s">
        <v>2015</v>
      </c>
      <c r="J13" s="5" t="s">
        <v>1966</v>
      </c>
      <c r="K13" s="5"/>
      <c r="L13" s="5" t="n">
        <v>12</v>
      </c>
      <c r="M13" s="6" t="s">
        <v>41</v>
      </c>
      <c r="N13" s="5" t="s">
        <v>1</v>
      </c>
      <c r="O13" s="181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7" t="s">
        <v>27</v>
      </c>
      <c r="C14" s="5" t="s">
        <v>28</v>
      </c>
      <c r="D14" s="19" t="s">
        <v>2762</v>
      </c>
      <c r="E14" s="17"/>
      <c r="F14" s="8" t="s">
        <v>192</v>
      </c>
      <c r="G14" s="5" t="n">
        <v>1</v>
      </c>
      <c r="H14" s="5" t="s">
        <v>2275</v>
      </c>
      <c r="I14" s="5" t="s">
        <v>2015</v>
      </c>
      <c r="J14" s="5" t="s">
        <v>1966</v>
      </c>
      <c r="K14" s="5"/>
      <c r="L14" s="5" t="n">
        <v>12</v>
      </c>
      <c r="M14" s="6" t="s">
        <v>41</v>
      </c>
      <c r="N14" s="5" t="s">
        <v>1</v>
      </c>
      <c r="O14" s="181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7" t="s">
        <v>27</v>
      </c>
      <c r="C15" s="5" t="s">
        <v>28</v>
      </c>
      <c r="D15" s="27" t="s">
        <v>2763</v>
      </c>
      <c r="E15" s="17" t="n">
        <v>2018</v>
      </c>
      <c r="F15" s="5" t="s">
        <v>34</v>
      </c>
      <c r="G15" s="12" t="n">
        <v>1.5</v>
      </c>
      <c r="H15" s="5" t="s">
        <v>2764</v>
      </c>
      <c r="I15" s="5" t="s">
        <v>2015</v>
      </c>
      <c r="J15" s="5" t="s">
        <v>1966</v>
      </c>
      <c r="K15" s="5"/>
      <c r="L15" s="5" t="n">
        <v>12</v>
      </c>
      <c r="M15" s="6" t="s">
        <v>37</v>
      </c>
      <c r="N15" s="5" t="s">
        <v>38</v>
      </c>
      <c r="O15" s="181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7" t="s">
        <v>27</v>
      </c>
      <c r="C16" s="5" t="s">
        <v>28</v>
      </c>
      <c r="D16" s="6" t="s">
        <v>2765</v>
      </c>
      <c r="E16" s="17" t="n">
        <v>2018</v>
      </c>
      <c r="F16" s="5" t="s">
        <v>34</v>
      </c>
      <c r="G16" s="12" t="n">
        <v>1.5</v>
      </c>
      <c r="H16" s="5" t="s">
        <v>2766</v>
      </c>
      <c r="I16" s="5" t="s">
        <v>2015</v>
      </c>
      <c r="J16" s="5" t="s">
        <v>1966</v>
      </c>
      <c r="K16" s="5"/>
      <c r="L16" s="5" t="n">
        <v>12</v>
      </c>
      <c r="M16" s="6" t="s">
        <v>37</v>
      </c>
      <c r="N16" s="5" t="s">
        <v>38</v>
      </c>
      <c r="O16" s="181"/>
    </row>
    <row r="17" customFormat="false" ht="22.5" hidden="false" customHeight="false" outlineLevel="0" collapsed="false">
      <c r="A17" s="5" t="n">
        <f aca="false">IF(B17&lt;&gt;"", COUNTA($B$2:B17), "")</f>
        <v>16</v>
      </c>
      <c r="B17" s="7" t="s">
        <v>27</v>
      </c>
      <c r="C17" s="5" t="s">
        <v>28</v>
      </c>
      <c r="D17" s="19" t="s">
        <v>2767</v>
      </c>
      <c r="E17" s="17"/>
      <c r="F17" s="5" t="s">
        <v>2756</v>
      </c>
      <c r="G17" s="12" t="n">
        <v>1.5</v>
      </c>
      <c r="H17" s="5" t="s">
        <v>2281</v>
      </c>
      <c r="I17" s="5" t="s">
        <v>2015</v>
      </c>
      <c r="J17" s="5" t="s">
        <v>1966</v>
      </c>
      <c r="K17" s="5"/>
      <c r="L17" s="5" t="n">
        <v>12</v>
      </c>
      <c r="M17" s="6" t="s">
        <v>41</v>
      </c>
      <c r="N17" s="5" t="s">
        <v>1</v>
      </c>
      <c r="O17" s="181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7" t="s">
        <v>27</v>
      </c>
      <c r="C18" s="5" t="s">
        <v>860</v>
      </c>
      <c r="D18" s="19" t="s">
        <v>2768</v>
      </c>
      <c r="E18" s="17"/>
      <c r="F18" s="8" t="s">
        <v>2128</v>
      </c>
      <c r="G18" s="12" t="n">
        <v>1</v>
      </c>
      <c r="H18" s="5" t="s">
        <v>2283</v>
      </c>
      <c r="I18" s="5" t="s">
        <v>2015</v>
      </c>
      <c r="J18" s="5" t="s">
        <v>1966</v>
      </c>
      <c r="K18" s="5"/>
      <c r="L18" s="5" t="n">
        <v>12</v>
      </c>
      <c r="M18" s="6" t="s">
        <v>41</v>
      </c>
      <c r="N18" s="5" t="s">
        <v>1</v>
      </c>
      <c r="O18" s="181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27</v>
      </c>
      <c r="C19" s="5" t="s">
        <v>860</v>
      </c>
      <c r="D19" s="19" t="s">
        <v>2769</v>
      </c>
      <c r="E19" s="17"/>
      <c r="F19" s="8" t="s">
        <v>501</v>
      </c>
      <c r="G19" s="12" t="n">
        <v>1.5</v>
      </c>
      <c r="H19" s="5" t="s">
        <v>2285</v>
      </c>
      <c r="I19" s="5" t="s">
        <v>2015</v>
      </c>
      <c r="J19" s="5" t="s">
        <v>1966</v>
      </c>
      <c r="K19" s="5"/>
      <c r="L19" s="5" t="n">
        <v>12</v>
      </c>
      <c r="M19" s="6" t="s">
        <v>41</v>
      </c>
      <c r="N19" s="5" t="s">
        <v>1</v>
      </c>
      <c r="O19" s="181"/>
    </row>
    <row r="20" customFormat="false" ht="22.5" hidden="false" customHeight="false" outlineLevel="0" collapsed="false">
      <c r="A20" s="5" t="n">
        <f aca="false">IF(B20&lt;&gt;"", COUNTA($B$2:B20), "")</f>
        <v>19</v>
      </c>
      <c r="B20" s="7" t="s">
        <v>27</v>
      </c>
      <c r="C20" s="5" t="s">
        <v>860</v>
      </c>
      <c r="D20" s="6" t="s">
        <v>2770</v>
      </c>
      <c r="E20" s="17"/>
      <c r="F20" s="5" t="s">
        <v>178</v>
      </c>
      <c r="G20" s="12" t="n">
        <v>1</v>
      </c>
      <c r="H20" s="5" t="s">
        <v>2286</v>
      </c>
      <c r="I20" s="5" t="s">
        <v>2015</v>
      </c>
      <c r="J20" s="5" t="s">
        <v>1966</v>
      </c>
      <c r="K20" s="5"/>
      <c r="L20" s="5" t="n">
        <v>12</v>
      </c>
      <c r="M20" s="6" t="s">
        <v>41</v>
      </c>
      <c r="N20" s="5" t="s">
        <v>1</v>
      </c>
      <c r="O20" s="181"/>
    </row>
    <row r="21" customFormat="false" ht="22.5" hidden="false" customHeight="false" outlineLevel="0" collapsed="false">
      <c r="A21" s="5" t="n">
        <f aca="false">IF(B21&lt;&gt;"", COUNTA($B$2:B21), "")</f>
        <v>20</v>
      </c>
      <c r="B21" s="7" t="s">
        <v>27</v>
      </c>
      <c r="C21" s="5" t="s">
        <v>860</v>
      </c>
      <c r="D21" s="6" t="s">
        <v>2771</v>
      </c>
      <c r="E21" s="17"/>
      <c r="F21" s="8" t="s">
        <v>309</v>
      </c>
      <c r="G21" s="12" t="n">
        <v>1</v>
      </c>
      <c r="H21" s="5" t="s">
        <v>2288</v>
      </c>
      <c r="I21" s="5" t="s">
        <v>2015</v>
      </c>
      <c r="J21" s="5" t="s">
        <v>1966</v>
      </c>
      <c r="K21" s="5"/>
      <c r="L21" s="5" t="n">
        <v>12</v>
      </c>
      <c r="M21" s="6" t="s">
        <v>41</v>
      </c>
      <c r="N21" s="5" t="s">
        <v>1</v>
      </c>
      <c r="O21" s="181"/>
    </row>
    <row r="22" customFormat="false" ht="22.5" hidden="false" customHeight="false" outlineLevel="0" collapsed="false">
      <c r="A22" s="5" t="n">
        <f aca="false">IF(B22&lt;&gt;"", COUNTA($B$2:B22), "")</f>
        <v>21</v>
      </c>
      <c r="B22" s="7" t="s">
        <v>27</v>
      </c>
      <c r="C22" s="5" t="s">
        <v>28</v>
      </c>
      <c r="D22" s="5" t="n">
        <v>700055</v>
      </c>
      <c r="E22" s="17"/>
      <c r="F22" s="8" t="s">
        <v>2126</v>
      </c>
      <c r="G22" s="12" t="n">
        <v>1.5</v>
      </c>
      <c r="H22" s="5" t="s">
        <v>2289</v>
      </c>
      <c r="I22" s="5" t="s">
        <v>2015</v>
      </c>
      <c r="J22" s="5" t="s">
        <v>1966</v>
      </c>
      <c r="K22" s="5"/>
      <c r="L22" s="5" t="n">
        <v>12</v>
      </c>
      <c r="M22" s="6" t="s">
        <v>41</v>
      </c>
      <c r="N22" s="5" t="s">
        <v>1</v>
      </c>
      <c r="O22" s="181"/>
    </row>
    <row r="23" customFormat="false" ht="22.5" hidden="false" customHeight="false" outlineLevel="0" collapsed="false">
      <c r="A23" s="5" t="n">
        <f aca="false">IF(B23&lt;&gt;"", COUNTA($B$2:B23), "")</f>
        <v>22</v>
      </c>
      <c r="B23" s="7" t="s">
        <v>27</v>
      </c>
      <c r="C23" s="5" t="s">
        <v>28</v>
      </c>
      <c r="D23" s="6" t="s">
        <v>2772</v>
      </c>
      <c r="E23" s="17"/>
      <c r="F23" s="5" t="s">
        <v>119</v>
      </c>
      <c r="G23" s="12" t="n">
        <v>1.5</v>
      </c>
      <c r="H23" s="5" t="s">
        <v>2291</v>
      </c>
      <c r="I23" s="5" t="s">
        <v>2773</v>
      </c>
      <c r="J23" s="5" t="s">
        <v>1966</v>
      </c>
      <c r="K23" s="5"/>
      <c r="L23" s="5" t="n">
        <v>12</v>
      </c>
      <c r="M23" s="6" t="s">
        <v>41</v>
      </c>
      <c r="N23" s="5" t="s">
        <v>1</v>
      </c>
      <c r="O23" s="181"/>
    </row>
    <row r="24" customFormat="false" ht="22.5" hidden="false" customHeight="false" outlineLevel="0" collapsed="false">
      <c r="A24" s="5" t="n">
        <f aca="false">IF(B24&lt;&gt;"", COUNTA($B$2:B24), "")</f>
        <v>23</v>
      </c>
      <c r="B24" s="7" t="s">
        <v>27</v>
      </c>
      <c r="C24" s="5" t="s">
        <v>1324</v>
      </c>
      <c r="D24" s="6" t="s">
        <v>2774</v>
      </c>
      <c r="E24" s="17" t="n">
        <v>2020</v>
      </c>
      <c r="F24" s="8" t="s">
        <v>501</v>
      </c>
      <c r="G24" s="12" t="n">
        <v>1.5</v>
      </c>
      <c r="H24" s="5" t="s">
        <v>2294</v>
      </c>
      <c r="I24" s="5" t="s">
        <v>2773</v>
      </c>
      <c r="J24" s="5" t="s">
        <v>1966</v>
      </c>
      <c r="K24" s="5"/>
      <c r="L24" s="5" t="n">
        <v>12</v>
      </c>
      <c r="M24" s="6" t="s">
        <v>37</v>
      </c>
      <c r="N24" s="5" t="s">
        <v>38</v>
      </c>
      <c r="O24" s="181"/>
    </row>
    <row r="25" customFormat="false" ht="22.5" hidden="false" customHeight="false" outlineLevel="0" collapsed="false">
      <c r="A25" s="5" t="n">
        <f aca="false">IF(B25&lt;&gt;"", COUNTA($B$2:B25), "")</f>
        <v>24</v>
      </c>
      <c r="B25" s="7" t="s">
        <v>27</v>
      </c>
      <c r="C25" s="5" t="s">
        <v>1324</v>
      </c>
      <c r="D25" s="6" t="s">
        <v>2775</v>
      </c>
      <c r="E25" s="17" t="n">
        <v>2020</v>
      </c>
      <c r="F25" s="8" t="s">
        <v>501</v>
      </c>
      <c r="G25" s="12" t="n">
        <v>1.5</v>
      </c>
      <c r="H25" s="5" t="s">
        <v>2296</v>
      </c>
      <c r="I25" s="5" t="s">
        <v>2773</v>
      </c>
      <c r="J25" s="5" t="s">
        <v>1966</v>
      </c>
      <c r="K25" s="5"/>
      <c r="L25" s="5" t="n">
        <v>12</v>
      </c>
      <c r="M25" s="6" t="s">
        <v>37</v>
      </c>
      <c r="N25" s="5" t="s">
        <v>38</v>
      </c>
      <c r="O25" s="181"/>
    </row>
    <row r="26" customFormat="false" ht="22.5" hidden="false" customHeight="false" outlineLevel="0" collapsed="false">
      <c r="A26" s="5" t="n">
        <f aca="false">IF(B26&lt;&gt;"", COUNTA($B$2:B26), "")</f>
        <v>25</v>
      </c>
      <c r="B26" s="7" t="s">
        <v>27</v>
      </c>
      <c r="C26" s="5" t="s">
        <v>500</v>
      </c>
      <c r="D26" s="6" t="s">
        <v>2776</v>
      </c>
      <c r="E26" s="17" t="n">
        <v>2004</v>
      </c>
      <c r="F26" s="5" t="s">
        <v>178</v>
      </c>
      <c r="G26" s="12" t="n">
        <v>1.5</v>
      </c>
      <c r="H26" s="5" t="s">
        <v>2298</v>
      </c>
      <c r="I26" s="5" t="s">
        <v>2773</v>
      </c>
      <c r="J26" s="5" t="s">
        <v>1966</v>
      </c>
      <c r="K26" s="5"/>
      <c r="L26" s="5" t="n">
        <v>12</v>
      </c>
      <c r="M26" s="6" t="s">
        <v>37</v>
      </c>
      <c r="N26" s="5" t="s">
        <v>38</v>
      </c>
      <c r="O26" s="181"/>
    </row>
    <row r="27" customFormat="false" ht="22.5" hidden="false" customHeight="false" outlineLevel="0" collapsed="false">
      <c r="A27" s="5" t="n">
        <f aca="false">IF(B27&lt;&gt;"", COUNTA($B$2:B27), "")</f>
        <v>26</v>
      </c>
      <c r="B27" s="7" t="s">
        <v>27</v>
      </c>
      <c r="C27" s="5" t="s">
        <v>500</v>
      </c>
      <c r="D27" s="6" t="s">
        <v>2777</v>
      </c>
      <c r="E27" s="17" t="n">
        <v>2020</v>
      </c>
      <c r="F27" s="8" t="s">
        <v>501</v>
      </c>
      <c r="G27" s="12" t="n">
        <v>1.5</v>
      </c>
      <c r="H27" s="5" t="s">
        <v>2300</v>
      </c>
      <c r="I27" s="5" t="s">
        <v>2773</v>
      </c>
      <c r="J27" s="5" t="s">
        <v>1966</v>
      </c>
      <c r="K27" s="5"/>
      <c r="L27" s="5" t="n">
        <v>12</v>
      </c>
      <c r="M27" s="6" t="s">
        <v>37</v>
      </c>
      <c r="N27" s="5" t="s">
        <v>38</v>
      </c>
      <c r="O27" s="181"/>
    </row>
    <row r="28" customFormat="false" ht="22.5" hidden="false" customHeight="false" outlineLevel="0" collapsed="false">
      <c r="A28" s="5" t="n">
        <f aca="false">IF(B28&lt;&gt;"", COUNTA($B$2:B28), "")</f>
        <v>27</v>
      </c>
      <c r="B28" s="7" t="s">
        <v>2301</v>
      </c>
      <c r="C28" s="12" t="s">
        <v>1321</v>
      </c>
      <c r="D28" s="12" t="s">
        <v>2778</v>
      </c>
      <c r="E28" s="17"/>
      <c r="F28" s="8" t="s">
        <v>2303</v>
      </c>
      <c r="G28" s="12"/>
      <c r="H28" s="123" t="s">
        <v>2304</v>
      </c>
      <c r="I28" s="5" t="s">
        <v>2773</v>
      </c>
      <c r="J28" s="5" t="s">
        <v>1966</v>
      </c>
      <c r="K28" s="5"/>
      <c r="L28" s="5" t="n">
        <v>12</v>
      </c>
      <c r="M28" s="6" t="s">
        <v>33</v>
      </c>
      <c r="N28" s="5" t="s">
        <v>1</v>
      </c>
      <c r="O28" s="181"/>
    </row>
    <row r="29" customFormat="false" ht="22.5" hidden="false" customHeight="false" outlineLevel="0" collapsed="false">
      <c r="A29" s="5" t="n">
        <f aca="false">IF(B29&lt;&gt;"", COUNTA($B$2:B29), "")</f>
        <v>28</v>
      </c>
      <c r="B29" s="7" t="s">
        <v>2306</v>
      </c>
      <c r="C29" s="12" t="s">
        <v>1321</v>
      </c>
      <c r="D29" s="12" t="s">
        <v>2779</v>
      </c>
      <c r="E29" s="17"/>
      <c r="F29" s="8" t="s">
        <v>2303</v>
      </c>
      <c r="G29" s="12"/>
      <c r="H29" s="123" t="s">
        <v>2304</v>
      </c>
      <c r="I29" s="5" t="s">
        <v>2773</v>
      </c>
      <c r="J29" s="5" t="s">
        <v>1966</v>
      </c>
      <c r="K29" s="5"/>
      <c r="L29" s="5" t="n">
        <v>12</v>
      </c>
      <c r="M29" s="6" t="s">
        <v>33</v>
      </c>
      <c r="N29" s="5" t="s">
        <v>1</v>
      </c>
      <c r="O29" s="181"/>
    </row>
    <row r="30" customFormat="false" ht="22.5" hidden="false" customHeight="false" outlineLevel="0" collapsed="false">
      <c r="A30" s="5" t="n">
        <f aca="false">IF(B30&lt;&gt;"", COUNTA($B$2:B30), "")</f>
        <v>29</v>
      </c>
      <c r="B30" s="7" t="s">
        <v>2308</v>
      </c>
      <c r="C30" s="12" t="s">
        <v>1321</v>
      </c>
      <c r="D30" s="12" t="s">
        <v>2780</v>
      </c>
      <c r="E30" s="17"/>
      <c r="F30" s="8" t="s">
        <v>2303</v>
      </c>
      <c r="G30" s="12"/>
      <c r="H30" s="123" t="s">
        <v>2304</v>
      </c>
      <c r="I30" s="5" t="s">
        <v>2773</v>
      </c>
      <c r="J30" s="5" t="s">
        <v>1966</v>
      </c>
      <c r="K30" s="5"/>
      <c r="L30" s="5" t="n">
        <v>12</v>
      </c>
      <c r="M30" s="6" t="s">
        <v>33</v>
      </c>
      <c r="N30" s="5" t="s">
        <v>1</v>
      </c>
      <c r="O30" s="181"/>
    </row>
    <row r="31" customFormat="false" ht="22.5" hidden="false" customHeight="false" outlineLevel="0" collapsed="false">
      <c r="A31" s="5" t="n">
        <f aca="false">IF(B31&lt;&gt;"", COUNTA($B$2:B31), "")</f>
        <v>30</v>
      </c>
      <c r="B31" s="7" t="s">
        <v>2310</v>
      </c>
      <c r="C31" s="12" t="s">
        <v>1321</v>
      </c>
      <c r="D31" s="12" t="s">
        <v>2781</v>
      </c>
      <c r="E31" s="17"/>
      <c r="F31" s="8" t="s">
        <v>2303</v>
      </c>
      <c r="G31" s="12"/>
      <c r="H31" s="123" t="s">
        <v>2304</v>
      </c>
      <c r="I31" s="5" t="s">
        <v>2773</v>
      </c>
      <c r="J31" s="5" t="s">
        <v>1966</v>
      </c>
      <c r="K31" s="5"/>
      <c r="L31" s="5" t="n">
        <v>12</v>
      </c>
      <c r="M31" s="6" t="s">
        <v>33</v>
      </c>
      <c r="N31" s="5" t="s">
        <v>1</v>
      </c>
      <c r="O31" s="181"/>
    </row>
    <row r="32" customFormat="false" ht="22.5" hidden="false" customHeight="false" outlineLevel="0" collapsed="false">
      <c r="A32" s="5" t="n">
        <f aca="false">IF(B32&lt;&gt;"", COUNTA($B$2:B32), "")</f>
        <v>31</v>
      </c>
      <c r="B32" s="7" t="s">
        <v>2312</v>
      </c>
      <c r="C32" s="12" t="s">
        <v>1321</v>
      </c>
      <c r="D32" s="12" t="s">
        <v>2782</v>
      </c>
      <c r="E32" s="5"/>
      <c r="F32" s="8" t="s">
        <v>2303</v>
      </c>
      <c r="G32" s="12"/>
      <c r="H32" s="123" t="s">
        <v>2304</v>
      </c>
      <c r="I32" s="5" t="s">
        <v>2773</v>
      </c>
      <c r="J32" s="5" t="s">
        <v>1966</v>
      </c>
      <c r="K32" s="5"/>
      <c r="L32" s="5" t="n">
        <v>12</v>
      </c>
      <c r="M32" s="6" t="s">
        <v>33</v>
      </c>
      <c r="N32" s="5" t="s">
        <v>1</v>
      </c>
      <c r="O32" s="181"/>
    </row>
    <row r="33" customFormat="false" ht="22.5" hidden="false" customHeight="false" outlineLevel="0" collapsed="false">
      <c r="A33" s="5" t="n">
        <f aca="false">IF(B33&lt;&gt;"", COUNTA($B$2:B33), "")</f>
        <v>32</v>
      </c>
      <c r="B33" s="7" t="s">
        <v>27</v>
      </c>
      <c r="C33" s="5" t="s">
        <v>1869</v>
      </c>
      <c r="D33" s="5" t="n">
        <v>7000196</v>
      </c>
      <c r="E33" s="5"/>
      <c r="F33" s="8" t="s">
        <v>2314</v>
      </c>
      <c r="G33" s="12" t="n">
        <v>1.5</v>
      </c>
      <c r="H33" s="5" t="s">
        <v>2315</v>
      </c>
      <c r="I33" s="5" t="s">
        <v>2773</v>
      </c>
      <c r="J33" s="5" t="s">
        <v>1966</v>
      </c>
      <c r="K33" s="5"/>
      <c r="L33" s="5" t="n">
        <v>12</v>
      </c>
      <c r="M33" s="6" t="s">
        <v>33</v>
      </c>
      <c r="N33" s="5" t="s">
        <v>1</v>
      </c>
      <c r="O33" s="181"/>
    </row>
    <row r="34" customFormat="false" ht="22.5" hidden="false" customHeight="false" outlineLevel="0" collapsed="false">
      <c r="A34" s="5" t="n">
        <f aca="false">IF(B34&lt;&gt;"", COUNTA($B$2:B34), "")</f>
        <v>33</v>
      </c>
      <c r="B34" s="7" t="s">
        <v>27</v>
      </c>
      <c r="C34" s="5" t="s">
        <v>1869</v>
      </c>
      <c r="D34" s="5" t="n">
        <v>7000197</v>
      </c>
      <c r="E34" s="17"/>
      <c r="F34" s="8" t="s">
        <v>2314</v>
      </c>
      <c r="G34" s="12" t="n">
        <v>1.5</v>
      </c>
      <c r="H34" s="5" t="s">
        <v>2316</v>
      </c>
      <c r="I34" s="5" t="s">
        <v>2773</v>
      </c>
      <c r="J34" s="5" t="s">
        <v>1966</v>
      </c>
      <c r="K34" s="5"/>
      <c r="L34" s="5" t="n">
        <v>12</v>
      </c>
      <c r="M34" s="6" t="s">
        <v>33</v>
      </c>
      <c r="N34" s="5" t="s">
        <v>1</v>
      </c>
      <c r="O34" s="181"/>
    </row>
    <row r="35" customFormat="false" ht="22.5" hidden="false" customHeight="false" outlineLevel="0" collapsed="false">
      <c r="A35" s="5" t="n">
        <f aca="false">IF(B35&lt;&gt;"", COUNTA($B$2:B35), "")</f>
        <v>34</v>
      </c>
      <c r="B35" s="7" t="s">
        <v>27</v>
      </c>
      <c r="C35" s="5" t="s">
        <v>1115</v>
      </c>
      <c r="D35" s="5" t="n">
        <v>1730</v>
      </c>
      <c r="E35" s="17" t="n">
        <v>2018</v>
      </c>
      <c r="F35" s="5" t="s">
        <v>178</v>
      </c>
      <c r="G35" s="12" t="n">
        <v>1.5</v>
      </c>
      <c r="H35" s="5" t="s">
        <v>2317</v>
      </c>
      <c r="I35" s="5" t="s">
        <v>2015</v>
      </c>
      <c r="J35" s="5" t="s">
        <v>1966</v>
      </c>
      <c r="K35" s="5"/>
      <c r="L35" s="5" t="n">
        <v>12</v>
      </c>
      <c r="M35" s="6" t="s">
        <v>37</v>
      </c>
      <c r="N35" s="5" t="s">
        <v>2783</v>
      </c>
      <c r="O35" s="181"/>
    </row>
    <row r="36" customFormat="false" ht="22.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5" t="s">
        <v>28</v>
      </c>
      <c r="D36" s="5" t="n">
        <v>80337</v>
      </c>
      <c r="E36" s="17"/>
      <c r="F36" s="5" t="s">
        <v>29</v>
      </c>
      <c r="G36" s="12" t="n">
        <v>1.5</v>
      </c>
      <c r="H36" s="5" t="s">
        <v>2318</v>
      </c>
      <c r="I36" s="5" t="s">
        <v>2015</v>
      </c>
      <c r="J36" s="5" t="s">
        <v>1966</v>
      </c>
      <c r="K36" s="5"/>
      <c r="L36" s="5" t="n">
        <v>12</v>
      </c>
      <c r="M36" s="6" t="s">
        <v>37</v>
      </c>
      <c r="N36" s="5" t="s">
        <v>38</v>
      </c>
      <c r="O36" s="181"/>
    </row>
    <row r="37" customFormat="false" ht="22.5" hidden="false" customHeight="false" outlineLevel="0" collapsed="false">
      <c r="A37" s="5" t="n">
        <f aca="false">IF(B37&lt;&gt;"", COUNTA($B$2:B37), "")</f>
        <v>36</v>
      </c>
      <c r="B37" s="7" t="s">
        <v>27</v>
      </c>
      <c r="C37" s="5" t="s">
        <v>28</v>
      </c>
      <c r="D37" s="12" t="n">
        <v>15538</v>
      </c>
      <c r="E37" s="5"/>
      <c r="F37" s="5" t="s">
        <v>29</v>
      </c>
      <c r="G37" s="12" t="n">
        <v>1.5</v>
      </c>
      <c r="H37" s="5" t="s">
        <v>2319</v>
      </c>
      <c r="I37" s="5" t="s">
        <v>2015</v>
      </c>
      <c r="J37" s="5" t="s">
        <v>1966</v>
      </c>
      <c r="K37" s="5"/>
      <c r="L37" s="5" t="n">
        <v>12</v>
      </c>
      <c r="M37" s="6" t="s">
        <v>37</v>
      </c>
      <c r="N37" s="5" t="s">
        <v>38</v>
      </c>
      <c r="O37" s="181"/>
    </row>
    <row r="38" customFormat="false" ht="22.5" hidden="false" customHeight="false" outlineLevel="0" collapsed="false">
      <c r="A38" s="5" t="n">
        <f aca="false">IF(B38&lt;&gt;"", COUNTA($B$2:B38), "")</f>
        <v>37</v>
      </c>
      <c r="B38" s="7" t="s">
        <v>27</v>
      </c>
      <c r="C38" s="5" t="s">
        <v>28</v>
      </c>
      <c r="D38" s="5" t="n">
        <v>15565</v>
      </c>
      <c r="E38" s="5"/>
      <c r="F38" s="8" t="s">
        <v>192</v>
      </c>
      <c r="G38" s="12" t="n">
        <v>1</v>
      </c>
      <c r="H38" s="5" t="s">
        <v>2320</v>
      </c>
      <c r="I38" s="5" t="s">
        <v>2015</v>
      </c>
      <c r="J38" s="5" t="s">
        <v>1966</v>
      </c>
      <c r="K38" s="5"/>
      <c r="L38" s="5" t="n">
        <v>12</v>
      </c>
      <c r="M38" s="6" t="s">
        <v>37</v>
      </c>
      <c r="N38" s="5" t="s">
        <v>38</v>
      </c>
      <c r="O38" s="181"/>
    </row>
    <row r="39" customFormat="false" ht="22.5" hidden="false" customHeight="false" outlineLevel="0" collapsed="false">
      <c r="A39" s="5" t="n">
        <f aca="false">IF(B39&lt;&gt;"", COUNTA($B$2:B39), "")</f>
        <v>38</v>
      </c>
      <c r="B39" s="7" t="s">
        <v>27</v>
      </c>
      <c r="C39" s="5" t="s">
        <v>28</v>
      </c>
      <c r="D39" s="5" t="n">
        <v>212032437</v>
      </c>
      <c r="E39" s="5"/>
      <c r="F39" s="8" t="s">
        <v>192</v>
      </c>
      <c r="G39" s="12" t="n">
        <v>1.5</v>
      </c>
      <c r="H39" s="5" t="s">
        <v>2321</v>
      </c>
      <c r="I39" s="5" t="s">
        <v>2015</v>
      </c>
      <c r="J39" s="5" t="s">
        <v>1966</v>
      </c>
      <c r="K39" s="5"/>
      <c r="L39" s="5" t="n">
        <v>12</v>
      </c>
      <c r="M39" s="6" t="s">
        <v>37</v>
      </c>
      <c r="N39" s="5" t="s">
        <v>38</v>
      </c>
      <c r="O39" s="181"/>
    </row>
    <row r="40" customFormat="false" ht="22.5" hidden="false" customHeight="false" outlineLevel="0" collapsed="false">
      <c r="A40" s="5" t="n">
        <f aca="false">IF(B40&lt;&gt;"", COUNTA($B$2:B40), "")</f>
        <v>39</v>
      </c>
      <c r="B40" s="7" t="s">
        <v>27</v>
      </c>
      <c r="C40" s="5" t="s">
        <v>28</v>
      </c>
      <c r="D40" s="5" t="n">
        <v>1560622</v>
      </c>
      <c r="E40" s="5"/>
      <c r="F40" s="5" t="s">
        <v>29</v>
      </c>
      <c r="G40" s="12" t="n">
        <v>1</v>
      </c>
      <c r="H40" s="5" t="s">
        <v>2322</v>
      </c>
      <c r="I40" s="5" t="s">
        <v>2015</v>
      </c>
      <c r="J40" s="5" t="s">
        <v>1966</v>
      </c>
      <c r="K40" s="5"/>
      <c r="L40" s="5" t="n">
        <v>12</v>
      </c>
      <c r="M40" s="6" t="s">
        <v>37</v>
      </c>
      <c r="N40" s="5" t="s">
        <v>38</v>
      </c>
      <c r="O40" s="181"/>
    </row>
    <row r="41" customFormat="false" ht="22.5" hidden="false" customHeight="false" outlineLevel="0" collapsed="false">
      <c r="A41" s="5" t="n">
        <f aca="false">IF(B41&lt;&gt;"", COUNTA($B$2:B41), "")</f>
        <v>40</v>
      </c>
      <c r="B41" s="7" t="s">
        <v>27</v>
      </c>
      <c r="C41" s="5" t="s">
        <v>28</v>
      </c>
      <c r="D41" s="5" t="n">
        <v>14598</v>
      </c>
      <c r="E41" s="5"/>
      <c r="F41" s="5" t="s">
        <v>29</v>
      </c>
      <c r="G41" s="12" t="n">
        <v>1.5</v>
      </c>
      <c r="H41" s="5" t="s">
        <v>2323</v>
      </c>
      <c r="I41" s="5" t="s">
        <v>2015</v>
      </c>
      <c r="J41" s="5" t="s">
        <v>1966</v>
      </c>
      <c r="K41" s="5"/>
      <c r="L41" s="5" t="n">
        <v>12</v>
      </c>
      <c r="M41" s="6" t="s">
        <v>37</v>
      </c>
      <c r="N41" s="5" t="s">
        <v>38</v>
      </c>
      <c r="O41" s="181"/>
    </row>
    <row r="42" customFormat="false" ht="22.5" hidden="false" customHeight="false" outlineLevel="0" collapsed="false">
      <c r="A42" s="5" t="n">
        <f aca="false">IF(B42&lt;&gt;"", COUNTA($B$2:B42), "")</f>
        <v>41</v>
      </c>
      <c r="B42" s="7" t="s">
        <v>27</v>
      </c>
      <c r="C42" s="5" t="s">
        <v>28</v>
      </c>
      <c r="D42" s="5" t="n">
        <v>212032433</v>
      </c>
      <c r="E42" s="5"/>
      <c r="F42" s="8" t="s">
        <v>192</v>
      </c>
      <c r="G42" s="12" t="n">
        <v>1.5</v>
      </c>
      <c r="H42" s="5" t="s">
        <v>2324</v>
      </c>
      <c r="I42" s="5" t="s">
        <v>2015</v>
      </c>
      <c r="J42" s="5" t="s">
        <v>1966</v>
      </c>
      <c r="K42" s="5"/>
      <c r="L42" s="5" t="n">
        <v>12</v>
      </c>
      <c r="M42" s="6" t="s">
        <v>37</v>
      </c>
      <c r="N42" s="5" t="s">
        <v>38</v>
      </c>
      <c r="O42" s="181"/>
    </row>
    <row r="43" customFormat="false" ht="22.5" hidden="false" customHeight="false" outlineLevel="0" collapsed="false">
      <c r="A43" s="5" t="n">
        <f aca="false">IF(B43&lt;&gt;"", COUNTA($B$2:B43), "")</f>
        <v>42</v>
      </c>
      <c r="B43" s="7" t="s">
        <v>27</v>
      </c>
      <c r="C43" s="5" t="s">
        <v>28</v>
      </c>
      <c r="D43" s="5" t="n">
        <v>212032435</v>
      </c>
      <c r="E43" s="5"/>
      <c r="F43" s="8" t="s">
        <v>192</v>
      </c>
      <c r="G43" s="12" t="n">
        <v>1.5</v>
      </c>
      <c r="H43" s="5" t="s">
        <v>2325</v>
      </c>
      <c r="I43" s="5" t="s">
        <v>2015</v>
      </c>
      <c r="J43" s="5" t="s">
        <v>1966</v>
      </c>
      <c r="K43" s="5"/>
      <c r="L43" s="5" t="n">
        <v>12</v>
      </c>
      <c r="M43" s="6" t="s">
        <v>37</v>
      </c>
      <c r="N43" s="5" t="s">
        <v>38</v>
      </c>
      <c r="O43" s="181"/>
    </row>
    <row r="44" customFormat="false" ht="22.5" hidden="false" customHeight="false" outlineLevel="0" collapsed="false">
      <c r="A44" s="5" t="n">
        <f aca="false">IF(B44&lt;&gt;"", COUNTA($B$2:B44), "")</f>
        <v>43</v>
      </c>
      <c r="B44" s="7" t="s">
        <v>27</v>
      </c>
      <c r="C44" s="5" t="s">
        <v>28</v>
      </c>
      <c r="D44" s="5" t="n">
        <v>700020</v>
      </c>
      <c r="E44" s="5"/>
      <c r="F44" s="8" t="s">
        <v>192</v>
      </c>
      <c r="G44" s="12" t="n">
        <v>1</v>
      </c>
      <c r="H44" s="5" t="s">
        <v>2326</v>
      </c>
      <c r="I44" s="5" t="s">
        <v>2015</v>
      </c>
      <c r="J44" s="5" t="s">
        <v>1966</v>
      </c>
      <c r="K44" s="5"/>
      <c r="L44" s="5" t="n">
        <v>12</v>
      </c>
      <c r="M44" s="6" t="s">
        <v>41</v>
      </c>
      <c r="N44" s="5" t="s">
        <v>1</v>
      </c>
      <c r="O44" s="181"/>
    </row>
    <row r="45" customFormat="false" ht="22.5" hidden="false" customHeight="false" outlineLevel="0" collapsed="false">
      <c r="A45" s="5" t="n">
        <f aca="false">IF(B45&lt;&gt;"", COUNTA($B$2:B45), "")</f>
        <v>44</v>
      </c>
      <c r="B45" s="7" t="s">
        <v>27</v>
      </c>
      <c r="C45" s="5" t="s">
        <v>1312</v>
      </c>
      <c r="D45" s="6" t="s">
        <v>2784</v>
      </c>
      <c r="E45" s="5"/>
      <c r="F45" s="8" t="s">
        <v>2213</v>
      </c>
      <c r="G45" s="12" t="n">
        <v>1.5</v>
      </c>
      <c r="H45" s="5" t="s">
        <v>2328</v>
      </c>
      <c r="I45" s="5" t="s">
        <v>2785</v>
      </c>
      <c r="J45" s="5" t="s">
        <v>1966</v>
      </c>
      <c r="K45" s="5"/>
      <c r="L45" s="5" t="n">
        <v>12</v>
      </c>
      <c r="M45" s="6" t="s">
        <v>41</v>
      </c>
      <c r="N45" s="5" t="s">
        <v>1</v>
      </c>
      <c r="O45" s="181"/>
    </row>
    <row r="46" customFormat="false" ht="22.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5" t="s">
        <v>1324</v>
      </c>
      <c r="D46" s="6" t="s">
        <v>2786</v>
      </c>
      <c r="E46" s="5"/>
      <c r="F46" s="8" t="s">
        <v>2415</v>
      </c>
      <c r="G46" s="12" t="n">
        <v>1.5</v>
      </c>
      <c r="H46" s="5" t="s">
        <v>2332</v>
      </c>
      <c r="I46" s="5" t="s">
        <v>2785</v>
      </c>
      <c r="J46" s="5" t="s">
        <v>1966</v>
      </c>
      <c r="K46" s="5"/>
      <c r="L46" s="5" t="n">
        <v>12</v>
      </c>
      <c r="M46" s="6" t="s">
        <v>41</v>
      </c>
      <c r="N46" s="5" t="s">
        <v>1</v>
      </c>
      <c r="O46" s="181"/>
    </row>
    <row r="47" customFormat="false" ht="22.5" hidden="false" customHeight="false" outlineLevel="0" collapsed="false">
      <c r="A47" s="5" t="n">
        <f aca="false">IF(B47&lt;&gt;"", COUNTA($B$2:B47), "")</f>
        <v>46</v>
      </c>
      <c r="B47" s="7" t="s">
        <v>27</v>
      </c>
      <c r="C47" s="5" t="s">
        <v>28</v>
      </c>
      <c r="D47" s="6" t="s">
        <v>2787</v>
      </c>
      <c r="E47" s="5"/>
      <c r="F47" s="8" t="s">
        <v>192</v>
      </c>
      <c r="G47" s="12" t="n">
        <v>1</v>
      </c>
      <c r="H47" s="5" t="s">
        <v>2334</v>
      </c>
      <c r="I47" s="5" t="s">
        <v>2015</v>
      </c>
      <c r="J47" s="5" t="s">
        <v>1966</v>
      </c>
      <c r="K47" s="5"/>
      <c r="L47" s="5" t="n">
        <v>12</v>
      </c>
      <c r="M47" s="6" t="s">
        <v>41</v>
      </c>
      <c r="N47" s="5" t="s">
        <v>1</v>
      </c>
      <c r="O47" s="181"/>
    </row>
    <row r="48" customFormat="false" ht="22.5" hidden="false" customHeight="false" outlineLevel="0" collapsed="false">
      <c r="A48" s="5" t="n">
        <f aca="false">IF(B48&lt;&gt;"", COUNTA($B$2:B48), "")</f>
        <v>47</v>
      </c>
      <c r="B48" s="7" t="s">
        <v>27</v>
      </c>
      <c r="C48" s="5" t="s">
        <v>28</v>
      </c>
      <c r="D48" s="6" t="s">
        <v>2788</v>
      </c>
      <c r="E48" s="5"/>
      <c r="F48" s="8" t="s">
        <v>192</v>
      </c>
      <c r="G48" s="12" t="n">
        <v>1</v>
      </c>
      <c r="H48" s="5" t="s">
        <v>2336</v>
      </c>
      <c r="I48" s="5" t="s">
        <v>2015</v>
      </c>
      <c r="J48" s="5" t="s">
        <v>1966</v>
      </c>
      <c r="K48" s="5"/>
      <c r="L48" s="5" t="n">
        <v>12</v>
      </c>
      <c r="M48" s="6" t="s">
        <v>41</v>
      </c>
      <c r="N48" s="5" t="s">
        <v>1</v>
      </c>
      <c r="O48" s="181"/>
    </row>
    <row r="49" customFormat="false" ht="22.5" hidden="false" customHeight="false" outlineLevel="0" collapsed="false">
      <c r="A49" s="5" t="n">
        <f aca="false">IF(B49&lt;&gt;"", COUNTA($B$2:B49), "")</f>
        <v>48</v>
      </c>
      <c r="B49" s="7" t="s">
        <v>27</v>
      </c>
      <c r="C49" s="5" t="s">
        <v>28</v>
      </c>
      <c r="D49" s="6" t="s">
        <v>2789</v>
      </c>
      <c r="E49" s="5"/>
      <c r="F49" s="8" t="s">
        <v>192</v>
      </c>
      <c r="G49" s="12" t="n">
        <v>1</v>
      </c>
      <c r="H49" s="5" t="s">
        <v>2338</v>
      </c>
      <c r="I49" s="5" t="s">
        <v>2015</v>
      </c>
      <c r="J49" s="5" t="s">
        <v>1966</v>
      </c>
      <c r="K49" s="5"/>
      <c r="L49" s="5" t="n">
        <v>12</v>
      </c>
      <c r="M49" s="6" t="s">
        <v>41</v>
      </c>
      <c r="N49" s="5" t="s">
        <v>1</v>
      </c>
      <c r="O49" s="181"/>
    </row>
    <row r="50" customFormat="false" ht="22.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5" t="s">
        <v>28</v>
      </c>
      <c r="D50" s="6" t="s">
        <v>2790</v>
      </c>
      <c r="E50" s="5"/>
      <c r="F50" s="8" t="s">
        <v>192</v>
      </c>
      <c r="G50" s="12" t="n">
        <v>1</v>
      </c>
      <c r="H50" s="5" t="s">
        <v>2340</v>
      </c>
      <c r="I50" s="5" t="s">
        <v>2015</v>
      </c>
      <c r="J50" s="5" t="s">
        <v>1966</v>
      </c>
      <c r="K50" s="5"/>
      <c r="L50" s="5" t="n">
        <v>12</v>
      </c>
      <c r="M50" s="6" t="s">
        <v>41</v>
      </c>
      <c r="N50" s="5" t="s">
        <v>1</v>
      </c>
      <c r="O50" s="181"/>
    </row>
    <row r="51" customFormat="false" ht="22.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5" t="s">
        <v>144</v>
      </c>
      <c r="D51" s="6" t="s">
        <v>2791</v>
      </c>
      <c r="E51" s="5" t="n">
        <v>2016</v>
      </c>
      <c r="F51" s="8" t="s">
        <v>192</v>
      </c>
      <c r="G51" s="12" t="n">
        <v>1.5</v>
      </c>
      <c r="H51" s="5" t="s">
        <v>2342</v>
      </c>
      <c r="I51" s="5" t="s">
        <v>2015</v>
      </c>
      <c r="J51" s="5" t="s">
        <v>1966</v>
      </c>
      <c r="K51" s="5"/>
      <c r="L51" s="5" t="n">
        <v>12</v>
      </c>
      <c r="M51" s="6" t="s">
        <v>37</v>
      </c>
      <c r="N51" s="5" t="s">
        <v>2783</v>
      </c>
      <c r="O51" s="181"/>
    </row>
    <row r="52" customFormat="false" ht="22.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5" t="s">
        <v>28</v>
      </c>
      <c r="D52" s="6" t="s">
        <v>2792</v>
      </c>
      <c r="E52" s="5"/>
      <c r="F52" s="8" t="s">
        <v>192</v>
      </c>
      <c r="G52" s="12" t="n">
        <v>1</v>
      </c>
      <c r="H52" s="5" t="s">
        <v>2344</v>
      </c>
      <c r="I52" s="5" t="s">
        <v>2015</v>
      </c>
      <c r="J52" s="5" t="s">
        <v>1966</v>
      </c>
      <c r="K52" s="5"/>
      <c r="L52" s="5" t="n">
        <v>12</v>
      </c>
      <c r="M52" s="6" t="s">
        <v>41</v>
      </c>
      <c r="N52" s="5" t="s">
        <v>1</v>
      </c>
      <c r="O52" s="181"/>
    </row>
    <row r="53" customFormat="false" ht="22.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5" t="s">
        <v>28</v>
      </c>
      <c r="D53" s="6" t="s">
        <v>2793</v>
      </c>
      <c r="E53" s="5"/>
      <c r="F53" s="8" t="s">
        <v>192</v>
      </c>
      <c r="G53" s="12" t="n">
        <v>1</v>
      </c>
      <c r="H53" s="5" t="s">
        <v>2346</v>
      </c>
      <c r="I53" s="5" t="s">
        <v>2015</v>
      </c>
      <c r="J53" s="5" t="s">
        <v>1966</v>
      </c>
      <c r="K53" s="5"/>
      <c r="L53" s="5" t="n">
        <v>12</v>
      </c>
      <c r="M53" s="6" t="s">
        <v>41</v>
      </c>
      <c r="N53" s="5" t="s">
        <v>1</v>
      </c>
      <c r="O53" s="181"/>
    </row>
    <row r="54" customFormat="false" ht="22.5" hidden="false" customHeight="false" outlineLevel="0" collapsed="false">
      <c r="A54" s="5" t="n">
        <f aca="false">IF(B54&lt;&gt;"", COUNTA($B$2:B54), "")</f>
        <v>53</v>
      </c>
      <c r="B54" s="7" t="s">
        <v>27</v>
      </c>
      <c r="C54" s="5" t="s">
        <v>28</v>
      </c>
      <c r="D54" s="6" t="s">
        <v>2794</v>
      </c>
      <c r="E54" s="5"/>
      <c r="F54" s="8" t="s">
        <v>192</v>
      </c>
      <c r="G54" s="12" t="n">
        <v>1</v>
      </c>
      <c r="H54" s="5" t="s">
        <v>2348</v>
      </c>
      <c r="I54" s="5" t="s">
        <v>2015</v>
      </c>
      <c r="J54" s="5" t="s">
        <v>1966</v>
      </c>
      <c r="K54" s="5"/>
      <c r="L54" s="5" t="n">
        <v>12</v>
      </c>
      <c r="M54" s="6" t="s">
        <v>41</v>
      </c>
      <c r="N54" s="5" t="s">
        <v>1</v>
      </c>
      <c r="O54" s="181"/>
    </row>
    <row r="55" customFormat="false" ht="22.5" hidden="false" customHeight="false" outlineLevel="0" collapsed="false">
      <c r="A55" s="5" t="n">
        <f aca="false">IF(B55&lt;&gt;"", COUNTA($B$2:B55), "")</f>
        <v>54</v>
      </c>
      <c r="B55" s="7" t="s">
        <v>27</v>
      </c>
      <c r="C55" s="5" t="s">
        <v>28</v>
      </c>
      <c r="D55" s="5" t="n">
        <v>7000301</v>
      </c>
      <c r="E55" s="5"/>
      <c r="F55" s="8" t="s">
        <v>192</v>
      </c>
      <c r="G55" s="12" t="n">
        <v>1</v>
      </c>
      <c r="H55" s="5" t="s">
        <v>2349</v>
      </c>
      <c r="I55" s="5" t="s">
        <v>2015</v>
      </c>
      <c r="J55" s="5" t="s">
        <v>1966</v>
      </c>
      <c r="K55" s="5"/>
      <c r="L55" s="5" t="n">
        <v>12</v>
      </c>
      <c r="M55" s="6" t="s">
        <v>41</v>
      </c>
      <c r="N55" s="5" t="s">
        <v>1</v>
      </c>
      <c r="O55" s="181"/>
    </row>
    <row r="56" customFormat="false" ht="22.5" hidden="false" customHeight="false" outlineLevel="0" collapsed="false">
      <c r="A56" s="5" t="n">
        <f aca="false">IF(B56&lt;&gt;"", COUNTA($B$2:B56), "")</f>
        <v>55</v>
      </c>
      <c r="B56" s="7" t="s">
        <v>27</v>
      </c>
      <c r="C56" s="5" t="s">
        <v>28</v>
      </c>
      <c r="D56" s="19" t="s">
        <v>2795</v>
      </c>
      <c r="E56" s="17"/>
      <c r="F56" s="8" t="s">
        <v>192</v>
      </c>
      <c r="G56" s="12" t="n">
        <v>1</v>
      </c>
      <c r="H56" s="5" t="s">
        <v>2351</v>
      </c>
      <c r="I56" s="5" t="s">
        <v>2015</v>
      </c>
      <c r="J56" s="5" t="s">
        <v>1966</v>
      </c>
      <c r="K56" s="5"/>
      <c r="L56" s="5" t="n">
        <v>12</v>
      </c>
      <c r="M56" s="6" t="s">
        <v>41</v>
      </c>
      <c r="N56" s="5" t="s">
        <v>1</v>
      </c>
      <c r="O56" s="181"/>
    </row>
    <row r="57" customFormat="false" ht="22.5" hidden="false" customHeight="false" outlineLevel="0" collapsed="false">
      <c r="A57" s="5" t="n">
        <f aca="false">IF(B57&lt;&gt;"", COUNTA($B$2:B57), "")</f>
        <v>56</v>
      </c>
      <c r="B57" s="7" t="s">
        <v>27</v>
      </c>
      <c r="C57" s="5" t="s">
        <v>28</v>
      </c>
      <c r="D57" s="19" t="s">
        <v>2796</v>
      </c>
      <c r="E57" s="17"/>
      <c r="F57" s="8" t="s">
        <v>192</v>
      </c>
      <c r="G57" s="12" t="n">
        <v>1</v>
      </c>
      <c r="H57" s="5" t="s">
        <v>2353</v>
      </c>
      <c r="I57" s="5" t="s">
        <v>2015</v>
      </c>
      <c r="J57" s="5" t="s">
        <v>1966</v>
      </c>
      <c r="K57" s="5"/>
      <c r="L57" s="5" t="n">
        <v>12</v>
      </c>
      <c r="M57" s="6" t="s">
        <v>41</v>
      </c>
      <c r="N57" s="5" t="s">
        <v>1</v>
      </c>
      <c r="O57" s="181"/>
    </row>
    <row r="58" customFormat="false" ht="22.5" hidden="false" customHeight="false" outlineLevel="0" collapsed="false">
      <c r="A58" s="5" t="n">
        <f aca="false">IF(B58&lt;&gt;"", COUNTA($B$2:B58), "")</f>
        <v>57</v>
      </c>
      <c r="B58" s="7" t="s">
        <v>27</v>
      </c>
      <c r="C58" s="5" t="s">
        <v>500</v>
      </c>
      <c r="D58" s="12" t="n">
        <v>700002</v>
      </c>
      <c r="E58" s="16"/>
      <c r="F58" s="8" t="s">
        <v>192</v>
      </c>
      <c r="G58" s="12" t="n">
        <v>1.5</v>
      </c>
      <c r="H58" s="5" t="s">
        <v>2354</v>
      </c>
      <c r="I58" s="5" t="s">
        <v>2797</v>
      </c>
      <c r="J58" s="5" t="s">
        <v>1966</v>
      </c>
      <c r="K58" s="5"/>
      <c r="L58" s="5" t="n">
        <v>12</v>
      </c>
      <c r="M58" s="6" t="s">
        <v>41</v>
      </c>
      <c r="N58" s="5" t="s">
        <v>1</v>
      </c>
      <c r="O58" s="181"/>
    </row>
    <row r="59" customFormat="false" ht="22.5" hidden="false" customHeight="false" outlineLevel="0" collapsed="false">
      <c r="A59" s="5" t="n">
        <f aca="false">IF(B59&lt;&gt;"", COUNTA($B$2:B59), "")</f>
        <v>58</v>
      </c>
      <c r="B59" s="7" t="s">
        <v>27</v>
      </c>
      <c r="C59" s="5" t="s">
        <v>500</v>
      </c>
      <c r="D59" s="12" t="n">
        <v>700011</v>
      </c>
      <c r="E59" s="16"/>
      <c r="F59" s="8" t="s">
        <v>192</v>
      </c>
      <c r="G59" s="12" t="n">
        <v>1.5</v>
      </c>
      <c r="H59" s="5" t="s">
        <v>2354</v>
      </c>
      <c r="I59" s="5" t="s">
        <v>2797</v>
      </c>
      <c r="J59" s="5" t="s">
        <v>1966</v>
      </c>
      <c r="K59" s="5"/>
      <c r="L59" s="5" t="n">
        <v>12</v>
      </c>
      <c r="M59" s="6" t="s">
        <v>41</v>
      </c>
      <c r="N59" s="5" t="s">
        <v>1</v>
      </c>
      <c r="O59" s="181"/>
    </row>
    <row r="60" customFormat="false" ht="22.5" hidden="false" customHeight="false" outlineLevel="0" collapsed="false">
      <c r="A60" s="5" t="n">
        <f aca="false">IF(B60&lt;&gt;"", COUNTA($B$2:B60), "")</f>
        <v>59</v>
      </c>
      <c r="B60" s="7" t="s">
        <v>27</v>
      </c>
      <c r="C60" s="5" t="s">
        <v>500</v>
      </c>
      <c r="D60" s="19" t="s">
        <v>2798</v>
      </c>
      <c r="E60" s="16"/>
      <c r="F60" s="8" t="s">
        <v>192</v>
      </c>
      <c r="G60" s="12" t="n">
        <v>1.5</v>
      </c>
      <c r="H60" s="5" t="s">
        <v>2354</v>
      </c>
      <c r="I60" s="5" t="s">
        <v>2797</v>
      </c>
      <c r="J60" s="5" t="s">
        <v>1966</v>
      </c>
      <c r="K60" s="5"/>
      <c r="L60" s="5" t="n">
        <v>12</v>
      </c>
      <c r="M60" s="6" t="s">
        <v>41</v>
      </c>
      <c r="N60" s="5" t="s">
        <v>1</v>
      </c>
      <c r="O60" s="181"/>
    </row>
    <row r="61" customFormat="false" ht="22.5" hidden="false" customHeight="false" outlineLevel="0" collapsed="false">
      <c r="A61" s="5" t="n">
        <f aca="false">IF(B61&lt;&gt;"", COUNTA($B$2:B61), "")</f>
        <v>60</v>
      </c>
      <c r="B61" s="7" t="s">
        <v>27</v>
      </c>
      <c r="C61" s="5" t="s">
        <v>500</v>
      </c>
      <c r="D61" s="19" t="s">
        <v>2799</v>
      </c>
      <c r="E61" s="19"/>
      <c r="F61" s="8" t="s">
        <v>192</v>
      </c>
      <c r="G61" s="12" t="n">
        <v>1.5</v>
      </c>
      <c r="H61" s="5" t="s">
        <v>2354</v>
      </c>
      <c r="I61" s="5" t="s">
        <v>2797</v>
      </c>
      <c r="J61" s="5" t="s">
        <v>1966</v>
      </c>
      <c r="K61" s="5"/>
      <c r="L61" s="5" t="n">
        <v>12</v>
      </c>
      <c r="M61" s="6" t="s">
        <v>41</v>
      </c>
      <c r="N61" s="5" t="s">
        <v>1</v>
      </c>
      <c r="O61" s="181"/>
    </row>
    <row r="62" customFormat="false" ht="22.5" hidden="false" customHeight="false" outlineLevel="0" collapsed="false">
      <c r="A62" s="5" t="n">
        <f aca="false">IF(B62&lt;&gt;"", COUNTA($B$2:B62), "")</f>
        <v>61</v>
      </c>
      <c r="B62" s="7" t="s">
        <v>27</v>
      </c>
      <c r="C62" s="5" t="s">
        <v>500</v>
      </c>
      <c r="D62" s="17" t="n">
        <v>700007</v>
      </c>
      <c r="E62" s="17"/>
      <c r="F62" s="8" t="s">
        <v>192</v>
      </c>
      <c r="G62" s="12" t="n">
        <v>1.5</v>
      </c>
      <c r="H62" s="5" t="s">
        <v>2354</v>
      </c>
      <c r="I62" s="5" t="s">
        <v>2797</v>
      </c>
      <c r="J62" s="5" t="s">
        <v>1966</v>
      </c>
      <c r="K62" s="5"/>
      <c r="L62" s="5" t="n">
        <v>12</v>
      </c>
      <c r="M62" s="6" t="s">
        <v>41</v>
      </c>
      <c r="N62" s="5" t="s">
        <v>1</v>
      </c>
      <c r="O62" s="181"/>
    </row>
    <row r="63" customFormat="false" ht="22.5" hidden="false" customHeight="false" outlineLevel="0" collapsed="false">
      <c r="A63" s="5" t="n">
        <f aca="false">IF(B63&lt;&gt;"", COUNTA($B$2:B63), "")</f>
        <v>62</v>
      </c>
      <c r="B63" s="7" t="s">
        <v>27</v>
      </c>
      <c r="C63" s="5" t="s">
        <v>500</v>
      </c>
      <c r="D63" s="19" t="s">
        <v>2800</v>
      </c>
      <c r="E63" s="17"/>
      <c r="F63" s="8" t="s">
        <v>192</v>
      </c>
      <c r="G63" s="12" t="n">
        <v>1.5</v>
      </c>
      <c r="H63" s="5" t="s">
        <v>2354</v>
      </c>
      <c r="I63" s="5" t="s">
        <v>2797</v>
      </c>
      <c r="J63" s="5" t="s">
        <v>1966</v>
      </c>
      <c r="K63" s="5"/>
      <c r="L63" s="5" t="n">
        <v>12</v>
      </c>
      <c r="M63" s="6" t="s">
        <v>41</v>
      </c>
      <c r="N63" s="5" t="s">
        <v>1</v>
      </c>
      <c r="O63" s="181"/>
    </row>
    <row r="64" customFormat="false" ht="22.5" hidden="false" customHeight="false" outlineLevel="0" collapsed="false">
      <c r="A64" s="5" t="n">
        <f aca="false">IF(B64&lt;&gt;"", COUNTA($B$2:B64), "")</f>
        <v>63</v>
      </c>
      <c r="B64" s="7" t="s">
        <v>27</v>
      </c>
      <c r="C64" s="5" t="s">
        <v>500</v>
      </c>
      <c r="D64" s="12" t="n">
        <v>700012</v>
      </c>
      <c r="E64" s="5"/>
      <c r="F64" s="8" t="s">
        <v>192</v>
      </c>
      <c r="G64" s="12" t="n">
        <v>1.5</v>
      </c>
      <c r="H64" s="5" t="s">
        <v>2354</v>
      </c>
      <c r="I64" s="5" t="s">
        <v>2797</v>
      </c>
      <c r="J64" s="5" t="s">
        <v>1966</v>
      </c>
      <c r="K64" s="5"/>
      <c r="L64" s="5" t="n">
        <v>12</v>
      </c>
      <c r="M64" s="6" t="s">
        <v>41</v>
      </c>
      <c r="N64" s="5" t="s">
        <v>1</v>
      </c>
      <c r="O64" s="181"/>
    </row>
    <row r="65" customFormat="false" ht="22.5" hidden="false" customHeight="false" outlineLevel="0" collapsed="false">
      <c r="A65" s="5" t="n">
        <f aca="false">IF(B65&lt;&gt;"", COUNTA($B$2:B65), "")</f>
        <v>64</v>
      </c>
      <c r="B65" s="7" t="s">
        <v>27</v>
      </c>
      <c r="C65" s="5" t="s">
        <v>500</v>
      </c>
      <c r="D65" s="12" t="n">
        <v>700006</v>
      </c>
      <c r="E65" s="5"/>
      <c r="F65" s="8" t="s">
        <v>192</v>
      </c>
      <c r="G65" s="12" t="n">
        <v>1.5</v>
      </c>
      <c r="H65" s="5" t="s">
        <v>2354</v>
      </c>
      <c r="I65" s="5" t="s">
        <v>2797</v>
      </c>
      <c r="J65" s="5" t="s">
        <v>1966</v>
      </c>
      <c r="K65" s="5"/>
      <c r="L65" s="5" t="n">
        <v>12</v>
      </c>
      <c r="M65" s="6" t="s">
        <v>41</v>
      </c>
      <c r="N65" s="5" t="s">
        <v>1</v>
      </c>
      <c r="O65" s="181"/>
    </row>
    <row r="66" customFormat="false" ht="22.5" hidden="false" customHeight="false" outlineLevel="0" collapsed="false">
      <c r="A66" s="5" t="n">
        <f aca="false">IF(B66&lt;&gt;"", COUNTA($B$2:B66), "")</f>
        <v>65</v>
      </c>
      <c r="B66" s="7" t="s">
        <v>27</v>
      </c>
      <c r="C66" s="5" t="s">
        <v>28</v>
      </c>
      <c r="D66" s="12" t="n">
        <v>7000300</v>
      </c>
      <c r="E66" s="5"/>
      <c r="F66" s="8" t="s">
        <v>192</v>
      </c>
      <c r="G66" s="12" t="n">
        <v>1</v>
      </c>
      <c r="H66" s="5" t="s">
        <v>2359</v>
      </c>
      <c r="I66" s="5" t="s">
        <v>2015</v>
      </c>
      <c r="J66" s="5" t="s">
        <v>1966</v>
      </c>
      <c r="K66" s="5"/>
      <c r="L66" s="5" t="n">
        <v>12</v>
      </c>
      <c r="M66" s="6" t="s">
        <v>41</v>
      </c>
      <c r="N66" s="5" t="s">
        <v>1</v>
      </c>
      <c r="O66" s="181"/>
    </row>
    <row r="67" customFormat="false" ht="22.5" hidden="false" customHeight="false" outlineLevel="0" collapsed="false">
      <c r="A67" s="5" t="n">
        <f aca="false">IF(B67&lt;&gt;"", COUNTA($B$2:B67), "")</f>
        <v>66</v>
      </c>
      <c r="B67" s="124" t="s">
        <v>46</v>
      </c>
      <c r="C67" s="12" t="s">
        <v>2360</v>
      </c>
      <c r="D67" s="12" t="n">
        <v>7328</v>
      </c>
      <c r="E67" s="16"/>
      <c r="F67" s="8" t="s">
        <v>48</v>
      </c>
      <c r="G67" s="12" t="n">
        <v>1.5</v>
      </c>
      <c r="H67" s="12" t="s">
        <v>2361</v>
      </c>
      <c r="I67" s="5" t="s">
        <v>2015</v>
      </c>
      <c r="J67" s="5" t="s">
        <v>1966</v>
      </c>
      <c r="K67" s="5"/>
      <c r="L67" s="5" t="n">
        <v>24</v>
      </c>
      <c r="M67" s="6" t="s">
        <v>41</v>
      </c>
      <c r="N67" s="5" t="s">
        <v>1</v>
      </c>
      <c r="O67" s="181"/>
    </row>
    <row r="68" customFormat="false" ht="22.5" hidden="false" customHeight="false" outlineLevel="0" collapsed="false">
      <c r="A68" s="5" t="n">
        <f aca="false">IF(B68&lt;&gt;"", COUNTA($B$2:B68), "")</f>
        <v>67</v>
      </c>
      <c r="B68" s="124" t="s">
        <v>46</v>
      </c>
      <c r="C68" s="12" t="s">
        <v>47</v>
      </c>
      <c r="D68" s="12" t="n">
        <v>8538</v>
      </c>
      <c r="E68" s="17"/>
      <c r="F68" s="15" t="s">
        <v>2362</v>
      </c>
      <c r="G68" s="12" t="n">
        <v>1</v>
      </c>
      <c r="H68" s="12" t="s">
        <v>2363</v>
      </c>
      <c r="I68" s="5" t="s">
        <v>2797</v>
      </c>
      <c r="J68" s="5" t="s">
        <v>1966</v>
      </c>
      <c r="K68" s="5"/>
      <c r="L68" s="5" t="n">
        <v>24</v>
      </c>
      <c r="M68" s="6" t="s">
        <v>2364</v>
      </c>
      <c r="N68" s="5" t="s">
        <v>1</v>
      </c>
      <c r="O68" s="181"/>
    </row>
    <row r="69" customFormat="false" ht="22.5" hidden="false" customHeight="false" outlineLevel="0" collapsed="false">
      <c r="A69" s="5" t="n">
        <f aca="false">IF(B69&lt;&gt;"", COUNTA($B$2:B69), "")</f>
        <v>68</v>
      </c>
      <c r="B69" s="124" t="s">
        <v>46</v>
      </c>
      <c r="C69" s="12" t="s">
        <v>47</v>
      </c>
      <c r="D69" s="12" t="n">
        <v>8577</v>
      </c>
      <c r="E69" s="17"/>
      <c r="F69" s="15" t="s">
        <v>2362</v>
      </c>
      <c r="G69" s="12" t="n">
        <v>1</v>
      </c>
      <c r="H69" s="12" t="s">
        <v>2363</v>
      </c>
      <c r="I69" s="5" t="s">
        <v>2797</v>
      </c>
      <c r="J69" s="5" t="s">
        <v>1966</v>
      </c>
      <c r="K69" s="5"/>
      <c r="L69" s="5" t="n">
        <v>24</v>
      </c>
      <c r="M69" s="6" t="s">
        <v>2364</v>
      </c>
      <c r="N69" s="5" t="s">
        <v>1</v>
      </c>
      <c r="O69" s="181"/>
    </row>
    <row r="70" customFormat="false" ht="22.5" hidden="false" customHeight="false" outlineLevel="0" collapsed="false">
      <c r="A70" s="5" t="n">
        <f aca="false">IF(B70&lt;&gt;"", COUNTA($B$2:B70), "")</f>
        <v>69</v>
      </c>
      <c r="B70" s="124" t="s">
        <v>46</v>
      </c>
      <c r="C70" s="12" t="s">
        <v>47</v>
      </c>
      <c r="D70" s="12" t="n">
        <v>8540</v>
      </c>
      <c r="E70" s="17"/>
      <c r="F70" s="15" t="s">
        <v>2362</v>
      </c>
      <c r="G70" s="12" t="n">
        <v>1</v>
      </c>
      <c r="H70" s="12" t="s">
        <v>2363</v>
      </c>
      <c r="I70" s="5" t="s">
        <v>2797</v>
      </c>
      <c r="J70" s="5" t="s">
        <v>1966</v>
      </c>
      <c r="K70" s="5"/>
      <c r="L70" s="5" t="n">
        <v>24</v>
      </c>
      <c r="M70" s="6" t="s">
        <v>2364</v>
      </c>
      <c r="N70" s="5" t="s">
        <v>1</v>
      </c>
      <c r="O70" s="181"/>
    </row>
    <row r="71" customFormat="false" ht="22.5" hidden="false" customHeight="false" outlineLevel="0" collapsed="false">
      <c r="A71" s="5" t="n">
        <f aca="false">IF(B71&lt;&gt;"", COUNTA($B$2:B71), "")</f>
        <v>70</v>
      </c>
      <c r="B71" s="124" t="s">
        <v>46</v>
      </c>
      <c r="C71" s="12" t="s">
        <v>47</v>
      </c>
      <c r="D71" s="12" t="n">
        <v>8562</v>
      </c>
      <c r="E71" s="17"/>
      <c r="F71" s="15" t="s">
        <v>2362</v>
      </c>
      <c r="G71" s="12" t="n">
        <v>1</v>
      </c>
      <c r="H71" s="12" t="s">
        <v>2363</v>
      </c>
      <c r="I71" s="5" t="s">
        <v>2797</v>
      </c>
      <c r="J71" s="5" t="s">
        <v>1966</v>
      </c>
      <c r="K71" s="5"/>
      <c r="L71" s="5" t="n">
        <v>24</v>
      </c>
      <c r="M71" s="6" t="s">
        <v>2364</v>
      </c>
      <c r="N71" s="5" t="s">
        <v>1</v>
      </c>
      <c r="O71" s="181"/>
    </row>
    <row r="72" customFormat="false" ht="22.5" hidden="false" customHeight="false" outlineLevel="0" collapsed="false">
      <c r="A72" s="5" t="n">
        <f aca="false">IF(B72&lt;&gt;"", COUNTA($B$2:B72), "")</f>
        <v>71</v>
      </c>
      <c r="B72" s="124" t="s">
        <v>46</v>
      </c>
      <c r="C72" s="12" t="s">
        <v>47</v>
      </c>
      <c r="D72" s="12" t="n">
        <v>8531</v>
      </c>
      <c r="E72" s="17"/>
      <c r="F72" s="15" t="s">
        <v>2362</v>
      </c>
      <c r="G72" s="12" t="n">
        <v>1</v>
      </c>
      <c r="H72" s="12" t="s">
        <v>2363</v>
      </c>
      <c r="I72" s="5" t="s">
        <v>2797</v>
      </c>
      <c r="J72" s="5" t="s">
        <v>1966</v>
      </c>
      <c r="K72" s="5"/>
      <c r="L72" s="5" t="n">
        <v>24</v>
      </c>
      <c r="M72" s="6" t="s">
        <v>2364</v>
      </c>
      <c r="N72" s="5" t="s">
        <v>1</v>
      </c>
      <c r="O72" s="181"/>
    </row>
    <row r="73" customFormat="false" ht="22.5" hidden="false" customHeight="false" outlineLevel="0" collapsed="false">
      <c r="A73" s="5" t="n">
        <f aca="false">IF(B73&lt;&gt;"", COUNTA($B$2:B73), "")</f>
        <v>72</v>
      </c>
      <c r="B73" s="124" t="s">
        <v>46</v>
      </c>
      <c r="C73" s="12" t="s">
        <v>47</v>
      </c>
      <c r="D73" s="12" t="n">
        <v>8561</v>
      </c>
      <c r="E73" s="16"/>
      <c r="F73" s="15" t="s">
        <v>2362</v>
      </c>
      <c r="G73" s="12" t="n">
        <v>1</v>
      </c>
      <c r="H73" s="12" t="s">
        <v>2363</v>
      </c>
      <c r="I73" s="5" t="s">
        <v>2797</v>
      </c>
      <c r="J73" s="5" t="s">
        <v>1966</v>
      </c>
      <c r="K73" s="5"/>
      <c r="L73" s="5" t="n">
        <v>24</v>
      </c>
      <c r="M73" s="6" t="s">
        <v>2364</v>
      </c>
      <c r="N73" s="5" t="s">
        <v>1</v>
      </c>
      <c r="O73" s="181"/>
    </row>
    <row r="74" customFormat="false" ht="22.5" hidden="false" customHeight="false" outlineLevel="0" collapsed="false">
      <c r="A74" s="5" t="n">
        <f aca="false">IF(B74&lt;&gt;"", COUNTA($B$2:B74), "")</f>
        <v>73</v>
      </c>
      <c r="B74" s="124" t="s">
        <v>46</v>
      </c>
      <c r="C74" s="12" t="s">
        <v>47</v>
      </c>
      <c r="D74" s="12" t="n">
        <v>8526</v>
      </c>
      <c r="E74" s="16"/>
      <c r="F74" s="15" t="s">
        <v>2362</v>
      </c>
      <c r="G74" s="12" t="n">
        <v>1</v>
      </c>
      <c r="H74" s="12" t="s">
        <v>2363</v>
      </c>
      <c r="I74" s="5" t="s">
        <v>2797</v>
      </c>
      <c r="J74" s="5" t="s">
        <v>1966</v>
      </c>
      <c r="K74" s="5"/>
      <c r="L74" s="5" t="n">
        <v>24</v>
      </c>
      <c r="M74" s="6" t="s">
        <v>2364</v>
      </c>
      <c r="N74" s="5" t="s">
        <v>1</v>
      </c>
      <c r="O74" s="181"/>
    </row>
    <row r="75" customFormat="false" ht="22.5" hidden="false" customHeight="false" outlineLevel="0" collapsed="false">
      <c r="A75" s="5" t="n">
        <f aca="false">IF(B75&lt;&gt;"", COUNTA($B$2:B75), "")</f>
        <v>74</v>
      </c>
      <c r="B75" s="124" t="s">
        <v>46</v>
      </c>
      <c r="C75" s="12" t="s">
        <v>47</v>
      </c>
      <c r="D75" s="12" t="n">
        <v>8558</v>
      </c>
      <c r="E75" s="16"/>
      <c r="F75" s="15" t="s">
        <v>2362</v>
      </c>
      <c r="G75" s="12" t="n">
        <v>1</v>
      </c>
      <c r="H75" s="12" t="s">
        <v>2363</v>
      </c>
      <c r="I75" s="5" t="s">
        <v>2797</v>
      </c>
      <c r="J75" s="5" t="s">
        <v>1966</v>
      </c>
      <c r="K75" s="5"/>
      <c r="L75" s="5" t="n">
        <v>24</v>
      </c>
      <c r="M75" s="6" t="s">
        <v>2364</v>
      </c>
      <c r="N75" s="5" t="s">
        <v>1</v>
      </c>
      <c r="O75" s="181"/>
    </row>
    <row r="76" customFormat="false" ht="22.5" hidden="false" customHeight="false" outlineLevel="0" collapsed="false">
      <c r="A76" s="5" t="n">
        <f aca="false">IF(B76&lt;&gt;"", COUNTA($B$2:B76), "")</f>
        <v>75</v>
      </c>
      <c r="B76" s="5" t="s">
        <v>2585</v>
      </c>
      <c r="C76" s="12" t="s">
        <v>2365</v>
      </c>
      <c r="D76" s="5" t="s">
        <v>2801</v>
      </c>
      <c r="E76" s="5" t="n">
        <v>2018</v>
      </c>
      <c r="F76" s="27" t="s">
        <v>2367</v>
      </c>
      <c r="G76" s="152"/>
      <c r="H76" s="5" t="s">
        <v>2368</v>
      </c>
      <c r="I76" s="5"/>
      <c r="J76" s="69" t="s">
        <v>1966</v>
      </c>
      <c r="K76" s="185"/>
      <c r="L76" s="185"/>
      <c r="M76" s="185"/>
      <c r="N76" s="185"/>
      <c r="O76" s="181"/>
    </row>
    <row r="77" customFormat="false" ht="22.5" hidden="false" customHeight="false" outlineLevel="0" collapsed="false">
      <c r="A77" s="5" t="n">
        <f aca="false">IF(B77&lt;&gt;"", COUNTA($B$2:B77), "")</f>
        <v>76</v>
      </c>
      <c r="B77" s="5" t="s">
        <v>2585</v>
      </c>
      <c r="C77" s="12" t="s">
        <v>2365</v>
      </c>
      <c r="D77" s="5" t="s">
        <v>2802</v>
      </c>
      <c r="E77" s="5" t="n">
        <v>2018</v>
      </c>
      <c r="F77" s="27" t="s">
        <v>2367</v>
      </c>
      <c r="G77" s="152"/>
      <c r="H77" s="5" t="s">
        <v>2370</v>
      </c>
      <c r="I77" s="5"/>
      <c r="J77" s="69" t="s">
        <v>1966</v>
      </c>
      <c r="K77" s="185"/>
      <c r="L77" s="185"/>
      <c r="M77" s="185"/>
      <c r="N77" s="185"/>
      <c r="O77" s="181"/>
    </row>
    <row r="78" customFormat="false" ht="22.5" hidden="false" customHeight="false" outlineLevel="0" collapsed="false">
      <c r="A78" s="5" t="n">
        <f aca="false">IF(B78&lt;&gt;"", COUNTA($B$2:B78), "")</f>
        <v>77</v>
      </c>
      <c r="B78" s="5" t="s">
        <v>2585</v>
      </c>
      <c r="C78" s="12" t="s">
        <v>2365</v>
      </c>
      <c r="D78" s="5" t="s">
        <v>2803</v>
      </c>
      <c r="E78" s="5" t="n">
        <v>2018</v>
      </c>
      <c r="F78" s="27" t="s">
        <v>2372</v>
      </c>
      <c r="G78" s="152"/>
      <c r="H78" s="5" t="s">
        <v>2373</v>
      </c>
      <c r="I78" s="5"/>
      <c r="J78" s="69" t="s">
        <v>1966</v>
      </c>
      <c r="K78" s="185"/>
      <c r="L78" s="185"/>
      <c r="M78" s="185"/>
      <c r="N78" s="185"/>
      <c r="O78" s="181"/>
    </row>
    <row r="79" customFormat="false" ht="22.5" hidden="false" customHeight="false" outlineLevel="0" collapsed="false">
      <c r="A79" s="5" t="n">
        <f aca="false">IF(B79&lt;&gt;"", COUNTA($B$2:B79), "")</f>
        <v>78</v>
      </c>
      <c r="B79" s="5" t="s">
        <v>2585</v>
      </c>
      <c r="C79" s="12" t="s">
        <v>2365</v>
      </c>
      <c r="D79" s="5" t="s">
        <v>2804</v>
      </c>
      <c r="E79" s="5" t="n">
        <v>2018</v>
      </c>
      <c r="F79" s="27" t="s">
        <v>2372</v>
      </c>
      <c r="G79" s="152"/>
      <c r="H79" s="5" t="s">
        <v>2375</v>
      </c>
      <c r="I79" s="5"/>
      <c r="J79" s="69" t="s">
        <v>1966</v>
      </c>
      <c r="K79" s="185"/>
      <c r="L79" s="185"/>
      <c r="M79" s="185"/>
      <c r="N79" s="185"/>
      <c r="O79" s="181"/>
    </row>
    <row r="80" customFormat="false" ht="22.5" hidden="false" customHeight="false" outlineLevel="0" collapsed="false">
      <c r="A80" s="5" t="n">
        <f aca="false">IF(B80&lt;&gt;"", COUNTA($B$2:B80), "")</f>
        <v>79</v>
      </c>
      <c r="B80" s="124" t="s">
        <v>1836</v>
      </c>
      <c r="C80" s="12" t="s">
        <v>2376</v>
      </c>
      <c r="D80" s="12" t="n">
        <v>90652</v>
      </c>
      <c r="E80" s="16" t="n">
        <v>2018</v>
      </c>
      <c r="F80" s="27" t="s">
        <v>2377</v>
      </c>
      <c r="G80" s="32" t="n">
        <v>0.02</v>
      </c>
      <c r="H80" s="12" t="s">
        <v>2378</v>
      </c>
      <c r="I80" s="5" t="s">
        <v>2015</v>
      </c>
      <c r="J80" s="5" t="s">
        <v>1966</v>
      </c>
      <c r="K80" s="5"/>
      <c r="L80" s="5" t="n">
        <v>60</v>
      </c>
      <c r="M80" s="6"/>
      <c r="N80" s="5"/>
      <c r="O80" s="186"/>
    </row>
    <row r="81" customFormat="false" ht="22.5" hidden="false" customHeight="false" outlineLevel="0" collapsed="false">
      <c r="A81" s="5" t="n">
        <f aca="false">IF(B81&lt;&gt;"", COUNTA($B$2:B81), "")</f>
        <v>80</v>
      </c>
      <c r="B81" s="6" t="s">
        <v>2379</v>
      </c>
      <c r="C81" s="12" t="s">
        <v>2380</v>
      </c>
      <c r="D81" s="12" t="n">
        <v>1119090071</v>
      </c>
      <c r="E81" s="17" t="n">
        <v>2019</v>
      </c>
      <c r="F81" s="6"/>
      <c r="G81" s="12"/>
      <c r="H81" s="12" t="s">
        <v>2381</v>
      </c>
      <c r="I81" s="5" t="s">
        <v>2785</v>
      </c>
      <c r="J81" s="5" t="s">
        <v>1966</v>
      </c>
      <c r="K81" s="5"/>
      <c r="L81" s="5" t="n">
        <v>60</v>
      </c>
      <c r="M81" s="6"/>
      <c r="N81" s="5"/>
      <c r="O81" s="186"/>
    </row>
    <row r="82" customFormat="false" ht="22.5" hidden="false" customHeight="false" outlineLevel="0" collapsed="false">
      <c r="A82" s="5" t="n">
        <f aca="false">IF(B82&lt;&gt;"", COUNTA($B$2:B82), "")</f>
        <v>81</v>
      </c>
      <c r="B82" s="7" t="s">
        <v>2382</v>
      </c>
      <c r="C82" s="12" t="s">
        <v>2383</v>
      </c>
      <c r="D82" s="19" t="s">
        <v>2805</v>
      </c>
      <c r="E82" s="17" t="n">
        <v>2019</v>
      </c>
      <c r="F82" s="6"/>
      <c r="G82" s="12"/>
      <c r="H82" s="12" t="s">
        <v>2381</v>
      </c>
      <c r="I82" s="5" t="s">
        <v>2785</v>
      </c>
      <c r="J82" s="5" t="s">
        <v>1966</v>
      </c>
      <c r="K82" s="5"/>
      <c r="L82" s="5" t="n">
        <v>60</v>
      </c>
      <c r="M82" s="6"/>
      <c r="N82" s="5"/>
      <c r="O82" s="186"/>
    </row>
    <row r="83" customFormat="false" ht="22.5" hidden="false" customHeight="false" outlineLevel="0" collapsed="false">
      <c r="A83" s="5" t="n">
        <f aca="false">IF(B83&lt;&gt;"", COUNTA($B$2:B83), "")</f>
        <v>82</v>
      </c>
      <c r="B83" s="7" t="s">
        <v>2385</v>
      </c>
      <c r="C83" s="12" t="s">
        <v>2386</v>
      </c>
      <c r="D83" s="19" t="s">
        <v>2806</v>
      </c>
      <c r="E83" s="17" t="n">
        <v>2019</v>
      </c>
      <c r="F83" s="27" t="s">
        <v>2388</v>
      </c>
      <c r="G83" s="32" t="n">
        <v>0.01</v>
      </c>
      <c r="H83" s="12" t="s">
        <v>2381</v>
      </c>
      <c r="I83" s="5" t="s">
        <v>2785</v>
      </c>
      <c r="J83" s="5" t="s">
        <v>1966</v>
      </c>
      <c r="K83" s="5"/>
      <c r="L83" s="5" t="n">
        <v>60</v>
      </c>
      <c r="M83" s="6"/>
      <c r="N83" s="5"/>
      <c r="O83" s="186"/>
    </row>
    <row r="84" customFormat="false" ht="22.5" hidden="false" customHeight="false" outlineLevel="0" collapsed="false">
      <c r="A84" s="5" t="n">
        <f aca="false">IF(B84&lt;&gt;"", COUNTA($B$2:B84), "")</f>
        <v>83</v>
      </c>
      <c r="B84" s="7" t="s">
        <v>2389</v>
      </c>
      <c r="C84" s="187" t="s">
        <v>2390</v>
      </c>
      <c r="D84" s="19" t="s">
        <v>2807</v>
      </c>
      <c r="E84" s="5" t="n">
        <v>2021</v>
      </c>
      <c r="F84" s="6"/>
      <c r="G84" s="12"/>
      <c r="H84" s="12" t="s">
        <v>2392</v>
      </c>
      <c r="I84" s="5" t="s">
        <v>2785</v>
      </c>
      <c r="J84" s="5" t="s">
        <v>1966</v>
      </c>
      <c r="K84" s="5"/>
      <c r="L84" s="5" t="n">
        <v>60</v>
      </c>
      <c r="M84" s="6"/>
      <c r="N84" s="5"/>
      <c r="O84" s="181"/>
    </row>
    <row r="85" customFormat="false" ht="22.5" hidden="false" customHeight="false" outlineLevel="0" collapsed="false">
      <c r="A85" s="5" t="n">
        <f aca="false">IF(B85&lt;&gt;"", COUNTA($B$2:B85), "")</f>
        <v>84</v>
      </c>
      <c r="B85" s="7" t="s">
        <v>2389</v>
      </c>
      <c r="C85" s="188" t="s">
        <v>2390</v>
      </c>
      <c r="D85" s="19" t="s">
        <v>2808</v>
      </c>
      <c r="E85" s="5" t="n">
        <v>2021</v>
      </c>
      <c r="F85" s="6"/>
      <c r="G85" s="12"/>
      <c r="H85" s="12" t="s">
        <v>2392</v>
      </c>
      <c r="I85" s="5" t="s">
        <v>2785</v>
      </c>
      <c r="J85" s="5" t="s">
        <v>1966</v>
      </c>
      <c r="K85" s="5"/>
      <c r="L85" s="5" t="n">
        <v>60</v>
      </c>
      <c r="M85" s="6"/>
      <c r="N85" s="5"/>
      <c r="O85" s="181"/>
    </row>
    <row r="86" customFormat="false" ht="22.5" hidden="false" customHeight="false" outlineLevel="0" collapsed="false">
      <c r="A86" s="5" t="n">
        <f aca="false">IF(B86&lt;&gt;"", COUNTA($B$2:B86), "")</f>
        <v>85</v>
      </c>
      <c r="B86" s="7" t="s">
        <v>2394</v>
      </c>
      <c r="C86" s="12" t="s">
        <v>2395</v>
      </c>
      <c r="D86" s="19" t="s">
        <v>2809</v>
      </c>
      <c r="E86" s="5"/>
      <c r="F86" s="8" t="s">
        <v>246</v>
      </c>
      <c r="G86" s="12"/>
      <c r="H86" s="12" t="s">
        <v>2397</v>
      </c>
      <c r="I86" s="5" t="s">
        <v>2785</v>
      </c>
      <c r="J86" s="5" t="s">
        <v>1966</v>
      </c>
      <c r="K86" s="5"/>
      <c r="L86" s="5"/>
      <c r="M86" s="6"/>
      <c r="N86" s="5"/>
      <c r="O86" s="181"/>
    </row>
    <row r="87" customFormat="false" ht="22.5" hidden="false" customHeight="false" outlineLevel="0" collapsed="false">
      <c r="A87" s="5" t="n">
        <f aca="false">IF(B87&lt;&gt;"", COUNTA($B$2:B87), "")</f>
        <v>86</v>
      </c>
      <c r="B87" s="7" t="s">
        <v>64</v>
      </c>
      <c r="C87" s="12" t="s">
        <v>2398</v>
      </c>
      <c r="D87" s="19" t="s">
        <v>2810</v>
      </c>
      <c r="E87" s="5" t="n">
        <v>2019</v>
      </c>
      <c r="F87" s="15" t="s">
        <v>2400</v>
      </c>
      <c r="G87" s="12"/>
      <c r="H87" s="12" t="s">
        <v>2401</v>
      </c>
      <c r="I87" s="5" t="s">
        <v>2785</v>
      </c>
      <c r="J87" s="5" t="s">
        <v>1966</v>
      </c>
      <c r="K87" s="5"/>
      <c r="L87" s="5"/>
      <c r="M87" s="6"/>
      <c r="N87" s="5"/>
      <c r="O87" s="181"/>
    </row>
    <row r="88" customFormat="false" ht="22.5" hidden="false" customHeight="false" outlineLevel="0" collapsed="false">
      <c r="A88" s="5" t="n">
        <f aca="false">IF(B88&lt;&gt;"", COUNTA($B$2:B88), "")</f>
        <v>87</v>
      </c>
      <c r="B88" s="7" t="s">
        <v>2394</v>
      </c>
      <c r="C88" s="12" t="s">
        <v>2402</v>
      </c>
      <c r="D88" s="19" t="s">
        <v>2811</v>
      </c>
      <c r="E88" s="5"/>
      <c r="F88" s="8" t="s">
        <v>139</v>
      </c>
      <c r="G88" s="181"/>
      <c r="H88" s="12" t="s">
        <v>2404</v>
      </c>
      <c r="I88" s="5" t="s">
        <v>2785</v>
      </c>
      <c r="J88" s="5" t="s">
        <v>1966</v>
      </c>
      <c r="K88" s="5"/>
      <c r="L88" s="5" t="n">
        <v>60</v>
      </c>
      <c r="M88" s="6"/>
      <c r="N88" s="5"/>
      <c r="O88" s="181"/>
    </row>
    <row r="89" customFormat="false" ht="22.5" hidden="false" customHeight="false" outlineLevel="0" collapsed="false">
      <c r="A89" s="5" t="n">
        <f aca="false">IF(B89&lt;&gt;"", COUNTA($B$2:B89), "")</f>
        <v>88</v>
      </c>
      <c r="B89" s="7" t="s">
        <v>64</v>
      </c>
      <c r="C89" s="12" t="s">
        <v>2405</v>
      </c>
      <c r="D89" s="19" t="s">
        <v>2812</v>
      </c>
      <c r="E89" s="5" t="n">
        <v>2019</v>
      </c>
      <c r="F89" s="15" t="s">
        <v>2407</v>
      </c>
      <c r="G89" s="12"/>
      <c r="H89" s="12" t="s">
        <v>2408</v>
      </c>
      <c r="I89" s="5" t="s">
        <v>2785</v>
      </c>
      <c r="J89" s="5" t="s">
        <v>1966</v>
      </c>
      <c r="K89" s="5"/>
      <c r="L89" s="5"/>
      <c r="M89" s="6"/>
      <c r="N89" s="5"/>
      <c r="O89" s="181"/>
    </row>
    <row r="90" customFormat="false" ht="22.5" hidden="false" customHeight="false" outlineLevel="0" collapsed="false">
      <c r="A90" s="5" t="n">
        <f aca="false">IF(B90&lt;&gt;"", COUNTA($B$2:B90), "")</f>
        <v>89</v>
      </c>
      <c r="B90" s="7" t="s">
        <v>2409</v>
      </c>
      <c r="C90" s="12" t="s">
        <v>2410</v>
      </c>
      <c r="D90" s="19" t="s">
        <v>2813</v>
      </c>
      <c r="E90" s="5"/>
      <c r="F90" s="8" t="s">
        <v>139</v>
      </c>
      <c r="G90" s="12"/>
      <c r="H90" s="12" t="s">
        <v>2412</v>
      </c>
      <c r="I90" s="5" t="s">
        <v>2785</v>
      </c>
      <c r="J90" s="5" t="s">
        <v>1966</v>
      </c>
      <c r="K90" s="5"/>
      <c r="L90" s="5"/>
      <c r="M90" s="6"/>
      <c r="N90" s="5"/>
      <c r="O90" s="181"/>
    </row>
    <row r="91" customFormat="false" ht="22.5" hidden="false" customHeight="false" outlineLevel="0" collapsed="false">
      <c r="A91" s="5" t="n">
        <f aca="false">IF(B91&lt;&gt;"", COUNTA($B$2:B91), "")</f>
        <v>90</v>
      </c>
      <c r="B91" s="7" t="s">
        <v>2394</v>
      </c>
      <c r="C91" s="12" t="s">
        <v>2413</v>
      </c>
      <c r="D91" s="19" t="s">
        <v>2814</v>
      </c>
      <c r="E91" s="5" t="n">
        <v>2018</v>
      </c>
      <c r="F91" s="8" t="s">
        <v>2415</v>
      </c>
      <c r="G91" s="12"/>
      <c r="H91" s="12" t="s">
        <v>2416</v>
      </c>
      <c r="I91" s="5" t="s">
        <v>2785</v>
      </c>
      <c r="J91" s="5" t="s">
        <v>1966</v>
      </c>
      <c r="K91" s="5"/>
      <c r="L91" s="5"/>
      <c r="M91" s="6"/>
      <c r="N91" s="5"/>
      <c r="O91" s="181"/>
    </row>
    <row r="92" customFormat="false" ht="22.5" hidden="false" customHeight="false" outlineLevel="0" collapsed="false">
      <c r="A92" s="5" t="n">
        <f aca="false">IF(B92&lt;&gt;"", COUNTA($B$2:B92), "")</f>
        <v>91</v>
      </c>
      <c r="B92" s="7" t="s">
        <v>64</v>
      </c>
      <c r="C92" s="12" t="s">
        <v>2417</v>
      </c>
      <c r="D92" s="19" t="s">
        <v>2815</v>
      </c>
      <c r="E92" s="5" t="n">
        <v>2019</v>
      </c>
      <c r="F92" s="15" t="s">
        <v>2419</v>
      </c>
      <c r="G92" s="12"/>
      <c r="H92" s="12" t="s">
        <v>2420</v>
      </c>
      <c r="I92" s="5" t="s">
        <v>2785</v>
      </c>
      <c r="J92" s="5" t="s">
        <v>1966</v>
      </c>
      <c r="K92" s="5"/>
      <c r="L92" s="5"/>
      <c r="M92" s="6"/>
      <c r="N92" s="5"/>
      <c r="O92" s="181"/>
    </row>
    <row r="93" customFormat="false" ht="22.5" hidden="false" customHeight="false" outlineLevel="0" collapsed="false">
      <c r="A93" s="5" t="n">
        <f aca="false">IF(B93&lt;&gt;"", COUNTA($B$2:B93), "")</f>
        <v>92</v>
      </c>
      <c r="B93" s="7" t="s">
        <v>64</v>
      </c>
      <c r="C93" s="12" t="s">
        <v>2417</v>
      </c>
      <c r="D93" s="19" t="s">
        <v>2816</v>
      </c>
      <c r="E93" s="5" t="n">
        <v>2019</v>
      </c>
      <c r="F93" s="15" t="s">
        <v>2400</v>
      </c>
      <c r="G93" s="12"/>
      <c r="H93" s="12" t="s">
        <v>2422</v>
      </c>
      <c r="I93" s="5" t="s">
        <v>2785</v>
      </c>
      <c r="J93" s="5" t="s">
        <v>1966</v>
      </c>
      <c r="K93" s="5"/>
      <c r="L93" s="5"/>
      <c r="M93" s="6"/>
      <c r="N93" s="5"/>
      <c r="O93" s="181"/>
    </row>
    <row r="94" customFormat="false" ht="22.5" hidden="false" customHeight="false" outlineLevel="0" collapsed="false">
      <c r="A94" s="5" t="n">
        <f aca="false">IF(B94&lt;&gt;"", COUNTA($B$2:B94), "")</f>
        <v>93</v>
      </c>
      <c r="B94" s="7" t="s">
        <v>2409</v>
      </c>
      <c r="C94" s="12" t="s">
        <v>2423</v>
      </c>
      <c r="D94" s="19" t="s">
        <v>2817</v>
      </c>
      <c r="E94" s="5"/>
      <c r="F94" s="8" t="s">
        <v>139</v>
      </c>
      <c r="G94" s="12"/>
      <c r="H94" s="12" t="s">
        <v>2425</v>
      </c>
      <c r="I94" s="5" t="s">
        <v>2785</v>
      </c>
      <c r="J94" s="5" t="s">
        <v>1966</v>
      </c>
      <c r="K94" s="5"/>
      <c r="L94" s="5"/>
      <c r="M94" s="6"/>
      <c r="N94" s="5"/>
      <c r="O94" s="181"/>
    </row>
    <row r="95" customFormat="false" ht="22.5" hidden="false" customHeight="false" outlineLevel="0" collapsed="false">
      <c r="A95" s="5" t="n">
        <f aca="false">IF(B95&lt;&gt;"", COUNTA($B$2:B95), "")</f>
        <v>94</v>
      </c>
      <c r="B95" s="7" t="s">
        <v>64</v>
      </c>
      <c r="C95" s="12" t="s">
        <v>2405</v>
      </c>
      <c r="D95" s="19" t="s">
        <v>2818</v>
      </c>
      <c r="E95" s="5" t="n">
        <v>2019</v>
      </c>
      <c r="F95" s="15" t="s">
        <v>2407</v>
      </c>
      <c r="G95" s="12"/>
      <c r="H95" s="12" t="s">
        <v>2427</v>
      </c>
      <c r="I95" s="5" t="s">
        <v>2785</v>
      </c>
      <c r="J95" s="5" t="s">
        <v>1966</v>
      </c>
      <c r="K95" s="5"/>
      <c r="L95" s="5"/>
      <c r="M95" s="6"/>
      <c r="N95" s="5"/>
      <c r="O95" s="181"/>
    </row>
    <row r="96" customFormat="false" ht="22.5" hidden="false" customHeight="false" outlineLevel="0" collapsed="false">
      <c r="A96" s="5" t="n">
        <f aca="false">IF(B96&lt;&gt;"", COUNTA($B$2:B96), "")</f>
        <v>95</v>
      </c>
      <c r="B96" s="7" t="s">
        <v>2428</v>
      </c>
      <c r="C96" s="12" t="s">
        <v>2429</v>
      </c>
      <c r="D96" s="19" t="s">
        <v>2430</v>
      </c>
      <c r="E96" s="5"/>
      <c r="F96" s="8" t="s">
        <v>133</v>
      </c>
      <c r="G96" s="12"/>
      <c r="H96" s="12" t="s">
        <v>2431</v>
      </c>
      <c r="I96" s="5" t="s">
        <v>2785</v>
      </c>
      <c r="J96" s="5" t="s">
        <v>1966</v>
      </c>
      <c r="K96" s="5"/>
      <c r="L96" s="5"/>
      <c r="M96" s="6"/>
      <c r="N96" s="5"/>
      <c r="O96" s="181" t="s">
        <v>2432</v>
      </c>
    </row>
    <row r="97" customFormat="false" ht="22.5" hidden="false" customHeight="false" outlineLevel="0" collapsed="false">
      <c r="A97" s="5" t="n">
        <f aca="false">IF(B97&lt;&gt;"", COUNTA($B$2:B97), "")</f>
        <v>96</v>
      </c>
      <c r="B97" s="7" t="s">
        <v>2428</v>
      </c>
      <c r="C97" s="12" t="s">
        <v>2433</v>
      </c>
      <c r="D97" s="19"/>
      <c r="E97" s="5"/>
      <c r="F97" s="8" t="s">
        <v>139</v>
      </c>
      <c r="G97" s="12"/>
      <c r="H97" s="12" t="s">
        <v>2435</v>
      </c>
      <c r="I97" s="5" t="s">
        <v>2785</v>
      </c>
      <c r="J97" s="5" t="s">
        <v>1966</v>
      </c>
      <c r="K97" s="5"/>
      <c r="L97" s="5"/>
      <c r="M97" s="6"/>
      <c r="N97" s="5"/>
      <c r="O97" s="181" t="s">
        <v>2432</v>
      </c>
    </row>
    <row r="98" customFormat="false" ht="22.5" hidden="false" customHeight="false" outlineLevel="0" collapsed="false">
      <c r="A98" s="5" t="n">
        <f aca="false">IF(B98&lt;&gt;"", COUNTA($B$2:B98), "")</f>
        <v>97</v>
      </c>
      <c r="B98" s="7" t="s">
        <v>2428</v>
      </c>
      <c r="C98" s="12" t="s">
        <v>2433</v>
      </c>
      <c r="D98" s="19" t="s">
        <v>2819</v>
      </c>
      <c r="E98" s="5"/>
      <c r="F98" s="8" t="s">
        <v>139</v>
      </c>
      <c r="G98" s="12"/>
      <c r="H98" s="12" t="s">
        <v>2436</v>
      </c>
      <c r="I98" s="5" t="s">
        <v>2785</v>
      </c>
      <c r="J98" s="5" t="s">
        <v>1966</v>
      </c>
      <c r="K98" s="5"/>
      <c r="L98" s="5"/>
      <c r="M98" s="6"/>
      <c r="N98" s="5"/>
      <c r="O98" s="181" t="s">
        <v>2432</v>
      </c>
    </row>
    <row r="99" customFormat="false" ht="22.5" hidden="false" customHeight="false" outlineLevel="0" collapsed="false">
      <c r="A99" s="5" t="n">
        <f aca="false">IF(B99&lt;&gt;"", COUNTA($B$2:B99), "")</f>
        <v>98</v>
      </c>
      <c r="B99" s="7" t="s">
        <v>2428</v>
      </c>
      <c r="C99" s="12" t="s">
        <v>2429</v>
      </c>
      <c r="D99" s="19" t="s">
        <v>2430</v>
      </c>
      <c r="E99" s="5"/>
      <c r="F99" s="8" t="s">
        <v>133</v>
      </c>
      <c r="G99" s="12"/>
      <c r="H99" s="12" t="s">
        <v>2437</v>
      </c>
      <c r="I99" s="5" t="s">
        <v>2785</v>
      </c>
      <c r="J99" s="5" t="s">
        <v>1966</v>
      </c>
      <c r="K99" s="5"/>
      <c r="L99" s="5"/>
      <c r="M99" s="6"/>
      <c r="N99" s="5"/>
      <c r="O99" s="181" t="s">
        <v>2432</v>
      </c>
    </row>
    <row r="100" customFormat="false" ht="22.5" hidden="false" customHeight="false" outlineLevel="0" collapsed="false">
      <c r="A100" s="5" t="n">
        <f aca="false">IF(B100&lt;&gt;"", COUNTA($B$2:B100), "")</f>
        <v>99</v>
      </c>
      <c r="B100" s="7" t="s">
        <v>2428</v>
      </c>
      <c r="C100" s="12" t="s">
        <v>2433</v>
      </c>
      <c r="D100" s="19" t="s">
        <v>2820</v>
      </c>
      <c r="E100" s="5"/>
      <c r="F100" s="8" t="s">
        <v>139</v>
      </c>
      <c r="G100" s="12"/>
      <c r="H100" s="12" t="s">
        <v>2439</v>
      </c>
      <c r="I100" s="5" t="s">
        <v>2785</v>
      </c>
      <c r="J100" s="5" t="s">
        <v>1966</v>
      </c>
      <c r="K100" s="5"/>
      <c r="L100" s="5"/>
      <c r="M100" s="6"/>
      <c r="N100" s="5"/>
      <c r="O100" s="181" t="s">
        <v>2432</v>
      </c>
    </row>
    <row r="101" customFormat="false" ht="22.5" hidden="false" customHeight="false" outlineLevel="0" collapsed="false">
      <c r="A101" s="5" t="n">
        <f aca="false">IF(B101&lt;&gt;"", COUNTA($B$2:B101), "")</f>
        <v>100</v>
      </c>
      <c r="B101" s="124" t="s">
        <v>57</v>
      </c>
      <c r="C101" s="12" t="s">
        <v>2440</v>
      </c>
      <c r="D101" s="12" t="n">
        <v>6178287</v>
      </c>
      <c r="E101" s="19" t="n">
        <v>2021</v>
      </c>
      <c r="F101" s="8" t="s">
        <v>2415</v>
      </c>
      <c r="G101" s="12" t="s">
        <v>2451</v>
      </c>
      <c r="H101" s="12" t="s">
        <v>2441</v>
      </c>
      <c r="I101" s="5" t="s">
        <v>2442</v>
      </c>
      <c r="J101" s="5" t="s">
        <v>1966</v>
      </c>
      <c r="K101" s="189"/>
      <c r="L101" s="185"/>
      <c r="M101" s="185"/>
      <c r="N101" s="185"/>
      <c r="O101" s="189"/>
    </row>
    <row r="102" customFormat="false" ht="22.5" hidden="false" customHeight="false" outlineLevel="0" collapsed="false">
      <c r="A102" s="5" t="n">
        <f aca="false">IF(B102&lt;&gt;"", COUNTA($B$2:B102), "")</f>
        <v>101</v>
      </c>
      <c r="B102" s="124" t="s">
        <v>57</v>
      </c>
      <c r="C102" s="12" t="s">
        <v>2440</v>
      </c>
      <c r="D102" s="12" t="n">
        <v>6178276</v>
      </c>
      <c r="E102" s="6" t="s">
        <v>2821</v>
      </c>
      <c r="F102" s="8" t="s">
        <v>2415</v>
      </c>
      <c r="G102" s="12" t="s">
        <v>2451</v>
      </c>
      <c r="H102" s="12" t="s">
        <v>2443</v>
      </c>
      <c r="I102" s="5" t="s">
        <v>2442</v>
      </c>
      <c r="J102" s="5" t="s">
        <v>1966</v>
      </c>
      <c r="K102" s="189"/>
      <c r="L102" s="185"/>
      <c r="M102" s="185"/>
      <c r="N102" s="185"/>
      <c r="O102" s="189"/>
    </row>
    <row r="103" customFormat="false" ht="22.5" hidden="false" customHeight="false" outlineLevel="0" collapsed="false">
      <c r="A103" s="5" t="n">
        <f aca="false">IF(B103&lt;&gt;"", COUNTA($B$2:B103), "")</f>
        <v>102</v>
      </c>
      <c r="B103" s="124" t="s">
        <v>57</v>
      </c>
      <c r="C103" s="12" t="s">
        <v>2444</v>
      </c>
      <c r="D103" s="12" t="n">
        <v>6178328</v>
      </c>
      <c r="E103" s="6"/>
      <c r="F103" s="8" t="s">
        <v>241</v>
      </c>
      <c r="G103" s="12" t="s">
        <v>2451</v>
      </c>
      <c r="H103" s="12" t="s">
        <v>2445</v>
      </c>
      <c r="I103" s="5" t="s">
        <v>2442</v>
      </c>
      <c r="J103" s="5" t="s">
        <v>1966</v>
      </c>
      <c r="K103" s="185"/>
      <c r="L103" s="185"/>
      <c r="M103" s="185"/>
      <c r="N103" s="185"/>
      <c r="O103" s="181"/>
    </row>
    <row r="104" customFormat="false" ht="22.5" hidden="false" customHeight="false" outlineLevel="0" collapsed="false">
      <c r="A104" s="5" t="n">
        <f aca="false">IF(B104&lt;&gt;"", COUNTA($B$2:B104), "")</f>
        <v>103</v>
      </c>
      <c r="B104" s="124" t="s">
        <v>57</v>
      </c>
      <c r="C104" s="12" t="s">
        <v>2444</v>
      </c>
      <c r="D104" s="12" t="n">
        <v>6178320</v>
      </c>
      <c r="E104" s="19"/>
      <c r="F104" s="8" t="s">
        <v>241</v>
      </c>
      <c r="G104" s="12" t="s">
        <v>2451</v>
      </c>
      <c r="H104" s="12" t="s">
        <v>2446</v>
      </c>
      <c r="I104" s="5" t="s">
        <v>2442</v>
      </c>
      <c r="J104" s="5" t="s">
        <v>1966</v>
      </c>
      <c r="K104" s="185"/>
      <c r="L104" s="185"/>
      <c r="M104" s="185"/>
      <c r="N104" s="185"/>
      <c r="O104" s="181"/>
    </row>
    <row r="105" customFormat="false" ht="22.5" hidden="false" customHeight="false" outlineLevel="0" collapsed="false">
      <c r="A105" s="5" t="n">
        <f aca="false">IF(B105&lt;&gt;"", COUNTA($B$2:B105), "")</f>
        <v>104</v>
      </c>
      <c r="B105" s="124" t="s">
        <v>57</v>
      </c>
      <c r="C105" s="12" t="s">
        <v>2444</v>
      </c>
      <c r="D105" s="12" t="n">
        <v>6178326</v>
      </c>
      <c r="E105" s="6"/>
      <c r="F105" s="8" t="s">
        <v>241</v>
      </c>
      <c r="G105" s="12" t="s">
        <v>2451</v>
      </c>
      <c r="H105" s="12" t="s">
        <v>2447</v>
      </c>
      <c r="I105" s="5" t="s">
        <v>2442</v>
      </c>
      <c r="J105" s="5" t="s">
        <v>1966</v>
      </c>
      <c r="K105" s="185"/>
      <c r="L105" s="185"/>
      <c r="M105" s="185"/>
      <c r="N105" s="185"/>
      <c r="O105" s="181"/>
    </row>
    <row r="106" customFormat="false" ht="22.5" hidden="false" customHeight="false" outlineLevel="0" collapsed="false">
      <c r="A106" s="5" t="n">
        <f aca="false">IF(B106&lt;&gt;"", COUNTA($B$2:B106), "")</f>
        <v>105</v>
      </c>
      <c r="B106" s="124" t="s">
        <v>57</v>
      </c>
      <c r="C106" s="12" t="s">
        <v>2448</v>
      </c>
      <c r="D106" s="12" t="n">
        <v>6071977</v>
      </c>
      <c r="E106" s="19"/>
      <c r="F106" s="8" t="s">
        <v>290</v>
      </c>
      <c r="G106" s="12" t="s">
        <v>2451</v>
      </c>
      <c r="H106" s="12" t="s">
        <v>2449</v>
      </c>
      <c r="I106" s="12" t="s">
        <v>2442</v>
      </c>
      <c r="J106" s="12" t="s">
        <v>1966</v>
      </c>
      <c r="K106" s="189"/>
      <c r="L106" s="185"/>
      <c r="M106" s="185"/>
      <c r="N106" s="185"/>
      <c r="O106" s="181"/>
    </row>
    <row r="107" customFormat="false" ht="22.5" hidden="false" customHeight="false" outlineLevel="0" collapsed="false">
      <c r="A107" s="5" t="n">
        <f aca="false">IF(B107&lt;&gt;"", COUNTA($B$2:B107), "")</f>
        <v>106</v>
      </c>
      <c r="B107" s="124" t="s">
        <v>57</v>
      </c>
      <c r="C107" s="12" t="s">
        <v>2444</v>
      </c>
      <c r="D107" s="12" t="n">
        <v>6095171</v>
      </c>
      <c r="E107" s="129" t="n">
        <v>43435</v>
      </c>
      <c r="F107" s="8" t="s">
        <v>2450</v>
      </c>
      <c r="G107" s="12" t="s">
        <v>2451</v>
      </c>
      <c r="H107" s="12" t="s">
        <v>2452</v>
      </c>
      <c r="I107" s="5" t="s">
        <v>2453</v>
      </c>
      <c r="J107" s="5" t="s">
        <v>1966</v>
      </c>
      <c r="K107" s="185"/>
      <c r="L107" s="185"/>
      <c r="M107" s="185"/>
      <c r="N107" s="185"/>
      <c r="O107" s="181"/>
    </row>
    <row r="108" customFormat="false" ht="22.5" hidden="false" customHeight="false" outlineLevel="0" collapsed="false">
      <c r="A108" s="5" t="n">
        <f aca="false">IF(B108&lt;&gt;"", COUNTA($B$2:B108), "")</f>
        <v>107</v>
      </c>
      <c r="B108" s="124" t="s">
        <v>57</v>
      </c>
      <c r="C108" s="12" t="s">
        <v>2448</v>
      </c>
      <c r="D108" s="12" t="n">
        <v>6104413</v>
      </c>
      <c r="E108" s="17"/>
      <c r="F108" s="8" t="s">
        <v>2450</v>
      </c>
      <c r="G108" s="12" t="s">
        <v>2451</v>
      </c>
      <c r="H108" s="12" t="s">
        <v>2454</v>
      </c>
      <c r="I108" s="5" t="s">
        <v>2453</v>
      </c>
      <c r="J108" s="5" t="s">
        <v>1966</v>
      </c>
      <c r="K108" s="185"/>
      <c r="L108" s="185"/>
      <c r="M108" s="185"/>
      <c r="N108" s="185"/>
      <c r="O108" s="181"/>
    </row>
    <row r="109" customFormat="false" ht="22.5" hidden="false" customHeight="false" outlineLevel="0" collapsed="false">
      <c r="A109" s="5" t="n">
        <f aca="false">IF(B109&lt;&gt;"", COUNTA($B$2:B109), "")</f>
        <v>108</v>
      </c>
      <c r="B109" s="124" t="s">
        <v>57</v>
      </c>
      <c r="C109" s="12" t="s">
        <v>2440</v>
      </c>
      <c r="D109" s="131" t="n">
        <v>6072975</v>
      </c>
      <c r="E109" s="33"/>
      <c r="F109" s="36" t="s">
        <v>2455</v>
      </c>
      <c r="G109" s="12" t="s">
        <v>2451</v>
      </c>
      <c r="H109" s="70" t="s">
        <v>2456</v>
      </c>
      <c r="I109" s="69" t="s">
        <v>2453</v>
      </c>
      <c r="J109" s="69" t="s">
        <v>1966</v>
      </c>
      <c r="K109" s="189"/>
      <c r="L109" s="185"/>
      <c r="M109" s="185"/>
      <c r="N109" s="185"/>
      <c r="O109" s="189"/>
    </row>
    <row r="110" customFormat="false" ht="22.5" hidden="false" customHeight="false" outlineLevel="0" collapsed="false">
      <c r="A110" s="5" t="n">
        <f aca="false">IF(B110&lt;&gt;"", COUNTA($B$2:B110), "")</f>
        <v>109</v>
      </c>
      <c r="B110" s="124" t="s">
        <v>57</v>
      </c>
      <c r="C110" s="12" t="s">
        <v>2440</v>
      </c>
      <c r="D110" s="190" t="n">
        <v>6072988</v>
      </c>
      <c r="E110" s="129" t="n">
        <v>43221</v>
      </c>
      <c r="F110" s="36" t="s">
        <v>2255</v>
      </c>
      <c r="G110" s="12" t="s">
        <v>2451</v>
      </c>
      <c r="H110" s="12" t="s">
        <v>2457</v>
      </c>
      <c r="I110" s="12" t="s">
        <v>2453</v>
      </c>
      <c r="J110" s="69" t="s">
        <v>1966</v>
      </c>
      <c r="K110" s="185"/>
      <c r="L110" s="185"/>
      <c r="M110" s="185"/>
      <c r="N110" s="185"/>
      <c r="O110" s="181"/>
    </row>
    <row r="111" customFormat="false" ht="22.5" hidden="false" customHeight="false" outlineLevel="0" collapsed="false">
      <c r="A111" s="5" t="n">
        <f aca="false">IF(B111&lt;&gt;"", COUNTA($B$2:B111), "")</f>
        <v>110</v>
      </c>
      <c r="B111" s="124" t="s">
        <v>57</v>
      </c>
      <c r="C111" s="12" t="s">
        <v>2440</v>
      </c>
      <c r="D111" s="123" t="n">
        <v>6072987</v>
      </c>
      <c r="E111" s="185"/>
      <c r="F111" s="36" t="s">
        <v>2255</v>
      </c>
      <c r="G111" s="12" t="s">
        <v>2451</v>
      </c>
      <c r="H111" s="12" t="s">
        <v>2458</v>
      </c>
      <c r="I111" s="5"/>
      <c r="J111" s="69" t="s">
        <v>1966</v>
      </c>
      <c r="K111" s="185"/>
      <c r="L111" s="185"/>
      <c r="M111" s="185"/>
      <c r="N111" s="185"/>
      <c r="O111" s="181"/>
    </row>
    <row r="112" customFormat="false" ht="22.5" hidden="false" customHeight="false" outlineLevel="0" collapsed="false">
      <c r="A112" s="5" t="n">
        <f aca="false">IF(B112&lt;&gt;"", COUNTA($B$2:B112), "")</f>
        <v>111</v>
      </c>
      <c r="B112" s="125" t="s">
        <v>57</v>
      </c>
      <c r="C112" s="12" t="s">
        <v>2440</v>
      </c>
      <c r="D112" s="190" t="n">
        <v>6071977</v>
      </c>
      <c r="E112" s="123" t="n">
        <v>2018</v>
      </c>
      <c r="F112" s="8" t="s">
        <v>2128</v>
      </c>
      <c r="G112" s="12" t="s">
        <v>2451</v>
      </c>
      <c r="H112" s="5" t="s">
        <v>2459</v>
      </c>
      <c r="I112" s="12"/>
      <c r="J112" s="69" t="s">
        <v>1966</v>
      </c>
      <c r="K112" s="185"/>
      <c r="L112" s="185"/>
      <c r="M112" s="185"/>
      <c r="N112" s="185"/>
      <c r="O112" s="189"/>
    </row>
    <row r="113" customFormat="false" ht="22.5" hidden="false" customHeight="false" outlineLevel="0" collapsed="false">
      <c r="A113" s="5" t="n">
        <f aca="false">IF(B113&lt;&gt;"", COUNTA($B$2:B113), "")</f>
        <v>112</v>
      </c>
      <c r="B113" s="124" t="s">
        <v>57</v>
      </c>
      <c r="C113" s="12" t="s">
        <v>2444</v>
      </c>
      <c r="D113" s="123" t="n">
        <v>6090822</v>
      </c>
      <c r="E113" s="152"/>
      <c r="F113" s="8" t="s">
        <v>241</v>
      </c>
      <c r="G113" s="12" t="s">
        <v>2451</v>
      </c>
      <c r="H113" s="12" t="s">
        <v>2460</v>
      </c>
      <c r="I113" s="5"/>
      <c r="J113" s="69" t="s">
        <v>1966</v>
      </c>
      <c r="K113" s="185"/>
      <c r="L113" s="185"/>
      <c r="M113" s="185"/>
      <c r="N113" s="185"/>
      <c r="O113" s="181"/>
    </row>
    <row r="114" customFormat="false" ht="22.5" hidden="false" customHeight="false" outlineLevel="0" collapsed="false">
      <c r="A114" s="5" t="n">
        <f aca="false">IF(B114&lt;&gt;"", COUNTA($B$2:B114), "")</f>
        <v>113</v>
      </c>
      <c r="B114" s="125" t="s">
        <v>57</v>
      </c>
      <c r="C114" s="12" t="s">
        <v>2444</v>
      </c>
      <c r="D114" s="190" t="n">
        <v>6067670</v>
      </c>
      <c r="E114" s="123" t="n">
        <v>2018</v>
      </c>
      <c r="F114" s="8" t="s">
        <v>2450</v>
      </c>
      <c r="G114" s="12" t="s">
        <v>2451</v>
      </c>
      <c r="H114" s="12" t="s">
        <v>2461</v>
      </c>
      <c r="I114" s="12"/>
      <c r="J114" s="70" t="s">
        <v>1966</v>
      </c>
      <c r="K114" s="185"/>
      <c r="L114" s="185"/>
      <c r="M114" s="185"/>
      <c r="N114" s="185"/>
      <c r="O114" s="189"/>
    </row>
    <row r="115" customFormat="false" ht="22.5" hidden="false" customHeight="false" outlineLevel="0" collapsed="false">
      <c r="A115" s="5" t="n">
        <f aca="false">IF(B115&lt;&gt;"", COUNTA($B$2:B115), "")</f>
        <v>114</v>
      </c>
      <c r="B115" s="124" t="s">
        <v>57</v>
      </c>
      <c r="C115" s="12" t="s">
        <v>2444</v>
      </c>
      <c r="D115" s="123" t="n">
        <v>6067873</v>
      </c>
      <c r="E115" s="152"/>
      <c r="F115" s="8" t="s">
        <v>2450</v>
      </c>
      <c r="G115" s="12" t="s">
        <v>2451</v>
      </c>
      <c r="H115" s="5" t="s">
        <v>2462</v>
      </c>
      <c r="I115" s="5"/>
      <c r="J115" s="69" t="s">
        <v>1966</v>
      </c>
      <c r="K115" s="185"/>
      <c r="L115" s="185"/>
      <c r="M115" s="185"/>
      <c r="N115" s="185"/>
      <c r="O115" s="181"/>
    </row>
    <row r="116" customFormat="false" ht="22.5" hidden="false" customHeight="false" outlineLevel="0" collapsed="false">
      <c r="A116" s="5" t="n">
        <f aca="false">IF(B116&lt;&gt;"", COUNTA($B$2:B116), "")</f>
        <v>115</v>
      </c>
      <c r="B116" s="124" t="s">
        <v>57</v>
      </c>
      <c r="C116" s="12" t="s">
        <v>2444</v>
      </c>
      <c r="D116" s="123" t="n">
        <v>6129353</v>
      </c>
      <c r="E116" s="152"/>
      <c r="F116" s="8" t="s">
        <v>2450</v>
      </c>
      <c r="G116" s="12" t="s">
        <v>2451</v>
      </c>
      <c r="H116" s="12" t="s">
        <v>2463</v>
      </c>
      <c r="I116" s="5"/>
      <c r="J116" s="69" t="s">
        <v>1966</v>
      </c>
      <c r="K116" s="185"/>
      <c r="L116" s="185"/>
      <c r="M116" s="185"/>
      <c r="N116" s="185"/>
      <c r="O116" s="181"/>
    </row>
    <row r="117" customFormat="false" ht="22.5" hidden="false" customHeight="false" outlineLevel="0" collapsed="false">
      <c r="A117" s="5" t="n">
        <f aca="false">IF(B117&lt;&gt;"", COUNTA($B$2:B117), "")</f>
        <v>116</v>
      </c>
      <c r="B117" s="124" t="s">
        <v>57</v>
      </c>
      <c r="C117" s="12" t="s">
        <v>2464</v>
      </c>
      <c r="D117" s="123" t="n">
        <v>6080900</v>
      </c>
      <c r="E117" s="191" t="n">
        <v>43282</v>
      </c>
      <c r="F117" s="8" t="s">
        <v>2128</v>
      </c>
      <c r="G117" s="12" t="s">
        <v>2451</v>
      </c>
      <c r="H117" s="5" t="s">
        <v>2465</v>
      </c>
      <c r="I117" s="5" t="s">
        <v>2466</v>
      </c>
      <c r="J117" s="69" t="s">
        <v>1966</v>
      </c>
      <c r="K117" s="185"/>
      <c r="L117" s="185"/>
      <c r="M117" s="185"/>
      <c r="N117" s="185"/>
      <c r="O117" s="181"/>
    </row>
    <row r="118" customFormat="false" ht="22.5" hidden="false" customHeight="false" outlineLevel="0" collapsed="false">
      <c r="A118" s="5" t="n">
        <f aca="false">IF(B118&lt;&gt;"", COUNTA($B$2:B118), "")</f>
        <v>117</v>
      </c>
      <c r="B118" s="124" t="s">
        <v>57</v>
      </c>
      <c r="C118" s="12" t="s">
        <v>2440</v>
      </c>
      <c r="D118" s="192" t="n">
        <v>6072995</v>
      </c>
      <c r="E118" s="193"/>
      <c r="F118" s="8" t="s">
        <v>2415</v>
      </c>
      <c r="G118" s="12" t="s">
        <v>2451</v>
      </c>
      <c r="H118" s="107" t="s">
        <v>2467</v>
      </c>
      <c r="I118" s="12" t="s">
        <v>2453</v>
      </c>
      <c r="J118" s="69" t="s">
        <v>1966</v>
      </c>
      <c r="K118" s="185"/>
      <c r="L118" s="185"/>
      <c r="M118" s="185"/>
      <c r="N118" s="185"/>
      <c r="O118" s="181"/>
    </row>
    <row r="119" customFormat="false" ht="22.5" hidden="false" customHeight="false" outlineLevel="0" collapsed="false">
      <c r="A119" s="5" t="n">
        <f aca="false">IF(B119&lt;&gt;"", COUNTA($B$2:B119), "")</f>
        <v>118</v>
      </c>
      <c r="B119" s="124" t="s">
        <v>57</v>
      </c>
      <c r="C119" s="12" t="s">
        <v>2440</v>
      </c>
      <c r="D119" s="190" t="n">
        <v>6071970</v>
      </c>
      <c r="E119" s="194"/>
      <c r="F119" s="8" t="s">
        <v>2128</v>
      </c>
      <c r="G119" s="12" t="s">
        <v>2451</v>
      </c>
      <c r="H119" s="5" t="s">
        <v>2468</v>
      </c>
      <c r="I119" s="12" t="s">
        <v>2453</v>
      </c>
      <c r="J119" s="69" t="s">
        <v>1966</v>
      </c>
      <c r="K119" s="185"/>
      <c r="L119" s="185"/>
      <c r="M119" s="185"/>
      <c r="N119" s="185"/>
      <c r="O119" s="181"/>
    </row>
    <row r="120" customFormat="false" ht="22.5" hidden="false" customHeight="false" outlineLevel="0" collapsed="false">
      <c r="A120" s="5" t="n">
        <f aca="false">IF(B120&lt;&gt;"", COUNTA($B$2:B120), "")</f>
        <v>119</v>
      </c>
      <c r="B120" s="124" t="s">
        <v>57</v>
      </c>
      <c r="C120" s="12" t="s">
        <v>2444</v>
      </c>
      <c r="D120" s="190" t="n">
        <v>6071984</v>
      </c>
      <c r="E120" s="194"/>
      <c r="F120" s="8" t="s">
        <v>2455</v>
      </c>
      <c r="G120" s="12" t="s">
        <v>2451</v>
      </c>
      <c r="H120" s="12" t="s">
        <v>2469</v>
      </c>
      <c r="I120" s="12" t="s">
        <v>2453</v>
      </c>
      <c r="J120" s="69" t="s">
        <v>1966</v>
      </c>
      <c r="K120" s="185"/>
      <c r="L120" s="185"/>
      <c r="M120" s="185"/>
      <c r="N120" s="185"/>
      <c r="O120" s="181"/>
    </row>
    <row r="121" customFormat="false" ht="22.5" hidden="false" customHeight="false" outlineLevel="0" collapsed="false">
      <c r="A121" s="5" t="n">
        <f aca="false">IF(B121&lt;&gt;"", COUNTA($B$2:B121), "")</f>
        <v>120</v>
      </c>
      <c r="B121" s="124" t="s">
        <v>57</v>
      </c>
      <c r="C121" s="12" t="s">
        <v>2440</v>
      </c>
      <c r="D121" s="123" t="n">
        <v>6077544</v>
      </c>
      <c r="E121" s="185"/>
      <c r="F121" s="8" t="s">
        <v>2128</v>
      </c>
      <c r="G121" s="12" t="s">
        <v>2451</v>
      </c>
      <c r="H121" s="5" t="s">
        <v>2470</v>
      </c>
      <c r="I121" s="5" t="s">
        <v>2453</v>
      </c>
      <c r="J121" s="69" t="s">
        <v>1966</v>
      </c>
      <c r="K121" s="185"/>
      <c r="L121" s="185"/>
      <c r="M121" s="185"/>
      <c r="N121" s="185"/>
      <c r="O121" s="181"/>
    </row>
    <row r="122" customFormat="false" ht="22.5" hidden="false" customHeight="false" outlineLevel="0" collapsed="false">
      <c r="A122" s="5" t="n">
        <f aca="false">IF(B122&lt;&gt;"", COUNTA($B$2:B122), "")</f>
        <v>121</v>
      </c>
      <c r="B122" s="124" t="s">
        <v>57</v>
      </c>
      <c r="C122" s="12" t="s">
        <v>2440</v>
      </c>
      <c r="D122" s="123" t="n">
        <v>6077549</v>
      </c>
      <c r="E122" s="185"/>
      <c r="F122" s="8" t="s">
        <v>2128</v>
      </c>
      <c r="G122" s="12" t="s">
        <v>2451</v>
      </c>
      <c r="H122" s="5" t="s">
        <v>2471</v>
      </c>
      <c r="I122" s="5" t="s">
        <v>2453</v>
      </c>
      <c r="J122" s="69" t="s">
        <v>1966</v>
      </c>
      <c r="K122" s="185"/>
      <c r="L122" s="185"/>
      <c r="M122" s="185"/>
      <c r="N122" s="185"/>
      <c r="O122" s="181"/>
    </row>
    <row r="123" customFormat="false" ht="33.75" hidden="false" customHeight="false" outlineLevel="0" collapsed="false">
      <c r="A123" s="5" t="n">
        <f aca="false">IF(B123&lt;&gt;"", COUNTA($B$2:B123), "")</f>
        <v>122</v>
      </c>
      <c r="B123" s="124" t="s">
        <v>57</v>
      </c>
      <c r="C123" s="12" t="s">
        <v>2444</v>
      </c>
      <c r="D123" s="123" t="n">
        <v>6077533</v>
      </c>
      <c r="E123" s="185"/>
      <c r="F123" s="8" t="s">
        <v>241</v>
      </c>
      <c r="G123" s="12" t="s">
        <v>2451</v>
      </c>
      <c r="H123" s="12" t="s">
        <v>2472</v>
      </c>
      <c r="I123" s="5" t="s">
        <v>2453</v>
      </c>
      <c r="J123" s="69" t="s">
        <v>1966</v>
      </c>
      <c r="K123" s="185"/>
      <c r="L123" s="185"/>
      <c r="M123" s="185"/>
      <c r="N123" s="185"/>
      <c r="O123" s="181"/>
    </row>
    <row r="124" customFormat="false" ht="33.75" hidden="false" customHeight="false" outlineLevel="0" collapsed="false">
      <c r="A124" s="5" t="n">
        <f aca="false">IF(B124&lt;&gt;"", COUNTA($B$2:B124), "")</f>
        <v>123</v>
      </c>
      <c r="B124" s="124" t="s">
        <v>57</v>
      </c>
      <c r="C124" s="12" t="s">
        <v>2444</v>
      </c>
      <c r="D124" s="123" t="n">
        <v>6077540</v>
      </c>
      <c r="E124" s="185"/>
      <c r="F124" s="8" t="s">
        <v>241</v>
      </c>
      <c r="G124" s="12" t="s">
        <v>2451</v>
      </c>
      <c r="H124" s="12" t="s">
        <v>2473</v>
      </c>
      <c r="I124" s="5" t="s">
        <v>2453</v>
      </c>
      <c r="J124" s="69" t="s">
        <v>1966</v>
      </c>
      <c r="K124" s="185"/>
      <c r="L124" s="185"/>
      <c r="M124" s="185"/>
      <c r="N124" s="185"/>
      <c r="O124" s="181"/>
    </row>
    <row r="125" customFormat="false" ht="22.5" hidden="false" customHeight="false" outlineLevel="0" collapsed="false">
      <c r="A125" s="5" t="n">
        <f aca="false">IF(B125&lt;&gt;"", COUNTA($B$2:B125), "")</f>
        <v>124</v>
      </c>
      <c r="B125" s="124" t="s">
        <v>57</v>
      </c>
      <c r="C125" s="12" t="s">
        <v>2444</v>
      </c>
      <c r="D125" s="123" t="n">
        <v>6071990</v>
      </c>
      <c r="E125" s="185"/>
      <c r="F125" s="8" t="s">
        <v>241</v>
      </c>
      <c r="G125" s="12" t="s">
        <v>2451</v>
      </c>
      <c r="H125" s="12" t="s">
        <v>2474</v>
      </c>
      <c r="I125" s="5"/>
      <c r="J125" s="69" t="s">
        <v>1966</v>
      </c>
      <c r="K125" s="185"/>
      <c r="L125" s="185"/>
      <c r="M125" s="185"/>
      <c r="N125" s="185"/>
      <c r="O125" s="181"/>
    </row>
    <row r="126" customFormat="false" ht="22.5" hidden="false" customHeight="false" outlineLevel="0" collapsed="false">
      <c r="A126" s="5" t="n">
        <f aca="false">IF(B126&lt;&gt;"", COUNTA($B$2:B126), "")</f>
        <v>125</v>
      </c>
      <c r="B126" s="124" t="s">
        <v>57</v>
      </c>
      <c r="C126" s="12" t="s">
        <v>2444</v>
      </c>
      <c r="D126" s="123" t="n">
        <v>6073562</v>
      </c>
      <c r="E126" s="185"/>
      <c r="F126" s="8" t="s">
        <v>241</v>
      </c>
      <c r="G126" s="12" t="s">
        <v>2451</v>
      </c>
      <c r="H126" s="12" t="s">
        <v>2475</v>
      </c>
      <c r="I126" s="5"/>
      <c r="J126" s="69" t="s">
        <v>1966</v>
      </c>
      <c r="K126" s="185"/>
      <c r="L126" s="185"/>
      <c r="M126" s="185"/>
      <c r="N126" s="185"/>
      <c r="O126" s="181"/>
    </row>
    <row r="127" customFormat="false" ht="22.5" hidden="false" customHeight="false" outlineLevel="0" collapsed="false">
      <c r="A127" s="5" t="n">
        <f aca="false">IF(B127&lt;&gt;"", COUNTA($B$2:B127), "")</f>
        <v>126</v>
      </c>
      <c r="B127" s="124" t="s">
        <v>57</v>
      </c>
      <c r="C127" s="12" t="s">
        <v>2444</v>
      </c>
      <c r="D127" s="123" t="n">
        <v>6071613</v>
      </c>
      <c r="E127" s="185"/>
      <c r="F127" s="8" t="s">
        <v>241</v>
      </c>
      <c r="G127" s="12" t="s">
        <v>2451</v>
      </c>
      <c r="H127" s="12" t="s">
        <v>2476</v>
      </c>
      <c r="I127" s="5"/>
      <c r="J127" s="69" t="s">
        <v>1966</v>
      </c>
      <c r="K127" s="185"/>
      <c r="L127" s="185"/>
      <c r="M127" s="185"/>
      <c r="N127" s="185"/>
      <c r="O127" s="181"/>
    </row>
    <row r="128" customFormat="false" ht="22.5" hidden="false" customHeight="false" outlineLevel="0" collapsed="false">
      <c r="A128" s="5" t="n">
        <f aca="false">IF(B128&lt;&gt;"", COUNTA($B$2:B128), "")</f>
        <v>127</v>
      </c>
      <c r="B128" s="124" t="s">
        <v>57</v>
      </c>
      <c r="C128" s="12" t="s">
        <v>2444</v>
      </c>
      <c r="D128" s="123" t="n">
        <v>6071607</v>
      </c>
      <c r="E128" s="185"/>
      <c r="F128" s="8" t="s">
        <v>241</v>
      </c>
      <c r="G128" s="12" t="s">
        <v>2451</v>
      </c>
      <c r="H128" s="12" t="s">
        <v>2477</v>
      </c>
      <c r="I128" s="5" t="s">
        <v>2453</v>
      </c>
      <c r="J128" s="69" t="s">
        <v>1966</v>
      </c>
      <c r="K128" s="185"/>
      <c r="L128" s="185"/>
      <c r="M128" s="185"/>
      <c r="N128" s="185"/>
      <c r="O128" s="181"/>
    </row>
    <row r="129" customFormat="false" ht="22.5" hidden="false" customHeight="false" outlineLevel="0" collapsed="false">
      <c r="A129" s="5" t="n">
        <f aca="false">IF(B129&lt;&gt;"", COUNTA($B$2:B129), "")</f>
        <v>128</v>
      </c>
      <c r="B129" s="124" t="s">
        <v>57</v>
      </c>
      <c r="C129" s="12" t="s">
        <v>2444</v>
      </c>
      <c r="D129" s="123" t="n">
        <v>6071614</v>
      </c>
      <c r="E129" s="185"/>
      <c r="F129" s="8" t="s">
        <v>241</v>
      </c>
      <c r="G129" s="12" t="s">
        <v>2451</v>
      </c>
      <c r="H129" s="12" t="s">
        <v>2478</v>
      </c>
      <c r="I129" s="5" t="s">
        <v>2453</v>
      </c>
      <c r="J129" s="69" t="s">
        <v>1966</v>
      </c>
      <c r="K129" s="185"/>
      <c r="L129" s="185"/>
      <c r="M129" s="185"/>
      <c r="N129" s="185"/>
      <c r="O129" s="181"/>
    </row>
    <row r="130" customFormat="false" ht="22.5" hidden="false" customHeight="false" outlineLevel="0" collapsed="false">
      <c r="A130" s="5" t="n">
        <f aca="false">IF(B130&lt;&gt;"", COUNTA($B$2:B130), "")</f>
        <v>129</v>
      </c>
      <c r="B130" s="124" t="s">
        <v>57</v>
      </c>
      <c r="C130" s="12" t="s">
        <v>2440</v>
      </c>
      <c r="D130" s="123" t="n">
        <v>6071586</v>
      </c>
      <c r="E130" s="185"/>
      <c r="F130" s="8" t="s">
        <v>2415</v>
      </c>
      <c r="G130" s="12" t="s">
        <v>2451</v>
      </c>
      <c r="H130" s="5" t="s">
        <v>2479</v>
      </c>
      <c r="I130" s="5" t="s">
        <v>2453</v>
      </c>
      <c r="J130" s="69" t="s">
        <v>1966</v>
      </c>
      <c r="K130" s="185"/>
      <c r="L130" s="185"/>
      <c r="M130" s="185"/>
      <c r="N130" s="185"/>
      <c r="O130" s="181"/>
    </row>
    <row r="131" customFormat="false" ht="22.5" hidden="false" customHeight="false" outlineLevel="0" collapsed="false">
      <c r="A131" s="5" t="n">
        <f aca="false">IF(B131&lt;&gt;"", COUNTA($B$2:B131), "")</f>
        <v>130</v>
      </c>
      <c r="B131" s="124" t="s">
        <v>57</v>
      </c>
      <c r="C131" s="12" t="s">
        <v>2440</v>
      </c>
      <c r="D131" s="123" t="n">
        <v>6072453</v>
      </c>
      <c r="E131" s="185"/>
      <c r="F131" s="8" t="s">
        <v>2415</v>
      </c>
      <c r="G131" s="12" t="s">
        <v>2451</v>
      </c>
      <c r="H131" s="5" t="s">
        <v>2480</v>
      </c>
      <c r="I131" s="5" t="s">
        <v>2453</v>
      </c>
      <c r="J131" s="69" t="s">
        <v>1966</v>
      </c>
      <c r="K131" s="185"/>
      <c r="L131" s="185"/>
      <c r="M131" s="185"/>
      <c r="N131" s="185"/>
      <c r="O131" s="181"/>
    </row>
    <row r="132" customFormat="false" ht="22.5" hidden="false" customHeight="false" outlineLevel="0" collapsed="false">
      <c r="A132" s="5" t="n">
        <f aca="false">IF(B132&lt;&gt;"", COUNTA($B$2:B132), "")</f>
        <v>131</v>
      </c>
      <c r="B132" s="124" t="s">
        <v>57</v>
      </c>
      <c r="C132" s="12" t="s">
        <v>2440</v>
      </c>
      <c r="D132" s="123" t="n">
        <v>6129375</v>
      </c>
      <c r="E132" s="185"/>
      <c r="F132" s="8" t="s">
        <v>2455</v>
      </c>
      <c r="G132" s="12" t="s">
        <v>2451</v>
      </c>
      <c r="H132" s="5" t="s">
        <v>2481</v>
      </c>
      <c r="I132" s="5" t="s">
        <v>2453</v>
      </c>
      <c r="J132" s="69" t="s">
        <v>1966</v>
      </c>
      <c r="K132" s="185"/>
      <c r="L132" s="185"/>
      <c r="M132" s="185"/>
      <c r="N132" s="185"/>
      <c r="O132" s="181"/>
    </row>
    <row r="133" customFormat="false" ht="22.5" hidden="false" customHeight="false" outlineLevel="0" collapsed="false">
      <c r="A133" s="5" t="n">
        <f aca="false">IF(B133&lt;&gt;"", COUNTA($B$2:B133), "")</f>
        <v>132</v>
      </c>
      <c r="B133" s="124" t="s">
        <v>57</v>
      </c>
      <c r="C133" s="12" t="s">
        <v>2440</v>
      </c>
      <c r="D133" s="123" t="n">
        <v>6129376</v>
      </c>
      <c r="E133" s="185"/>
      <c r="F133" s="8" t="s">
        <v>2455</v>
      </c>
      <c r="G133" s="12" t="s">
        <v>2451</v>
      </c>
      <c r="H133" s="5" t="s">
        <v>2482</v>
      </c>
      <c r="I133" s="5" t="s">
        <v>2453</v>
      </c>
      <c r="J133" s="69" t="s">
        <v>1966</v>
      </c>
      <c r="K133" s="185"/>
      <c r="L133" s="185"/>
      <c r="M133" s="185"/>
      <c r="N133" s="185"/>
      <c r="O133" s="181"/>
    </row>
    <row r="134" customFormat="false" ht="22.5" hidden="false" customHeight="false" outlineLevel="0" collapsed="false">
      <c r="A134" s="5" t="n">
        <f aca="false">IF(B134&lt;&gt;"", COUNTA($B$2:B134), "")</f>
        <v>133</v>
      </c>
      <c r="B134" s="124" t="s">
        <v>57</v>
      </c>
      <c r="C134" s="12" t="s">
        <v>2440</v>
      </c>
      <c r="D134" s="123" t="n">
        <v>6129377</v>
      </c>
      <c r="E134" s="185"/>
      <c r="F134" s="8" t="s">
        <v>2455</v>
      </c>
      <c r="G134" s="12" t="s">
        <v>2451</v>
      </c>
      <c r="H134" s="5" t="s">
        <v>2483</v>
      </c>
      <c r="I134" s="5" t="s">
        <v>2453</v>
      </c>
      <c r="J134" s="69" t="s">
        <v>1966</v>
      </c>
      <c r="K134" s="185"/>
      <c r="L134" s="185"/>
      <c r="M134" s="185"/>
      <c r="N134" s="185"/>
      <c r="O134" s="181"/>
    </row>
    <row r="135" customFormat="false" ht="22.5" hidden="false" customHeight="false" outlineLevel="0" collapsed="false">
      <c r="A135" s="5" t="n">
        <f aca="false">IF(B135&lt;&gt;"", COUNTA($B$2:B135), "")</f>
        <v>134</v>
      </c>
      <c r="B135" s="124" t="s">
        <v>57</v>
      </c>
      <c r="C135" s="5" t="s">
        <v>2484</v>
      </c>
      <c r="D135" s="123" t="s">
        <v>2822</v>
      </c>
      <c r="E135" s="185"/>
      <c r="F135" s="8" t="s">
        <v>192</v>
      </c>
      <c r="G135" s="12" t="s">
        <v>2451</v>
      </c>
      <c r="H135" s="12" t="s">
        <v>2486</v>
      </c>
      <c r="I135" s="5" t="s">
        <v>2453</v>
      </c>
      <c r="J135" s="69" t="s">
        <v>1966</v>
      </c>
      <c r="K135" s="185"/>
      <c r="L135" s="185"/>
      <c r="M135" s="185"/>
      <c r="N135" s="185"/>
      <c r="O135" s="181"/>
    </row>
    <row r="136" customFormat="false" ht="22.5" hidden="false" customHeight="false" outlineLevel="0" collapsed="false">
      <c r="A136" s="5" t="n">
        <f aca="false">IF(B136&lt;&gt;"", COUNTA($B$2:B136), "")</f>
        <v>135</v>
      </c>
      <c r="B136" s="125" t="s">
        <v>57</v>
      </c>
      <c r="C136" s="12" t="s">
        <v>2487</v>
      </c>
      <c r="D136" s="190" t="s">
        <v>2823</v>
      </c>
      <c r="E136" s="123" t="n">
        <v>2018</v>
      </c>
      <c r="F136" s="19" t="s">
        <v>271</v>
      </c>
      <c r="G136" s="12" t="n">
        <v>0.1</v>
      </c>
      <c r="H136" s="12" t="s">
        <v>2489</v>
      </c>
      <c r="I136" s="12" t="s">
        <v>2453</v>
      </c>
      <c r="J136" s="70" t="s">
        <v>1966</v>
      </c>
      <c r="K136" s="185"/>
      <c r="L136" s="185"/>
      <c r="M136" s="185"/>
      <c r="N136" s="185"/>
      <c r="O136" s="181"/>
    </row>
    <row r="137" customFormat="false" ht="22.5" hidden="false" customHeight="false" outlineLevel="0" collapsed="false">
      <c r="A137" s="5" t="n">
        <f aca="false">IF(B137&lt;&gt;"", COUNTA($B$2:B137), "")</f>
        <v>136</v>
      </c>
      <c r="B137" s="124" t="s">
        <v>57</v>
      </c>
      <c r="C137" s="12" t="s">
        <v>2440</v>
      </c>
      <c r="D137" s="123" t="n">
        <v>1634496</v>
      </c>
      <c r="E137" s="185"/>
      <c r="F137" s="8" t="s">
        <v>192</v>
      </c>
      <c r="G137" s="12" t="s">
        <v>2451</v>
      </c>
      <c r="H137" s="5" t="s">
        <v>2490</v>
      </c>
      <c r="I137" s="5" t="s">
        <v>1024</v>
      </c>
      <c r="J137" s="69" t="s">
        <v>1966</v>
      </c>
      <c r="K137" s="185"/>
      <c r="L137" s="185"/>
      <c r="M137" s="185"/>
      <c r="N137" s="185"/>
      <c r="O137" s="181"/>
    </row>
    <row r="138" customFormat="false" ht="22.5" hidden="false" customHeight="false" outlineLevel="0" collapsed="false">
      <c r="A138" s="5" t="n">
        <f aca="false">IF(B138&lt;&gt;"", COUNTA($B$2:B138), "")</f>
        <v>137</v>
      </c>
      <c r="B138" s="124" t="s">
        <v>57</v>
      </c>
      <c r="C138" s="12" t="s">
        <v>2440</v>
      </c>
      <c r="D138" s="123" t="n">
        <v>1635008</v>
      </c>
      <c r="E138" s="185"/>
      <c r="F138" s="8" t="s">
        <v>192</v>
      </c>
      <c r="G138" s="12" t="s">
        <v>2451</v>
      </c>
      <c r="H138" s="5" t="s">
        <v>2492</v>
      </c>
      <c r="I138" s="5" t="s">
        <v>1024</v>
      </c>
      <c r="J138" s="69" t="s">
        <v>1966</v>
      </c>
      <c r="K138" s="185"/>
      <c r="L138" s="185"/>
      <c r="M138" s="185"/>
      <c r="N138" s="185"/>
      <c r="O138" s="181"/>
    </row>
    <row r="139" customFormat="false" ht="22.5" hidden="false" customHeight="false" outlineLevel="0" collapsed="false">
      <c r="A139" s="5" t="n">
        <f aca="false">IF(B139&lt;&gt;"", COUNTA($B$2:B139), "")</f>
        <v>138</v>
      </c>
      <c r="B139" s="124" t="s">
        <v>57</v>
      </c>
      <c r="C139" s="12" t="s">
        <v>2440</v>
      </c>
      <c r="D139" s="123" t="n">
        <v>1635010</v>
      </c>
      <c r="E139" s="185"/>
      <c r="F139" s="8" t="s">
        <v>192</v>
      </c>
      <c r="G139" s="12" t="s">
        <v>2451</v>
      </c>
      <c r="H139" s="5" t="s">
        <v>2493</v>
      </c>
      <c r="I139" s="5" t="s">
        <v>1024</v>
      </c>
      <c r="J139" s="69" t="s">
        <v>1966</v>
      </c>
      <c r="K139" s="185"/>
      <c r="L139" s="185"/>
      <c r="M139" s="185"/>
      <c r="N139" s="185"/>
      <c r="O139" s="181"/>
    </row>
    <row r="140" customFormat="false" ht="22.5" hidden="false" customHeight="false" outlineLevel="0" collapsed="false">
      <c r="A140" s="5" t="n">
        <f aca="false">IF(B140&lt;&gt;"", COUNTA($B$2:B140), "")</f>
        <v>139</v>
      </c>
      <c r="B140" s="124" t="s">
        <v>57</v>
      </c>
      <c r="C140" s="12" t="s">
        <v>2444</v>
      </c>
      <c r="D140" s="123" t="n">
        <v>1634473</v>
      </c>
      <c r="E140" s="185"/>
      <c r="F140" s="8" t="s">
        <v>260</v>
      </c>
      <c r="G140" s="12" t="s">
        <v>2451</v>
      </c>
      <c r="H140" s="12" t="s">
        <v>2494</v>
      </c>
      <c r="I140" s="5" t="s">
        <v>1024</v>
      </c>
      <c r="J140" s="69" t="s">
        <v>1966</v>
      </c>
      <c r="K140" s="185"/>
      <c r="L140" s="185"/>
      <c r="M140" s="185"/>
      <c r="N140" s="185"/>
      <c r="O140" s="181"/>
    </row>
    <row r="141" customFormat="false" ht="22.5" hidden="false" customHeight="false" outlineLevel="0" collapsed="false">
      <c r="A141" s="5" t="n">
        <f aca="false">IF(B141&lt;&gt;"", COUNTA($B$2:B141), "")</f>
        <v>140</v>
      </c>
      <c r="B141" s="124" t="s">
        <v>57</v>
      </c>
      <c r="C141" s="12" t="s">
        <v>2444</v>
      </c>
      <c r="D141" s="123" t="n">
        <v>1634470</v>
      </c>
      <c r="E141" s="185"/>
      <c r="F141" s="8" t="s">
        <v>260</v>
      </c>
      <c r="G141" s="12" t="s">
        <v>2451</v>
      </c>
      <c r="H141" s="12" t="s">
        <v>2495</v>
      </c>
      <c r="I141" s="5" t="s">
        <v>1024</v>
      </c>
      <c r="J141" s="69" t="s">
        <v>1966</v>
      </c>
      <c r="K141" s="185"/>
      <c r="L141" s="185"/>
      <c r="M141" s="185"/>
      <c r="N141" s="185"/>
      <c r="O141" s="181"/>
    </row>
    <row r="142" customFormat="false" ht="22.5" hidden="false" customHeight="false" outlineLevel="0" collapsed="false">
      <c r="A142" s="5" t="n">
        <f aca="false">IF(B142&lt;&gt;"", COUNTA($B$2:B142), "")</f>
        <v>141</v>
      </c>
      <c r="B142" s="124" t="s">
        <v>57</v>
      </c>
      <c r="C142" s="12" t="s">
        <v>2444</v>
      </c>
      <c r="D142" s="123" t="n">
        <v>1634570</v>
      </c>
      <c r="E142" s="185"/>
      <c r="F142" s="8" t="s">
        <v>2128</v>
      </c>
      <c r="G142" s="12" t="s">
        <v>2451</v>
      </c>
      <c r="H142" s="12" t="s">
        <v>2496</v>
      </c>
      <c r="I142" s="5" t="s">
        <v>1024</v>
      </c>
      <c r="J142" s="69" t="s">
        <v>1966</v>
      </c>
      <c r="K142" s="185"/>
      <c r="L142" s="185"/>
      <c r="M142" s="185"/>
      <c r="N142" s="185"/>
      <c r="O142" s="181"/>
    </row>
    <row r="143" customFormat="false" ht="22.5" hidden="false" customHeight="false" outlineLevel="0" collapsed="false">
      <c r="A143" s="5" t="n">
        <f aca="false">IF(B143&lt;&gt;"", COUNTA($B$2:B143), "")</f>
        <v>142</v>
      </c>
      <c r="B143" s="124" t="s">
        <v>57</v>
      </c>
      <c r="C143" s="12" t="s">
        <v>2444</v>
      </c>
      <c r="D143" s="123" t="n">
        <v>1634575</v>
      </c>
      <c r="E143" s="185"/>
      <c r="F143" s="8" t="s">
        <v>2128</v>
      </c>
      <c r="G143" s="12" t="s">
        <v>2451</v>
      </c>
      <c r="H143" s="12" t="s">
        <v>2497</v>
      </c>
      <c r="I143" s="5" t="s">
        <v>1024</v>
      </c>
      <c r="J143" s="69" t="s">
        <v>1966</v>
      </c>
      <c r="K143" s="185"/>
      <c r="L143" s="185"/>
      <c r="M143" s="185"/>
      <c r="N143" s="185"/>
      <c r="O143" s="181"/>
    </row>
    <row r="144" customFormat="false" ht="22.5" hidden="false" customHeight="false" outlineLevel="0" collapsed="false">
      <c r="A144" s="5" t="n">
        <f aca="false">IF(B144&lt;&gt;"", COUNTA($B$2:B144), "")</f>
        <v>143</v>
      </c>
      <c r="B144" s="124" t="s">
        <v>2498</v>
      </c>
      <c r="C144" s="12" t="s">
        <v>2499</v>
      </c>
      <c r="D144" s="123" t="s">
        <v>2738</v>
      </c>
      <c r="E144" s="185"/>
      <c r="F144" s="8" t="s">
        <v>241</v>
      </c>
      <c r="G144" s="185" t="n">
        <v>0.25</v>
      </c>
      <c r="H144" s="12" t="s">
        <v>2501</v>
      </c>
      <c r="I144" s="5" t="s">
        <v>1024</v>
      </c>
      <c r="J144" s="69" t="s">
        <v>1966</v>
      </c>
      <c r="K144" s="185"/>
      <c r="L144" s="185"/>
      <c r="M144" s="185"/>
      <c r="N144" s="185"/>
      <c r="O144" s="181"/>
    </row>
    <row r="145" customFormat="false" ht="22.5" hidden="false" customHeight="false" outlineLevel="0" collapsed="false">
      <c r="A145" s="5" t="n">
        <f aca="false">IF(B145&lt;&gt;"", COUNTA($B$2:B145), "")</f>
        <v>144</v>
      </c>
      <c r="B145" s="124" t="s">
        <v>2498</v>
      </c>
      <c r="C145" s="12" t="s">
        <v>2499</v>
      </c>
      <c r="D145" s="123" t="s">
        <v>2824</v>
      </c>
      <c r="E145" s="185"/>
      <c r="F145" s="8" t="s">
        <v>241</v>
      </c>
      <c r="G145" s="185" t="n">
        <v>0.25</v>
      </c>
      <c r="H145" s="12" t="s">
        <v>2503</v>
      </c>
      <c r="I145" s="5" t="s">
        <v>1024</v>
      </c>
      <c r="J145" s="69" t="s">
        <v>1966</v>
      </c>
      <c r="K145" s="185"/>
      <c r="L145" s="185"/>
      <c r="M145" s="185"/>
      <c r="N145" s="185"/>
      <c r="O145" s="181"/>
    </row>
    <row r="146" customFormat="false" ht="22.5" hidden="false" customHeight="false" outlineLevel="0" collapsed="false">
      <c r="A146" s="5" t="n">
        <f aca="false">IF(B146&lt;&gt;"", COUNTA($B$2:B146), "")</f>
        <v>145</v>
      </c>
      <c r="B146" s="124" t="s">
        <v>2498</v>
      </c>
      <c r="C146" s="12" t="s">
        <v>2499</v>
      </c>
      <c r="D146" s="123" t="s">
        <v>2825</v>
      </c>
      <c r="E146" s="185"/>
      <c r="F146" s="8" t="s">
        <v>241</v>
      </c>
      <c r="G146" s="185" t="n">
        <v>0.25</v>
      </c>
      <c r="H146" s="12" t="s">
        <v>2505</v>
      </c>
      <c r="I146" s="5" t="s">
        <v>1024</v>
      </c>
      <c r="J146" s="69" t="s">
        <v>1966</v>
      </c>
      <c r="K146" s="185"/>
      <c r="L146" s="185"/>
      <c r="M146" s="185"/>
      <c r="N146" s="185"/>
      <c r="O146" s="181"/>
    </row>
    <row r="147" customFormat="false" ht="22.5" hidden="false" customHeight="false" outlineLevel="0" collapsed="false">
      <c r="A147" s="5" t="n">
        <f aca="false">IF(B147&lt;&gt;"", COUNTA($B$2:B147), "")</f>
        <v>146</v>
      </c>
      <c r="B147" s="124" t="s">
        <v>2498</v>
      </c>
      <c r="C147" s="12" t="s">
        <v>2499</v>
      </c>
      <c r="D147" s="123" t="s">
        <v>2826</v>
      </c>
      <c r="E147" s="185"/>
      <c r="F147" s="8" t="s">
        <v>241</v>
      </c>
      <c r="G147" s="185" t="n">
        <v>0.25</v>
      </c>
      <c r="H147" s="12" t="s">
        <v>2507</v>
      </c>
      <c r="I147" s="5" t="s">
        <v>1024</v>
      </c>
      <c r="J147" s="69" t="s">
        <v>1966</v>
      </c>
      <c r="K147" s="185"/>
      <c r="L147" s="185"/>
      <c r="M147" s="185"/>
      <c r="N147" s="185"/>
      <c r="O147" s="181"/>
    </row>
    <row r="148" customFormat="false" ht="22.5" hidden="false" customHeight="false" outlineLevel="0" collapsed="false">
      <c r="A148" s="5" t="n">
        <f aca="false">IF(B148&lt;&gt;"", COUNTA($B$2:B148), "")</f>
        <v>147</v>
      </c>
      <c r="B148" s="124" t="s">
        <v>57</v>
      </c>
      <c r="C148" s="12" t="s">
        <v>2444</v>
      </c>
      <c r="D148" s="123" t="n">
        <v>6071608</v>
      </c>
      <c r="E148" s="123" t="n">
        <v>2018</v>
      </c>
      <c r="F148" s="8" t="s">
        <v>241</v>
      </c>
      <c r="G148" s="12" t="s">
        <v>2451</v>
      </c>
      <c r="H148" s="12" t="s">
        <v>2508</v>
      </c>
      <c r="I148" s="5"/>
      <c r="J148" s="69" t="s">
        <v>1966</v>
      </c>
      <c r="K148" s="185"/>
      <c r="L148" s="185"/>
      <c r="M148" s="185"/>
      <c r="N148" s="185"/>
      <c r="O148" s="189"/>
    </row>
    <row r="149" customFormat="false" ht="22.5" hidden="false" customHeight="false" outlineLevel="0" collapsed="false">
      <c r="A149" s="5" t="n">
        <f aca="false">IF(B149&lt;&gt;"", COUNTA($B$2:B149), "")</f>
        <v>148</v>
      </c>
      <c r="B149" s="124" t="s">
        <v>57</v>
      </c>
      <c r="C149" s="12" t="s">
        <v>2444</v>
      </c>
      <c r="D149" s="123" t="n">
        <v>664460</v>
      </c>
      <c r="E149" s="185"/>
      <c r="F149" s="8" t="s">
        <v>241</v>
      </c>
      <c r="G149" s="12" t="s">
        <v>2451</v>
      </c>
      <c r="H149" s="12" t="s">
        <v>2509</v>
      </c>
      <c r="I149" s="5"/>
      <c r="J149" s="69" t="s">
        <v>1966</v>
      </c>
      <c r="K149" s="185"/>
      <c r="L149" s="185"/>
      <c r="M149" s="185"/>
      <c r="N149" s="185"/>
      <c r="O149" s="181"/>
    </row>
    <row r="150" customFormat="false" ht="22.5" hidden="false" customHeight="false" outlineLevel="0" collapsed="false">
      <c r="A150" s="5" t="n">
        <f aca="false">IF(B150&lt;&gt;"", COUNTA($B$2:B150), "")</f>
        <v>149</v>
      </c>
      <c r="B150" s="125" t="s">
        <v>57</v>
      </c>
      <c r="C150" s="12" t="s">
        <v>2440</v>
      </c>
      <c r="D150" s="190" t="n">
        <v>6081370</v>
      </c>
      <c r="E150" s="195" t="n">
        <v>43282</v>
      </c>
      <c r="F150" s="8" t="s">
        <v>2128</v>
      </c>
      <c r="G150" s="12" t="s">
        <v>2451</v>
      </c>
      <c r="H150" s="12" t="s">
        <v>2510</v>
      </c>
      <c r="I150" s="12" t="s">
        <v>2511</v>
      </c>
      <c r="J150" s="69" t="s">
        <v>1966</v>
      </c>
      <c r="K150" s="185"/>
      <c r="L150" s="185"/>
      <c r="M150" s="185"/>
      <c r="N150" s="185"/>
      <c r="O150" s="181"/>
    </row>
    <row r="151" customFormat="false" ht="22.5" hidden="false" customHeight="false" outlineLevel="0" collapsed="false">
      <c r="A151" s="5" t="n">
        <f aca="false">IF(B151&lt;&gt;"", COUNTA($B$2:B151), "")</f>
        <v>150</v>
      </c>
      <c r="B151" s="125" t="s">
        <v>57</v>
      </c>
      <c r="C151" s="12" t="s">
        <v>2440</v>
      </c>
      <c r="D151" s="190" t="n">
        <v>6085979</v>
      </c>
      <c r="E151" s="195" t="n">
        <v>43344</v>
      </c>
      <c r="F151" s="8" t="s">
        <v>2255</v>
      </c>
      <c r="G151" s="12" t="s">
        <v>2451</v>
      </c>
      <c r="H151" s="12" t="s">
        <v>2512</v>
      </c>
      <c r="I151" s="12" t="s">
        <v>2511</v>
      </c>
      <c r="J151" s="69" t="s">
        <v>1966</v>
      </c>
      <c r="K151" s="185"/>
      <c r="L151" s="185"/>
      <c r="M151" s="185"/>
      <c r="N151" s="185"/>
      <c r="O151" s="181"/>
    </row>
    <row r="152" customFormat="false" ht="22.5" hidden="false" customHeight="false" outlineLevel="0" collapsed="false">
      <c r="A152" s="5" t="n">
        <f aca="false">IF(B152&lt;&gt;"", COUNTA($B$2:B152), "")</f>
        <v>151</v>
      </c>
      <c r="B152" s="125" t="s">
        <v>57</v>
      </c>
      <c r="C152" s="12" t="s">
        <v>2440</v>
      </c>
      <c r="D152" s="190" t="n">
        <v>6081372</v>
      </c>
      <c r="E152" s="195" t="n">
        <v>43282</v>
      </c>
      <c r="F152" s="8" t="s">
        <v>2128</v>
      </c>
      <c r="G152" s="12" t="s">
        <v>2451</v>
      </c>
      <c r="H152" s="12" t="s">
        <v>2513</v>
      </c>
      <c r="I152" s="12" t="s">
        <v>2511</v>
      </c>
      <c r="J152" s="69" t="s">
        <v>1966</v>
      </c>
      <c r="K152" s="185"/>
      <c r="L152" s="185"/>
      <c r="M152" s="185"/>
      <c r="N152" s="185"/>
      <c r="O152" s="181"/>
    </row>
    <row r="153" customFormat="false" ht="22.5" hidden="false" customHeight="false" outlineLevel="0" collapsed="false">
      <c r="A153" s="5" t="n">
        <f aca="false">IF(B153&lt;&gt;"", COUNTA($B$2:B153), "")</f>
        <v>152</v>
      </c>
      <c r="B153" s="125" t="s">
        <v>57</v>
      </c>
      <c r="C153" s="12" t="s">
        <v>2440</v>
      </c>
      <c r="D153" s="12" t="n">
        <v>6085986</v>
      </c>
      <c r="E153" s="195" t="n">
        <v>43344</v>
      </c>
      <c r="F153" s="8" t="s">
        <v>2128</v>
      </c>
      <c r="G153" s="12" t="s">
        <v>2451</v>
      </c>
      <c r="H153" s="12" t="s">
        <v>2514</v>
      </c>
      <c r="I153" s="12" t="s">
        <v>2511</v>
      </c>
      <c r="J153" s="69" t="s">
        <v>1966</v>
      </c>
      <c r="K153" s="185"/>
      <c r="L153" s="185"/>
      <c r="M153" s="185"/>
      <c r="N153" s="185"/>
      <c r="O153" s="181"/>
    </row>
    <row r="154" customFormat="false" ht="22.5" hidden="false" customHeight="false" outlineLevel="0" collapsed="false">
      <c r="A154" s="5" t="n">
        <f aca="false">IF(B154&lt;&gt;"", COUNTA($B$2:B154), "")</f>
        <v>153</v>
      </c>
      <c r="B154" s="124" t="s">
        <v>57</v>
      </c>
      <c r="C154" s="12" t="s">
        <v>2444</v>
      </c>
      <c r="D154" s="5" t="n">
        <v>6104420</v>
      </c>
      <c r="E154" s="5"/>
      <c r="F154" s="8" t="s">
        <v>2450</v>
      </c>
      <c r="G154" s="12" t="s">
        <v>2451</v>
      </c>
      <c r="H154" s="12" t="s">
        <v>2515</v>
      </c>
      <c r="I154" s="5"/>
      <c r="J154" s="69" t="s">
        <v>1966</v>
      </c>
      <c r="K154" s="185"/>
      <c r="L154" s="185"/>
      <c r="M154" s="185"/>
      <c r="N154" s="185"/>
      <c r="O154" s="181"/>
    </row>
    <row r="155" customFormat="false" ht="22.5" hidden="false" customHeight="false" outlineLevel="0" collapsed="false">
      <c r="A155" s="5" t="n">
        <f aca="false">IF(B155&lt;&gt;"", COUNTA($B$2:B155), "")</f>
        <v>154</v>
      </c>
      <c r="B155" s="124" t="s">
        <v>64</v>
      </c>
      <c r="C155" s="12" t="s">
        <v>2516</v>
      </c>
      <c r="D155" s="123" t="s">
        <v>2827</v>
      </c>
      <c r="E155" s="123" t="n">
        <v>2018</v>
      </c>
      <c r="F155" s="19" t="s">
        <v>2518</v>
      </c>
      <c r="G155" s="134" t="s">
        <v>2519</v>
      </c>
      <c r="H155" s="12" t="s">
        <v>2520</v>
      </c>
      <c r="I155" s="5" t="s">
        <v>1024</v>
      </c>
      <c r="J155" s="69" t="s">
        <v>1966</v>
      </c>
      <c r="K155" s="185"/>
      <c r="L155" s="185"/>
      <c r="M155" s="185"/>
      <c r="N155" s="185"/>
      <c r="O155" s="181"/>
    </row>
    <row r="156" customFormat="false" ht="22.5" hidden="false" customHeight="false" outlineLevel="0" collapsed="false">
      <c r="A156" s="5" t="n">
        <f aca="false">IF(B156&lt;&gt;"", COUNTA($B$2:B156), "")</f>
        <v>155</v>
      </c>
      <c r="B156" s="124" t="s">
        <v>64</v>
      </c>
      <c r="C156" s="12" t="s">
        <v>2521</v>
      </c>
      <c r="D156" s="123" t="n">
        <v>1120</v>
      </c>
      <c r="E156" s="196" t="n">
        <v>44044</v>
      </c>
      <c r="F156" s="19" t="s">
        <v>2522</v>
      </c>
      <c r="G156" s="123"/>
      <c r="H156" s="5" t="s">
        <v>2523</v>
      </c>
      <c r="I156" s="5" t="s">
        <v>2442</v>
      </c>
      <c r="J156" s="69" t="s">
        <v>1966</v>
      </c>
      <c r="K156" s="185"/>
      <c r="L156" s="185"/>
      <c r="M156" s="185"/>
      <c r="N156" s="185"/>
      <c r="O156" s="181"/>
    </row>
    <row r="157" customFormat="false" ht="22.5" hidden="false" customHeight="false" outlineLevel="0" collapsed="false">
      <c r="A157" s="5" t="n">
        <f aca="false">IF(B157&lt;&gt;"", COUNTA($B$2:B157), "")</f>
        <v>156</v>
      </c>
      <c r="B157" s="124" t="s">
        <v>64</v>
      </c>
      <c r="C157" s="12" t="s">
        <v>2521</v>
      </c>
      <c r="D157" s="123" t="n">
        <v>1122</v>
      </c>
      <c r="E157" s="196" t="n">
        <v>44044</v>
      </c>
      <c r="F157" s="19" t="s">
        <v>2522</v>
      </c>
      <c r="G157" s="123"/>
      <c r="H157" s="12" t="s">
        <v>2524</v>
      </c>
      <c r="I157" s="5" t="s">
        <v>2442</v>
      </c>
      <c r="J157" s="69" t="s">
        <v>1966</v>
      </c>
      <c r="K157" s="185"/>
      <c r="L157" s="185"/>
      <c r="M157" s="185"/>
      <c r="N157" s="185"/>
      <c r="O157" s="181"/>
    </row>
    <row r="158" customFormat="false" ht="22.5" hidden="false" customHeight="false" outlineLevel="0" collapsed="false">
      <c r="A158" s="5" t="n">
        <f aca="false">IF(B158&lt;&gt;"", COUNTA($B$2:B158), "")</f>
        <v>157</v>
      </c>
      <c r="B158" s="124" t="s">
        <v>64</v>
      </c>
      <c r="C158" s="12" t="s">
        <v>2521</v>
      </c>
      <c r="D158" s="123" t="n">
        <v>1121</v>
      </c>
      <c r="E158" s="196" t="n">
        <v>44044</v>
      </c>
      <c r="F158" s="19" t="s">
        <v>2522</v>
      </c>
      <c r="G158" s="123"/>
      <c r="H158" s="12" t="s">
        <v>2525</v>
      </c>
      <c r="I158" s="5" t="s">
        <v>2442</v>
      </c>
      <c r="J158" s="69" t="s">
        <v>1966</v>
      </c>
      <c r="K158" s="185"/>
      <c r="L158" s="185"/>
      <c r="M158" s="185"/>
      <c r="N158" s="185"/>
      <c r="O158" s="181"/>
    </row>
    <row r="159" customFormat="false" ht="22.5" hidden="false" customHeight="false" outlineLevel="0" collapsed="false">
      <c r="A159" s="5" t="n">
        <f aca="false">IF(B159&lt;&gt;"", COUNTA($B$2:B159), "")</f>
        <v>158</v>
      </c>
      <c r="B159" s="124" t="s">
        <v>64</v>
      </c>
      <c r="C159" s="12" t="s">
        <v>2521</v>
      </c>
      <c r="D159" s="123" t="s">
        <v>2828</v>
      </c>
      <c r="E159" s="123" t="n">
        <v>2018</v>
      </c>
      <c r="F159" s="19" t="s">
        <v>2526</v>
      </c>
      <c r="G159" s="123" t="s">
        <v>1643</v>
      </c>
      <c r="H159" s="5" t="s">
        <v>2527</v>
      </c>
      <c r="I159" s="5"/>
      <c r="J159" s="69" t="s">
        <v>1966</v>
      </c>
      <c r="K159" s="189"/>
      <c r="L159" s="185"/>
      <c r="M159" s="185"/>
      <c r="N159" s="185"/>
      <c r="O159" s="189"/>
    </row>
    <row r="160" customFormat="false" ht="22.5" hidden="false" customHeight="false" outlineLevel="0" collapsed="false">
      <c r="A160" s="5" t="n">
        <f aca="false">IF(B160&lt;&gt;"", COUNTA($B$2:B160), "")</f>
        <v>159</v>
      </c>
      <c r="B160" s="124" t="s">
        <v>64</v>
      </c>
      <c r="C160" s="12" t="s">
        <v>2521</v>
      </c>
      <c r="D160" s="123" t="n">
        <v>791</v>
      </c>
      <c r="E160" s="123"/>
      <c r="F160" s="19" t="s">
        <v>2528</v>
      </c>
      <c r="G160" s="123"/>
      <c r="H160" s="5" t="s">
        <v>2529</v>
      </c>
      <c r="I160" s="5" t="s">
        <v>2453</v>
      </c>
      <c r="J160" s="69" t="s">
        <v>1966</v>
      </c>
      <c r="K160" s="185"/>
      <c r="L160" s="185"/>
      <c r="M160" s="185"/>
      <c r="N160" s="185"/>
      <c r="O160" s="181"/>
    </row>
    <row r="161" customFormat="false" ht="22.5" hidden="false" customHeight="false" outlineLevel="0" collapsed="false">
      <c r="A161" s="5" t="n">
        <f aca="false">IF(B161&lt;&gt;"", COUNTA($B$2:B161), "")</f>
        <v>160</v>
      </c>
      <c r="B161" s="124" t="s">
        <v>64</v>
      </c>
      <c r="C161" s="12" t="s">
        <v>2521</v>
      </c>
      <c r="D161" s="123" t="n">
        <v>797</v>
      </c>
      <c r="E161" s="123"/>
      <c r="F161" s="19" t="s">
        <v>2528</v>
      </c>
      <c r="G161" s="123"/>
      <c r="H161" s="5" t="s">
        <v>2530</v>
      </c>
      <c r="I161" s="5" t="s">
        <v>2453</v>
      </c>
      <c r="J161" s="69" t="s">
        <v>1966</v>
      </c>
      <c r="K161" s="185"/>
      <c r="L161" s="185"/>
      <c r="M161" s="185"/>
      <c r="N161" s="185"/>
      <c r="O161" s="181"/>
    </row>
    <row r="162" customFormat="false" ht="22.5" hidden="false" customHeight="false" outlineLevel="0" collapsed="false">
      <c r="A162" s="5" t="n">
        <f aca="false">IF(B162&lt;&gt;"", COUNTA($B$2:B162), "")</f>
        <v>161</v>
      </c>
      <c r="B162" s="124" t="s">
        <v>64</v>
      </c>
      <c r="C162" s="12" t="s">
        <v>2521</v>
      </c>
      <c r="D162" s="123" t="n">
        <v>800</v>
      </c>
      <c r="E162" s="123"/>
      <c r="F162" s="19" t="s">
        <v>2528</v>
      </c>
      <c r="G162" s="123"/>
      <c r="H162" s="5" t="s">
        <v>2531</v>
      </c>
      <c r="I162" s="5"/>
      <c r="J162" s="69" t="s">
        <v>1966</v>
      </c>
      <c r="K162" s="185"/>
      <c r="L162" s="185"/>
      <c r="M162" s="185"/>
      <c r="N162" s="185"/>
      <c r="O162" s="181"/>
    </row>
    <row r="163" customFormat="false" ht="22.5" hidden="false" customHeight="false" outlineLevel="0" collapsed="false">
      <c r="A163" s="5" t="n">
        <f aca="false">IF(B163&lt;&gt;"", COUNTA($B$2:B163), "")</f>
        <v>162</v>
      </c>
      <c r="B163" s="124" t="s">
        <v>64</v>
      </c>
      <c r="C163" s="12" t="s">
        <v>2521</v>
      </c>
      <c r="D163" s="5" t="n">
        <v>731</v>
      </c>
      <c r="E163" s="191" t="n">
        <v>43191</v>
      </c>
      <c r="F163" s="19" t="s">
        <v>2532</v>
      </c>
      <c r="G163" s="152" t="s">
        <v>1643</v>
      </c>
      <c r="H163" s="5" t="s">
        <v>2533</v>
      </c>
      <c r="I163" s="5"/>
      <c r="J163" s="69" t="s">
        <v>1966</v>
      </c>
      <c r="K163" s="185"/>
      <c r="L163" s="185"/>
      <c r="M163" s="185"/>
      <c r="N163" s="185"/>
      <c r="O163" s="181"/>
    </row>
    <row r="164" customFormat="false" ht="22.5" hidden="false" customHeight="false" outlineLevel="0" collapsed="false">
      <c r="A164" s="5" t="n">
        <f aca="false">IF(B164&lt;&gt;"", COUNTA($B$2:B164), "")</f>
        <v>163</v>
      </c>
      <c r="B164" s="125" t="s">
        <v>64</v>
      </c>
      <c r="C164" s="12" t="s">
        <v>2534</v>
      </c>
      <c r="D164" s="190" t="n">
        <v>583</v>
      </c>
      <c r="E164" s="190"/>
      <c r="F164" s="19" t="s">
        <v>2535</v>
      </c>
      <c r="G164" s="190"/>
      <c r="H164" s="5" t="s">
        <v>2536</v>
      </c>
      <c r="I164" s="12"/>
      <c r="J164" s="69" t="s">
        <v>1966</v>
      </c>
      <c r="K164" s="185"/>
      <c r="L164" s="185"/>
      <c r="M164" s="185"/>
      <c r="N164" s="185"/>
      <c r="O164" s="181"/>
    </row>
    <row r="165" customFormat="false" ht="22.5" hidden="false" customHeight="false" outlineLevel="0" collapsed="false">
      <c r="A165" s="5" t="n">
        <f aca="false">IF(B165&lt;&gt;"", COUNTA($B$2:B165), "")</f>
        <v>164</v>
      </c>
      <c r="B165" s="125" t="s">
        <v>64</v>
      </c>
      <c r="C165" s="12" t="s">
        <v>2521</v>
      </c>
      <c r="D165" s="190" t="n">
        <v>813</v>
      </c>
      <c r="E165" s="190"/>
      <c r="F165" s="19" t="s">
        <v>2537</v>
      </c>
      <c r="G165" s="190"/>
      <c r="H165" s="5" t="s">
        <v>2538</v>
      </c>
      <c r="I165" s="12"/>
      <c r="J165" s="69" t="s">
        <v>1966</v>
      </c>
      <c r="K165" s="185"/>
      <c r="L165" s="185"/>
      <c r="M165" s="185"/>
      <c r="N165" s="185"/>
      <c r="O165" s="181"/>
    </row>
    <row r="166" customFormat="false" ht="22.5" hidden="false" customHeight="false" outlineLevel="0" collapsed="false">
      <c r="A166" s="5" t="n">
        <f aca="false">IF(B166&lt;&gt;"", COUNTA($B$2:B166), "")</f>
        <v>165</v>
      </c>
      <c r="B166" s="125" t="s">
        <v>64</v>
      </c>
      <c r="C166" s="12" t="s">
        <v>2521</v>
      </c>
      <c r="D166" s="190" t="n">
        <v>1574</v>
      </c>
      <c r="E166" s="190" t="n">
        <v>2020</v>
      </c>
      <c r="F166" s="19" t="s">
        <v>2528</v>
      </c>
      <c r="G166" s="190"/>
      <c r="H166" s="5" t="s">
        <v>2539</v>
      </c>
      <c r="I166" s="12"/>
      <c r="J166" s="69" t="s">
        <v>1966</v>
      </c>
      <c r="K166" s="189"/>
      <c r="L166" s="185"/>
      <c r="M166" s="185"/>
      <c r="N166" s="185"/>
      <c r="O166" s="189"/>
    </row>
    <row r="167" customFormat="false" ht="22.5" hidden="false" customHeight="false" outlineLevel="0" collapsed="false">
      <c r="A167" s="5" t="n">
        <f aca="false">IF(B167&lt;&gt;"", COUNTA($B$2:B167), "")</f>
        <v>166</v>
      </c>
      <c r="B167" s="125" t="s">
        <v>64</v>
      </c>
      <c r="C167" s="12" t="s">
        <v>2521</v>
      </c>
      <c r="D167" s="190" t="n">
        <v>915</v>
      </c>
      <c r="E167" s="190"/>
      <c r="F167" s="19" t="s">
        <v>2537</v>
      </c>
      <c r="G167" s="190"/>
      <c r="H167" s="5" t="s">
        <v>2540</v>
      </c>
      <c r="I167" s="12"/>
      <c r="J167" s="69" t="s">
        <v>1966</v>
      </c>
      <c r="K167" s="185"/>
      <c r="L167" s="185"/>
      <c r="M167" s="185"/>
      <c r="N167" s="185"/>
      <c r="O167" s="181"/>
    </row>
    <row r="168" customFormat="false" ht="22.5" hidden="false" customHeight="false" outlineLevel="0" collapsed="false">
      <c r="A168" s="5" t="n">
        <f aca="false">IF(B168&lt;&gt;"", COUNTA($B$2:B168), "")</f>
        <v>167</v>
      </c>
      <c r="B168" s="125" t="s">
        <v>64</v>
      </c>
      <c r="C168" s="12" t="s">
        <v>2521</v>
      </c>
      <c r="D168" s="190" t="n">
        <v>916</v>
      </c>
      <c r="E168" s="190"/>
      <c r="F168" s="19" t="s">
        <v>2537</v>
      </c>
      <c r="G168" s="190"/>
      <c r="H168" s="12" t="s">
        <v>2541</v>
      </c>
      <c r="I168" s="12"/>
      <c r="J168" s="69" t="s">
        <v>1966</v>
      </c>
      <c r="K168" s="185"/>
      <c r="L168" s="185"/>
      <c r="M168" s="185"/>
      <c r="N168" s="185"/>
      <c r="O168" s="181"/>
    </row>
    <row r="169" customFormat="false" ht="22.5" hidden="false" customHeight="false" outlineLevel="0" collapsed="false">
      <c r="A169" s="5" t="n">
        <f aca="false">IF(B169&lt;&gt;"", COUNTA($B$2:B169), "")</f>
        <v>168</v>
      </c>
      <c r="B169" s="125" t="s">
        <v>64</v>
      </c>
      <c r="C169" s="12" t="s">
        <v>2542</v>
      </c>
      <c r="D169" s="197" t="s">
        <v>2829</v>
      </c>
      <c r="E169" s="197" t="n">
        <v>2018</v>
      </c>
      <c r="F169" s="19" t="s">
        <v>2544</v>
      </c>
      <c r="G169" s="190"/>
      <c r="H169" s="12" t="s">
        <v>2545</v>
      </c>
      <c r="I169" s="12"/>
      <c r="J169" s="69" t="s">
        <v>1966</v>
      </c>
      <c r="K169" s="185"/>
      <c r="L169" s="185"/>
      <c r="M169" s="185"/>
      <c r="N169" s="185"/>
      <c r="O169" s="189"/>
    </row>
    <row r="170" customFormat="false" ht="22.5" hidden="false" customHeight="false" outlineLevel="0" collapsed="false">
      <c r="A170" s="5" t="n">
        <f aca="false">IF(B170&lt;&gt;"", COUNTA($B$2:B170), "")</f>
        <v>169</v>
      </c>
      <c r="B170" s="125" t="s">
        <v>64</v>
      </c>
      <c r="C170" s="12" t="s">
        <v>2521</v>
      </c>
      <c r="D170" s="190" t="n">
        <v>45</v>
      </c>
      <c r="E170" s="190"/>
      <c r="F170" s="19" t="s">
        <v>2546</v>
      </c>
      <c r="G170" s="190"/>
      <c r="H170" s="12" t="s">
        <v>2547</v>
      </c>
      <c r="I170" s="12"/>
      <c r="J170" s="69" t="s">
        <v>1966</v>
      </c>
      <c r="K170" s="185"/>
      <c r="L170" s="185"/>
      <c r="M170" s="185"/>
      <c r="N170" s="185"/>
      <c r="O170" s="181"/>
    </row>
    <row r="171" customFormat="false" ht="22.5" hidden="false" customHeight="false" outlineLevel="0" collapsed="false">
      <c r="A171" s="5" t="n">
        <f aca="false">IF(B171&lt;&gt;"", COUNTA($B$2:B171), "")</f>
        <v>170</v>
      </c>
      <c r="B171" s="125" t="s">
        <v>64</v>
      </c>
      <c r="C171" s="12" t="s">
        <v>2548</v>
      </c>
      <c r="D171" s="190" t="n">
        <v>44</v>
      </c>
      <c r="E171" s="190" t="n">
        <v>2018</v>
      </c>
      <c r="F171" s="19" t="s">
        <v>2546</v>
      </c>
      <c r="G171" s="190" t="s">
        <v>1643</v>
      </c>
      <c r="H171" s="5" t="s">
        <v>2549</v>
      </c>
      <c r="I171" s="12"/>
      <c r="J171" s="69" t="s">
        <v>1966</v>
      </c>
      <c r="K171" s="198"/>
      <c r="L171" s="185"/>
      <c r="M171" s="185"/>
      <c r="N171" s="185"/>
      <c r="O171" s="189"/>
    </row>
    <row r="172" customFormat="false" ht="22.5" hidden="false" customHeight="false" outlineLevel="0" collapsed="false">
      <c r="A172" s="5" t="n">
        <f aca="false">IF(B172&lt;&gt;"", COUNTA($B$2:B172), "")</f>
        <v>171</v>
      </c>
      <c r="B172" s="125" t="s">
        <v>64</v>
      </c>
      <c r="C172" s="12" t="s">
        <v>2521</v>
      </c>
      <c r="D172" s="190" t="n">
        <v>1567</v>
      </c>
      <c r="E172" s="190"/>
      <c r="F172" s="19" t="s">
        <v>2532</v>
      </c>
      <c r="G172" s="190"/>
      <c r="H172" s="5" t="s">
        <v>2550</v>
      </c>
      <c r="I172" s="12"/>
      <c r="J172" s="69" t="s">
        <v>1966</v>
      </c>
      <c r="K172" s="185"/>
      <c r="L172" s="185"/>
      <c r="M172" s="185"/>
      <c r="N172" s="185"/>
      <c r="O172" s="181"/>
    </row>
    <row r="173" customFormat="false" ht="22.5" hidden="false" customHeight="false" outlineLevel="0" collapsed="false">
      <c r="A173" s="5" t="n">
        <f aca="false">IF(B173&lt;&gt;"", COUNTA($B$2:B173), "")</f>
        <v>172</v>
      </c>
      <c r="B173" s="124" t="s">
        <v>64</v>
      </c>
      <c r="C173" s="12" t="s">
        <v>2521</v>
      </c>
      <c r="D173" s="123" t="n">
        <v>801</v>
      </c>
      <c r="E173" s="123"/>
      <c r="F173" s="19" t="s">
        <v>2528</v>
      </c>
      <c r="G173" s="123"/>
      <c r="H173" s="5" t="s">
        <v>2551</v>
      </c>
      <c r="I173" s="5"/>
      <c r="J173" s="69" t="s">
        <v>1966</v>
      </c>
      <c r="K173" s="185"/>
      <c r="L173" s="185"/>
      <c r="M173" s="185"/>
      <c r="N173" s="185"/>
      <c r="O173" s="181"/>
    </row>
    <row r="174" customFormat="false" ht="22.5" hidden="false" customHeight="false" outlineLevel="0" collapsed="false">
      <c r="A174" s="5" t="n">
        <f aca="false">IF(B174&lt;&gt;"", COUNTA($B$2:B174), "")</f>
        <v>173</v>
      </c>
      <c r="B174" s="125" t="s">
        <v>64</v>
      </c>
      <c r="C174" s="12" t="s">
        <v>2552</v>
      </c>
      <c r="D174" s="190" t="n">
        <v>598</v>
      </c>
      <c r="E174" s="190"/>
      <c r="F174" s="19" t="s">
        <v>2535</v>
      </c>
      <c r="G174" s="190"/>
      <c r="H174" s="5" t="s">
        <v>2553</v>
      </c>
      <c r="I174" s="5"/>
      <c r="J174" s="69" t="s">
        <v>1966</v>
      </c>
      <c r="K174" s="185"/>
      <c r="L174" s="185"/>
      <c r="M174" s="185"/>
      <c r="N174" s="185"/>
      <c r="O174" s="199"/>
    </row>
    <row r="175" customFormat="false" ht="22.5" hidden="false" customHeight="false" outlineLevel="0" collapsed="false">
      <c r="A175" s="5" t="n">
        <f aca="false">IF(B175&lt;&gt;"", COUNTA($B$2:B175), "")</f>
        <v>174</v>
      </c>
      <c r="B175" s="125" t="s">
        <v>64</v>
      </c>
      <c r="C175" s="12" t="s">
        <v>2554</v>
      </c>
      <c r="D175" s="190" t="n">
        <v>630</v>
      </c>
      <c r="E175" s="190"/>
      <c r="F175" s="19" t="s">
        <v>2537</v>
      </c>
      <c r="G175" s="190"/>
      <c r="H175" s="5" t="s">
        <v>2555</v>
      </c>
      <c r="I175" s="5"/>
      <c r="J175" s="69" t="s">
        <v>1966</v>
      </c>
      <c r="K175" s="185"/>
      <c r="L175" s="185"/>
      <c r="M175" s="185"/>
      <c r="N175" s="185"/>
      <c r="O175" s="199"/>
    </row>
    <row r="176" customFormat="false" ht="22.5" hidden="false" customHeight="false" outlineLevel="0" collapsed="false">
      <c r="A176" s="5" t="n">
        <f aca="false">IF(B176&lt;&gt;"", COUNTA($B$2:B176), "")</f>
        <v>175</v>
      </c>
      <c r="B176" s="125" t="s">
        <v>64</v>
      </c>
      <c r="C176" s="12" t="s">
        <v>2521</v>
      </c>
      <c r="D176" s="190" t="n">
        <v>636</v>
      </c>
      <c r="E176" s="190"/>
      <c r="F176" s="19" t="s">
        <v>2537</v>
      </c>
      <c r="G176" s="190"/>
      <c r="H176" s="5" t="s">
        <v>2556</v>
      </c>
      <c r="I176" s="5"/>
      <c r="J176" s="69" t="s">
        <v>1966</v>
      </c>
      <c r="K176" s="185"/>
      <c r="L176" s="185"/>
      <c r="M176" s="185"/>
      <c r="N176" s="185"/>
      <c r="O176" s="181"/>
    </row>
    <row r="177" customFormat="false" ht="22.5" hidden="false" customHeight="false" outlineLevel="0" collapsed="false">
      <c r="A177" s="5" t="n">
        <f aca="false">IF(B177&lt;&gt;"", COUNTA($B$2:B177), "")</f>
        <v>176</v>
      </c>
      <c r="B177" s="125" t="s">
        <v>64</v>
      </c>
      <c r="C177" s="12" t="s">
        <v>2521</v>
      </c>
      <c r="D177" s="190" t="n">
        <v>1119</v>
      </c>
      <c r="E177" s="190" t="n">
        <v>2020</v>
      </c>
      <c r="F177" s="19" t="s">
        <v>2522</v>
      </c>
      <c r="G177" s="190" t="s">
        <v>1643</v>
      </c>
      <c r="H177" s="5" t="s">
        <v>2557</v>
      </c>
      <c r="I177" s="5" t="s">
        <v>2442</v>
      </c>
      <c r="J177" s="69" t="s">
        <v>1966</v>
      </c>
      <c r="K177" s="189"/>
      <c r="L177" s="185"/>
      <c r="M177" s="185"/>
      <c r="N177" s="185"/>
      <c r="O177" s="189"/>
    </row>
    <row r="178" customFormat="false" ht="22.5" hidden="false" customHeight="false" outlineLevel="0" collapsed="false">
      <c r="A178" s="5" t="n">
        <f aca="false">IF(B178&lt;&gt;"", COUNTA($B$2:B178), "")</f>
        <v>177</v>
      </c>
      <c r="B178" s="125" t="s">
        <v>64</v>
      </c>
      <c r="C178" s="12" t="s">
        <v>2830</v>
      </c>
      <c r="D178" s="190" t="n">
        <v>76</v>
      </c>
      <c r="E178" s="190" t="n">
        <v>2018</v>
      </c>
      <c r="F178" s="19" t="s">
        <v>2558</v>
      </c>
      <c r="G178" s="200" t="n">
        <v>0.005</v>
      </c>
      <c r="H178" s="12" t="s">
        <v>2559</v>
      </c>
      <c r="I178" s="5"/>
      <c r="J178" s="69" t="s">
        <v>1966</v>
      </c>
      <c r="K178" s="185"/>
      <c r="L178" s="185"/>
      <c r="M178" s="185"/>
      <c r="N178" s="185"/>
      <c r="O178" s="189"/>
    </row>
    <row r="179" customFormat="false" ht="33.75" hidden="false" customHeight="false" outlineLevel="0" collapsed="false">
      <c r="A179" s="5" t="n">
        <f aca="false">IF(B179&lt;&gt;"", COUNTA($B$2:B179), "")</f>
        <v>178</v>
      </c>
      <c r="B179" s="125" t="s">
        <v>64</v>
      </c>
      <c r="C179" s="12" t="s">
        <v>2542</v>
      </c>
      <c r="D179" s="197" t="s">
        <v>2831</v>
      </c>
      <c r="E179" s="196" t="n">
        <v>43405</v>
      </c>
      <c r="F179" s="19" t="s">
        <v>2544</v>
      </c>
      <c r="G179" s="190"/>
      <c r="H179" s="12" t="s">
        <v>2561</v>
      </c>
      <c r="I179" s="5"/>
      <c r="J179" s="69" t="s">
        <v>1966</v>
      </c>
      <c r="K179" s="185"/>
      <c r="L179" s="185"/>
      <c r="M179" s="185"/>
      <c r="N179" s="185"/>
      <c r="O179" s="189"/>
    </row>
    <row r="180" customFormat="false" ht="22.5" hidden="false" customHeight="false" outlineLevel="0" collapsed="false">
      <c r="A180" s="5" t="n">
        <f aca="false">IF(B180&lt;&gt;"", COUNTA($B$2:B180), "")</f>
        <v>179</v>
      </c>
      <c r="B180" s="125" t="s">
        <v>64</v>
      </c>
      <c r="C180" s="12" t="s">
        <v>2521</v>
      </c>
      <c r="D180" s="190" t="n">
        <v>1803</v>
      </c>
      <c r="E180" s="195" t="n">
        <v>43405</v>
      </c>
      <c r="F180" s="19" t="s">
        <v>2522</v>
      </c>
      <c r="G180" s="190" t="s">
        <v>1643</v>
      </c>
      <c r="H180" s="5" t="s">
        <v>2562</v>
      </c>
      <c r="I180" s="5"/>
      <c r="J180" s="69" t="s">
        <v>1966</v>
      </c>
      <c r="K180" s="185"/>
      <c r="L180" s="185"/>
      <c r="M180" s="185"/>
      <c r="N180" s="185"/>
      <c r="O180" s="189"/>
    </row>
    <row r="181" customFormat="false" ht="22.5" hidden="false" customHeight="false" outlineLevel="0" collapsed="false">
      <c r="A181" s="5" t="n">
        <f aca="false">IF(B181&lt;&gt;"", COUNTA($B$2:B181), "")</f>
        <v>180</v>
      </c>
      <c r="B181" s="124" t="s">
        <v>64</v>
      </c>
      <c r="C181" s="5" t="s">
        <v>2554</v>
      </c>
      <c r="D181" s="123" t="n">
        <v>646</v>
      </c>
      <c r="E181" s="123" t="n">
        <v>2018</v>
      </c>
      <c r="F181" s="19" t="s">
        <v>2537</v>
      </c>
      <c r="G181" s="123"/>
      <c r="H181" s="12" t="s">
        <v>2563</v>
      </c>
      <c r="I181" s="5"/>
      <c r="J181" s="69" t="s">
        <v>1966</v>
      </c>
      <c r="K181" s="185"/>
      <c r="L181" s="185"/>
      <c r="M181" s="185"/>
      <c r="N181" s="185"/>
      <c r="O181" s="181"/>
    </row>
    <row r="182" customFormat="false" ht="22.5" hidden="false" customHeight="false" outlineLevel="0" collapsed="false">
      <c r="A182" s="5" t="n">
        <f aca="false">IF(B182&lt;&gt;"", COUNTA($B$2:B182), "")</f>
        <v>181</v>
      </c>
      <c r="B182" s="124" t="s">
        <v>64</v>
      </c>
      <c r="C182" s="12" t="s">
        <v>2521</v>
      </c>
      <c r="D182" s="123" t="n">
        <v>1383</v>
      </c>
      <c r="E182" s="196" t="n">
        <v>43221</v>
      </c>
      <c r="F182" s="19" t="s">
        <v>2537</v>
      </c>
      <c r="G182" s="123"/>
      <c r="H182" s="5" t="s">
        <v>2564</v>
      </c>
      <c r="I182" s="5"/>
      <c r="J182" s="5" t="s">
        <v>1966</v>
      </c>
      <c r="K182" s="185"/>
      <c r="L182" s="185"/>
      <c r="M182" s="185"/>
      <c r="N182" s="185"/>
      <c r="O182" s="181"/>
    </row>
    <row r="183" customFormat="false" ht="22.5" hidden="false" customHeight="false" outlineLevel="0" collapsed="false">
      <c r="A183" s="5" t="n">
        <f aca="false">IF(B183&lt;&gt;"", COUNTA($B$2:B183), "")</f>
        <v>182</v>
      </c>
      <c r="B183" s="124" t="s">
        <v>64</v>
      </c>
      <c r="C183" s="12" t="s">
        <v>2565</v>
      </c>
      <c r="D183" s="123" t="n">
        <v>2437641</v>
      </c>
      <c r="E183" s="196" t="n">
        <v>43252</v>
      </c>
      <c r="F183" s="19" t="s">
        <v>2566</v>
      </c>
      <c r="G183" s="123"/>
      <c r="H183" s="12" t="s">
        <v>2567</v>
      </c>
      <c r="I183" s="5"/>
      <c r="J183" s="69" t="s">
        <v>1966</v>
      </c>
      <c r="K183" s="185"/>
      <c r="L183" s="185"/>
      <c r="M183" s="185"/>
      <c r="N183" s="185"/>
      <c r="O183" s="181"/>
    </row>
    <row r="184" customFormat="false" ht="22.5" hidden="false" customHeight="false" outlineLevel="0" collapsed="false">
      <c r="A184" s="5" t="n">
        <f aca="false">IF(B184&lt;&gt;"", COUNTA($B$2:B184), "")</f>
        <v>183</v>
      </c>
      <c r="B184" s="124" t="s">
        <v>64</v>
      </c>
      <c r="C184" s="12" t="s">
        <v>2521</v>
      </c>
      <c r="D184" s="123" t="n">
        <v>796</v>
      </c>
      <c r="E184" s="123"/>
      <c r="F184" s="19" t="s">
        <v>2537</v>
      </c>
      <c r="G184" s="123"/>
      <c r="H184" s="12" t="s">
        <v>2568</v>
      </c>
      <c r="I184" s="5"/>
      <c r="J184" s="69" t="s">
        <v>1966</v>
      </c>
      <c r="K184" s="185"/>
      <c r="L184" s="185"/>
      <c r="M184" s="185"/>
      <c r="N184" s="185"/>
      <c r="O184" s="181"/>
    </row>
    <row r="185" customFormat="false" ht="22.5" hidden="false" customHeight="false" outlineLevel="0" collapsed="false">
      <c r="A185" s="5" t="n">
        <f aca="false">IF(B185&lt;&gt;"", COUNTA($B$2:B185), "")</f>
        <v>184</v>
      </c>
      <c r="B185" s="124" t="s">
        <v>64</v>
      </c>
      <c r="C185" s="12" t="s">
        <v>2534</v>
      </c>
      <c r="D185" s="123" t="s">
        <v>2832</v>
      </c>
      <c r="E185" s="123"/>
      <c r="F185" s="19" t="s">
        <v>2535</v>
      </c>
      <c r="G185" s="123"/>
      <c r="H185" s="5" t="s">
        <v>2569</v>
      </c>
      <c r="I185" s="5"/>
      <c r="J185" s="69" t="s">
        <v>1966</v>
      </c>
      <c r="K185" s="189"/>
      <c r="L185" s="185"/>
      <c r="M185" s="185"/>
      <c r="N185" s="185"/>
      <c r="O185" s="181"/>
    </row>
    <row r="186" customFormat="false" ht="22.5" hidden="false" customHeight="false" outlineLevel="0" collapsed="false">
      <c r="A186" s="5" t="n">
        <f aca="false">IF(B186&lt;&gt;"", COUNTA($B$2:B186), "")</f>
        <v>185</v>
      </c>
      <c r="B186" s="124" t="s">
        <v>64</v>
      </c>
      <c r="C186" s="12" t="s">
        <v>2570</v>
      </c>
      <c r="D186" s="123" t="n">
        <v>104</v>
      </c>
      <c r="E186" s="123"/>
      <c r="F186" s="19" t="s">
        <v>2571</v>
      </c>
      <c r="G186" s="123"/>
      <c r="H186" s="5" t="s">
        <v>2572</v>
      </c>
      <c r="I186" s="5"/>
      <c r="J186" s="69" t="s">
        <v>1966</v>
      </c>
      <c r="K186" s="185"/>
      <c r="L186" s="185"/>
      <c r="M186" s="185"/>
      <c r="N186" s="185"/>
      <c r="O186" s="181"/>
    </row>
    <row r="187" customFormat="false" ht="22.5" hidden="false" customHeight="false" outlineLevel="0" collapsed="false">
      <c r="A187" s="5" t="n">
        <f aca="false">IF(B187&lt;&gt;"", COUNTA($B$2:B187), "")</f>
        <v>186</v>
      </c>
      <c r="B187" s="124" t="s">
        <v>64</v>
      </c>
      <c r="C187" s="12" t="s">
        <v>2570</v>
      </c>
      <c r="D187" s="123" t="n">
        <v>102</v>
      </c>
      <c r="E187" s="123" t="n">
        <v>2018</v>
      </c>
      <c r="F187" s="19" t="s">
        <v>2571</v>
      </c>
      <c r="G187" s="123" t="n">
        <v>0.3</v>
      </c>
      <c r="H187" s="5" t="s">
        <v>2573</v>
      </c>
      <c r="I187" s="5"/>
      <c r="J187" s="69" t="s">
        <v>1966</v>
      </c>
      <c r="K187" s="185"/>
      <c r="L187" s="185"/>
      <c r="M187" s="185"/>
      <c r="N187" s="185"/>
      <c r="O187" s="181"/>
    </row>
    <row r="188" customFormat="false" ht="22.5" hidden="false" customHeight="false" outlineLevel="0" collapsed="false">
      <c r="A188" s="5" t="n">
        <f aca="false">IF(B188&lt;&gt;"", COUNTA($B$2:B188), "")</f>
        <v>187</v>
      </c>
      <c r="B188" s="125" t="s">
        <v>64</v>
      </c>
      <c r="C188" s="12" t="s">
        <v>2534</v>
      </c>
      <c r="D188" s="12" t="n">
        <v>596</v>
      </c>
      <c r="E188" s="129" t="n">
        <v>43252</v>
      </c>
      <c r="F188" s="19" t="s">
        <v>2833</v>
      </c>
      <c r="G188" s="201" t="n">
        <v>0.0025</v>
      </c>
      <c r="H188" s="12" t="s">
        <v>2574</v>
      </c>
      <c r="I188" s="5"/>
      <c r="J188" s="69" t="s">
        <v>1966</v>
      </c>
      <c r="K188" s="202"/>
      <c r="L188" s="185"/>
      <c r="M188" s="185"/>
      <c r="N188" s="185"/>
      <c r="O188" s="181"/>
    </row>
    <row r="189" customFormat="false" ht="22.5" hidden="false" customHeight="false" outlineLevel="0" collapsed="false">
      <c r="A189" s="5" t="n">
        <f aca="false">IF(B189&lt;&gt;"", COUNTA($B$2:B189), "")</f>
        <v>188</v>
      </c>
      <c r="B189" s="125" t="s">
        <v>64</v>
      </c>
      <c r="C189" s="12" t="s">
        <v>2575</v>
      </c>
      <c r="D189" s="12" t="n">
        <v>356</v>
      </c>
      <c r="E189" s="129" t="n">
        <v>43252</v>
      </c>
      <c r="F189" s="19" t="s">
        <v>2576</v>
      </c>
      <c r="G189" s="194" t="s">
        <v>1643</v>
      </c>
      <c r="H189" s="12" t="s">
        <v>2574</v>
      </c>
      <c r="I189" s="5"/>
      <c r="J189" s="69" t="s">
        <v>1966</v>
      </c>
      <c r="K189" s="202"/>
      <c r="L189" s="185"/>
      <c r="M189" s="185"/>
      <c r="N189" s="185"/>
      <c r="O189" s="181"/>
    </row>
    <row r="190" customFormat="false" ht="22.5" hidden="false" customHeight="false" outlineLevel="0" collapsed="false">
      <c r="A190" s="5" t="n">
        <f aca="false">IF(B190&lt;&gt;"", COUNTA($B$2:B190), "")</f>
        <v>189</v>
      </c>
      <c r="B190" s="125" t="s">
        <v>64</v>
      </c>
      <c r="C190" s="12" t="s">
        <v>2577</v>
      </c>
      <c r="D190" s="12" t="n">
        <v>2444276</v>
      </c>
      <c r="E190" s="129" t="n">
        <v>43282</v>
      </c>
      <c r="F190" s="19" t="s">
        <v>2578</v>
      </c>
      <c r="G190" s="194"/>
      <c r="H190" s="12" t="s">
        <v>2579</v>
      </c>
      <c r="I190" s="5"/>
      <c r="J190" s="69" t="s">
        <v>1966</v>
      </c>
      <c r="K190" s="185"/>
      <c r="L190" s="185"/>
      <c r="M190" s="185"/>
      <c r="N190" s="185"/>
      <c r="O190" s="181"/>
    </row>
    <row r="191" customFormat="false" ht="22.5" hidden="false" customHeight="false" outlineLevel="0" collapsed="false">
      <c r="A191" s="5" t="n">
        <f aca="false">IF(B191&lt;&gt;"", COUNTA($B$2:B191), "")</f>
        <v>190</v>
      </c>
      <c r="B191" s="125" t="s">
        <v>64</v>
      </c>
      <c r="C191" s="12" t="s">
        <v>2577</v>
      </c>
      <c r="D191" s="12" t="n">
        <v>2443189</v>
      </c>
      <c r="E191" s="129" t="n">
        <v>43282</v>
      </c>
      <c r="F191" s="19" t="s">
        <v>2578</v>
      </c>
      <c r="G191" s="194"/>
      <c r="H191" s="12" t="s">
        <v>2580</v>
      </c>
      <c r="I191" s="5"/>
      <c r="J191" s="69" t="s">
        <v>1966</v>
      </c>
      <c r="K191" s="185"/>
      <c r="L191" s="185"/>
      <c r="M191" s="185"/>
      <c r="N191" s="185"/>
      <c r="O191" s="181"/>
    </row>
    <row r="192" customFormat="false" ht="22.5" hidden="false" customHeight="false" outlineLevel="0" collapsed="false">
      <c r="A192" s="5" t="n">
        <f aca="false">IF(B192&lt;&gt;"", COUNTA($B$2:B192), "")</f>
        <v>191</v>
      </c>
      <c r="B192" s="125" t="s">
        <v>64</v>
      </c>
      <c r="C192" s="12" t="s">
        <v>2577</v>
      </c>
      <c r="D192" s="12" t="n">
        <v>2444559</v>
      </c>
      <c r="E192" s="129" t="n">
        <v>43282</v>
      </c>
      <c r="F192" s="19" t="s">
        <v>2578</v>
      </c>
      <c r="G192" s="194"/>
      <c r="H192" s="12" t="s">
        <v>2581</v>
      </c>
      <c r="I192" s="5"/>
      <c r="J192" s="69" t="s">
        <v>1966</v>
      </c>
      <c r="K192" s="185"/>
      <c r="L192" s="185"/>
      <c r="M192" s="185"/>
      <c r="N192" s="185"/>
      <c r="O192" s="181"/>
    </row>
    <row r="193" customFormat="false" ht="22.5" hidden="false" customHeight="false" outlineLevel="0" collapsed="false">
      <c r="A193" s="5" t="n">
        <f aca="false">IF(B193&lt;&gt;"", COUNTA($B$2:B193), "")</f>
        <v>192</v>
      </c>
      <c r="B193" s="125" t="s">
        <v>64</v>
      </c>
      <c r="C193" s="12" t="s">
        <v>2577</v>
      </c>
      <c r="D193" s="12" t="n">
        <v>2444274</v>
      </c>
      <c r="E193" s="129" t="n">
        <v>43282</v>
      </c>
      <c r="F193" s="19" t="s">
        <v>2578</v>
      </c>
      <c r="G193" s="194"/>
      <c r="H193" s="12" t="s">
        <v>2582</v>
      </c>
      <c r="I193" s="5"/>
      <c r="J193" s="69" t="s">
        <v>1966</v>
      </c>
      <c r="K193" s="185"/>
      <c r="L193" s="185"/>
      <c r="M193" s="185"/>
      <c r="N193" s="185"/>
      <c r="O193" s="181"/>
    </row>
    <row r="194" customFormat="false" ht="22.5" hidden="false" customHeight="false" outlineLevel="0" collapsed="false">
      <c r="A194" s="5" t="n">
        <f aca="false">IF(B194&lt;&gt;"", COUNTA($B$2:B194), "")</f>
        <v>193</v>
      </c>
      <c r="B194" s="125" t="s">
        <v>64</v>
      </c>
      <c r="C194" s="12" t="s">
        <v>2577</v>
      </c>
      <c r="D194" s="12" t="n">
        <v>2444561</v>
      </c>
      <c r="E194" s="129" t="n">
        <v>43282</v>
      </c>
      <c r="F194" s="19" t="s">
        <v>2578</v>
      </c>
      <c r="G194" s="194"/>
      <c r="H194" s="12" t="s">
        <v>2583</v>
      </c>
      <c r="I194" s="5"/>
      <c r="J194" s="69" t="s">
        <v>1966</v>
      </c>
      <c r="K194" s="185"/>
      <c r="L194" s="185"/>
      <c r="M194" s="185"/>
      <c r="N194" s="185"/>
      <c r="O194" s="181"/>
    </row>
    <row r="195" customFormat="false" ht="22.5" hidden="false" customHeight="false" outlineLevel="0" collapsed="false">
      <c r="A195" s="5" t="n">
        <f aca="false">IF(B195&lt;&gt;"", COUNTA($B$2:B195), "")</f>
        <v>194</v>
      </c>
      <c r="B195" s="125" t="s">
        <v>64</v>
      </c>
      <c r="C195" s="12" t="s">
        <v>2577</v>
      </c>
      <c r="D195" s="12" t="n">
        <v>2443188</v>
      </c>
      <c r="E195" s="129" t="n">
        <v>43282</v>
      </c>
      <c r="F195" s="19" t="s">
        <v>2578</v>
      </c>
      <c r="G195" s="194"/>
      <c r="H195" s="12" t="s">
        <v>2584</v>
      </c>
      <c r="I195" s="5"/>
      <c r="J195" s="69" t="s">
        <v>1966</v>
      </c>
      <c r="K195" s="185"/>
      <c r="L195" s="185"/>
      <c r="M195" s="185"/>
      <c r="N195" s="185"/>
      <c r="O195" s="181"/>
    </row>
    <row r="196" customFormat="false" ht="22.5" hidden="false" customHeight="false" outlineLevel="0" collapsed="false">
      <c r="A196" s="5" t="n">
        <f aca="false">IF(B196&lt;&gt;"", COUNTA($B$2:B196), "")</f>
        <v>195</v>
      </c>
      <c r="B196" s="5" t="s">
        <v>2585</v>
      </c>
      <c r="C196" s="12" t="s">
        <v>2586</v>
      </c>
      <c r="D196" s="5" t="n">
        <v>22326</v>
      </c>
      <c r="E196" s="191" t="n">
        <v>43282</v>
      </c>
      <c r="F196" s="8" t="s">
        <v>2587</v>
      </c>
      <c r="G196" s="152"/>
      <c r="H196" s="5" t="s">
        <v>2588</v>
      </c>
      <c r="I196" s="5"/>
      <c r="J196" s="69" t="s">
        <v>1966</v>
      </c>
      <c r="K196" s="185"/>
      <c r="L196" s="185"/>
      <c r="M196" s="185"/>
      <c r="N196" s="185"/>
      <c r="O196" s="181"/>
    </row>
    <row r="197" customFormat="false" ht="22.5" hidden="false" customHeight="false" outlineLevel="0" collapsed="false">
      <c r="A197" s="5" t="n">
        <f aca="false">IF(B197&lt;&gt;"", COUNTA($B$2:B197), "")</f>
        <v>196</v>
      </c>
      <c r="B197" s="5" t="s">
        <v>2585</v>
      </c>
      <c r="C197" s="12" t="s">
        <v>2586</v>
      </c>
      <c r="D197" s="5" t="n">
        <v>22329</v>
      </c>
      <c r="E197" s="191" t="n">
        <v>43282</v>
      </c>
      <c r="F197" s="8" t="s">
        <v>2587</v>
      </c>
      <c r="G197" s="152"/>
      <c r="H197" s="5" t="s">
        <v>2589</v>
      </c>
      <c r="I197" s="5"/>
      <c r="J197" s="69" t="s">
        <v>1966</v>
      </c>
      <c r="K197" s="185"/>
      <c r="L197" s="185"/>
      <c r="M197" s="185"/>
      <c r="N197" s="185"/>
      <c r="O197" s="181"/>
    </row>
    <row r="198" customFormat="false" ht="22.5" hidden="false" customHeight="false" outlineLevel="0" collapsed="false">
      <c r="A198" s="5" t="n">
        <f aca="false">IF(B198&lt;&gt;"", COUNTA($B$2:B198), "")</f>
        <v>197</v>
      </c>
      <c r="B198" s="124" t="s">
        <v>64</v>
      </c>
      <c r="C198" s="5" t="s">
        <v>2534</v>
      </c>
      <c r="D198" s="5" t="n">
        <v>596</v>
      </c>
      <c r="E198" s="191" t="n">
        <v>43252</v>
      </c>
      <c r="F198" s="19" t="s">
        <v>2535</v>
      </c>
      <c r="G198" s="152"/>
      <c r="H198" s="12" t="s">
        <v>2591</v>
      </c>
      <c r="I198" s="5"/>
      <c r="J198" s="69" t="s">
        <v>1966</v>
      </c>
      <c r="K198" s="185"/>
      <c r="L198" s="185"/>
      <c r="M198" s="185"/>
      <c r="N198" s="185"/>
      <c r="O198" s="181"/>
    </row>
    <row r="199" customFormat="false" ht="22.5" hidden="false" customHeight="false" outlineLevel="0" collapsed="false">
      <c r="A199" s="5" t="n">
        <f aca="false">IF(B199&lt;&gt;"", COUNTA($B$2:B199), "")</f>
        <v>198</v>
      </c>
      <c r="B199" s="5" t="s">
        <v>1064</v>
      </c>
      <c r="C199" s="12" t="s">
        <v>2592</v>
      </c>
      <c r="D199" s="5" t="s">
        <v>2834</v>
      </c>
      <c r="E199" s="5" t="n">
        <v>2018</v>
      </c>
      <c r="F199" s="8" t="s">
        <v>2594</v>
      </c>
      <c r="G199" s="152"/>
      <c r="H199" s="5" t="s">
        <v>2595</v>
      </c>
      <c r="I199" s="5" t="s">
        <v>1024</v>
      </c>
      <c r="J199" s="69" t="s">
        <v>1966</v>
      </c>
      <c r="K199" s="185"/>
      <c r="L199" s="185"/>
      <c r="M199" s="185"/>
      <c r="N199" s="185"/>
      <c r="O199" s="199" t="s">
        <v>2596</v>
      </c>
    </row>
    <row r="200" customFormat="false" ht="22.5" hidden="false" customHeight="false" outlineLevel="0" collapsed="false">
      <c r="A200" s="5" t="n">
        <f aca="false">IF(B200&lt;&gt;"", COUNTA($B$2:B200), "")</f>
        <v>199</v>
      </c>
      <c r="B200" s="5" t="s">
        <v>1064</v>
      </c>
      <c r="C200" s="12" t="s">
        <v>2592</v>
      </c>
      <c r="D200" s="5" t="s">
        <v>2835</v>
      </c>
      <c r="E200" s="5" t="n">
        <v>2018</v>
      </c>
      <c r="F200" s="8" t="s">
        <v>2594</v>
      </c>
      <c r="G200" s="152"/>
      <c r="H200" s="5" t="s">
        <v>2598</v>
      </c>
      <c r="I200" s="5" t="s">
        <v>1024</v>
      </c>
      <c r="J200" s="69" t="s">
        <v>1966</v>
      </c>
      <c r="K200" s="185"/>
      <c r="L200" s="185"/>
      <c r="M200" s="185"/>
      <c r="N200" s="185"/>
      <c r="O200" s="199" t="s">
        <v>2596</v>
      </c>
    </row>
    <row r="201" customFormat="false" ht="22.5" hidden="false" customHeight="false" outlineLevel="0" collapsed="false">
      <c r="A201" s="5" t="n">
        <f aca="false">IF(B201&lt;&gt;"", COUNTA($B$2:B201), "")</f>
        <v>200</v>
      </c>
      <c r="B201" s="5" t="s">
        <v>1064</v>
      </c>
      <c r="C201" s="12" t="s">
        <v>2592</v>
      </c>
      <c r="D201" s="5" t="s">
        <v>2836</v>
      </c>
      <c r="E201" s="5" t="n">
        <v>2018</v>
      </c>
      <c r="F201" s="8" t="s">
        <v>2594</v>
      </c>
      <c r="G201" s="152"/>
      <c r="H201" s="5" t="s">
        <v>2600</v>
      </c>
      <c r="I201" s="5" t="s">
        <v>1024</v>
      </c>
      <c r="J201" s="69" t="s">
        <v>1966</v>
      </c>
      <c r="K201" s="185"/>
      <c r="L201" s="185"/>
      <c r="M201" s="185"/>
      <c r="N201" s="185"/>
      <c r="O201" s="199" t="s">
        <v>2596</v>
      </c>
    </row>
    <row r="202" customFormat="false" ht="22.5" hidden="false" customHeight="false" outlineLevel="0" collapsed="false">
      <c r="A202" s="5" t="n">
        <f aca="false">IF(B202&lt;&gt;"", COUNTA($B$2:B202), "")</f>
        <v>201</v>
      </c>
      <c r="B202" s="5" t="s">
        <v>1064</v>
      </c>
      <c r="C202" s="12" t="s">
        <v>2592</v>
      </c>
      <c r="D202" s="5" t="s">
        <v>2837</v>
      </c>
      <c r="E202" s="5" t="n">
        <v>2018</v>
      </c>
      <c r="F202" s="8" t="s">
        <v>2594</v>
      </c>
      <c r="G202" s="152"/>
      <c r="H202" s="5" t="s">
        <v>2602</v>
      </c>
      <c r="I202" s="5" t="s">
        <v>1024</v>
      </c>
      <c r="J202" s="69" t="s">
        <v>1966</v>
      </c>
      <c r="K202" s="185"/>
      <c r="L202" s="185"/>
      <c r="M202" s="185"/>
      <c r="N202" s="185"/>
      <c r="O202" s="199" t="s">
        <v>2596</v>
      </c>
    </row>
    <row r="203" customFormat="false" ht="22.5" hidden="false" customHeight="false" outlineLevel="0" collapsed="false">
      <c r="A203" s="5" t="n">
        <f aca="false">IF(B203&lt;&gt;"", COUNTA($B$2:B203), "")</f>
        <v>202</v>
      </c>
      <c r="B203" s="5" t="s">
        <v>1064</v>
      </c>
      <c r="C203" s="12" t="s">
        <v>2592</v>
      </c>
      <c r="D203" s="5" t="s">
        <v>2838</v>
      </c>
      <c r="E203" s="5" t="n">
        <v>2018</v>
      </c>
      <c r="F203" s="8" t="s">
        <v>2594</v>
      </c>
      <c r="G203" s="152"/>
      <c r="H203" s="5" t="s">
        <v>2604</v>
      </c>
      <c r="I203" s="5" t="s">
        <v>1024</v>
      </c>
      <c r="J203" s="69" t="s">
        <v>1966</v>
      </c>
      <c r="K203" s="185"/>
      <c r="L203" s="185"/>
      <c r="M203" s="185"/>
      <c r="N203" s="185"/>
      <c r="O203" s="199" t="s">
        <v>2596</v>
      </c>
    </row>
    <row r="204" customFormat="false" ht="22.5" hidden="false" customHeight="false" outlineLevel="0" collapsed="false">
      <c r="A204" s="5" t="n">
        <f aca="false">IF(B204&lt;&gt;"", COUNTA($B$2:B204), "")</f>
        <v>203</v>
      </c>
      <c r="B204" s="5" t="s">
        <v>1064</v>
      </c>
      <c r="C204" s="12" t="s">
        <v>2592</v>
      </c>
      <c r="D204" s="5" t="s">
        <v>2839</v>
      </c>
      <c r="E204" s="5" t="n">
        <v>2018</v>
      </c>
      <c r="F204" s="8" t="s">
        <v>2594</v>
      </c>
      <c r="G204" s="152"/>
      <c r="H204" s="5" t="s">
        <v>2606</v>
      </c>
      <c r="I204" s="5" t="s">
        <v>1024</v>
      </c>
      <c r="J204" s="69" t="s">
        <v>1966</v>
      </c>
      <c r="K204" s="185"/>
      <c r="L204" s="185"/>
      <c r="M204" s="185"/>
      <c r="N204" s="185"/>
      <c r="O204" s="199" t="s">
        <v>2596</v>
      </c>
    </row>
    <row r="205" customFormat="false" ht="22.5" hidden="false" customHeight="false" outlineLevel="0" collapsed="false">
      <c r="A205" s="5" t="n">
        <f aca="false">IF(B205&lt;&gt;"", COUNTA($B$2:B205), "")</f>
        <v>204</v>
      </c>
      <c r="B205" s="5" t="s">
        <v>1064</v>
      </c>
      <c r="C205" s="12" t="s">
        <v>2592</v>
      </c>
      <c r="D205" s="5" t="s">
        <v>2840</v>
      </c>
      <c r="E205" s="5" t="n">
        <v>2018</v>
      </c>
      <c r="F205" s="8" t="s">
        <v>2594</v>
      </c>
      <c r="G205" s="152"/>
      <c r="H205" s="5" t="s">
        <v>2608</v>
      </c>
      <c r="I205" s="5" t="s">
        <v>1024</v>
      </c>
      <c r="J205" s="69" t="s">
        <v>1966</v>
      </c>
      <c r="K205" s="185"/>
      <c r="L205" s="185"/>
      <c r="M205" s="185"/>
      <c r="N205" s="185"/>
      <c r="O205" s="199" t="s">
        <v>2596</v>
      </c>
    </row>
    <row r="206" customFormat="false" ht="22.5" hidden="false" customHeight="false" outlineLevel="0" collapsed="false">
      <c r="A206" s="5" t="n">
        <f aca="false">IF(B206&lt;&gt;"", COUNTA($B$2:B206), "")</f>
        <v>205</v>
      </c>
      <c r="B206" s="5" t="s">
        <v>1064</v>
      </c>
      <c r="C206" s="12" t="s">
        <v>2592</v>
      </c>
      <c r="D206" s="5" t="s">
        <v>2841</v>
      </c>
      <c r="E206" s="5" t="n">
        <v>2018</v>
      </c>
      <c r="F206" s="8" t="s">
        <v>2594</v>
      </c>
      <c r="G206" s="152"/>
      <c r="H206" s="5" t="s">
        <v>2610</v>
      </c>
      <c r="I206" s="5" t="s">
        <v>1024</v>
      </c>
      <c r="J206" s="69" t="s">
        <v>1966</v>
      </c>
      <c r="K206" s="185"/>
      <c r="L206" s="185"/>
      <c r="M206" s="185"/>
      <c r="N206" s="185"/>
      <c r="O206" s="199" t="s">
        <v>2596</v>
      </c>
    </row>
    <row r="207" s="208" customFormat="true" ht="22.5" hidden="false" customHeight="false" outlineLevel="0" collapsed="false">
      <c r="A207" s="5" t="n">
        <f aca="false">IF(B207&lt;&gt;"", COUNTA($B$2:B207), "")</f>
        <v>206</v>
      </c>
      <c r="B207" s="61" t="s">
        <v>1409</v>
      </c>
      <c r="C207" s="203" t="s">
        <v>2611</v>
      </c>
      <c r="D207" s="61"/>
      <c r="E207" s="61" t="n">
        <v>2018</v>
      </c>
      <c r="F207" s="5" t="s">
        <v>214</v>
      </c>
      <c r="G207" s="204"/>
      <c r="H207" s="61" t="s">
        <v>2612</v>
      </c>
      <c r="I207" s="61" t="s">
        <v>1024</v>
      </c>
      <c r="J207" s="205" t="s">
        <v>1966</v>
      </c>
      <c r="K207" s="206"/>
      <c r="L207" s="206"/>
      <c r="M207" s="206"/>
      <c r="N207" s="206"/>
      <c r="O207" s="207" t="s">
        <v>2842</v>
      </c>
    </row>
    <row r="208" s="208" customFormat="true" ht="22.5" hidden="false" customHeight="false" outlineLevel="0" collapsed="false">
      <c r="A208" s="5" t="n">
        <f aca="false">IF(B208&lt;&gt;"", COUNTA($B$2:B208), "")</f>
        <v>207</v>
      </c>
      <c r="B208" s="61" t="s">
        <v>1409</v>
      </c>
      <c r="C208" s="203" t="s">
        <v>2611</v>
      </c>
      <c r="D208" s="61"/>
      <c r="E208" s="61" t="n">
        <v>2019</v>
      </c>
      <c r="F208" s="5" t="s">
        <v>214</v>
      </c>
      <c r="G208" s="204"/>
      <c r="H208" s="61" t="s">
        <v>2614</v>
      </c>
      <c r="I208" s="61" t="s">
        <v>1024</v>
      </c>
      <c r="J208" s="205" t="s">
        <v>1966</v>
      </c>
      <c r="K208" s="206"/>
      <c r="L208" s="206"/>
      <c r="M208" s="206"/>
      <c r="N208" s="206"/>
      <c r="O208" s="207" t="s">
        <v>2842</v>
      </c>
    </row>
    <row r="209" customFormat="false" ht="22.5" hidden="false" customHeight="false" outlineLevel="0" collapsed="false">
      <c r="A209" s="5" t="n">
        <f aca="false">IF(B209&lt;&gt;"", COUNTA($B$2:B209), "")</f>
        <v>208</v>
      </c>
      <c r="B209" s="5" t="s">
        <v>2394</v>
      </c>
      <c r="C209" s="12" t="s">
        <v>2615</v>
      </c>
      <c r="D209" s="5" t="s">
        <v>2843</v>
      </c>
      <c r="E209" s="5" t="n">
        <v>2018</v>
      </c>
      <c r="F209" s="5" t="s">
        <v>2150</v>
      </c>
      <c r="G209" s="152"/>
      <c r="H209" s="5" t="s">
        <v>2617</v>
      </c>
      <c r="I209" s="5" t="s">
        <v>1024</v>
      </c>
      <c r="J209" s="69" t="s">
        <v>1966</v>
      </c>
      <c r="K209" s="185"/>
      <c r="L209" s="185"/>
      <c r="M209" s="185"/>
      <c r="N209" s="185"/>
      <c r="O209" s="181"/>
    </row>
    <row r="210" customFormat="false" ht="22.5" hidden="false" customHeight="false" outlineLevel="0" collapsed="false">
      <c r="A210" s="5" t="n">
        <f aca="false">IF(B210&lt;&gt;"", COUNTA($B$2:B210), "")</f>
        <v>209</v>
      </c>
      <c r="B210" s="5" t="s">
        <v>2394</v>
      </c>
      <c r="C210" s="12" t="s">
        <v>2615</v>
      </c>
      <c r="D210" s="5" t="s">
        <v>2844</v>
      </c>
      <c r="E210" s="5" t="n">
        <v>2018</v>
      </c>
      <c r="F210" s="5" t="s">
        <v>251</v>
      </c>
      <c r="G210" s="152"/>
      <c r="H210" s="5" t="s">
        <v>2619</v>
      </c>
      <c r="I210" s="5" t="s">
        <v>1024</v>
      </c>
      <c r="J210" s="69" t="s">
        <v>1966</v>
      </c>
      <c r="K210" s="185"/>
      <c r="L210" s="185"/>
      <c r="M210" s="185"/>
      <c r="N210" s="185"/>
      <c r="O210" s="181"/>
    </row>
    <row r="211" customFormat="false" ht="22.5" hidden="false" customHeight="false" outlineLevel="0" collapsed="false">
      <c r="A211" s="5" t="n">
        <f aca="false">IF(B211&lt;&gt;"", COUNTA($B$2:B211), "")</f>
        <v>210</v>
      </c>
      <c r="B211" s="5" t="s">
        <v>2394</v>
      </c>
      <c r="C211" s="12" t="s">
        <v>2615</v>
      </c>
      <c r="D211" s="5" t="s">
        <v>2845</v>
      </c>
      <c r="E211" s="5" t="n">
        <v>2018</v>
      </c>
      <c r="F211" s="5" t="s">
        <v>2150</v>
      </c>
      <c r="G211" s="152"/>
      <c r="H211" s="5" t="s">
        <v>2621</v>
      </c>
      <c r="I211" s="5" t="s">
        <v>1024</v>
      </c>
      <c r="J211" s="69" t="s">
        <v>1966</v>
      </c>
      <c r="K211" s="185"/>
      <c r="L211" s="185"/>
      <c r="M211" s="185"/>
      <c r="N211" s="185"/>
      <c r="O211" s="181"/>
    </row>
    <row r="212" customFormat="false" ht="22.5" hidden="false" customHeight="false" outlineLevel="0" collapsed="false">
      <c r="A212" s="5" t="n">
        <f aca="false">IF(B212&lt;&gt;"", COUNTA($B$2:B212), "")</f>
        <v>211</v>
      </c>
      <c r="B212" s="5" t="s">
        <v>2394</v>
      </c>
      <c r="C212" s="12" t="s">
        <v>2615</v>
      </c>
      <c r="D212" s="5" t="s">
        <v>2846</v>
      </c>
      <c r="E212" s="5" t="n">
        <v>2018</v>
      </c>
      <c r="F212" s="5" t="s">
        <v>251</v>
      </c>
      <c r="G212" s="152"/>
      <c r="H212" s="5" t="s">
        <v>2623</v>
      </c>
      <c r="I212" s="5" t="s">
        <v>1024</v>
      </c>
      <c r="J212" s="69" t="s">
        <v>1966</v>
      </c>
      <c r="K212" s="185"/>
      <c r="L212" s="185"/>
      <c r="M212" s="185"/>
      <c r="N212" s="185"/>
      <c r="O212" s="181"/>
    </row>
    <row r="213" customFormat="false" ht="22.5" hidden="false" customHeight="false" outlineLevel="0" collapsed="false">
      <c r="A213" s="5" t="n">
        <f aca="false">IF(B213&lt;&gt;"", COUNTA($B$2:B213), "")</f>
        <v>212</v>
      </c>
      <c r="B213" s="5" t="s">
        <v>2394</v>
      </c>
      <c r="C213" s="12" t="s">
        <v>2615</v>
      </c>
      <c r="D213" s="5" t="s">
        <v>2847</v>
      </c>
      <c r="E213" s="5" t="n">
        <v>2018</v>
      </c>
      <c r="F213" s="5" t="s">
        <v>2150</v>
      </c>
      <c r="G213" s="152"/>
      <c r="H213" s="5" t="s">
        <v>2625</v>
      </c>
      <c r="I213" s="5" t="s">
        <v>1024</v>
      </c>
      <c r="J213" s="69" t="s">
        <v>1966</v>
      </c>
      <c r="K213" s="185"/>
      <c r="L213" s="185"/>
      <c r="M213" s="185"/>
      <c r="N213" s="185"/>
      <c r="O213" s="181"/>
    </row>
    <row r="214" customFormat="false" ht="22.5" hidden="false" customHeight="false" outlineLevel="0" collapsed="false">
      <c r="A214" s="5" t="n">
        <f aca="false">IF(B214&lt;&gt;"", COUNTA($B$2:B214), "")</f>
        <v>213</v>
      </c>
      <c r="B214" s="5" t="s">
        <v>2394</v>
      </c>
      <c r="C214" s="12" t="s">
        <v>2615</v>
      </c>
      <c r="D214" s="5" t="s">
        <v>2848</v>
      </c>
      <c r="E214" s="5" t="n">
        <v>2018</v>
      </c>
      <c r="F214" s="5" t="s">
        <v>2150</v>
      </c>
      <c r="G214" s="152"/>
      <c r="H214" s="5" t="s">
        <v>2627</v>
      </c>
      <c r="I214" s="5" t="s">
        <v>1024</v>
      </c>
      <c r="J214" s="69" t="s">
        <v>1966</v>
      </c>
      <c r="K214" s="185"/>
      <c r="L214" s="185"/>
      <c r="M214" s="185"/>
      <c r="N214" s="185"/>
      <c r="O214" s="181"/>
    </row>
    <row r="215" customFormat="false" ht="22.5" hidden="false" customHeight="false" outlineLevel="0" collapsed="false">
      <c r="A215" s="5" t="n">
        <f aca="false">IF(B215&lt;&gt;"", COUNTA($B$2:B215), "")</f>
        <v>214</v>
      </c>
      <c r="B215" s="5" t="s">
        <v>2394</v>
      </c>
      <c r="C215" s="12" t="s">
        <v>2615</v>
      </c>
      <c r="D215" s="5" t="s">
        <v>2849</v>
      </c>
      <c r="E215" s="5" t="n">
        <v>2018</v>
      </c>
      <c r="F215" s="5" t="s">
        <v>2629</v>
      </c>
      <c r="G215" s="152"/>
      <c r="H215" s="5" t="s">
        <v>2630</v>
      </c>
      <c r="I215" s="5" t="s">
        <v>1024</v>
      </c>
      <c r="J215" s="69" t="s">
        <v>1966</v>
      </c>
      <c r="K215" s="185"/>
      <c r="L215" s="185"/>
      <c r="M215" s="185"/>
      <c r="N215" s="185"/>
      <c r="O215" s="181"/>
    </row>
    <row r="216" customFormat="false" ht="22.5" hidden="false" customHeight="false" outlineLevel="0" collapsed="false">
      <c r="A216" s="5" t="n">
        <f aca="false">IF(B216&lt;&gt;"", COUNTA($B$2:B216), "")</f>
        <v>215</v>
      </c>
      <c r="B216" s="5" t="s">
        <v>2394</v>
      </c>
      <c r="C216" s="12" t="s">
        <v>2615</v>
      </c>
      <c r="D216" s="5" t="s">
        <v>2850</v>
      </c>
      <c r="E216" s="5" t="n">
        <v>2018</v>
      </c>
      <c r="F216" s="5" t="s">
        <v>192</v>
      </c>
      <c r="G216" s="152"/>
      <c r="H216" s="5" t="s">
        <v>2632</v>
      </c>
      <c r="I216" s="5" t="s">
        <v>1024</v>
      </c>
      <c r="J216" s="69" t="s">
        <v>1966</v>
      </c>
      <c r="K216" s="185"/>
      <c r="L216" s="185"/>
      <c r="M216" s="185"/>
      <c r="N216" s="185"/>
      <c r="O216" s="181"/>
    </row>
    <row r="217" customFormat="false" ht="33.75" hidden="false" customHeight="false" outlineLevel="0" collapsed="false">
      <c r="A217" s="5" t="n">
        <f aca="false">IF(B217&lt;&gt;"", COUNTA($B$2:B217), "")</f>
        <v>216</v>
      </c>
      <c r="B217" s="5" t="s">
        <v>2394</v>
      </c>
      <c r="C217" s="12" t="s">
        <v>2615</v>
      </c>
      <c r="D217" s="5" t="s">
        <v>2851</v>
      </c>
      <c r="E217" s="5" t="n">
        <v>2018</v>
      </c>
      <c r="F217" s="5" t="s">
        <v>192</v>
      </c>
      <c r="G217" s="152"/>
      <c r="H217" s="5" t="s">
        <v>2634</v>
      </c>
      <c r="I217" s="5" t="s">
        <v>1024</v>
      </c>
      <c r="J217" s="69" t="s">
        <v>1966</v>
      </c>
      <c r="K217" s="185"/>
      <c r="L217" s="185"/>
      <c r="M217" s="185"/>
      <c r="N217" s="185"/>
      <c r="O217" s="181"/>
    </row>
    <row r="218" customFormat="false" ht="22.5" hidden="false" customHeight="false" outlineLevel="0" collapsed="false">
      <c r="A218" s="5" t="n">
        <f aca="false">IF(B218&lt;&gt;"", COUNTA($B$2:B218), "")</f>
        <v>217</v>
      </c>
      <c r="B218" s="5" t="s">
        <v>2394</v>
      </c>
      <c r="C218" s="12" t="s">
        <v>2615</v>
      </c>
      <c r="D218" s="5" t="s">
        <v>2852</v>
      </c>
      <c r="E218" s="5" t="n">
        <v>2018</v>
      </c>
      <c r="F218" s="5" t="s">
        <v>260</v>
      </c>
      <c r="G218" s="152"/>
      <c r="H218" s="5" t="s">
        <v>2636</v>
      </c>
      <c r="I218" s="5" t="s">
        <v>1024</v>
      </c>
      <c r="J218" s="69" t="s">
        <v>1966</v>
      </c>
      <c r="K218" s="185"/>
      <c r="L218" s="185"/>
      <c r="M218" s="185"/>
      <c r="N218" s="185"/>
      <c r="O218" s="181"/>
    </row>
    <row r="219" customFormat="false" ht="22.5" hidden="false" customHeight="false" outlineLevel="0" collapsed="false">
      <c r="A219" s="5" t="n">
        <f aca="false">IF(B219&lt;&gt;"", COUNTA($B$2:B219), "")</f>
        <v>218</v>
      </c>
      <c r="B219" s="5" t="s">
        <v>2394</v>
      </c>
      <c r="C219" s="12" t="s">
        <v>2615</v>
      </c>
      <c r="D219" s="5" t="s">
        <v>2853</v>
      </c>
      <c r="E219" s="5" t="n">
        <v>2018</v>
      </c>
      <c r="F219" s="5" t="s">
        <v>260</v>
      </c>
      <c r="G219" s="152"/>
      <c r="H219" s="5" t="s">
        <v>2638</v>
      </c>
      <c r="I219" s="5" t="s">
        <v>1024</v>
      </c>
      <c r="J219" s="69" t="s">
        <v>1966</v>
      </c>
      <c r="K219" s="185"/>
      <c r="L219" s="185"/>
      <c r="M219" s="185"/>
      <c r="N219" s="185"/>
      <c r="O219" s="181"/>
    </row>
    <row r="220" customFormat="false" ht="22.5" hidden="false" customHeight="false" outlineLevel="0" collapsed="false">
      <c r="A220" s="5" t="n">
        <f aca="false">IF(B220&lt;&gt;"", COUNTA($B$2:B220), "")</f>
        <v>219</v>
      </c>
      <c r="B220" s="5" t="s">
        <v>2394</v>
      </c>
      <c r="C220" s="12" t="s">
        <v>2615</v>
      </c>
      <c r="D220" s="5" t="s">
        <v>2854</v>
      </c>
      <c r="E220" s="5" t="n">
        <v>2018</v>
      </c>
      <c r="F220" s="5" t="s">
        <v>2640</v>
      </c>
      <c r="G220" s="152"/>
      <c r="H220" s="5" t="s">
        <v>2641</v>
      </c>
      <c r="I220" s="5" t="s">
        <v>1024</v>
      </c>
      <c r="J220" s="69" t="s">
        <v>1966</v>
      </c>
      <c r="K220" s="185"/>
      <c r="L220" s="185"/>
      <c r="M220" s="185"/>
      <c r="N220" s="185"/>
      <c r="O220" s="181"/>
    </row>
    <row r="221" customFormat="false" ht="22.5" hidden="false" customHeight="false" outlineLevel="0" collapsed="false">
      <c r="A221" s="5" t="n">
        <f aca="false">IF(B221&lt;&gt;"", COUNTA($B$2:B221), "")</f>
        <v>220</v>
      </c>
      <c r="B221" s="5" t="s">
        <v>2394</v>
      </c>
      <c r="C221" s="12" t="s">
        <v>2615</v>
      </c>
      <c r="D221" s="5" t="s">
        <v>2855</v>
      </c>
      <c r="E221" s="5" t="n">
        <v>2018</v>
      </c>
      <c r="F221" s="5" t="s">
        <v>271</v>
      </c>
      <c r="G221" s="152"/>
      <c r="H221" s="5" t="s">
        <v>2643</v>
      </c>
      <c r="I221" s="5" t="s">
        <v>1024</v>
      </c>
      <c r="J221" s="69" t="s">
        <v>1966</v>
      </c>
      <c r="K221" s="185"/>
      <c r="L221" s="185"/>
      <c r="M221" s="185"/>
      <c r="N221" s="185"/>
      <c r="O221" s="181"/>
    </row>
    <row r="222" customFormat="false" ht="22.5" hidden="false" customHeight="false" outlineLevel="0" collapsed="false">
      <c r="A222" s="5" t="n">
        <f aca="false">IF(B222&lt;&gt;"", COUNTA($B$2:B222), "")</f>
        <v>221</v>
      </c>
      <c r="B222" s="5" t="s">
        <v>2394</v>
      </c>
      <c r="C222" s="12" t="s">
        <v>2615</v>
      </c>
      <c r="D222" s="5" t="s">
        <v>2856</v>
      </c>
      <c r="E222" s="5" t="n">
        <v>2018</v>
      </c>
      <c r="F222" s="5" t="s">
        <v>2645</v>
      </c>
      <c r="G222" s="152"/>
      <c r="H222" s="5" t="s">
        <v>2646</v>
      </c>
      <c r="I222" s="5" t="s">
        <v>1024</v>
      </c>
      <c r="J222" s="69" t="s">
        <v>1966</v>
      </c>
      <c r="K222" s="185"/>
      <c r="L222" s="185"/>
      <c r="M222" s="185"/>
      <c r="N222" s="185"/>
      <c r="O222" s="181"/>
    </row>
    <row r="223" customFormat="false" ht="22.5" hidden="false" customHeight="false" outlineLevel="0" collapsed="false">
      <c r="A223" s="5" t="n">
        <f aca="false">IF(B223&lt;&gt;"", COUNTA($B$2:B223), "")</f>
        <v>222</v>
      </c>
      <c r="B223" s="124" t="s">
        <v>64</v>
      </c>
      <c r="C223" s="12" t="s">
        <v>2548</v>
      </c>
      <c r="D223" s="123" t="n">
        <v>23</v>
      </c>
      <c r="E223" s="196" t="n">
        <v>43222</v>
      </c>
      <c r="F223" s="19" t="s">
        <v>2528</v>
      </c>
      <c r="G223" s="123"/>
      <c r="H223" s="5" t="s">
        <v>2647</v>
      </c>
      <c r="I223" s="5"/>
      <c r="J223" s="5" t="s">
        <v>1966</v>
      </c>
      <c r="K223" s="5"/>
      <c r="L223" s="5"/>
      <c r="M223" s="6"/>
      <c r="N223" s="5"/>
      <c r="O223" s="186"/>
    </row>
    <row r="224" customFormat="false" ht="22.5" hidden="false" customHeight="false" outlineLevel="0" collapsed="false">
      <c r="A224" s="5" t="n">
        <f aca="false">IF(B224&lt;&gt;"", COUNTA($B$2:B224), "")</f>
        <v>223</v>
      </c>
      <c r="B224" s="125" t="s">
        <v>64</v>
      </c>
      <c r="C224" s="12" t="s">
        <v>2648</v>
      </c>
      <c r="D224" s="12" t="n">
        <v>360</v>
      </c>
      <c r="E224" s="19" t="s">
        <v>2590</v>
      </c>
      <c r="F224" s="19" t="s">
        <v>2576</v>
      </c>
      <c r="G224" s="201" t="n">
        <v>0.0025</v>
      </c>
      <c r="H224" s="12" t="s">
        <v>2649</v>
      </c>
      <c r="I224" s="5" t="s">
        <v>2773</v>
      </c>
      <c r="J224" s="5" t="s">
        <v>1966</v>
      </c>
      <c r="K224" s="5"/>
      <c r="L224" s="5"/>
      <c r="M224" s="152"/>
      <c r="N224" s="5"/>
      <c r="O224" s="186"/>
    </row>
    <row r="225" customFormat="false" ht="33.75" hidden="false" customHeight="false" outlineLevel="0" collapsed="false">
      <c r="A225" s="5" t="n">
        <f aca="false">IF(B225&lt;&gt;"", COUNTA($B$2:B225), "")</f>
        <v>224</v>
      </c>
      <c r="B225" s="12" t="s">
        <v>2650</v>
      </c>
      <c r="C225" s="12" t="s">
        <v>2390</v>
      </c>
      <c r="D225" s="187" t="n">
        <v>15312</v>
      </c>
      <c r="E225" s="5" t="n">
        <v>2021</v>
      </c>
      <c r="F225" s="6"/>
      <c r="G225" s="12"/>
      <c r="H225" s="12" t="s">
        <v>2392</v>
      </c>
      <c r="I225" s="5" t="s">
        <v>2651</v>
      </c>
      <c r="J225" s="5" t="s">
        <v>1966</v>
      </c>
      <c r="K225" s="5"/>
      <c r="L225" s="5" t="n">
        <v>60</v>
      </c>
      <c r="M225" s="6"/>
      <c r="N225" s="5"/>
      <c r="O225" s="181"/>
    </row>
    <row r="226" customFormat="false" ht="33.75" hidden="false" customHeight="false" outlineLevel="0" collapsed="false">
      <c r="A226" s="5" t="n">
        <f aca="false">IF(B226&lt;&gt;"", COUNTA($B$2:B226), "")</f>
        <v>225</v>
      </c>
      <c r="B226" s="12" t="s">
        <v>2650</v>
      </c>
      <c r="C226" s="12" t="s">
        <v>2390</v>
      </c>
      <c r="D226" s="209" t="n">
        <v>15316</v>
      </c>
      <c r="E226" s="5" t="n">
        <v>2021</v>
      </c>
      <c r="F226" s="6"/>
      <c r="G226" s="12"/>
      <c r="H226" s="12" t="s">
        <v>2392</v>
      </c>
      <c r="I226" s="5" t="s">
        <v>2652</v>
      </c>
      <c r="J226" s="5" t="s">
        <v>1966</v>
      </c>
      <c r="K226" s="5"/>
      <c r="L226" s="5" t="n">
        <v>61</v>
      </c>
      <c r="M226" s="6"/>
      <c r="N226" s="5"/>
      <c r="O226" s="181"/>
    </row>
    <row r="227" customFormat="false" ht="33.75" hidden="false" customHeight="false" outlineLevel="0" collapsed="false">
      <c r="A227" s="5" t="n">
        <f aca="false">IF(B227&lt;&gt;"", COUNTA($B$2:B227), "")</f>
        <v>226</v>
      </c>
      <c r="B227" s="12" t="s">
        <v>2650</v>
      </c>
      <c r="C227" s="12" t="s">
        <v>2390</v>
      </c>
      <c r="D227" s="187" t="n">
        <v>15149</v>
      </c>
      <c r="E227" s="5" t="n">
        <v>2021</v>
      </c>
      <c r="F227" s="6"/>
      <c r="G227" s="12"/>
      <c r="H227" s="12" t="s">
        <v>2392</v>
      </c>
      <c r="I227" s="5" t="s">
        <v>1965</v>
      </c>
      <c r="J227" s="5" t="s">
        <v>1966</v>
      </c>
      <c r="K227" s="5"/>
      <c r="L227" s="5" t="n">
        <v>62</v>
      </c>
      <c r="M227" s="6"/>
      <c r="N227" s="5"/>
      <c r="O227" s="181"/>
    </row>
    <row r="228" customFormat="false" ht="33.75" hidden="false" customHeight="false" outlineLevel="0" collapsed="false">
      <c r="A228" s="5" t="n">
        <f aca="false">IF(B228&lt;&gt;"", COUNTA($B$2:B228), "")</f>
        <v>227</v>
      </c>
      <c r="B228" s="12" t="s">
        <v>2650</v>
      </c>
      <c r="C228" s="12" t="s">
        <v>2390</v>
      </c>
      <c r="D228" s="209" t="n">
        <v>15157</v>
      </c>
      <c r="E228" s="5" t="n">
        <v>2021</v>
      </c>
      <c r="F228" s="6"/>
      <c r="G228" s="12"/>
      <c r="H228" s="12" t="s">
        <v>2392</v>
      </c>
      <c r="I228" s="5" t="s">
        <v>1965</v>
      </c>
      <c r="J228" s="5" t="s">
        <v>1966</v>
      </c>
      <c r="K228" s="5"/>
      <c r="L228" s="5" t="n">
        <v>63</v>
      </c>
      <c r="M228" s="6"/>
      <c r="N228" s="5"/>
      <c r="O228" s="181"/>
    </row>
    <row r="229" customFormat="false" ht="33.75" hidden="false" customHeight="false" outlineLevel="0" collapsed="false">
      <c r="A229" s="5" t="n">
        <f aca="false">IF(B229&lt;&gt;"", COUNTA($B$2:B229), "")</f>
        <v>228</v>
      </c>
      <c r="B229" s="12" t="s">
        <v>2650</v>
      </c>
      <c r="C229" s="12" t="s">
        <v>2390</v>
      </c>
      <c r="D229" s="187" t="n">
        <v>15080</v>
      </c>
      <c r="E229" s="5" t="n">
        <v>2021</v>
      </c>
      <c r="F229" s="6"/>
      <c r="G229" s="12"/>
      <c r="H229" s="12" t="s">
        <v>2392</v>
      </c>
      <c r="I229" s="5" t="s">
        <v>1965</v>
      </c>
      <c r="J229" s="5" t="s">
        <v>1966</v>
      </c>
      <c r="K229" s="5"/>
      <c r="L229" s="5" t="n">
        <v>64</v>
      </c>
      <c r="M229" s="6"/>
      <c r="N229" s="5"/>
      <c r="O229" s="181"/>
    </row>
  </sheetData>
  <conditionalFormatting sqref="M1:M1048576">
    <cfRule type="expression" priority="2" aboveAverage="0" equalAverage="0" bottom="0" percent="0" rank="0" text="" dxfId="34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O2" activeCellId="0" sqref="O2"/>
    </sheetView>
  </sheetViews>
  <sheetFormatPr defaultColWidth="9.15625" defaultRowHeight="11.25" zeroHeight="false" outlineLevelRow="0" outlineLevelCol="0"/>
  <cols>
    <col collapsed="false" customWidth="true" hidden="false" outlineLevel="0" max="1" min="1" style="72" width="3.14"/>
    <col collapsed="false" customWidth="true" hidden="false" outlineLevel="0" max="2" min="2" style="72" width="21.57"/>
    <col collapsed="false" customWidth="true" hidden="false" outlineLevel="0" max="3" min="3" style="72" width="17.29"/>
    <col collapsed="false" customWidth="true" hidden="false" outlineLevel="0" max="4" min="4" style="72" width="16.29"/>
    <col collapsed="false" customWidth="true" hidden="false" outlineLevel="0" max="5" min="5" style="72" width="6.57"/>
    <col collapsed="false" customWidth="true" hidden="false" outlineLevel="0" max="6" min="6" style="72" width="10.85"/>
    <col collapsed="false" customWidth="true" hidden="false" outlineLevel="0" max="7" min="7" style="72" width="7.42"/>
    <col collapsed="false" customWidth="true" hidden="false" outlineLevel="0" max="8" min="8" style="72" width="20.86"/>
    <col collapsed="false" customWidth="true" hidden="false" outlineLevel="0" max="9" min="9" style="72" width="14.7"/>
    <col collapsed="false" customWidth="true" hidden="false" outlineLevel="0" max="10" min="10" style="72" width="10.42"/>
    <col collapsed="false" customWidth="true" hidden="false" outlineLevel="0" max="11" min="11" style="72" width="8"/>
    <col collapsed="false" customWidth="true" hidden="false" outlineLevel="0" max="12" min="12" style="72" width="9"/>
    <col collapsed="false" customWidth="true" hidden="false" outlineLevel="0" max="13" min="13" style="72" width="8.86"/>
    <col collapsed="false" customWidth="true" hidden="false" outlineLevel="0" max="14" min="14" style="72" width="9"/>
    <col collapsed="false" customWidth="true" hidden="false" outlineLevel="0" max="15" min="15" style="64" width="11.71"/>
    <col collapsed="false" customWidth="true" hidden="false" outlineLevel="0" max="16" min="16" style="72" width="23.71"/>
    <col collapsed="false" customWidth="false" hidden="false" outlineLevel="0" max="1024" min="17" style="72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  <c r="O1" s="8" t="s">
        <v>2653</v>
      </c>
    </row>
    <row r="2" s="213" customFormat="true" ht="22.5" hidden="false" customHeight="false" outlineLevel="0" collapsed="false">
      <c r="A2" s="156" t="n">
        <f aca="false">IF(B2&lt;&gt;"", COUNTA($B$2:B2), "")</f>
        <v>1</v>
      </c>
      <c r="B2" s="160" t="s">
        <v>27</v>
      </c>
      <c r="C2" s="210" t="s">
        <v>144</v>
      </c>
      <c r="D2" s="210" t="s">
        <v>2857</v>
      </c>
      <c r="E2" s="211" t="n">
        <v>2016</v>
      </c>
      <c r="F2" s="163" t="s">
        <v>1070</v>
      </c>
      <c r="G2" s="210" t="s">
        <v>181</v>
      </c>
      <c r="H2" s="156" t="s">
        <v>2858</v>
      </c>
      <c r="I2" s="156" t="s">
        <v>1063</v>
      </c>
      <c r="J2" s="156" t="s">
        <v>1966</v>
      </c>
      <c r="K2" s="156"/>
      <c r="L2" s="212" t="n">
        <v>12</v>
      </c>
      <c r="M2" s="160" t="s">
        <v>37</v>
      </c>
      <c r="N2" s="158" t="s">
        <v>38</v>
      </c>
      <c r="O2" s="158" t="n">
        <v>15551</v>
      </c>
    </row>
    <row r="3" customFormat="false" ht="22.5" hidden="false" customHeight="false" outlineLevel="0" collapsed="false">
      <c r="A3" s="5" t="n">
        <f aca="false">IF(B3&lt;&gt;"", COUNTA($B$2:B3), "")</f>
        <v>2</v>
      </c>
      <c r="B3" s="6" t="s">
        <v>27</v>
      </c>
      <c r="C3" s="19" t="s">
        <v>144</v>
      </c>
      <c r="D3" s="19" t="s">
        <v>2859</v>
      </c>
      <c r="E3" s="16" t="n">
        <v>2016</v>
      </c>
      <c r="F3" s="15" t="s">
        <v>1070</v>
      </c>
      <c r="G3" s="19" t="s">
        <v>181</v>
      </c>
      <c r="H3" s="5" t="s">
        <v>2860</v>
      </c>
      <c r="I3" s="5" t="s">
        <v>1063</v>
      </c>
      <c r="J3" s="5" t="s">
        <v>1966</v>
      </c>
      <c r="K3" s="5"/>
      <c r="L3" s="12" t="n">
        <v>12</v>
      </c>
      <c r="M3" s="6" t="s">
        <v>37</v>
      </c>
      <c r="N3" s="8" t="s">
        <v>38</v>
      </c>
      <c r="O3" s="8"/>
    </row>
    <row r="4" customFormat="false" ht="22.5" hidden="false" customHeight="false" outlineLevel="0" collapsed="false">
      <c r="A4" s="5" t="n">
        <f aca="false">IF(B4&lt;&gt;"", COUNTA($B$2:B4), "")</f>
        <v>3</v>
      </c>
      <c r="B4" s="6" t="s">
        <v>27</v>
      </c>
      <c r="C4" s="19" t="s">
        <v>144</v>
      </c>
      <c r="D4" s="19" t="s">
        <v>2861</v>
      </c>
      <c r="E4" s="16" t="n">
        <v>2016</v>
      </c>
      <c r="F4" s="15" t="s">
        <v>1070</v>
      </c>
      <c r="G4" s="19" t="s">
        <v>181</v>
      </c>
      <c r="H4" s="5" t="s">
        <v>2862</v>
      </c>
      <c r="I4" s="5" t="s">
        <v>1063</v>
      </c>
      <c r="J4" s="5" t="s">
        <v>1966</v>
      </c>
      <c r="K4" s="5"/>
      <c r="L4" s="12" t="n">
        <v>12</v>
      </c>
      <c r="M4" s="6" t="s">
        <v>37</v>
      </c>
      <c r="N4" s="8" t="s">
        <v>38</v>
      </c>
      <c r="O4" s="8"/>
    </row>
    <row r="5" customFormat="false" ht="22.5" hidden="false" customHeight="false" outlineLevel="0" collapsed="false">
      <c r="A5" s="5" t="n">
        <f aca="false">IF(B5&lt;&gt;"", COUNTA($B$2:B5), "")</f>
        <v>4</v>
      </c>
      <c r="B5" s="6" t="s">
        <v>27</v>
      </c>
      <c r="C5" s="19" t="s">
        <v>144</v>
      </c>
      <c r="D5" s="19" t="s">
        <v>2863</v>
      </c>
      <c r="E5" s="16" t="n">
        <v>2016</v>
      </c>
      <c r="F5" s="15" t="s">
        <v>1070</v>
      </c>
      <c r="G5" s="19" t="s">
        <v>181</v>
      </c>
      <c r="H5" s="5" t="s">
        <v>2864</v>
      </c>
      <c r="I5" s="5" t="s">
        <v>1063</v>
      </c>
      <c r="J5" s="5" t="s">
        <v>1966</v>
      </c>
      <c r="K5" s="5"/>
      <c r="L5" s="12" t="n">
        <v>12</v>
      </c>
      <c r="M5" s="6" t="s">
        <v>37</v>
      </c>
      <c r="N5" s="8" t="s">
        <v>38</v>
      </c>
      <c r="O5" s="8"/>
    </row>
    <row r="6" customFormat="false" ht="22.5" hidden="false" customHeight="false" outlineLevel="0" collapsed="false">
      <c r="A6" s="5" t="n">
        <f aca="false">IF(B6&lt;&gt;"", COUNTA($B$2:B6), "")</f>
        <v>5</v>
      </c>
      <c r="B6" s="6" t="s">
        <v>27</v>
      </c>
      <c r="C6" s="19" t="s">
        <v>144</v>
      </c>
      <c r="D6" s="19" t="s">
        <v>2865</v>
      </c>
      <c r="E6" s="16" t="n">
        <v>2016</v>
      </c>
      <c r="F6" s="15" t="s">
        <v>1070</v>
      </c>
      <c r="G6" s="19" t="s">
        <v>181</v>
      </c>
      <c r="H6" s="5" t="s">
        <v>2866</v>
      </c>
      <c r="I6" s="5" t="s">
        <v>1063</v>
      </c>
      <c r="J6" s="5" t="s">
        <v>1966</v>
      </c>
      <c r="K6" s="5"/>
      <c r="L6" s="12" t="n">
        <v>12</v>
      </c>
      <c r="M6" s="6" t="s">
        <v>37</v>
      </c>
      <c r="N6" s="8" t="s">
        <v>38</v>
      </c>
      <c r="O6" s="8"/>
    </row>
    <row r="7" customFormat="false" ht="22.5" hidden="false" customHeight="false" outlineLevel="0" collapsed="false">
      <c r="A7" s="5" t="n">
        <f aca="false">IF(B7&lt;&gt;"", COUNTA($B$2:B7), "")</f>
        <v>6</v>
      </c>
      <c r="B7" s="6" t="s">
        <v>27</v>
      </c>
      <c r="C7" s="19" t="s">
        <v>144</v>
      </c>
      <c r="D7" s="19" t="s">
        <v>2867</v>
      </c>
      <c r="E7" s="16" t="n">
        <v>2016</v>
      </c>
      <c r="F7" s="15" t="s">
        <v>1070</v>
      </c>
      <c r="G7" s="19" t="s">
        <v>181</v>
      </c>
      <c r="H7" s="5" t="s">
        <v>2868</v>
      </c>
      <c r="I7" s="5" t="s">
        <v>1063</v>
      </c>
      <c r="J7" s="5" t="s">
        <v>1966</v>
      </c>
      <c r="K7" s="5"/>
      <c r="L7" s="12" t="n">
        <v>12</v>
      </c>
      <c r="M7" s="6" t="s">
        <v>37</v>
      </c>
      <c r="N7" s="8" t="s">
        <v>38</v>
      </c>
      <c r="O7" s="8"/>
    </row>
    <row r="8" customFormat="false" ht="22.5" hidden="false" customHeight="false" outlineLevel="0" collapsed="false">
      <c r="A8" s="5" t="n">
        <f aca="false">IF(B8&lt;&gt;"", COUNTA($B$2:B8), "")</f>
        <v>7</v>
      </c>
      <c r="B8" s="6" t="s">
        <v>27</v>
      </c>
      <c r="C8" s="19" t="s">
        <v>1324</v>
      </c>
      <c r="D8" s="12" t="n">
        <v>7000119</v>
      </c>
      <c r="E8" s="16" t="n">
        <v>2019</v>
      </c>
      <c r="F8" s="15" t="s">
        <v>1070</v>
      </c>
      <c r="G8" s="19" t="s">
        <v>987</v>
      </c>
      <c r="H8" s="5" t="s">
        <v>2869</v>
      </c>
      <c r="I8" s="5" t="s">
        <v>1063</v>
      </c>
      <c r="J8" s="5" t="s">
        <v>1966</v>
      </c>
      <c r="K8" s="5"/>
      <c r="L8" s="12" t="n">
        <v>12</v>
      </c>
      <c r="M8" s="6" t="s">
        <v>37</v>
      </c>
      <c r="N8" s="8" t="s">
        <v>38</v>
      </c>
      <c r="O8" s="8"/>
    </row>
    <row r="9" customFormat="false" ht="22.5" hidden="false" customHeight="false" outlineLevel="0" collapsed="false">
      <c r="A9" s="5" t="n">
        <f aca="false">IF(B9&lt;&gt;"", COUNTA($B$2:B9), "")</f>
        <v>8</v>
      </c>
      <c r="B9" s="6" t="s">
        <v>27</v>
      </c>
      <c r="C9" s="19" t="s">
        <v>144</v>
      </c>
      <c r="D9" s="12" t="n">
        <v>20245</v>
      </c>
      <c r="E9" s="16"/>
      <c r="F9" s="15" t="s">
        <v>1070</v>
      </c>
      <c r="G9" s="19" t="s">
        <v>181</v>
      </c>
      <c r="H9" s="5" t="s">
        <v>2870</v>
      </c>
      <c r="I9" s="5" t="s">
        <v>1063</v>
      </c>
      <c r="J9" s="5" t="s">
        <v>1966</v>
      </c>
      <c r="K9" s="5"/>
      <c r="L9" s="12" t="n">
        <v>12</v>
      </c>
      <c r="M9" s="6" t="s">
        <v>37</v>
      </c>
      <c r="N9" s="8" t="s">
        <v>38</v>
      </c>
      <c r="O9" s="8"/>
    </row>
    <row r="10" customFormat="false" ht="22.5" hidden="false" customHeight="false" outlineLevel="0" collapsed="false">
      <c r="A10" s="5" t="n">
        <f aca="false">IF(B10&lt;&gt;"", COUNTA($B$2:B10), "")</f>
        <v>9</v>
      </c>
      <c r="B10" s="6" t="s">
        <v>27</v>
      </c>
      <c r="C10" s="19" t="s">
        <v>144</v>
      </c>
      <c r="D10" s="12" t="n">
        <v>7000157</v>
      </c>
      <c r="E10" s="16"/>
      <c r="F10" s="15" t="s">
        <v>1070</v>
      </c>
      <c r="G10" s="19" t="s">
        <v>181</v>
      </c>
      <c r="H10" s="5" t="s">
        <v>2871</v>
      </c>
      <c r="I10" s="5" t="s">
        <v>1063</v>
      </c>
      <c r="J10" s="5" t="s">
        <v>1966</v>
      </c>
      <c r="K10" s="5"/>
      <c r="L10" s="12" t="n">
        <v>12</v>
      </c>
      <c r="M10" s="6" t="s">
        <v>37</v>
      </c>
      <c r="N10" s="8" t="s">
        <v>38</v>
      </c>
      <c r="O10" s="8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6" t="s">
        <v>27</v>
      </c>
      <c r="C11" s="19" t="s">
        <v>144</v>
      </c>
      <c r="D11" s="12" t="n">
        <v>20251</v>
      </c>
      <c r="E11" s="16" t="n">
        <v>2017</v>
      </c>
      <c r="F11" s="15" t="s">
        <v>1070</v>
      </c>
      <c r="G11" s="19" t="s">
        <v>181</v>
      </c>
      <c r="H11" s="5" t="s">
        <v>2872</v>
      </c>
      <c r="I11" s="5" t="s">
        <v>1063</v>
      </c>
      <c r="J11" s="5" t="s">
        <v>1966</v>
      </c>
      <c r="K11" s="5"/>
      <c r="L11" s="12" t="n">
        <v>12</v>
      </c>
      <c r="M11" s="6" t="s">
        <v>37</v>
      </c>
      <c r="N11" s="8" t="s">
        <v>38</v>
      </c>
      <c r="O11" s="8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6" t="s">
        <v>27</v>
      </c>
      <c r="C12" s="19" t="s">
        <v>144</v>
      </c>
      <c r="D12" s="12" t="n">
        <v>7000147</v>
      </c>
      <c r="E12" s="16" t="n">
        <v>2016</v>
      </c>
      <c r="F12" s="15" t="s">
        <v>1070</v>
      </c>
      <c r="G12" s="19" t="s">
        <v>181</v>
      </c>
      <c r="H12" s="5" t="s">
        <v>2873</v>
      </c>
      <c r="I12" s="5" t="s">
        <v>1063</v>
      </c>
      <c r="J12" s="5" t="s">
        <v>1966</v>
      </c>
      <c r="K12" s="5"/>
      <c r="L12" s="12" t="n">
        <v>12</v>
      </c>
      <c r="M12" s="6" t="s">
        <v>37</v>
      </c>
      <c r="N12" s="8" t="s">
        <v>38</v>
      </c>
      <c r="O12" s="8"/>
    </row>
    <row r="13" s="213" customFormat="true" ht="22.5" hidden="false" customHeight="false" outlineLevel="0" collapsed="false">
      <c r="A13" s="156" t="n">
        <f aca="false">IF(B13&lt;&gt;"", COUNTA($B$2:B13), "")</f>
        <v>12</v>
      </c>
      <c r="B13" s="160" t="s">
        <v>27</v>
      </c>
      <c r="C13" s="210" t="s">
        <v>144</v>
      </c>
      <c r="D13" s="212" t="n">
        <v>700010</v>
      </c>
      <c r="E13" s="211"/>
      <c r="F13" s="163" t="s">
        <v>1070</v>
      </c>
      <c r="G13" s="210" t="s">
        <v>181</v>
      </c>
      <c r="H13" s="156" t="s">
        <v>2874</v>
      </c>
      <c r="I13" s="156" t="s">
        <v>1063</v>
      </c>
      <c r="J13" s="156" t="s">
        <v>1966</v>
      </c>
      <c r="K13" s="156"/>
      <c r="L13" s="212" t="n">
        <v>12</v>
      </c>
      <c r="M13" s="160" t="s">
        <v>37</v>
      </c>
      <c r="N13" s="158" t="s">
        <v>38</v>
      </c>
      <c r="O13" s="158" t="n">
        <v>212033569</v>
      </c>
    </row>
    <row r="14" customFormat="false" ht="22.5" hidden="false" customHeight="false" outlineLevel="0" collapsed="false">
      <c r="A14" s="5" t="n">
        <f aca="false">IF(B14&lt;&gt;"", COUNTA($B$2:B14), "")</f>
        <v>13</v>
      </c>
      <c r="B14" s="6" t="s">
        <v>27</v>
      </c>
      <c r="C14" s="5" t="s">
        <v>28</v>
      </c>
      <c r="D14" s="5" t="n">
        <v>7000115</v>
      </c>
      <c r="E14" s="16"/>
      <c r="F14" s="15" t="s">
        <v>1070</v>
      </c>
      <c r="G14" s="19" t="s">
        <v>181</v>
      </c>
      <c r="H14" s="5" t="s">
        <v>2875</v>
      </c>
      <c r="I14" s="5" t="s">
        <v>1063</v>
      </c>
      <c r="J14" s="5" t="s">
        <v>1966</v>
      </c>
      <c r="K14" s="5"/>
      <c r="L14" s="12" t="n">
        <v>12</v>
      </c>
      <c r="M14" s="6" t="s">
        <v>41</v>
      </c>
      <c r="N14" s="8" t="s">
        <v>1</v>
      </c>
      <c r="O14" s="8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6" t="s">
        <v>27</v>
      </c>
      <c r="C15" s="5" t="s">
        <v>28</v>
      </c>
      <c r="D15" s="5" t="n">
        <v>7000146</v>
      </c>
      <c r="E15" s="16"/>
      <c r="F15" s="15" t="s">
        <v>1070</v>
      </c>
      <c r="G15" s="19" t="s">
        <v>181</v>
      </c>
      <c r="H15" s="5" t="s">
        <v>2876</v>
      </c>
      <c r="I15" s="5" t="s">
        <v>1063</v>
      </c>
      <c r="J15" s="5" t="s">
        <v>1966</v>
      </c>
      <c r="K15" s="5"/>
      <c r="L15" s="12" t="n">
        <v>12</v>
      </c>
      <c r="M15" s="6" t="s">
        <v>41</v>
      </c>
      <c r="N15" s="8" t="s">
        <v>1</v>
      </c>
      <c r="O15" s="8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6" t="s">
        <v>27</v>
      </c>
      <c r="C16" s="19" t="s">
        <v>1324</v>
      </c>
      <c r="D16" s="5" t="n">
        <v>700032</v>
      </c>
      <c r="E16" s="17"/>
      <c r="F16" s="8" t="s">
        <v>2115</v>
      </c>
      <c r="G16" s="10" t="n">
        <v>1.5</v>
      </c>
      <c r="H16" s="5" t="s">
        <v>2877</v>
      </c>
      <c r="I16" s="5" t="s">
        <v>1063</v>
      </c>
      <c r="J16" s="5" t="s">
        <v>1966</v>
      </c>
      <c r="K16" s="5"/>
      <c r="L16" s="12" t="n">
        <v>12</v>
      </c>
      <c r="M16" s="6" t="s">
        <v>41</v>
      </c>
      <c r="N16" s="8" t="s">
        <v>1</v>
      </c>
      <c r="O16" s="8"/>
    </row>
    <row r="17" customFormat="false" ht="22.5" hidden="false" customHeight="false" outlineLevel="0" collapsed="false">
      <c r="A17" s="5" t="n">
        <f aca="false">IF(B17&lt;&gt;"", COUNTA($B$2:B17), "")</f>
        <v>16</v>
      </c>
      <c r="B17" s="7" t="s">
        <v>27</v>
      </c>
      <c r="C17" s="12" t="s">
        <v>28</v>
      </c>
      <c r="D17" s="19" t="s">
        <v>2878</v>
      </c>
      <c r="E17" s="8"/>
      <c r="F17" s="8" t="s">
        <v>2115</v>
      </c>
      <c r="G17" s="10" t="n">
        <v>1.5</v>
      </c>
      <c r="H17" s="5" t="s">
        <v>2879</v>
      </c>
      <c r="I17" s="5" t="s">
        <v>1063</v>
      </c>
      <c r="J17" s="5" t="s">
        <v>1966</v>
      </c>
      <c r="K17" s="5"/>
      <c r="L17" s="5" t="n">
        <v>12</v>
      </c>
      <c r="M17" s="6" t="s">
        <v>41</v>
      </c>
      <c r="N17" s="8" t="s">
        <v>1</v>
      </c>
      <c r="O17" s="8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7" t="s">
        <v>27</v>
      </c>
      <c r="C18" s="12" t="s">
        <v>28</v>
      </c>
      <c r="D18" s="19" t="s">
        <v>2880</v>
      </c>
      <c r="E18" s="8"/>
      <c r="F18" s="8" t="s">
        <v>2115</v>
      </c>
      <c r="G18" s="10" t="n">
        <v>1</v>
      </c>
      <c r="H18" s="5" t="s">
        <v>2881</v>
      </c>
      <c r="I18" s="5" t="s">
        <v>1063</v>
      </c>
      <c r="J18" s="5" t="s">
        <v>1966</v>
      </c>
      <c r="K18" s="5"/>
      <c r="L18" s="5" t="n">
        <v>12</v>
      </c>
      <c r="M18" s="6" t="s">
        <v>41</v>
      </c>
      <c r="N18" s="8" t="s">
        <v>1</v>
      </c>
      <c r="O18" s="8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27</v>
      </c>
      <c r="C19" s="12" t="s">
        <v>28</v>
      </c>
      <c r="D19" s="19" t="s">
        <v>2882</v>
      </c>
      <c r="E19" s="8"/>
      <c r="F19" s="8" t="s">
        <v>2115</v>
      </c>
      <c r="G19" s="10" t="n">
        <v>1</v>
      </c>
      <c r="H19" s="5" t="s">
        <v>2883</v>
      </c>
      <c r="I19" s="5" t="s">
        <v>1063</v>
      </c>
      <c r="J19" s="5" t="s">
        <v>1966</v>
      </c>
      <c r="K19" s="5"/>
      <c r="L19" s="5" t="n">
        <v>12</v>
      </c>
      <c r="M19" s="6" t="s">
        <v>41</v>
      </c>
      <c r="N19" s="8" t="s">
        <v>1</v>
      </c>
      <c r="O19" s="8"/>
    </row>
    <row r="20" customFormat="false" ht="22.5" hidden="false" customHeight="false" outlineLevel="0" collapsed="false">
      <c r="A20" s="5" t="n">
        <f aca="false">IF(B20&lt;&gt;"", COUNTA($B$2:B20), "")</f>
        <v>19</v>
      </c>
      <c r="B20" s="7" t="s">
        <v>27</v>
      </c>
      <c r="C20" s="12" t="s">
        <v>28</v>
      </c>
      <c r="D20" s="19" t="s">
        <v>2884</v>
      </c>
      <c r="E20" s="8"/>
      <c r="F20" s="8" t="s">
        <v>2115</v>
      </c>
      <c r="G20" s="10" t="n">
        <v>1.5</v>
      </c>
      <c r="H20" s="5" t="s">
        <v>2885</v>
      </c>
      <c r="I20" s="5" t="s">
        <v>1063</v>
      </c>
      <c r="J20" s="5" t="s">
        <v>1966</v>
      </c>
      <c r="K20" s="5"/>
      <c r="L20" s="5" t="n">
        <v>12</v>
      </c>
      <c r="M20" s="6" t="s">
        <v>41</v>
      </c>
      <c r="N20" s="8" t="s">
        <v>1</v>
      </c>
      <c r="O20" s="8"/>
    </row>
    <row r="21" customFormat="false" ht="22.5" hidden="false" customHeight="false" outlineLevel="0" collapsed="false">
      <c r="A21" s="5" t="n">
        <f aca="false">IF(B21&lt;&gt;"", COUNTA($B$2:B21), "")</f>
        <v>20</v>
      </c>
      <c r="B21" s="7" t="s">
        <v>27</v>
      </c>
      <c r="C21" s="12" t="s">
        <v>1324</v>
      </c>
      <c r="D21" s="19" t="s">
        <v>2886</v>
      </c>
      <c r="E21" s="8"/>
      <c r="F21" s="8" t="s">
        <v>2115</v>
      </c>
      <c r="G21" s="10" t="n">
        <v>1.5</v>
      </c>
      <c r="H21" s="5" t="s">
        <v>2887</v>
      </c>
      <c r="I21" s="5" t="s">
        <v>1063</v>
      </c>
      <c r="J21" s="5" t="s">
        <v>1966</v>
      </c>
      <c r="K21" s="5"/>
      <c r="L21" s="5" t="n">
        <v>12</v>
      </c>
      <c r="M21" s="6" t="s">
        <v>41</v>
      </c>
      <c r="N21" s="8" t="s">
        <v>1</v>
      </c>
      <c r="O21" s="8"/>
    </row>
    <row r="22" s="213" customFormat="true" ht="22.5" hidden="false" customHeight="false" outlineLevel="0" collapsed="false">
      <c r="A22" s="156" t="n">
        <f aca="false">IF(B22&lt;&gt;"", COUNTA($B$2:B22), "")</f>
        <v>21</v>
      </c>
      <c r="B22" s="157" t="s">
        <v>27</v>
      </c>
      <c r="C22" s="212" t="s">
        <v>28</v>
      </c>
      <c r="D22" s="214" t="s">
        <v>2888</v>
      </c>
      <c r="E22" s="158"/>
      <c r="F22" s="163" t="s">
        <v>2889</v>
      </c>
      <c r="G22" s="159" t="n">
        <v>1</v>
      </c>
      <c r="H22" s="156" t="s">
        <v>2890</v>
      </c>
      <c r="I22" s="156" t="s">
        <v>1063</v>
      </c>
      <c r="J22" s="156" t="s">
        <v>1966</v>
      </c>
      <c r="K22" s="156"/>
      <c r="L22" s="156" t="n">
        <v>12</v>
      </c>
      <c r="M22" s="160" t="s">
        <v>37</v>
      </c>
      <c r="N22" s="158" t="s">
        <v>38</v>
      </c>
      <c r="O22" s="158" t="n">
        <v>15644</v>
      </c>
    </row>
    <row r="23" customFormat="false" ht="22.5" hidden="false" customHeight="false" outlineLevel="0" collapsed="false">
      <c r="A23" s="5" t="n">
        <f aca="false">IF(B23&lt;&gt;"", COUNTA($B$2:B23), "")</f>
        <v>22</v>
      </c>
      <c r="B23" s="7" t="s">
        <v>27</v>
      </c>
      <c r="C23" s="12" t="s">
        <v>1324</v>
      </c>
      <c r="D23" s="78" t="s">
        <v>2891</v>
      </c>
      <c r="E23" s="8"/>
      <c r="F23" s="8" t="s">
        <v>2115</v>
      </c>
      <c r="G23" s="10" t="n">
        <v>1.5</v>
      </c>
      <c r="H23" s="5" t="s">
        <v>2892</v>
      </c>
      <c r="I23" s="5" t="s">
        <v>1063</v>
      </c>
      <c r="J23" s="5" t="s">
        <v>1966</v>
      </c>
      <c r="K23" s="5"/>
      <c r="L23" s="5" t="n">
        <v>12</v>
      </c>
      <c r="M23" s="6" t="s">
        <v>41</v>
      </c>
      <c r="N23" s="8" t="s">
        <v>1</v>
      </c>
      <c r="O23" s="8"/>
    </row>
    <row r="24" customFormat="false" ht="22.5" hidden="false" customHeight="false" outlineLevel="0" collapsed="false">
      <c r="A24" s="5" t="n">
        <f aca="false">IF(B24&lt;&gt;"", COUNTA($B$2:B24), "")</f>
        <v>23</v>
      </c>
      <c r="B24" s="6" t="s">
        <v>46</v>
      </c>
      <c r="C24" s="12" t="s">
        <v>1499</v>
      </c>
      <c r="D24" s="78" t="s">
        <v>2893</v>
      </c>
      <c r="E24" s="8"/>
      <c r="F24" s="19" t="s">
        <v>2894</v>
      </c>
      <c r="G24" s="10" t="n">
        <v>1.5</v>
      </c>
      <c r="H24" s="5" t="s">
        <v>2895</v>
      </c>
      <c r="I24" s="5" t="s">
        <v>1063</v>
      </c>
      <c r="J24" s="5" t="s">
        <v>1966</v>
      </c>
      <c r="K24" s="5"/>
      <c r="L24" s="5" t="n">
        <v>24</v>
      </c>
      <c r="M24" s="27" t="s">
        <v>2896</v>
      </c>
      <c r="N24" s="8" t="s">
        <v>1</v>
      </c>
      <c r="O24" s="8"/>
    </row>
    <row r="25" customFormat="false" ht="22.5" hidden="false" customHeight="false" outlineLevel="0" collapsed="false">
      <c r="A25" s="5" t="n">
        <f aca="false">IF(B25&lt;&gt;"", COUNTA($B$2:B25), "")</f>
        <v>24</v>
      </c>
      <c r="B25" s="6" t="s">
        <v>46</v>
      </c>
      <c r="C25" s="12" t="s">
        <v>47</v>
      </c>
      <c r="D25" s="78" t="s">
        <v>2897</v>
      </c>
      <c r="E25" s="8"/>
      <c r="F25" s="19" t="s">
        <v>1022</v>
      </c>
      <c r="G25" s="10" t="n">
        <v>1</v>
      </c>
      <c r="H25" s="5" t="s">
        <v>2898</v>
      </c>
      <c r="I25" s="5" t="s">
        <v>1063</v>
      </c>
      <c r="J25" s="5" t="s">
        <v>1966</v>
      </c>
      <c r="K25" s="5"/>
      <c r="L25" s="5" t="n">
        <v>24</v>
      </c>
      <c r="M25" s="6" t="s">
        <v>2364</v>
      </c>
      <c r="N25" s="8" t="s">
        <v>1</v>
      </c>
      <c r="O25" s="8"/>
    </row>
    <row r="26" customFormat="false" ht="22.5" hidden="false" customHeight="false" outlineLevel="0" collapsed="false">
      <c r="A26" s="5" t="n">
        <f aca="false">IF(B26&lt;&gt;"", COUNTA($B$2:B26), "")</f>
        <v>25</v>
      </c>
      <c r="B26" s="6" t="s">
        <v>46</v>
      </c>
      <c r="C26" s="12" t="s">
        <v>47</v>
      </c>
      <c r="D26" s="78" t="s">
        <v>2899</v>
      </c>
      <c r="E26" s="8"/>
      <c r="F26" s="19" t="s">
        <v>1022</v>
      </c>
      <c r="G26" s="10" t="n">
        <v>1</v>
      </c>
      <c r="H26" s="5" t="s">
        <v>2898</v>
      </c>
      <c r="I26" s="5" t="s">
        <v>1063</v>
      </c>
      <c r="J26" s="5" t="s">
        <v>1966</v>
      </c>
      <c r="K26" s="5"/>
      <c r="L26" s="5" t="n">
        <v>24</v>
      </c>
      <c r="M26" s="6" t="s">
        <v>2364</v>
      </c>
      <c r="N26" s="8" t="s">
        <v>1</v>
      </c>
      <c r="O26" s="8"/>
    </row>
    <row r="27" customFormat="false" ht="22.5" hidden="false" customHeight="false" outlineLevel="0" collapsed="false">
      <c r="A27" s="5" t="n">
        <f aca="false">IF(B27&lt;&gt;"", COUNTA($B$2:B27), "")</f>
        <v>26</v>
      </c>
      <c r="B27" s="6" t="s">
        <v>46</v>
      </c>
      <c r="C27" s="12" t="s">
        <v>47</v>
      </c>
      <c r="D27" s="78" t="s">
        <v>2900</v>
      </c>
      <c r="E27" s="8"/>
      <c r="F27" s="19" t="s">
        <v>1022</v>
      </c>
      <c r="G27" s="10" t="n">
        <v>1</v>
      </c>
      <c r="H27" s="5" t="s">
        <v>2898</v>
      </c>
      <c r="I27" s="5" t="s">
        <v>1063</v>
      </c>
      <c r="J27" s="5" t="s">
        <v>1966</v>
      </c>
      <c r="K27" s="5"/>
      <c r="L27" s="5" t="n">
        <v>24</v>
      </c>
      <c r="M27" s="6" t="s">
        <v>2364</v>
      </c>
      <c r="N27" s="8" t="s">
        <v>1</v>
      </c>
      <c r="O27" s="8"/>
    </row>
    <row r="28" customFormat="false" ht="22.5" hidden="false" customHeight="false" outlineLevel="0" collapsed="false">
      <c r="A28" s="5" t="n">
        <f aca="false">IF(B28&lt;&gt;"", COUNTA($B$2:B28), "")</f>
        <v>27</v>
      </c>
      <c r="B28" s="6" t="s">
        <v>46</v>
      </c>
      <c r="C28" s="12" t="s">
        <v>47</v>
      </c>
      <c r="D28" s="78" t="s">
        <v>2901</v>
      </c>
      <c r="E28" s="8"/>
      <c r="F28" s="19" t="s">
        <v>1022</v>
      </c>
      <c r="G28" s="10" t="n">
        <v>1</v>
      </c>
      <c r="H28" s="5" t="s">
        <v>2898</v>
      </c>
      <c r="I28" s="5" t="s">
        <v>1063</v>
      </c>
      <c r="J28" s="5" t="s">
        <v>1966</v>
      </c>
      <c r="K28" s="5"/>
      <c r="L28" s="5" t="n">
        <v>24</v>
      </c>
      <c r="M28" s="6" t="s">
        <v>2364</v>
      </c>
      <c r="N28" s="8" t="s">
        <v>1</v>
      </c>
      <c r="O28" s="8"/>
    </row>
    <row r="29" customFormat="false" ht="22.5" hidden="false" customHeight="false" outlineLevel="0" collapsed="false">
      <c r="A29" s="5" t="n">
        <f aca="false">IF(B29&lt;&gt;"", COUNTA($B$2:B29), "")</f>
        <v>28</v>
      </c>
      <c r="B29" s="6" t="s">
        <v>46</v>
      </c>
      <c r="C29" s="12" t="s">
        <v>47</v>
      </c>
      <c r="D29" s="78" t="s">
        <v>2902</v>
      </c>
      <c r="E29" s="8"/>
      <c r="F29" s="19" t="s">
        <v>1022</v>
      </c>
      <c r="G29" s="10" t="n">
        <v>1</v>
      </c>
      <c r="H29" s="5" t="s">
        <v>2898</v>
      </c>
      <c r="I29" s="5" t="s">
        <v>1063</v>
      </c>
      <c r="J29" s="5" t="s">
        <v>1966</v>
      </c>
      <c r="K29" s="5"/>
      <c r="L29" s="5" t="n">
        <v>24</v>
      </c>
      <c r="M29" s="6" t="s">
        <v>2364</v>
      </c>
      <c r="N29" s="8" t="s">
        <v>1</v>
      </c>
      <c r="O29" s="8"/>
    </row>
    <row r="30" customFormat="false" ht="22.5" hidden="false" customHeight="false" outlineLevel="0" collapsed="false">
      <c r="A30" s="5" t="n">
        <f aca="false">IF(B30&lt;&gt;"", COUNTA($B$2:B30), "")</f>
        <v>29</v>
      </c>
      <c r="B30" s="6" t="s">
        <v>46</v>
      </c>
      <c r="C30" s="12" t="s">
        <v>47</v>
      </c>
      <c r="D30" s="78" t="s">
        <v>2903</v>
      </c>
      <c r="E30" s="8"/>
      <c r="F30" s="19" t="s">
        <v>1022</v>
      </c>
      <c r="G30" s="10" t="n">
        <v>1</v>
      </c>
      <c r="H30" s="5" t="s">
        <v>2898</v>
      </c>
      <c r="I30" s="5" t="s">
        <v>1063</v>
      </c>
      <c r="J30" s="5" t="s">
        <v>1966</v>
      </c>
      <c r="K30" s="5"/>
      <c r="L30" s="5" t="n">
        <v>24</v>
      </c>
      <c r="M30" s="6" t="s">
        <v>2364</v>
      </c>
      <c r="N30" s="8" t="s">
        <v>1</v>
      </c>
      <c r="O30" s="8"/>
    </row>
    <row r="31" customFormat="false" ht="33.75" hidden="false" customHeight="false" outlineLevel="0" collapsed="false">
      <c r="A31" s="5" t="n">
        <f aca="false">IF(B31&lt;&gt;"", COUNTA($B$2:B31), "")</f>
        <v>30</v>
      </c>
      <c r="B31" s="7" t="s">
        <v>2904</v>
      </c>
      <c r="C31" s="12" t="s">
        <v>2905</v>
      </c>
      <c r="D31" s="78" t="s">
        <v>2906</v>
      </c>
      <c r="E31" s="8"/>
      <c r="F31" s="15"/>
      <c r="G31" s="10"/>
      <c r="H31" s="5" t="s">
        <v>2907</v>
      </c>
      <c r="I31" s="5" t="s">
        <v>1063</v>
      </c>
      <c r="J31" s="5" t="s">
        <v>1966</v>
      </c>
      <c r="K31" s="5"/>
      <c r="L31" s="5" t="n">
        <v>60</v>
      </c>
      <c r="M31" s="6"/>
      <c r="N31" s="8"/>
      <c r="O31" s="8"/>
      <c r="P31" s="8" t="s">
        <v>2908</v>
      </c>
    </row>
    <row r="32" customFormat="false" ht="33.75" hidden="false" customHeight="false" outlineLevel="0" collapsed="false">
      <c r="A32" s="5" t="n">
        <f aca="false">IF(B32&lt;&gt;"", COUNTA($B$2:B32), "")</f>
        <v>31</v>
      </c>
      <c r="B32" s="7" t="s">
        <v>2904</v>
      </c>
      <c r="C32" s="12" t="s">
        <v>2905</v>
      </c>
      <c r="D32" s="78" t="s">
        <v>2909</v>
      </c>
      <c r="E32" s="8"/>
      <c r="F32" s="15"/>
      <c r="G32" s="10"/>
      <c r="H32" s="5" t="s">
        <v>2910</v>
      </c>
      <c r="I32" s="5" t="s">
        <v>1063</v>
      </c>
      <c r="J32" s="5" t="s">
        <v>1966</v>
      </c>
      <c r="K32" s="5"/>
      <c r="L32" s="5" t="n">
        <v>60</v>
      </c>
      <c r="M32" s="6"/>
      <c r="N32" s="8"/>
      <c r="O32" s="8"/>
      <c r="P32" s="8" t="s">
        <v>2908</v>
      </c>
    </row>
    <row r="33" customFormat="false" ht="33.75" hidden="false" customHeight="false" outlineLevel="0" collapsed="false">
      <c r="A33" s="5" t="n">
        <f aca="false">IF(B33&lt;&gt;"", COUNTA($B$2:B33), "")</f>
        <v>32</v>
      </c>
      <c r="B33" s="7" t="s">
        <v>2904</v>
      </c>
      <c r="C33" s="12" t="s">
        <v>2905</v>
      </c>
      <c r="D33" s="78" t="s">
        <v>2911</v>
      </c>
      <c r="E33" s="8"/>
      <c r="F33" s="15"/>
      <c r="G33" s="10"/>
      <c r="H33" s="5" t="s">
        <v>2912</v>
      </c>
      <c r="I33" s="5" t="s">
        <v>1063</v>
      </c>
      <c r="J33" s="5" t="s">
        <v>1966</v>
      </c>
      <c r="K33" s="5"/>
      <c r="L33" s="5" t="n">
        <v>60</v>
      </c>
      <c r="M33" s="6"/>
      <c r="N33" s="8"/>
      <c r="O33" s="8"/>
      <c r="P33" s="8" t="s">
        <v>2908</v>
      </c>
    </row>
    <row r="34" customFormat="false" ht="22.5" hidden="false" customHeight="false" outlineLevel="0" collapsed="false">
      <c r="A34" s="5" t="n">
        <f aca="false">IF(B34&lt;&gt;"", COUNTA($B$2:B34), "")</f>
        <v>33</v>
      </c>
      <c r="B34" s="6" t="s">
        <v>64</v>
      </c>
      <c r="C34" s="19" t="s">
        <v>2913</v>
      </c>
      <c r="D34" s="6" t="s">
        <v>2914</v>
      </c>
      <c r="E34" s="16"/>
      <c r="F34" s="19"/>
      <c r="G34" s="19" t="s">
        <v>426</v>
      </c>
      <c r="H34" s="19" t="s">
        <v>1023</v>
      </c>
      <c r="I34" s="5" t="s">
        <v>1024</v>
      </c>
      <c r="J34" s="5" t="s">
        <v>1966</v>
      </c>
      <c r="K34" s="5"/>
      <c r="L34" s="12" t="n">
        <v>60</v>
      </c>
      <c r="M34" s="6"/>
      <c r="N34" s="8"/>
      <c r="O34" s="8"/>
    </row>
    <row r="35" customFormat="false" ht="22.5" hidden="false" customHeight="false" outlineLevel="0" collapsed="false">
      <c r="A35" s="5" t="n">
        <f aca="false">IF(B35&lt;&gt;"", COUNTA($B$2:B35), "")</f>
        <v>34</v>
      </c>
      <c r="B35" s="6" t="s">
        <v>64</v>
      </c>
      <c r="C35" s="19" t="s">
        <v>2913</v>
      </c>
      <c r="D35" s="6" t="s">
        <v>2915</v>
      </c>
      <c r="E35" s="16"/>
      <c r="F35" s="19" t="s">
        <v>1022</v>
      </c>
      <c r="G35" s="19" t="s">
        <v>426</v>
      </c>
      <c r="H35" s="19" t="s">
        <v>1023</v>
      </c>
      <c r="I35" s="5" t="s">
        <v>1024</v>
      </c>
      <c r="J35" s="5" t="s">
        <v>1966</v>
      </c>
      <c r="K35" s="5"/>
      <c r="L35" s="12" t="n">
        <v>60</v>
      </c>
      <c r="M35" s="6"/>
      <c r="N35" s="8"/>
      <c r="O35" s="8"/>
    </row>
    <row r="36" customFormat="false" ht="22.5" hidden="false" customHeight="false" outlineLevel="0" collapsed="false">
      <c r="A36" s="5" t="n">
        <f aca="false">IF(B36&lt;&gt;"", COUNTA($B$2:B36), "")</f>
        <v>35</v>
      </c>
      <c r="B36" s="6" t="s">
        <v>64</v>
      </c>
      <c r="C36" s="19" t="s">
        <v>2913</v>
      </c>
      <c r="D36" s="6" t="s">
        <v>2916</v>
      </c>
      <c r="E36" s="16"/>
      <c r="F36" s="19" t="s">
        <v>1022</v>
      </c>
      <c r="G36" s="19" t="s">
        <v>426</v>
      </c>
      <c r="H36" s="19" t="s">
        <v>1027</v>
      </c>
      <c r="I36" s="5" t="s">
        <v>1024</v>
      </c>
      <c r="J36" s="5" t="s">
        <v>1966</v>
      </c>
      <c r="K36" s="5"/>
      <c r="L36" s="12" t="n">
        <v>60</v>
      </c>
      <c r="M36" s="6"/>
      <c r="N36" s="8"/>
      <c r="O36" s="8"/>
    </row>
    <row r="37" customFormat="false" ht="22.5" hidden="false" customHeight="false" outlineLevel="0" collapsed="false">
      <c r="A37" s="5" t="n">
        <f aca="false">IF(B37&lt;&gt;"", COUNTA($B$2:B37), "")</f>
        <v>36</v>
      </c>
      <c r="B37" s="6" t="s">
        <v>64</v>
      </c>
      <c r="C37" s="19" t="s">
        <v>2913</v>
      </c>
      <c r="D37" s="6" t="s">
        <v>2917</v>
      </c>
      <c r="E37" s="16"/>
      <c r="F37" s="19" t="s">
        <v>1022</v>
      </c>
      <c r="G37" s="19" t="s">
        <v>426</v>
      </c>
      <c r="H37" s="19" t="s">
        <v>1027</v>
      </c>
      <c r="I37" s="5" t="s">
        <v>1024</v>
      </c>
      <c r="J37" s="5" t="s">
        <v>1966</v>
      </c>
      <c r="K37" s="5"/>
      <c r="L37" s="12" t="n">
        <v>60</v>
      </c>
      <c r="M37" s="6"/>
      <c r="N37" s="8"/>
      <c r="O37" s="8"/>
    </row>
    <row r="38" customFormat="false" ht="22.5" hidden="false" customHeight="false" outlineLevel="0" collapsed="false">
      <c r="A38" s="5" t="n">
        <f aca="false">IF(B38&lt;&gt;"", COUNTA($B$2:B38), "")</f>
        <v>37</v>
      </c>
      <c r="B38" s="124" t="s">
        <v>57</v>
      </c>
      <c r="C38" s="5" t="s">
        <v>2918</v>
      </c>
      <c r="D38" s="5" t="n">
        <v>1634479</v>
      </c>
      <c r="E38" s="16"/>
      <c r="F38" s="12" t="s">
        <v>1031</v>
      </c>
      <c r="G38" s="31" t="n">
        <v>0.001</v>
      </c>
      <c r="H38" s="5" t="s">
        <v>1032</v>
      </c>
      <c r="I38" s="5" t="s">
        <v>1024</v>
      </c>
      <c r="J38" s="5" t="s">
        <v>1966</v>
      </c>
      <c r="K38" s="5"/>
      <c r="L38" s="12" t="n">
        <v>60</v>
      </c>
      <c r="M38" s="6"/>
      <c r="N38" s="8"/>
      <c r="O38" s="8"/>
    </row>
    <row r="39" customFormat="false" ht="22.5" hidden="false" customHeight="false" outlineLevel="0" collapsed="false">
      <c r="A39" s="5" t="n">
        <f aca="false">IF(B39&lt;&gt;"", COUNTA($B$2:B39), "")</f>
        <v>38</v>
      </c>
      <c r="B39" s="124" t="s">
        <v>57</v>
      </c>
      <c r="C39" s="5" t="s">
        <v>2918</v>
      </c>
      <c r="D39" s="5" t="n">
        <v>1634482</v>
      </c>
      <c r="E39" s="16"/>
      <c r="F39" s="12" t="s">
        <v>1031</v>
      </c>
      <c r="G39" s="31" t="n">
        <v>0.001</v>
      </c>
      <c r="H39" s="5" t="s">
        <v>1032</v>
      </c>
      <c r="I39" s="5" t="s">
        <v>1024</v>
      </c>
      <c r="J39" s="5" t="s">
        <v>1966</v>
      </c>
      <c r="K39" s="5"/>
      <c r="L39" s="12" t="n">
        <v>60</v>
      </c>
      <c r="M39" s="6"/>
      <c r="N39" s="8"/>
      <c r="O39" s="8"/>
    </row>
    <row r="40" customFormat="false" ht="22.5" hidden="false" customHeight="false" outlineLevel="0" collapsed="false">
      <c r="A40" s="5" t="n">
        <f aca="false">IF(B40&lt;&gt;"", COUNTA($B$2:B40), "")</f>
        <v>39</v>
      </c>
      <c r="B40" s="124" t="s">
        <v>57</v>
      </c>
      <c r="C40" s="5" t="s">
        <v>2918</v>
      </c>
      <c r="D40" s="5" t="n">
        <v>1634477</v>
      </c>
      <c r="E40" s="16"/>
      <c r="F40" s="12" t="s">
        <v>1031</v>
      </c>
      <c r="G40" s="31" t="n">
        <v>0.001</v>
      </c>
      <c r="H40" s="5" t="s">
        <v>1036</v>
      </c>
      <c r="I40" s="5" t="s">
        <v>1024</v>
      </c>
      <c r="J40" s="5" t="s">
        <v>1966</v>
      </c>
      <c r="K40" s="5"/>
      <c r="L40" s="12" t="n">
        <v>60</v>
      </c>
      <c r="M40" s="6"/>
      <c r="N40" s="8"/>
      <c r="O40" s="8"/>
    </row>
    <row r="41" customFormat="false" ht="22.5" hidden="false" customHeight="false" outlineLevel="0" collapsed="false">
      <c r="A41" s="5" t="n">
        <f aca="false">IF(B41&lt;&gt;"", COUNTA($B$2:B41), "")</f>
        <v>40</v>
      </c>
      <c r="B41" s="124" t="s">
        <v>57</v>
      </c>
      <c r="C41" s="5" t="s">
        <v>2918</v>
      </c>
      <c r="D41" s="5" t="n">
        <v>1634481</v>
      </c>
      <c r="E41" s="16"/>
      <c r="F41" s="12" t="s">
        <v>1031</v>
      </c>
      <c r="G41" s="31" t="n">
        <v>0.001</v>
      </c>
      <c r="H41" s="5" t="s">
        <v>1036</v>
      </c>
      <c r="I41" s="5" t="s">
        <v>1024</v>
      </c>
      <c r="J41" s="5" t="s">
        <v>1966</v>
      </c>
      <c r="K41" s="5"/>
      <c r="L41" s="12" t="n">
        <v>60</v>
      </c>
      <c r="M41" s="6"/>
      <c r="N41" s="8"/>
      <c r="O41" s="8"/>
    </row>
    <row r="42" customFormat="false" ht="22.5" hidden="false" customHeight="false" outlineLevel="0" collapsed="false">
      <c r="A42" s="5" t="n">
        <f aca="false">IF(B42&lt;&gt;"", COUNTA($B$2:B42), "")</f>
        <v>41</v>
      </c>
      <c r="B42" s="124" t="s">
        <v>57</v>
      </c>
      <c r="C42" s="5" t="s">
        <v>2918</v>
      </c>
      <c r="D42" s="5" t="n">
        <v>1637863</v>
      </c>
      <c r="E42" s="16"/>
      <c r="F42" s="12" t="s">
        <v>1031</v>
      </c>
      <c r="G42" s="31" t="n">
        <v>0.001</v>
      </c>
      <c r="H42" s="5" t="s">
        <v>1039</v>
      </c>
      <c r="I42" s="5" t="s">
        <v>1024</v>
      </c>
      <c r="J42" s="5" t="s">
        <v>1966</v>
      </c>
      <c r="K42" s="5"/>
      <c r="L42" s="12" t="n">
        <v>60</v>
      </c>
      <c r="M42" s="6"/>
      <c r="N42" s="8"/>
      <c r="O42" s="8"/>
    </row>
    <row r="43" customFormat="false" ht="22.5" hidden="false" customHeight="false" outlineLevel="0" collapsed="false">
      <c r="A43" s="5" t="n">
        <f aca="false">IF(B43&lt;&gt;"", COUNTA($B$2:B43), "")</f>
        <v>42</v>
      </c>
      <c r="B43" s="124" t="s">
        <v>57</v>
      </c>
      <c r="C43" s="5" t="s">
        <v>2918</v>
      </c>
      <c r="D43" s="5" t="n">
        <v>1635007</v>
      </c>
      <c r="E43" s="16"/>
      <c r="F43" s="12" t="s">
        <v>1031</v>
      </c>
      <c r="G43" s="31" t="n">
        <v>0.001</v>
      </c>
      <c r="H43" s="5" t="s">
        <v>1041</v>
      </c>
      <c r="I43" s="5" t="s">
        <v>1024</v>
      </c>
      <c r="J43" s="5" t="s">
        <v>1966</v>
      </c>
      <c r="K43" s="5"/>
      <c r="L43" s="12" t="n">
        <v>60</v>
      </c>
      <c r="M43" s="6"/>
      <c r="N43" s="8"/>
      <c r="O43" s="8"/>
    </row>
    <row r="44" customFormat="false" ht="22.5" hidden="false" customHeight="false" outlineLevel="0" collapsed="false">
      <c r="A44" s="5" t="n">
        <f aca="false">IF(B44&lt;&gt;"", COUNTA($B$2:B44), "")</f>
        <v>43</v>
      </c>
      <c r="B44" s="124" t="s">
        <v>57</v>
      </c>
      <c r="C44" s="5" t="s">
        <v>2918</v>
      </c>
      <c r="D44" s="5" t="n">
        <v>1634573</v>
      </c>
      <c r="E44" s="16"/>
      <c r="F44" s="12" t="s">
        <v>1047</v>
      </c>
      <c r="G44" s="31" t="n">
        <v>0.0004</v>
      </c>
      <c r="H44" s="5" t="s">
        <v>1045</v>
      </c>
      <c r="I44" s="5" t="s">
        <v>1024</v>
      </c>
      <c r="J44" s="5" t="s">
        <v>1966</v>
      </c>
      <c r="K44" s="5"/>
      <c r="L44" s="12" t="n">
        <v>60</v>
      </c>
      <c r="M44" s="6"/>
      <c r="N44" s="8"/>
      <c r="O44" s="8"/>
    </row>
    <row r="45" customFormat="false" ht="22.5" hidden="false" customHeight="false" outlineLevel="0" collapsed="false">
      <c r="A45" s="5" t="n">
        <f aca="false">IF(B45&lt;&gt;"", COUNTA($B$2:B45), "")</f>
        <v>44</v>
      </c>
      <c r="B45" s="124" t="s">
        <v>57</v>
      </c>
      <c r="C45" s="5" t="s">
        <v>2919</v>
      </c>
      <c r="D45" s="5" t="s">
        <v>2920</v>
      </c>
      <c r="E45" s="16"/>
      <c r="F45" s="12" t="s">
        <v>1047</v>
      </c>
      <c r="G45" s="31" t="n">
        <v>0.0004</v>
      </c>
      <c r="H45" s="5" t="s">
        <v>1048</v>
      </c>
      <c r="I45" s="5" t="s">
        <v>1024</v>
      </c>
      <c r="J45" s="5" t="s">
        <v>1966</v>
      </c>
      <c r="K45" s="5"/>
      <c r="L45" s="12" t="n">
        <v>60</v>
      </c>
      <c r="M45" s="6"/>
      <c r="N45" s="8"/>
      <c r="O45" s="8"/>
    </row>
    <row r="46" customFormat="false" ht="22.5" hidden="false" customHeight="false" outlineLevel="0" collapsed="false">
      <c r="A46" s="5" t="n">
        <f aca="false">IF(B46&lt;&gt;"", COUNTA($B$2:B46), "")</f>
        <v>45</v>
      </c>
      <c r="B46" s="124" t="s">
        <v>57</v>
      </c>
      <c r="C46" s="5" t="s">
        <v>2919</v>
      </c>
      <c r="D46" s="5" t="s">
        <v>2921</v>
      </c>
      <c r="E46" s="16"/>
      <c r="F46" s="12" t="s">
        <v>1047</v>
      </c>
      <c r="G46" s="31" t="n">
        <v>0.0004</v>
      </c>
      <c r="H46" s="5" t="s">
        <v>1050</v>
      </c>
      <c r="I46" s="5" t="s">
        <v>1024</v>
      </c>
      <c r="J46" s="5" t="s">
        <v>1966</v>
      </c>
      <c r="K46" s="5"/>
      <c r="L46" s="12" t="n">
        <v>60</v>
      </c>
      <c r="M46" s="6"/>
      <c r="N46" s="8"/>
      <c r="O46" s="8"/>
    </row>
    <row r="47" customFormat="false" ht="22.5" hidden="false" customHeight="false" outlineLevel="0" collapsed="false">
      <c r="A47" s="5" t="n">
        <f aca="false">IF(B47&lt;&gt;"", COUNTA($B$2:B47), "")</f>
        <v>46</v>
      </c>
      <c r="B47" s="6" t="s">
        <v>221</v>
      </c>
      <c r="C47" s="5" t="s">
        <v>2922</v>
      </c>
      <c r="D47" s="5" t="n">
        <v>70426529</v>
      </c>
      <c r="E47" s="16" t="n">
        <v>2019</v>
      </c>
      <c r="F47" s="12" t="s">
        <v>2923</v>
      </c>
      <c r="G47" s="31" t="n">
        <v>0.01</v>
      </c>
      <c r="H47" s="5" t="s">
        <v>1053</v>
      </c>
      <c r="I47" s="5" t="s">
        <v>1024</v>
      </c>
      <c r="J47" s="5" t="s">
        <v>1966</v>
      </c>
      <c r="K47" s="5"/>
      <c r="L47" s="12" t="n">
        <v>48</v>
      </c>
      <c r="M47" s="6"/>
      <c r="N47" s="8"/>
      <c r="O47" s="8"/>
    </row>
    <row r="48" customFormat="false" ht="22.5" hidden="false" customHeight="false" outlineLevel="0" collapsed="false">
      <c r="A48" s="5" t="n">
        <f aca="false">IF(B48&lt;&gt;"", COUNTA($B$2:B48), "")</f>
        <v>47</v>
      </c>
      <c r="B48" s="124" t="s">
        <v>57</v>
      </c>
      <c r="C48" s="5" t="s">
        <v>2918</v>
      </c>
      <c r="D48" s="5" t="n">
        <v>6093599</v>
      </c>
      <c r="E48" s="17"/>
      <c r="F48" s="5" t="s">
        <v>1055</v>
      </c>
      <c r="G48" s="31" t="n">
        <v>0.0015</v>
      </c>
      <c r="H48" s="5" t="s">
        <v>2924</v>
      </c>
      <c r="I48" s="5" t="s">
        <v>1024</v>
      </c>
      <c r="J48" s="5" t="s">
        <v>1966</v>
      </c>
      <c r="K48" s="5"/>
      <c r="L48" s="12" t="n">
        <v>24</v>
      </c>
      <c r="M48" s="6"/>
      <c r="N48" s="8"/>
      <c r="O48" s="8"/>
    </row>
    <row r="49" customFormat="false" ht="22.5" hidden="false" customHeight="false" outlineLevel="0" collapsed="false">
      <c r="A49" s="5" t="n">
        <f aca="false">IF(B49&lt;&gt;"", COUNTA($B$2:B49), "")</f>
        <v>48</v>
      </c>
      <c r="B49" s="124" t="s">
        <v>57</v>
      </c>
      <c r="C49" s="5" t="s">
        <v>2925</v>
      </c>
      <c r="D49" s="5" t="n">
        <v>139588</v>
      </c>
      <c r="E49" s="16"/>
      <c r="F49" s="12" t="s">
        <v>2926</v>
      </c>
      <c r="G49" s="31" t="n">
        <v>0.005</v>
      </c>
      <c r="H49" s="5" t="s">
        <v>2927</v>
      </c>
      <c r="I49" s="5" t="s">
        <v>1024</v>
      </c>
      <c r="J49" s="5" t="s">
        <v>1966</v>
      </c>
      <c r="K49" s="5"/>
      <c r="L49" s="12" t="n">
        <v>24</v>
      </c>
      <c r="M49" s="6"/>
      <c r="N49" s="8"/>
      <c r="O49" s="8"/>
    </row>
    <row r="50" customFormat="false" ht="22.5" hidden="false" customHeight="false" outlineLevel="0" collapsed="false">
      <c r="A50" s="5" t="n">
        <f aca="false">IF(B50&lt;&gt;"", COUNTA($B$2:B50), "")</f>
        <v>49</v>
      </c>
      <c r="B50" s="6" t="s">
        <v>64</v>
      </c>
      <c r="C50" s="19" t="s">
        <v>2928</v>
      </c>
      <c r="D50" s="12" t="n">
        <v>1372</v>
      </c>
      <c r="E50" s="17"/>
      <c r="F50" s="19" t="s">
        <v>1061</v>
      </c>
      <c r="G50" s="19" t="s">
        <v>68</v>
      </c>
      <c r="H50" s="5" t="s">
        <v>1062</v>
      </c>
      <c r="I50" s="5" t="s">
        <v>1063</v>
      </c>
      <c r="J50" s="5" t="s">
        <v>1966</v>
      </c>
      <c r="K50" s="5"/>
      <c r="L50" s="12" t="n">
        <v>36</v>
      </c>
      <c r="M50" s="6"/>
      <c r="N50" s="8"/>
      <c r="O50" s="8"/>
    </row>
    <row r="51" customFormat="false" ht="33.75" hidden="false" customHeight="false" outlineLevel="0" collapsed="false">
      <c r="A51" s="5" t="n">
        <f aca="false">IF(B51&lt;&gt;"", COUNTA($B$2:B51), "")</f>
        <v>50</v>
      </c>
      <c r="B51" s="7" t="s">
        <v>2498</v>
      </c>
      <c r="C51" s="12" t="s">
        <v>2929</v>
      </c>
      <c r="D51" s="78" t="s">
        <v>2930</v>
      </c>
      <c r="E51" s="8" t="n">
        <v>2022</v>
      </c>
      <c r="F51" s="15" t="s">
        <v>290</v>
      </c>
      <c r="G51" s="174" t="n">
        <v>0.0025</v>
      </c>
      <c r="H51" s="5" t="s">
        <v>2931</v>
      </c>
      <c r="I51" s="5" t="s">
        <v>2932</v>
      </c>
      <c r="J51" s="5" t="s">
        <v>1966</v>
      </c>
      <c r="K51" s="5"/>
      <c r="L51" s="5" t="n">
        <v>60</v>
      </c>
      <c r="M51" s="6"/>
      <c r="N51" s="8"/>
      <c r="O51" s="8"/>
    </row>
    <row r="52" customFormat="false" ht="33.75" hidden="false" customHeight="false" outlineLevel="0" collapsed="false">
      <c r="A52" s="5" t="n">
        <f aca="false">IF(B52&lt;&gt;"", COUNTA($B$2:B52), "")</f>
        <v>51</v>
      </c>
      <c r="B52" s="7" t="s">
        <v>2498</v>
      </c>
      <c r="C52" s="12" t="s">
        <v>2929</v>
      </c>
      <c r="D52" s="78" t="s">
        <v>2933</v>
      </c>
      <c r="E52" s="8" t="n">
        <v>2022</v>
      </c>
      <c r="F52" s="15" t="s">
        <v>290</v>
      </c>
      <c r="G52" s="174" t="n">
        <v>0.0025</v>
      </c>
      <c r="H52" s="5" t="s">
        <v>2934</v>
      </c>
      <c r="I52" s="5" t="s">
        <v>2932</v>
      </c>
      <c r="J52" s="5" t="s">
        <v>1966</v>
      </c>
      <c r="K52" s="5"/>
      <c r="L52" s="5" t="n">
        <v>60</v>
      </c>
      <c r="M52" s="6"/>
      <c r="N52" s="8"/>
      <c r="O52" s="8"/>
    </row>
    <row r="53" customFormat="false" ht="33.75" hidden="false" customHeight="false" outlineLevel="0" collapsed="false">
      <c r="A53" s="5" t="n">
        <f aca="false">IF(B53&lt;&gt;"", COUNTA($B$2:B53), "")</f>
        <v>52</v>
      </c>
      <c r="B53" s="7" t="s">
        <v>2498</v>
      </c>
      <c r="C53" s="12" t="s">
        <v>2929</v>
      </c>
      <c r="D53" s="78" t="s">
        <v>2935</v>
      </c>
      <c r="E53" s="8" t="n">
        <v>2022</v>
      </c>
      <c r="F53" s="15" t="s">
        <v>290</v>
      </c>
      <c r="G53" s="174" t="n">
        <v>0.0025</v>
      </c>
      <c r="H53" s="5" t="s">
        <v>2936</v>
      </c>
      <c r="I53" s="5" t="s">
        <v>2932</v>
      </c>
      <c r="J53" s="5" t="s">
        <v>1966</v>
      </c>
      <c r="K53" s="5"/>
      <c r="L53" s="5" t="n">
        <v>60</v>
      </c>
      <c r="M53" s="6"/>
      <c r="N53" s="8"/>
      <c r="O53" s="8"/>
    </row>
    <row r="54" customFormat="false" ht="33.75" hidden="false" customHeight="false" outlineLevel="0" collapsed="false">
      <c r="A54" s="5" t="n">
        <f aca="false">IF(B54&lt;&gt;"", COUNTA($B$2:B54), "")</f>
        <v>53</v>
      </c>
      <c r="B54" s="7" t="s">
        <v>2498</v>
      </c>
      <c r="C54" s="12" t="s">
        <v>2929</v>
      </c>
      <c r="D54" s="78" t="s">
        <v>2937</v>
      </c>
      <c r="E54" s="8" t="n">
        <v>2022</v>
      </c>
      <c r="F54" s="15" t="s">
        <v>290</v>
      </c>
      <c r="G54" s="174" t="n">
        <v>0.0025</v>
      </c>
      <c r="H54" s="5" t="s">
        <v>2938</v>
      </c>
      <c r="I54" s="5" t="s">
        <v>2932</v>
      </c>
      <c r="J54" s="5" t="s">
        <v>1966</v>
      </c>
      <c r="K54" s="5"/>
      <c r="L54" s="5" t="n">
        <v>60</v>
      </c>
      <c r="M54" s="6"/>
      <c r="N54" s="8"/>
      <c r="O54" s="8"/>
    </row>
    <row r="55" customFormat="false" ht="33.75" hidden="false" customHeight="false" outlineLevel="0" collapsed="false">
      <c r="A55" s="5" t="n">
        <f aca="false">IF(B55&lt;&gt;"", COUNTA($B$2:B55), "")</f>
        <v>54</v>
      </c>
      <c r="B55" s="7" t="s">
        <v>2498</v>
      </c>
      <c r="C55" s="12" t="s">
        <v>2929</v>
      </c>
      <c r="D55" s="78" t="s">
        <v>2939</v>
      </c>
      <c r="E55" s="8" t="n">
        <v>2022</v>
      </c>
      <c r="F55" s="15" t="s">
        <v>290</v>
      </c>
      <c r="G55" s="174" t="n">
        <v>0.0025</v>
      </c>
      <c r="H55" s="5" t="s">
        <v>2940</v>
      </c>
      <c r="I55" s="5" t="s">
        <v>2932</v>
      </c>
      <c r="J55" s="5" t="s">
        <v>1966</v>
      </c>
      <c r="K55" s="5"/>
      <c r="L55" s="5" t="n">
        <v>60</v>
      </c>
      <c r="M55" s="6"/>
      <c r="N55" s="8"/>
      <c r="O55" s="8"/>
    </row>
    <row r="56" customFormat="false" ht="33.75" hidden="false" customHeight="false" outlineLevel="0" collapsed="false">
      <c r="A56" s="5" t="n">
        <f aca="false">IF(B56&lt;&gt;"", COUNTA($B$2:B56), "")</f>
        <v>55</v>
      </c>
      <c r="B56" s="7" t="s">
        <v>2498</v>
      </c>
      <c r="C56" s="12" t="s">
        <v>2929</v>
      </c>
      <c r="D56" s="78" t="s">
        <v>2941</v>
      </c>
      <c r="E56" s="8" t="n">
        <v>2022</v>
      </c>
      <c r="F56" s="15" t="s">
        <v>290</v>
      </c>
      <c r="G56" s="174" t="n">
        <v>0.0025</v>
      </c>
      <c r="H56" s="5" t="s">
        <v>2942</v>
      </c>
      <c r="I56" s="5" t="s">
        <v>2932</v>
      </c>
      <c r="J56" s="5" t="s">
        <v>1966</v>
      </c>
      <c r="K56" s="5"/>
      <c r="L56" s="5" t="n">
        <v>60</v>
      </c>
      <c r="M56" s="6"/>
      <c r="N56" s="8"/>
      <c r="O56" s="8"/>
    </row>
  </sheetData>
  <conditionalFormatting sqref="M1:M1048576">
    <cfRule type="expression" priority="2" aboveAverage="0" equalAverage="0" bottom="0" percent="0" rank="0" text="" dxfId="35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22.57"/>
    <col collapsed="false" customWidth="true" hidden="false" outlineLevel="0" max="3" min="3" style="4" width="13.43"/>
    <col collapsed="false" customWidth="true" hidden="false" outlineLevel="0" max="4" min="4" style="4" width="9.58"/>
    <col collapsed="false" customWidth="true" hidden="false" outlineLevel="0" max="5" min="5" style="4" width="6.57"/>
    <col collapsed="false" customWidth="true" hidden="false" outlineLevel="0" max="6" min="6" style="4" width="10.42"/>
    <col collapsed="false" customWidth="true" hidden="false" outlineLevel="0" max="7" min="7" style="4" width="7.42"/>
    <col collapsed="false" customWidth="true" hidden="false" outlineLevel="0" max="8" min="8" style="4" width="13.86"/>
    <col collapsed="false" customWidth="true" hidden="false" outlineLevel="0" max="9" min="9" style="4" width="8"/>
    <col collapsed="false" customWidth="true" hidden="false" outlineLevel="0" max="10" min="10" style="4" width="11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  <c r="O1" s="121"/>
    </row>
    <row r="2" customFormat="false" ht="22.5" hidden="false" customHeight="false" outlineLevel="0" collapsed="false">
      <c r="A2" s="5" t="n">
        <f aca="false">IF(B2&lt;&gt;"", COUNTA($B$2:B2), "")</f>
        <v>1</v>
      </c>
      <c r="B2" s="7" t="s">
        <v>27</v>
      </c>
      <c r="C2" s="19" t="s">
        <v>1882</v>
      </c>
      <c r="D2" s="6" t="s">
        <v>2943</v>
      </c>
      <c r="E2" s="16"/>
      <c r="F2" s="12" t="s">
        <v>2944</v>
      </c>
      <c r="G2" s="19" t="s">
        <v>181</v>
      </c>
      <c r="H2" s="19" t="s">
        <v>2945</v>
      </c>
      <c r="I2" s="5" t="s">
        <v>2041</v>
      </c>
      <c r="J2" s="5" t="s">
        <v>1966</v>
      </c>
      <c r="K2" s="5"/>
      <c r="L2" s="12" t="n">
        <v>12</v>
      </c>
      <c r="M2" s="6" t="s">
        <v>41</v>
      </c>
      <c r="N2" s="8" t="s">
        <v>1</v>
      </c>
      <c r="O2" s="121"/>
    </row>
    <row r="3" customFormat="false" ht="22.5" hidden="false" customHeight="false" outlineLevel="0" collapsed="false">
      <c r="A3" s="5" t="n">
        <f aca="false">IF(B3&lt;&gt;"", COUNTA($B$2:B3), "")</f>
        <v>2</v>
      </c>
      <c r="B3" s="7" t="s">
        <v>27</v>
      </c>
      <c r="C3" s="19" t="s">
        <v>1882</v>
      </c>
      <c r="D3" s="6" t="s">
        <v>2946</v>
      </c>
      <c r="E3" s="16"/>
      <c r="F3" s="12" t="s">
        <v>2947</v>
      </c>
      <c r="G3" s="19" t="s">
        <v>181</v>
      </c>
      <c r="H3" s="19" t="s">
        <v>2948</v>
      </c>
      <c r="I3" s="5" t="s">
        <v>2041</v>
      </c>
      <c r="J3" s="5" t="s">
        <v>1966</v>
      </c>
      <c r="K3" s="5"/>
      <c r="L3" s="12" t="n">
        <v>12</v>
      </c>
      <c r="M3" s="6" t="s">
        <v>41</v>
      </c>
      <c r="N3" s="8" t="s">
        <v>1</v>
      </c>
      <c r="O3" s="121"/>
    </row>
    <row r="4" customFormat="false" ht="22.5" hidden="false" customHeight="false" outlineLevel="0" collapsed="false">
      <c r="A4" s="5" t="n">
        <f aca="false">IF(B4&lt;&gt;"", COUNTA($B$2:B4), "")</f>
        <v>3</v>
      </c>
      <c r="B4" s="7" t="s">
        <v>27</v>
      </c>
      <c r="C4" s="19" t="s">
        <v>144</v>
      </c>
      <c r="D4" s="6" t="s">
        <v>2949</v>
      </c>
      <c r="E4" s="16"/>
      <c r="F4" s="8" t="s">
        <v>2950</v>
      </c>
      <c r="G4" s="19" t="s">
        <v>987</v>
      </c>
      <c r="H4" s="19" t="s">
        <v>2951</v>
      </c>
      <c r="I4" s="5" t="s">
        <v>2041</v>
      </c>
      <c r="J4" s="5" t="s">
        <v>1966</v>
      </c>
      <c r="K4" s="5"/>
      <c r="L4" s="12" t="n">
        <v>12</v>
      </c>
      <c r="M4" s="6" t="s">
        <v>41</v>
      </c>
      <c r="N4" s="8" t="s">
        <v>1</v>
      </c>
      <c r="O4" s="121"/>
    </row>
    <row r="5" customFormat="false" ht="22.5" hidden="false" customHeight="false" outlineLevel="0" collapsed="false">
      <c r="A5" s="5" t="n">
        <f aca="false">IF(B5&lt;&gt;"", COUNTA($B$2:B5), "")</f>
        <v>4</v>
      </c>
      <c r="B5" s="7" t="s">
        <v>27</v>
      </c>
      <c r="C5" s="19" t="s">
        <v>144</v>
      </c>
      <c r="D5" s="6" t="s">
        <v>2952</v>
      </c>
      <c r="E5" s="16"/>
      <c r="F5" s="8" t="s">
        <v>2950</v>
      </c>
      <c r="G5" s="19" t="s">
        <v>987</v>
      </c>
      <c r="H5" s="19" t="s">
        <v>2953</v>
      </c>
      <c r="I5" s="5" t="s">
        <v>2041</v>
      </c>
      <c r="J5" s="5" t="s">
        <v>1966</v>
      </c>
      <c r="K5" s="5"/>
      <c r="L5" s="12" t="n">
        <v>12</v>
      </c>
      <c r="M5" s="6" t="s">
        <v>41</v>
      </c>
      <c r="N5" s="8" t="s">
        <v>1</v>
      </c>
      <c r="O5" s="121"/>
    </row>
    <row r="6" customFormat="false" ht="22.5" hidden="false" customHeight="false" outlineLevel="0" collapsed="false">
      <c r="A6" s="5" t="n">
        <f aca="false">IF(B6&lt;&gt;"", COUNTA($B$2:B6), "")</f>
        <v>5</v>
      </c>
      <c r="B6" s="124" t="s">
        <v>57</v>
      </c>
      <c r="C6" s="12" t="s">
        <v>2440</v>
      </c>
      <c r="D6" s="5" t="n">
        <v>6117878</v>
      </c>
      <c r="E6" s="16" t="n">
        <v>2019</v>
      </c>
      <c r="F6" s="12" t="s">
        <v>2954</v>
      </c>
      <c r="G6" s="31" t="n">
        <v>0.001</v>
      </c>
      <c r="H6" s="5" t="s">
        <v>2955</v>
      </c>
      <c r="I6" s="5" t="s">
        <v>2041</v>
      </c>
      <c r="J6" s="5" t="s">
        <v>1966</v>
      </c>
      <c r="K6" s="5"/>
      <c r="L6" s="12" t="n">
        <v>60</v>
      </c>
      <c r="M6" s="6"/>
      <c r="N6" s="8"/>
      <c r="O6" s="121"/>
    </row>
    <row r="7" customFormat="false" ht="22.5" hidden="false" customHeight="false" outlineLevel="0" collapsed="false">
      <c r="A7" s="5" t="n">
        <f aca="false">IF(B7&lt;&gt;"", COUNTA($B$2:B7), "")</f>
        <v>6</v>
      </c>
      <c r="B7" s="124" t="s">
        <v>57</v>
      </c>
      <c r="C7" s="5" t="s">
        <v>2956</v>
      </c>
      <c r="D7" s="5" t="n">
        <v>1622744</v>
      </c>
      <c r="E7" s="16" t="n">
        <v>2019</v>
      </c>
      <c r="F7" s="12" t="s">
        <v>2957</v>
      </c>
      <c r="G7" s="31" t="n">
        <v>0.001</v>
      </c>
      <c r="H7" s="5" t="s">
        <v>2958</v>
      </c>
      <c r="I7" s="5" t="s">
        <v>2041</v>
      </c>
      <c r="J7" s="5" t="s">
        <v>1966</v>
      </c>
      <c r="K7" s="5"/>
      <c r="L7" s="12" t="n">
        <v>60</v>
      </c>
      <c r="M7" s="6"/>
      <c r="N7" s="8"/>
      <c r="O7" s="121"/>
    </row>
    <row r="8" customFormat="false" ht="22.5" hidden="false" customHeight="false" outlineLevel="0" collapsed="false">
      <c r="A8" s="5" t="n">
        <f aca="false">IF(B8&lt;&gt;"", COUNTA($B$2:B8), "")</f>
        <v>7</v>
      </c>
      <c r="B8" s="124" t="s">
        <v>57</v>
      </c>
      <c r="C8" s="12" t="s">
        <v>2440</v>
      </c>
      <c r="D8" s="5" t="n">
        <v>6117876</v>
      </c>
      <c r="E8" s="16" t="n">
        <v>2019</v>
      </c>
      <c r="F8" s="12" t="s">
        <v>2954</v>
      </c>
      <c r="G8" s="31" t="n">
        <v>0.001</v>
      </c>
      <c r="H8" s="5" t="s">
        <v>2959</v>
      </c>
      <c r="I8" s="5" t="s">
        <v>2041</v>
      </c>
      <c r="J8" s="5" t="s">
        <v>1966</v>
      </c>
      <c r="K8" s="5"/>
      <c r="L8" s="12" t="n">
        <v>60</v>
      </c>
      <c r="M8" s="6"/>
      <c r="N8" s="8"/>
      <c r="O8" s="121"/>
    </row>
    <row r="9" customFormat="false" ht="33.75" hidden="false" customHeight="false" outlineLevel="0" collapsed="false">
      <c r="A9" s="5" t="n">
        <f aca="false">IF(B9&lt;&gt;"", COUNTA($B$2:B9), "")</f>
        <v>8</v>
      </c>
      <c r="B9" s="124" t="s">
        <v>57</v>
      </c>
      <c r="C9" s="12" t="s">
        <v>2440</v>
      </c>
      <c r="D9" s="5" t="n">
        <v>6148576</v>
      </c>
      <c r="E9" s="16" t="n">
        <v>2020</v>
      </c>
      <c r="F9" s="12" t="s">
        <v>2960</v>
      </c>
      <c r="G9" s="31" t="n">
        <v>0.001</v>
      </c>
      <c r="H9" s="5" t="s">
        <v>2961</v>
      </c>
      <c r="I9" s="5" t="s">
        <v>2041</v>
      </c>
      <c r="J9" s="5" t="s">
        <v>1966</v>
      </c>
      <c r="K9" s="5"/>
      <c r="L9" s="12" t="n">
        <v>60</v>
      </c>
      <c r="M9" s="6"/>
      <c r="N9" s="8"/>
      <c r="O9" s="121"/>
    </row>
    <row r="10" customFormat="false" ht="22.5" hidden="false" customHeight="false" outlineLevel="0" collapsed="false">
      <c r="A10" s="5" t="n">
        <f aca="false">IF(B10&lt;&gt;"", COUNTA($B$2:B10), "")</f>
        <v>9</v>
      </c>
      <c r="B10" s="124" t="s">
        <v>57</v>
      </c>
      <c r="C10" s="12" t="s">
        <v>2440</v>
      </c>
      <c r="D10" s="5" t="n">
        <v>6148569</v>
      </c>
      <c r="E10" s="16" t="n">
        <v>2020</v>
      </c>
      <c r="F10" s="12" t="s">
        <v>2960</v>
      </c>
      <c r="G10" s="31" t="n">
        <v>0.001</v>
      </c>
      <c r="H10" s="5" t="s">
        <v>2962</v>
      </c>
      <c r="I10" s="5" t="s">
        <v>2041</v>
      </c>
      <c r="J10" s="5" t="s">
        <v>1966</v>
      </c>
      <c r="K10" s="5"/>
      <c r="L10" s="12" t="n">
        <v>60</v>
      </c>
      <c r="M10" s="6"/>
      <c r="N10" s="8"/>
      <c r="O10" s="121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124" t="s">
        <v>57</v>
      </c>
      <c r="C11" s="12" t="s">
        <v>2440</v>
      </c>
      <c r="D11" s="5" t="n">
        <v>6148570</v>
      </c>
      <c r="E11" s="16" t="n">
        <v>2020</v>
      </c>
      <c r="F11" s="12" t="s">
        <v>2960</v>
      </c>
      <c r="G11" s="31" t="n">
        <v>0.001</v>
      </c>
      <c r="H11" s="5" t="s">
        <v>2963</v>
      </c>
      <c r="I11" s="5" t="s">
        <v>2041</v>
      </c>
      <c r="J11" s="5" t="s">
        <v>1966</v>
      </c>
      <c r="K11" s="5"/>
      <c r="L11" s="12" t="n">
        <v>60</v>
      </c>
      <c r="M11" s="6"/>
      <c r="N11" s="8"/>
      <c r="O11" s="121"/>
    </row>
    <row r="12" customFormat="false" ht="33.75" hidden="false" customHeight="false" outlineLevel="0" collapsed="false">
      <c r="A12" s="5" t="n">
        <f aca="false">IF(B12&lt;&gt;"", COUNTA($B$2:B12), "")</f>
        <v>11</v>
      </c>
      <c r="B12" s="124" t="s">
        <v>57</v>
      </c>
      <c r="C12" s="12" t="s">
        <v>2444</v>
      </c>
      <c r="D12" s="5" t="n">
        <v>6148573</v>
      </c>
      <c r="E12" s="16" t="n">
        <v>2020</v>
      </c>
      <c r="F12" s="12" t="s">
        <v>2964</v>
      </c>
      <c r="G12" s="31" t="n">
        <v>0.001</v>
      </c>
      <c r="H12" s="5" t="s">
        <v>2965</v>
      </c>
      <c r="I12" s="5" t="s">
        <v>2041</v>
      </c>
      <c r="J12" s="5" t="s">
        <v>1966</v>
      </c>
      <c r="K12" s="5"/>
      <c r="L12" s="12" t="n">
        <v>60</v>
      </c>
      <c r="M12" s="6"/>
      <c r="N12" s="8"/>
      <c r="O12" s="121"/>
    </row>
    <row r="13" customFormat="false" ht="33.75" hidden="false" customHeight="false" outlineLevel="0" collapsed="false">
      <c r="A13" s="5" t="n">
        <f aca="false">IF(B13&lt;&gt;"", COUNTA($B$2:B13), "")</f>
        <v>12</v>
      </c>
      <c r="B13" s="124" t="s">
        <v>57</v>
      </c>
      <c r="C13" s="12" t="s">
        <v>2444</v>
      </c>
      <c r="D13" s="5" t="n">
        <v>6148574</v>
      </c>
      <c r="E13" s="16" t="n">
        <v>2020</v>
      </c>
      <c r="F13" s="12" t="s">
        <v>2964</v>
      </c>
      <c r="G13" s="31" t="n">
        <v>0.001</v>
      </c>
      <c r="H13" s="5" t="s">
        <v>2966</v>
      </c>
      <c r="I13" s="5" t="s">
        <v>2041</v>
      </c>
      <c r="J13" s="5" t="s">
        <v>1966</v>
      </c>
      <c r="K13" s="5"/>
      <c r="L13" s="12" t="n">
        <v>60</v>
      </c>
      <c r="M13" s="6"/>
      <c r="N13" s="8"/>
      <c r="O13" s="121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6" t="s">
        <v>64</v>
      </c>
      <c r="C14" s="5" t="s">
        <v>2565</v>
      </c>
      <c r="D14" s="5" t="n">
        <v>2494086</v>
      </c>
      <c r="E14" s="16" t="n">
        <v>2019</v>
      </c>
      <c r="F14" s="19" t="s">
        <v>2967</v>
      </c>
      <c r="G14" s="31" t="n">
        <v>0.0025</v>
      </c>
      <c r="H14" s="5" t="s">
        <v>2968</v>
      </c>
      <c r="I14" s="5" t="s">
        <v>2041</v>
      </c>
      <c r="J14" s="5" t="s">
        <v>1966</v>
      </c>
      <c r="K14" s="5"/>
      <c r="L14" s="12" t="n">
        <v>60</v>
      </c>
      <c r="M14" s="6"/>
      <c r="N14" s="8"/>
      <c r="O14" s="121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6" t="s">
        <v>64</v>
      </c>
      <c r="C15" s="5" t="s">
        <v>2565</v>
      </c>
      <c r="D15" s="5" t="n">
        <v>2494229</v>
      </c>
      <c r="E15" s="16" t="n">
        <v>2019</v>
      </c>
      <c r="F15" s="19" t="s">
        <v>1175</v>
      </c>
      <c r="G15" s="31" t="n">
        <v>0.0025</v>
      </c>
      <c r="H15" s="5" t="s">
        <v>2969</v>
      </c>
      <c r="I15" s="5" t="s">
        <v>2041</v>
      </c>
      <c r="J15" s="5" t="s">
        <v>1966</v>
      </c>
      <c r="K15" s="5"/>
      <c r="L15" s="12" t="n">
        <v>60</v>
      </c>
      <c r="M15" s="6"/>
      <c r="N15" s="8"/>
      <c r="O15" s="121"/>
    </row>
    <row r="16" customFormat="false" ht="22.5" hidden="false" customHeight="false" outlineLevel="0" collapsed="false">
      <c r="A16" s="5" t="n">
        <f aca="false">IF(B16&lt;&gt;"", COUNTA($B$2:B16), "")</f>
        <v>15</v>
      </c>
      <c r="B16" s="6" t="s">
        <v>64</v>
      </c>
      <c r="C16" s="5" t="s">
        <v>2970</v>
      </c>
      <c r="D16" s="5" t="n">
        <v>5853</v>
      </c>
      <c r="E16" s="17" t="n">
        <v>2019</v>
      </c>
      <c r="F16" s="19" t="s">
        <v>2971</v>
      </c>
      <c r="G16" s="31" t="n">
        <v>0.0025</v>
      </c>
      <c r="H16" s="5" t="s">
        <v>2972</v>
      </c>
      <c r="I16" s="5" t="s">
        <v>2041</v>
      </c>
      <c r="J16" s="5" t="s">
        <v>1966</v>
      </c>
      <c r="K16" s="5"/>
      <c r="L16" s="12" t="n">
        <v>60</v>
      </c>
      <c r="M16" s="6"/>
      <c r="N16" s="8"/>
      <c r="O16" s="121"/>
    </row>
    <row r="17" customFormat="false" ht="22.5" hidden="false" customHeight="false" outlineLevel="0" collapsed="false">
      <c r="A17" s="5" t="n">
        <f aca="false">IF(B17&lt;&gt;"", COUNTA($B$2:B17), "")</f>
        <v>16</v>
      </c>
      <c r="B17" s="6" t="s">
        <v>64</v>
      </c>
      <c r="C17" s="5" t="s">
        <v>2970</v>
      </c>
      <c r="D17" s="5" t="n">
        <v>3752</v>
      </c>
      <c r="E17" s="16" t="n">
        <v>2019</v>
      </c>
      <c r="F17" s="19" t="s">
        <v>2971</v>
      </c>
      <c r="G17" s="31" t="n">
        <v>0.0025</v>
      </c>
      <c r="H17" s="5" t="s">
        <v>2973</v>
      </c>
      <c r="I17" s="5" t="s">
        <v>2041</v>
      </c>
      <c r="J17" s="5" t="s">
        <v>1966</v>
      </c>
      <c r="K17" s="5"/>
      <c r="L17" s="12" t="n">
        <v>60</v>
      </c>
      <c r="M17" s="6"/>
      <c r="N17" s="8"/>
      <c r="O17" s="121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6" t="s">
        <v>64</v>
      </c>
      <c r="C18" s="12" t="s">
        <v>2974</v>
      </c>
      <c r="D18" s="12" t="n">
        <v>1975</v>
      </c>
      <c r="E18" s="17" t="n">
        <v>2018</v>
      </c>
      <c r="F18" s="19" t="s">
        <v>1096</v>
      </c>
      <c r="G18" s="31" t="n">
        <v>0.0025</v>
      </c>
      <c r="H18" s="5" t="s">
        <v>2975</v>
      </c>
      <c r="I18" s="5" t="s">
        <v>2041</v>
      </c>
      <c r="J18" s="5" t="s">
        <v>1966</v>
      </c>
      <c r="K18" s="5"/>
      <c r="L18" s="12" t="n">
        <v>60</v>
      </c>
      <c r="M18" s="6"/>
      <c r="N18" s="8"/>
      <c r="O18" s="121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2389</v>
      </c>
      <c r="C19" s="12" t="s">
        <v>2976</v>
      </c>
      <c r="D19" s="78" t="s">
        <v>2977</v>
      </c>
      <c r="E19" s="8" t="n">
        <v>2019</v>
      </c>
      <c r="F19" s="15"/>
      <c r="G19" s="10"/>
      <c r="H19" s="5"/>
      <c r="I19" s="5" t="s">
        <v>2041</v>
      </c>
      <c r="J19" s="5" t="s">
        <v>1966</v>
      </c>
      <c r="K19" s="5"/>
      <c r="L19" s="5" t="n">
        <v>60</v>
      </c>
      <c r="M19" s="6"/>
      <c r="N19" s="8"/>
      <c r="O19" s="121"/>
    </row>
    <row r="20" customFormat="false" ht="22.5" hidden="false" customHeight="false" outlineLevel="0" collapsed="false">
      <c r="A20" s="5" t="n">
        <f aca="false">IF(B20&lt;&gt;"", COUNTA($B$2:B20), "")</f>
        <v>19</v>
      </c>
      <c r="B20" s="7" t="s">
        <v>64</v>
      </c>
      <c r="C20" s="12" t="s">
        <v>2978</v>
      </c>
      <c r="D20" s="78" t="s">
        <v>2979</v>
      </c>
      <c r="E20" s="8" t="n">
        <v>2019</v>
      </c>
      <c r="F20" s="19" t="s">
        <v>1022</v>
      </c>
      <c r="G20" s="31" t="n">
        <v>0.0025</v>
      </c>
      <c r="H20" s="5" t="s">
        <v>2980</v>
      </c>
      <c r="I20" s="5" t="s">
        <v>2041</v>
      </c>
      <c r="J20" s="5" t="s">
        <v>1966</v>
      </c>
      <c r="K20" s="5"/>
      <c r="L20" s="5" t="n">
        <v>60</v>
      </c>
      <c r="M20" s="6"/>
      <c r="N20" s="8"/>
      <c r="O20" s="121"/>
    </row>
    <row r="21" customFormat="false" ht="22.5" hidden="false" customHeight="false" outlineLevel="0" collapsed="false">
      <c r="A21" s="5" t="n">
        <f aca="false">IF(B21&lt;&gt;"", COUNTA($B$2:B21), "")</f>
        <v>20</v>
      </c>
      <c r="B21" s="7" t="s">
        <v>57</v>
      </c>
      <c r="C21" s="12" t="s">
        <v>2440</v>
      </c>
      <c r="D21" s="78" t="s">
        <v>2981</v>
      </c>
      <c r="E21" s="8" t="n">
        <v>2019</v>
      </c>
      <c r="F21" s="12" t="s">
        <v>2954</v>
      </c>
      <c r="G21" s="31" t="n">
        <v>0.001</v>
      </c>
      <c r="H21" s="5" t="s">
        <v>2982</v>
      </c>
      <c r="I21" s="5" t="s">
        <v>2041</v>
      </c>
      <c r="J21" s="5" t="s">
        <v>1966</v>
      </c>
      <c r="K21" s="5"/>
      <c r="L21" s="5" t="n">
        <v>60</v>
      </c>
      <c r="M21" s="6"/>
      <c r="N21" s="8"/>
      <c r="O21" s="121"/>
    </row>
    <row r="22" customFormat="false" ht="22.5" hidden="false" customHeight="false" outlineLevel="0" collapsed="false">
      <c r="A22" s="5" t="n">
        <f aca="false">IF(B22&lt;&gt;"", COUNTA($B$2:B22), "")</f>
        <v>21</v>
      </c>
      <c r="B22" s="7" t="s">
        <v>64</v>
      </c>
      <c r="C22" s="12" t="s">
        <v>2974</v>
      </c>
      <c r="D22" s="78" t="s">
        <v>2983</v>
      </c>
      <c r="E22" s="8" t="n">
        <v>2018</v>
      </c>
      <c r="F22" s="19" t="s">
        <v>1096</v>
      </c>
      <c r="G22" s="31" t="n">
        <v>0.0025</v>
      </c>
      <c r="H22" s="5"/>
      <c r="I22" s="5" t="s">
        <v>2041</v>
      </c>
      <c r="J22" s="5" t="s">
        <v>1966</v>
      </c>
      <c r="K22" s="5"/>
      <c r="L22" s="5" t="n">
        <v>60</v>
      </c>
      <c r="M22" s="6"/>
      <c r="N22" s="8"/>
      <c r="O22" s="121"/>
    </row>
    <row r="23" customFormat="false" ht="22.5" hidden="false" customHeight="false" outlineLevel="0" collapsed="false">
      <c r="A23" s="5" t="n">
        <f aca="false">IF(B23&lt;&gt;"", COUNTA($B$2:B23), "")</f>
        <v>22</v>
      </c>
      <c r="B23" s="6" t="s">
        <v>2379</v>
      </c>
      <c r="C23" s="12" t="s">
        <v>2380</v>
      </c>
      <c r="D23" s="78" t="s">
        <v>2984</v>
      </c>
      <c r="E23" s="8" t="n">
        <v>2018</v>
      </c>
      <c r="F23" s="15"/>
      <c r="G23" s="10"/>
      <c r="H23" s="5" t="s">
        <v>2985</v>
      </c>
      <c r="I23" s="5" t="s">
        <v>2041</v>
      </c>
      <c r="J23" s="5" t="s">
        <v>1966</v>
      </c>
      <c r="K23" s="5"/>
      <c r="L23" s="5" t="n">
        <v>60</v>
      </c>
      <c r="M23" s="6"/>
      <c r="N23" s="8"/>
      <c r="O23" s="121"/>
    </row>
    <row r="24" customFormat="false" ht="22.5" hidden="false" customHeight="false" outlineLevel="0" collapsed="false">
      <c r="A24" s="5" t="n">
        <f aca="false">IF(B24&lt;&gt;"", COUNTA($B$2:B24), "")</f>
        <v>23</v>
      </c>
      <c r="B24" s="7" t="s">
        <v>2382</v>
      </c>
      <c r="C24" s="12" t="s">
        <v>2986</v>
      </c>
      <c r="D24" s="78" t="s">
        <v>2987</v>
      </c>
      <c r="E24" s="8" t="n">
        <v>2018</v>
      </c>
      <c r="F24" s="15"/>
      <c r="G24" s="10"/>
      <c r="H24" s="5" t="s">
        <v>2985</v>
      </c>
      <c r="I24" s="5" t="s">
        <v>2041</v>
      </c>
      <c r="J24" s="5" t="s">
        <v>1966</v>
      </c>
      <c r="K24" s="5"/>
      <c r="L24" s="5" t="n">
        <v>60</v>
      </c>
      <c r="M24" s="6"/>
      <c r="N24" s="8"/>
      <c r="O24" s="121"/>
    </row>
    <row r="25" customFormat="false" ht="22.5" hidden="false" customHeight="false" outlineLevel="0" collapsed="false">
      <c r="A25" s="5" t="n">
        <f aca="false">IF(B25&lt;&gt;"", COUNTA($B$2:B25), "")</f>
        <v>24</v>
      </c>
      <c r="B25" s="7" t="s">
        <v>2385</v>
      </c>
      <c r="C25" s="12" t="s">
        <v>2988</v>
      </c>
      <c r="D25" s="78" t="s">
        <v>2989</v>
      </c>
      <c r="E25" s="8" t="n">
        <v>2018</v>
      </c>
      <c r="F25" s="15" t="s">
        <v>2990</v>
      </c>
      <c r="G25" s="10"/>
      <c r="H25" s="5" t="s">
        <v>2985</v>
      </c>
      <c r="I25" s="5" t="s">
        <v>2041</v>
      </c>
      <c r="J25" s="5" t="s">
        <v>1966</v>
      </c>
      <c r="K25" s="5"/>
      <c r="L25" s="5" t="n">
        <v>60</v>
      </c>
      <c r="M25" s="6"/>
      <c r="N25" s="8"/>
      <c r="O25" s="121"/>
    </row>
    <row r="26" customFormat="false" ht="22.5" hidden="false" customHeight="false" outlineLevel="0" collapsed="false">
      <c r="A26" s="5" t="n">
        <f aca="false">IF(B26&lt;&gt;"", COUNTA($B$2:B26), "")</f>
        <v>25</v>
      </c>
      <c r="B26" s="7" t="s">
        <v>2991</v>
      </c>
      <c r="C26" s="12" t="s">
        <v>2992</v>
      </c>
      <c r="D26" s="78" t="s">
        <v>2993</v>
      </c>
      <c r="E26" s="8" t="n">
        <v>2019</v>
      </c>
      <c r="F26" s="15"/>
      <c r="G26" s="10"/>
      <c r="H26" s="5"/>
      <c r="I26" s="5" t="s">
        <v>2041</v>
      </c>
      <c r="J26" s="5" t="s">
        <v>1966</v>
      </c>
      <c r="K26" s="5"/>
      <c r="L26" s="5" t="n">
        <v>60</v>
      </c>
      <c r="M26" s="6"/>
      <c r="N26" s="8"/>
      <c r="O26" s="121" t="s">
        <v>2432</v>
      </c>
    </row>
    <row r="27" customFormat="false" ht="22.5" hidden="false" customHeight="false" outlineLevel="0" collapsed="false">
      <c r="A27" s="5" t="n">
        <f aca="false">IF(B27&lt;&gt;"", COUNTA($B$2:B27), "")</f>
        <v>26</v>
      </c>
      <c r="B27" s="7" t="s">
        <v>2991</v>
      </c>
      <c r="C27" s="12" t="s">
        <v>2992</v>
      </c>
      <c r="D27" s="78" t="s">
        <v>2994</v>
      </c>
      <c r="E27" s="8" t="n">
        <v>2019</v>
      </c>
      <c r="F27" s="15"/>
      <c r="G27" s="10"/>
      <c r="H27" s="5"/>
      <c r="I27" s="5" t="s">
        <v>2041</v>
      </c>
      <c r="J27" s="5" t="s">
        <v>1966</v>
      </c>
      <c r="K27" s="5"/>
      <c r="L27" s="5" t="n">
        <v>60</v>
      </c>
      <c r="M27" s="6"/>
      <c r="N27" s="8"/>
      <c r="O27" s="121" t="s">
        <v>2432</v>
      </c>
    </row>
    <row r="28" customFormat="false" ht="22.5" hidden="false" customHeight="false" outlineLevel="0" collapsed="false">
      <c r="A28" s="5" t="n">
        <f aca="false">IF(B28&lt;&gt;"", COUNTA($B$2:B28), "")</f>
        <v>27</v>
      </c>
      <c r="B28" s="7" t="s">
        <v>2995</v>
      </c>
      <c r="C28" s="12" t="s">
        <v>2996</v>
      </c>
      <c r="D28" s="78" t="s">
        <v>2997</v>
      </c>
      <c r="E28" s="8" t="n">
        <v>2018</v>
      </c>
      <c r="F28" s="19" t="s">
        <v>2998</v>
      </c>
      <c r="G28" s="10"/>
      <c r="H28" s="5"/>
      <c r="I28" s="5" t="s">
        <v>2041</v>
      </c>
      <c r="J28" s="5" t="s">
        <v>1966</v>
      </c>
      <c r="K28" s="5"/>
      <c r="L28" s="5" t="n">
        <v>60</v>
      </c>
      <c r="M28" s="6"/>
      <c r="N28" s="8"/>
      <c r="O28" s="121" t="s">
        <v>2432</v>
      </c>
    </row>
    <row r="29" customFormat="false" ht="22.5" hidden="false" customHeight="false" outlineLevel="0" collapsed="false">
      <c r="A29" s="5" t="n">
        <f aca="false">IF(B29&lt;&gt;"", COUNTA($B$2:B29), "")</f>
        <v>28</v>
      </c>
      <c r="B29" s="7" t="s">
        <v>46</v>
      </c>
      <c r="C29" s="5" t="s">
        <v>2999</v>
      </c>
      <c r="D29" s="78" t="s">
        <v>3000</v>
      </c>
      <c r="E29" s="8"/>
      <c r="F29" s="19" t="s">
        <v>1096</v>
      </c>
      <c r="G29" s="10"/>
      <c r="H29" s="5" t="s">
        <v>3001</v>
      </c>
      <c r="I29" s="5" t="s">
        <v>2041</v>
      </c>
      <c r="J29" s="5" t="s">
        <v>1966</v>
      </c>
      <c r="K29" s="5"/>
      <c r="L29" s="5" t="n">
        <v>24</v>
      </c>
      <c r="M29" s="6" t="s">
        <v>2364</v>
      </c>
      <c r="N29" s="8" t="s">
        <v>1</v>
      </c>
      <c r="O29" s="122"/>
    </row>
    <row r="30" customFormat="false" ht="22.5" hidden="false" customHeight="false" outlineLevel="0" collapsed="false">
      <c r="A30" s="5" t="n">
        <f aca="false">IF(B30&lt;&gt;"", COUNTA($B$2:B30), "")</f>
        <v>29</v>
      </c>
      <c r="B30" s="7" t="s">
        <v>64</v>
      </c>
      <c r="C30" s="5" t="s">
        <v>3002</v>
      </c>
      <c r="D30" s="78" t="s">
        <v>3003</v>
      </c>
      <c r="E30" s="8"/>
      <c r="F30" s="19" t="s">
        <v>3004</v>
      </c>
      <c r="G30" s="10"/>
      <c r="H30" s="5" t="s">
        <v>3001</v>
      </c>
      <c r="I30" s="5" t="s">
        <v>2041</v>
      </c>
      <c r="J30" s="5" t="s">
        <v>1966</v>
      </c>
      <c r="K30" s="5"/>
      <c r="L30" s="5" t="n">
        <v>60</v>
      </c>
      <c r="M30" s="6"/>
      <c r="N30" s="8"/>
      <c r="O30" s="122"/>
    </row>
    <row r="31" customFormat="false" ht="22.5" hidden="false" customHeight="false" outlineLevel="0" collapsed="false">
      <c r="A31" s="5" t="n">
        <f aca="false">IF(B31&lt;&gt;"", COUNTA($B$2:B31), "")</f>
        <v>30</v>
      </c>
      <c r="B31" s="7" t="s">
        <v>27</v>
      </c>
      <c r="C31" s="5" t="s">
        <v>500</v>
      </c>
      <c r="D31" s="78" t="s">
        <v>3005</v>
      </c>
      <c r="E31" s="8"/>
      <c r="F31" s="8" t="s">
        <v>2950</v>
      </c>
      <c r="G31" s="19" t="s">
        <v>987</v>
      </c>
      <c r="H31" s="5" t="s">
        <v>3006</v>
      </c>
      <c r="I31" s="5" t="s">
        <v>2041</v>
      </c>
      <c r="J31" s="5" t="s">
        <v>1966</v>
      </c>
      <c r="K31" s="5"/>
      <c r="L31" s="5" t="n">
        <v>12</v>
      </c>
      <c r="M31" s="6" t="s">
        <v>41</v>
      </c>
      <c r="N31" s="8" t="s">
        <v>1</v>
      </c>
      <c r="O31" s="122"/>
    </row>
    <row r="32" customFormat="false" ht="22.5" hidden="false" customHeight="false" outlineLevel="0" collapsed="false">
      <c r="A32" s="5" t="n">
        <f aca="false">IF(B32&lt;&gt;"", COUNTA($B$2:B32), "")</f>
        <v>31</v>
      </c>
      <c r="B32" s="7" t="s">
        <v>27</v>
      </c>
      <c r="C32" s="5" t="s">
        <v>500</v>
      </c>
      <c r="D32" s="78" t="s">
        <v>3007</v>
      </c>
      <c r="E32" s="8"/>
      <c r="F32" s="8" t="s">
        <v>2950</v>
      </c>
      <c r="G32" s="19" t="s">
        <v>987</v>
      </c>
      <c r="H32" s="5" t="s">
        <v>3008</v>
      </c>
      <c r="I32" s="5" t="s">
        <v>2041</v>
      </c>
      <c r="J32" s="5" t="s">
        <v>1966</v>
      </c>
      <c r="K32" s="5"/>
      <c r="L32" s="5" t="n">
        <v>12</v>
      </c>
      <c r="M32" s="6" t="s">
        <v>41</v>
      </c>
      <c r="N32" s="8" t="s">
        <v>1</v>
      </c>
      <c r="O32" s="121"/>
    </row>
    <row r="33" customFormat="false" ht="22.5" hidden="false" customHeight="false" outlineLevel="0" collapsed="false">
      <c r="A33" s="5" t="n">
        <f aca="false">IF(B33&lt;&gt;"", COUNTA($B$2:B33), "")</f>
        <v>32</v>
      </c>
      <c r="B33" s="7" t="s">
        <v>27</v>
      </c>
      <c r="C33" s="5" t="s">
        <v>144</v>
      </c>
      <c r="D33" s="78" t="s">
        <v>3009</v>
      </c>
      <c r="E33" s="8"/>
      <c r="F33" s="8" t="s">
        <v>2950</v>
      </c>
      <c r="G33" s="19" t="s">
        <v>987</v>
      </c>
      <c r="H33" s="5" t="s">
        <v>2982</v>
      </c>
      <c r="I33" s="5" t="s">
        <v>2041</v>
      </c>
      <c r="J33" s="5" t="s">
        <v>1966</v>
      </c>
      <c r="K33" s="5"/>
      <c r="L33" s="5" t="n">
        <v>12</v>
      </c>
      <c r="M33" s="6" t="s">
        <v>41</v>
      </c>
      <c r="N33" s="8" t="s">
        <v>1</v>
      </c>
      <c r="O33" s="121"/>
    </row>
  </sheetData>
  <conditionalFormatting sqref="M1:M1048576">
    <cfRule type="expression" priority="2" aboveAverage="0" equalAverage="0" bottom="0" percent="0" rank="0" text="" dxfId="36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17" activePane="bottomLeft" state="frozen"/>
      <selection pane="topLeft" activeCell="A1" activeCellId="0" sqref="A1"/>
      <selection pane="bottomLeft" activeCell="N16" activeCellId="0" sqref="N16"/>
    </sheetView>
  </sheetViews>
  <sheetFormatPr defaultColWidth="9.15625" defaultRowHeight="11.25" zeroHeight="false" outlineLevelRow="0" outlineLevelCol="0"/>
  <cols>
    <col collapsed="false" customWidth="true" hidden="false" outlineLevel="0" max="1" min="1" style="72" width="3.14"/>
    <col collapsed="false" customWidth="true" hidden="false" outlineLevel="0" max="2" min="2" style="72" width="22.14"/>
    <col collapsed="false" customWidth="true" hidden="false" outlineLevel="0" max="3" min="3" style="72" width="11.57"/>
    <col collapsed="false" customWidth="true" hidden="false" outlineLevel="0" max="4" min="4" style="72" width="13.57"/>
    <col collapsed="false" customWidth="true" hidden="false" outlineLevel="0" max="5" min="5" style="72" width="6.57"/>
    <col collapsed="false" customWidth="true" hidden="false" outlineLevel="0" max="6" min="6" style="72" width="15.57"/>
    <col collapsed="false" customWidth="true" hidden="false" outlineLevel="0" max="7" min="7" style="72" width="7.42"/>
    <col collapsed="false" customWidth="true" hidden="false" outlineLevel="0" max="8" min="8" style="72" width="16.42"/>
    <col collapsed="false" customWidth="true" hidden="false" outlineLevel="0" max="9" min="9" style="72" width="13.57"/>
    <col collapsed="false" customWidth="true" hidden="false" outlineLevel="0" max="10" min="10" style="72" width="11.14"/>
    <col collapsed="false" customWidth="true" hidden="false" outlineLevel="0" max="11" min="11" style="72" width="8"/>
    <col collapsed="false" customWidth="true" hidden="false" outlineLevel="0" max="12" min="12" style="72" width="9.85"/>
    <col collapsed="false" customWidth="true" hidden="false" outlineLevel="0" max="13" min="13" style="72" width="8.86"/>
    <col collapsed="false" customWidth="true" hidden="false" outlineLevel="0" max="14" min="14" style="72" width="9.85"/>
    <col collapsed="false" customWidth="true" hidden="false" outlineLevel="0" max="15" min="15" style="72" width="13.01"/>
    <col collapsed="false" customWidth="false" hidden="false" outlineLevel="0" max="1024" min="16" style="72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1167</v>
      </c>
      <c r="E1" s="6" t="s">
        <v>1019</v>
      </c>
      <c r="F1" s="5" t="s">
        <v>1788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  <c r="O1" s="120"/>
    </row>
    <row r="2" customFormat="false" ht="22.5" hidden="false" customHeight="false" outlineLevel="0" collapsed="false">
      <c r="A2" s="5" t="n">
        <f aca="false">IF(B2&lt;&gt;"", COUNTA($B$2:B2), "")</f>
        <v>1</v>
      </c>
      <c r="B2" s="6" t="s">
        <v>3010</v>
      </c>
      <c r="C2" s="19" t="s">
        <v>3011</v>
      </c>
      <c r="D2" s="6" t="s">
        <v>3012</v>
      </c>
      <c r="E2" s="16"/>
      <c r="F2" s="15" t="s">
        <v>3013</v>
      </c>
      <c r="G2" s="19" t="s">
        <v>987</v>
      </c>
      <c r="H2" s="19" t="s">
        <v>3014</v>
      </c>
      <c r="I2" s="5" t="s">
        <v>3015</v>
      </c>
      <c r="J2" s="5" t="s">
        <v>1966</v>
      </c>
      <c r="K2" s="5"/>
      <c r="L2" s="12" t="n">
        <v>12</v>
      </c>
      <c r="M2" s="6" t="s">
        <v>2896</v>
      </c>
      <c r="N2" s="8" t="s">
        <v>1</v>
      </c>
      <c r="O2" s="120"/>
    </row>
    <row r="3" customFormat="false" ht="22.5" hidden="false" customHeight="false" outlineLevel="0" collapsed="false">
      <c r="A3" s="5" t="n">
        <f aca="false">IF(B3&lt;&gt;"", COUNTA($B$2:B3), "")</f>
        <v>2</v>
      </c>
      <c r="B3" s="6" t="s">
        <v>46</v>
      </c>
      <c r="C3" s="19" t="s">
        <v>1245</v>
      </c>
      <c r="D3" s="6" t="s">
        <v>3016</v>
      </c>
      <c r="E3" s="16"/>
      <c r="F3" s="19" t="s">
        <v>3017</v>
      </c>
      <c r="G3" s="19" t="s">
        <v>181</v>
      </c>
      <c r="H3" s="19" t="s">
        <v>3018</v>
      </c>
      <c r="I3" s="5" t="s">
        <v>3015</v>
      </c>
      <c r="J3" s="5" t="s">
        <v>1966</v>
      </c>
      <c r="K3" s="5"/>
      <c r="L3" s="12" t="n">
        <v>24</v>
      </c>
      <c r="M3" s="6" t="s">
        <v>1291</v>
      </c>
      <c r="N3" s="8" t="s">
        <v>38</v>
      </c>
      <c r="O3" s="120"/>
    </row>
    <row r="4" customFormat="false" ht="22.5" hidden="false" customHeight="false" outlineLevel="0" collapsed="false">
      <c r="A4" s="5" t="n">
        <f aca="false">IF(B4&lt;&gt;"", COUNTA($B$2:B4), "")</f>
        <v>3</v>
      </c>
      <c r="B4" s="6" t="s">
        <v>27</v>
      </c>
      <c r="C4" s="19" t="s">
        <v>28</v>
      </c>
      <c r="D4" s="6" t="s">
        <v>3019</v>
      </c>
      <c r="E4" s="16"/>
      <c r="F4" s="12" t="s">
        <v>3020</v>
      </c>
      <c r="G4" s="19" t="s">
        <v>987</v>
      </c>
      <c r="H4" s="19" t="s">
        <v>3021</v>
      </c>
      <c r="I4" s="5" t="s">
        <v>3015</v>
      </c>
      <c r="J4" s="5" t="s">
        <v>1966</v>
      </c>
      <c r="K4" s="5"/>
      <c r="L4" s="12" t="n">
        <v>12</v>
      </c>
      <c r="M4" s="27" t="s">
        <v>37</v>
      </c>
      <c r="N4" s="8" t="s">
        <v>38</v>
      </c>
      <c r="O4" s="120"/>
    </row>
    <row r="5" customFormat="false" ht="22.5" hidden="false" customHeight="false" outlineLevel="0" collapsed="false">
      <c r="A5" s="5" t="n">
        <f aca="false">IF(B5&lt;&gt;"", COUNTA($B$2:B5), "")</f>
        <v>4</v>
      </c>
      <c r="B5" s="6" t="s">
        <v>46</v>
      </c>
      <c r="C5" s="5" t="s">
        <v>3022</v>
      </c>
      <c r="D5" s="6" t="s">
        <v>2061</v>
      </c>
      <c r="E5" s="16"/>
      <c r="F5" s="19" t="s">
        <v>3023</v>
      </c>
      <c r="G5" s="19" t="s">
        <v>1883</v>
      </c>
      <c r="H5" s="5" t="s">
        <v>3024</v>
      </c>
      <c r="I5" s="5" t="s">
        <v>3015</v>
      </c>
      <c r="J5" s="5" t="s">
        <v>1966</v>
      </c>
      <c r="K5" s="5"/>
      <c r="L5" s="12"/>
      <c r="M5" s="6"/>
      <c r="N5" s="8"/>
      <c r="O5" s="120"/>
    </row>
    <row r="6" customFormat="false" ht="22.5" hidden="false" customHeight="false" outlineLevel="0" collapsed="false">
      <c r="A6" s="5" t="n">
        <f aca="false">IF(B6&lt;&gt;"", COUNTA($B$2:B6), "")</f>
        <v>5</v>
      </c>
      <c r="B6" s="6" t="s">
        <v>46</v>
      </c>
      <c r="C6" s="19" t="s">
        <v>1245</v>
      </c>
      <c r="D6" s="6" t="s">
        <v>3025</v>
      </c>
      <c r="E6" s="16"/>
      <c r="F6" s="19" t="s">
        <v>3017</v>
      </c>
      <c r="G6" s="19" t="s">
        <v>181</v>
      </c>
      <c r="H6" s="19" t="s">
        <v>3026</v>
      </c>
      <c r="I6" s="5" t="s">
        <v>3015</v>
      </c>
      <c r="J6" s="5" t="s">
        <v>1966</v>
      </c>
      <c r="K6" s="5"/>
      <c r="L6" s="12" t="n">
        <v>24</v>
      </c>
      <c r="M6" s="6" t="s">
        <v>3027</v>
      </c>
      <c r="N6" s="8" t="s">
        <v>38</v>
      </c>
      <c r="O6" s="120"/>
    </row>
    <row r="7" customFormat="false" ht="22.5" hidden="false" customHeight="false" outlineLevel="0" collapsed="false">
      <c r="A7" s="5" t="n">
        <f aca="false">IF(B7&lt;&gt;"", COUNTA($B$2:B7), "")</f>
        <v>6</v>
      </c>
      <c r="B7" s="6" t="s">
        <v>46</v>
      </c>
      <c r="C7" s="5" t="s">
        <v>3022</v>
      </c>
      <c r="D7" s="5" t="n">
        <v>700056</v>
      </c>
      <c r="E7" s="16"/>
      <c r="F7" s="19" t="s">
        <v>3023</v>
      </c>
      <c r="G7" s="19" t="s">
        <v>1883</v>
      </c>
      <c r="H7" s="5" t="s">
        <v>3028</v>
      </c>
      <c r="I7" s="5" t="s">
        <v>3015</v>
      </c>
      <c r="J7" s="5" t="s">
        <v>1966</v>
      </c>
      <c r="K7" s="5"/>
      <c r="L7" s="12" t="n">
        <v>24</v>
      </c>
      <c r="M7" s="6" t="s">
        <v>3027</v>
      </c>
      <c r="N7" s="8" t="s">
        <v>38</v>
      </c>
      <c r="O7" s="120"/>
    </row>
    <row r="8" customFormat="false" ht="22.5" hidden="false" customHeight="false" outlineLevel="0" collapsed="false">
      <c r="A8" s="5" t="n">
        <f aca="false">IF(B8&lt;&gt;"", COUNTA($B$2:B8), "")</f>
        <v>7</v>
      </c>
      <c r="B8" s="124" t="s">
        <v>27</v>
      </c>
      <c r="C8" s="5" t="s">
        <v>3029</v>
      </c>
      <c r="D8" s="5" t="n">
        <v>15431</v>
      </c>
      <c r="E8" s="16"/>
      <c r="F8" s="12" t="s">
        <v>3030</v>
      </c>
      <c r="G8" s="19" t="s">
        <v>987</v>
      </c>
      <c r="H8" s="5" t="s">
        <v>3031</v>
      </c>
      <c r="I8" s="5" t="s">
        <v>3015</v>
      </c>
      <c r="J8" s="5" t="s">
        <v>1966</v>
      </c>
      <c r="K8" s="5"/>
      <c r="L8" s="12" t="n">
        <v>12</v>
      </c>
      <c r="M8" s="27" t="s">
        <v>37</v>
      </c>
      <c r="N8" s="8" t="s">
        <v>38</v>
      </c>
      <c r="O8" s="120"/>
    </row>
    <row r="9" customFormat="false" ht="22.5" hidden="false" customHeight="false" outlineLevel="0" collapsed="false">
      <c r="A9" s="5" t="n">
        <f aca="false">IF(B9&lt;&gt;"", COUNTA($B$2:B9), "")</f>
        <v>8</v>
      </c>
      <c r="B9" s="124" t="s">
        <v>27</v>
      </c>
      <c r="C9" s="19" t="s">
        <v>28</v>
      </c>
      <c r="D9" s="6" t="s">
        <v>3032</v>
      </c>
      <c r="E9" s="16"/>
      <c r="F9" s="12" t="s">
        <v>3020</v>
      </c>
      <c r="G9" s="19" t="s">
        <v>987</v>
      </c>
      <c r="H9" s="5" t="s">
        <v>3033</v>
      </c>
      <c r="I9" s="5" t="s">
        <v>3015</v>
      </c>
      <c r="J9" s="5" t="s">
        <v>1966</v>
      </c>
      <c r="K9" s="5"/>
      <c r="L9" s="12" t="n">
        <v>12</v>
      </c>
      <c r="M9" s="27" t="s">
        <v>37</v>
      </c>
      <c r="N9" s="8" t="s">
        <v>38</v>
      </c>
      <c r="O9" s="120"/>
    </row>
    <row r="10" customFormat="false" ht="22.5" hidden="false" customHeight="false" outlineLevel="0" collapsed="false">
      <c r="A10" s="5" t="n">
        <f aca="false">IF(B10&lt;&gt;"", COUNTA($B$2:B10), "")</f>
        <v>9</v>
      </c>
      <c r="B10" s="6" t="s">
        <v>46</v>
      </c>
      <c r="C10" s="19" t="s">
        <v>1245</v>
      </c>
      <c r="D10" s="5" t="n">
        <v>9123</v>
      </c>
      <c r="E10" s="16"/>
      <c r="F10" s="19" t="s">
        <v>3017</v>
      </c>
      <c r="G10" s="19" t="s">
        <v>181</v>
      </c>
      <c r="H10" s="5" t="s">
        <v>3034</v>
      </c>
      <c r="I10" s="5" t="s">
        <v>3015</v>
      </c>
      <c r="J10" s="5" t="s">
        <v>1966</v>
      </c>
      <c r="K10" s="5"/>
      <c r="L10" s="12" t="n">
        <v>24</v>
      </c>
      <c r="M10" s="6" t="s">
        <v>3027</v>
      </c>
      <c r="N10" s="8" t="s">
        <v>38</v>
      </c>
      <c r="O10" s="120"/>
    </row>
    <row r="11" customFormat="false" ht="22.5" hidden="false" customHeight="false" outlineLevel="0" collapsed="false">
      <c r="A11" s="5" t="n">
        <f aca="false">IF(B11&lt;&gt;"", COUNTA($B$2:B11), "")</f>
        <v>10</v>
      </c>
      <c r="B11" s="124" t="s">
        <v>27</v>
      </c>
      <c r="C11" s="5" t="s">
        <v>3029</v>
      </c>
      <c r="D11" s="5" t="n">
        <v>50256</v>
      </c>
      <c r="E11" s="16"/>
      <c r="F11" s="12" t="s">
        <v>3030</v>
      </c>
      <c r="G11" s="19" t="s">
        <v>987</v>
      </c>
      <c r="H11" s="5" t="s">
        <v>3035</v>
      </c>
      <c r="I11" s="5" t="s">
        <v>3015</v>
      </c>
      <c r="J11" s="5" t="s">
        <v>1966</v>
      </c>
      <c r="K11" s="5"/>
      <c r="L11" s="12" t="n">
        <v>12</v>
      </c>
      <c r="M11" s="27" t="s">
        <v>37</v>
      </c>
      <c r="N11" s="8" t="s">
        <v>38</v>
      </c>
      <c r="O11" s="120"/>
    </row>
    <row r="12" customFormat="false" ht="22.5" hidden="false" customHeight="false" outlineLevel="0" collapsed="false">
      <c r="A12" s="5" t="n">
        <f aca="false">IF(B12&lt;&gt;"", COUNTA($B$2:B12), "")</f>
        <v>11</v>
      </c>
      <c r="B12" s="124" t="s">
        <v>27</v>
      </c>
      <c r="C12" s="19" t="s">
        <v>28</v>
      </c>
      <c r="D12" s="6" t="s">
        <v>3036</v>
      </c>
      <c r="E12" s="16"/>
      <c r="F12" s="12" t="s">
        <v>3020</v>
      </c>
      <c r="G12" s="19" t="s">
        <v>987</v>
      </c>
      <c r="H12" s="5" t="s">
        <v>3037</v>
      </c>
      <c r="I12" s="5" t="s">
        <v>3015</v>
      </c>
      <c r="J12" s="5" t="s">
        <v>1966</v>
      </c>
      <c r="K12" s="5"/>
      <c r="L12" s="12" t="n">
        <v>12</v>
      </c>
      <c r="M12" s="27" t="s">
        <v>37</v>
      </c>
      <c r="N12" s="8" t="s">
        <v>38</v>
      </c>
      <c r="O12" s="120"/>
    </row>
    <row r="13" customFormat="false" ht="22.5" hidden="false" customHeight="false" outlineLevel="0" collapsed="false">
      <c r="A13" s="5" t="n">
        <f aca="false">IF(B13&lt;&gt;"", COUNTA($B$2:B13), "")</f>
        <v>12</v>
      </c>
      <c r="B13" s="124" t="s">
        <v>27</v>
      </c>
      <c r="C13" s="19" t="s">
        <v>28</v>
      </c>
      <c r="D13" s="5" t="n">
        <v>80537</v>
      </c>
      <c r="E13" s="16"/>
      <c r="F13" s="12" t="s">
        <v>3020</v>
      </c>
      <c r="G13" s="19" t="s">
        <v>987</v>
      </c>
      <c r="H13" s="5" t="s">
        <v>3038</v>
      </c>
      <c r="I13" s="5" t="s">
        <v>3015</v>
      </c>
      <c r="J13" s="5" t="s">
        <v>1966</v>
      </c>
      <c r="K13" s="5"/>
      <c r="L13" s="12" t="n">
        <v>12</v>
      </c>
      <c r="M13" s="27" t="s">
        <v>37</v>
      </c>
      <c r="N13" s="8" t="s">
        <v>38</v>
      </c>
      <c r="O13" s="120"/>
    </row>
    <row r="14" customFormat="false" ht="22.5" hidden="false" customHeight="false" outlineLevel="0" collapsed="false">
      <c r="A14" s="5" t="n">
        <f aca="false">IF(B14&lt;&gt;"", COUNTA($B$2:B14), "")</f>
        <v>13</v>
      </c>
      <c r="B14" s="6" t="s">
        <v>46</v>
      </c>
      <c r="C14" s="19" t="s">
        <v>1245</v>
      </c>
      <c r="D14" s="5" t="n">
        <v>9764</v>
      </c>
      <c r="E14" s="16"/>
      <c r="F14" s="19" t="s">
        <v>3017</v>
      </c>
      <c r="G14" s="19" t="s">
        <v>181</v>
      </c>
      <c r="H14" s="5" t="s">
        <v>3039</v>
      </c>
      <c r="I14" s="5" t="s">
        <v>3015</v>
      </c>
      <c r="J14" s="5" t="s">
        <v>1966</v>
      </c>
      <c r="K14" s="5"/>
      <c r="L14" s="12" t="n">
        <v>24</v>
      </c>
      <c r="M14" s="6" t="s">
        <v>3027</v>
      </c>
      <c r="N14" s="8" t="s">
        <v>38</v>
      </c>
      <c r="O14" s="120"/>
    </row>
    <row r="15" customFormat="false" ht="22.5" hidden="false" customHeight="false" outlineLevel="0" collapsed="false">
      <c r="A15" s="5" t="n">
        <f aca="false">IF(B15&lt;&gt;"", COUNTA($B$2:B15), "")</f>
        <v>14</v>
      </c>
      <c r="B15" s="124" t="s">
        <v>27</v>
      </c>
      <c r="C15" s="19" t="s">
        <v>3040</v>
      </c>
      <c r="D15" s="5" t="n">
        <v>13761</v>
      </c>
      <c r="E15" s="16"/>
      <c r="F15" s="8" t="s">
        <v>3041</v>
      </c>
      <c r="G15" s="19" t="s">
        <v>181</v>
      </c>
      <c r="H15" s="5" t="s">
        <v>3042</v>
      </c>
      <c r="I15" s="5" t="s">
        <v>3015</v>
      </c>
      <c r="J15" s="5" t="s">
        <v>1966</v>
      </c>
      <c r="K15" s="5"/>
      <c r="L15" s="12" t="n">
        <v>12</v>
      </c>
      <c r="M15" s="27" t="s">
        <v>37</v>
      </c>
      <c r="N15" s="8" t="s">
        <v>38</v>
      </c>
      <c r="O15" s="120" t="s">
        <v>3043</v>
      </c>
    </row>
    <row r="16" customFormat="false" ht="22.5" hidden="false" customHeight="false" outlineLevel="0" collapsed="false">
      <c r="A16" s="5" t="n">
        <f aca="false">IF(B16&lt;&gt;"", COUNTA($B$2:B16), "")</f>
        <v>15</v>
      </c>
      <c r="B16" s="124" t="s">
        <v>27</v>
      </c>
      <c r="C16" s="19" t="s">
        <v>28</v>
      </c>
      <c r="D16" s="6" t="s">
        <v>3044</v>
      </c>
      <c r="E16" s="16"/>
      <c r="F16" s="12" t="s">
        <v>1777</v>
      </c>
      <c r="G16" s="19" t="s">
        <v>987</v>
      </c>
      <c r="H16" s="5" t="s">
        <v>3045</v>
      </c>
      <c r="I16" s="5" t="s">
        <v>3015</v>
      </c>
      <c r="J16" s="5" t="s">
        <v>1966</v>
      </c>
      <c r="K16" s="5"/>
      <c r="L16" s="12" t="n">
        <v>12</v>
      </c>
      <c r="M16" s="27" t="s">
        <v>37</v>
      </c>
      <c r="N16" s="8" t="s">
        <v>38</v>
      </c>
      <c r="O16" s="120"/>
    </row>
    <row r="17" customFormat="false" ht="22.5" hidden="false" customHeight="false" outlineLevel="0" collapsed="false">
      <c r="A17" s="5" t="n">
        <f aca="false">IF(B17&lt;&gt;"", COUNTA($B$2:B17), "")</f>
        <v>16</v>
      </c>
      <c r="B17" s="124" t="s">
        <v>27</v>
      </c>
      <c r="C17" s="19" t="s">
        <v>1729</v>
      </c>
      <c r="D17" s="5" t="n">
        <v>20125860</v>
      </c>
      <c r="E17" s="16"/>
      <c r="F17" s="12" t="s">
        <v>3020</v>
      </c>
      <c r="G17" s="19" t="s">
        <v>987</v>
      </c>
      <c r="H17" s="5" t="s">
        <v>3046</v>
      </c>
      <c r="I17" s="5" t="s">
        <v>3015</v>
      </c>
      <c r="J17" s="5" t="s">
        <v>1966</v>
      </c>
      <c r="K17" s="5"/>
      <c r="L17" s="12" t="n">
        <v>12</v>
      </c>
      <c r="M17" s="27" t="s">
        <v>37</v>
      </c>
      <c r="N17" s="8" t="s">
        <v>38</v>
      </c>
      <c r="O17" s="120"/>
    </row>
    <row r="18" customFormat="false" ht="22.5" hidden="false" customHeight="false" outlineLevel="0" collapsed="false">
      <c r="A18" s="5" t="n">
        <f aca="false">IF(B18&lt;&gt;"", COUNTA($B$2:B18), "")</f>
        <v>17</v>
      </c>
      <c r="B18" s="6" t="s">
        <v>64</v>
      </c>
      <c r="C18" s="12" t="s">
        <v>3047</v>
      </c>
      <c r="D18" s="12" t="n">
        <v>2421759</v>
      </c>
      <c r="E18" s="17" t="n">
        <v>2018</v>
      </c>
      <c r="F18" s="19" t="s">
        <v>3048</v>
      </c>
      <c r="G18" s="31" t="n">
        <v>0.0025</v>
      </c>
      <c r="H18" s="5" t="s">
        <v>3049</v>
      </c>
      <c r="I18" s="5" t="s">
        <v>3015</v>
      </c>
      <c r="J18" s="5" t="s">
        <v>1966</v>
      </c>
      <c r="K18" s="5"/>
      <c r="L18" s="12" t="n">
        <v>60</v>
      </c>
      <c r="M18" s="6"/>
      <c r="N18" s="8"/>
      <c r="O18" s="120"/>
    </row>
    <row r="19" customFormat="false" ht="22.5" hidden="false" customHeight="false" outlineLevel="0" collapsed="false">
      <c r="A19" s="5" t="n">
        <f aca="false">IF(B19&lt;&gt;"", COUNTA($B$2:B19), "")</f>
        <v>18</v>
      </c>
      <c r="B19" s="124" t="s">
        <v>57</v>
      </c>
      <c r="C19" s="12" t="s">
        <v>2440</v>
      </c>
      <c r="D19" s="5" t="n">
        <v>6063470</v>
      </c>
      <c r="E19" s="16" t="n">
        <v>2018</v>
      </c>
      <c r="F19" s="12" t="s">
        <v>2960</v>
      </c>
      <c r="G19" s="31" t="n">
        <v>0.001</v>
      </c>
      <c r="H19" s="5" t="s">
        <v>3050</v>
      </c>
      <c r="I19" s="5" t="s">
        <v>3015</v>
      </c>
      <c r="J19" s="5" t="s">
        <v>1966</v>
      </c>
      <c r="K19" s="5"/>
      <c r="L19" s="12" t="n">
        <v>60</v>
      </c>
      <c r="M19" s="6"/>
      <c r="N19" s="8"/>
      <c r="O19" s="120"/>
    </row>
    <row r="20" customFormat="false" ht="33.75" hidden="false" customHeight="false" outlineLevel="0" collapsed="false">
      <c r="A20" s="5" t="n">
        <f aca="false">IF(B20&lt;&gt;"", COUNTA($B$2:B20), "")</f>
        <v>19</v>
      </c>
      <c r="B20" s="124" t="s">
        <v>3051</v>
      </c>
      <c r="C20" s="5" t="s">
        <v>3052</v>
      </c>
      <c r="D20" s="5" t="n">
        <v>570</v>
      </c>
      <c r="E20" s="16" t="n">
        <v>2019</v>
      </c>
      <c r="F20" s="12" t="s">
        <v>3053</v>
      </c>
      <c r="G20" s="31"/>
      <c r="H20" s="5" t="s">
        <v>3054</v>
      </c>
      <c r="I20" s="5" t="s">
        <v>3015</v>
      </c>
      <c r="J20" s="5" t="s">
        <v>1966</v>
      </c>
      <c r="K20" s="5"/>
      <c r="L20" s="12" t="n">
        <v>60</v>
      </c>
      <c r="M20" s="6"/>
      <c r="N20" s="8"/>
      <c r="O20" s="120" t="s">
        <v>2432</v>
      </c>
    </row>
    <row r="21" customFormat="false" ht="33.75" hidden="false" customHeight="false" outlineLevel="0" collapsed="false">
      <c r="A21" s="5" t="n">
        <f aca="false">IF(B21&lt;&gt;"", COUNTA($B$2:B21), "")</f>
        <v>20</v>
      </c>
      <c r="B21" s="6" t="s">
        <v>2379</v>
      </c>
      <c r="C21" s="12" t="s">
        <v>2380</v>
      </c>
      <c r="D21" s="12" t="n">
        <v>1118040045</v>
      </c>
      <c r="E21" s="17" t="n">
        <v>2018</v>
      </c>
      <c r="F21" s="19"/>
      <c r="G21" s="19"/>
      <c r="H21" s="5" t="s">
        <v>3055</v>
      </c>
      <c r="I21" s="5" t="s">
        <v>3015</v>
      </c>
      <c r="J21" s="5" t="s">
        <v>1966</v>
      </c>
      <c r="K21" s="5"/>
      <c r="L21" s="12" t="n">
        <v>60</v>
      </c>
      <c r="M21" s="6"/>
      <c r="N21" s="8"/>
      <c r="O21" s="120"/>
    </row>
    <row r="22" customFormat="false" ht="33.75" hidden="false" customHeight="false" outlineLevel="0" collapsed="false">
      <c r="A22" s="5" t="n">
        <f aca="false">IF(B22&lt;&gt;"", COUNTA($B$2:B22), "")</f>
        <v>21</v>
      </c>
      <c r="B22" s="7" t="s">
        <v>2382</v>
      </c>
      <c r="C22" s="12" t="s">
        <v>3056</v>
      </c>
      <c r="D22" s="78" t="s">
        <v>3057</v>
      </c>
      <c r="E22" s="8" t="n">
        <v>2018</v>
      </c>
      <c r="F22" s="15"/>
      <c r="G22" s="19" t="s">
        <v>341</v>
      </c>
      <c r="H22" s="5" t="s">
        <v>3055</v>
      </c>
      <c r="I22" s="5" t="s">
        <v>3015</v>
      </c>
      <c r="J22" s="5" t="s">
        <v>1966</v>
      </c>
      <c r="K22" s="5"/>
      <c r="L22" s="5" t="n">
        <v>60</v>
      </c>
      <c r="M22" s="6"/>
      <c r="N22" s="8"/>
      <c r="O22" s="120" t="s">
        <v>3058</v>
      </c>
    </row>
    <row r="23" customFormat="false" ht="33.75" hidden="false" customHeight="false" outlineLevel="0" collapsed="false">
      <c r="A23" s="5" t="n">
        <f aca="false">IF(B23&lt;&gt;"", COUNTA($B$2:B23), "")</f>
        <v>22</v>
      </c>
      <c r="B23" s="7" t="s">
        <v>2385</v>
      </c>
      <c r="C23" s="12" t="s">
        <v>3059</v>
      </c>
      <c r="D23" s="78" t="s">
        <v>3060</v>
      </c>
      <c r="E23" s="8" t="n">
        <v>2018</v>
      </c>
      <c r="F23" s="15" t="s">
        <v>3061</v>
      </c>
      <c r="G23" s="19"/>
      <c r="H23" s="5" t="s">
        <v>3055</v>
      </c>
      <c r="I23" s="5" t="s">
        <v>3015</v>
      </c>
      <c r="J23" s="5" t="s">
        <v>1966</v>
      </c>
      <c r="K23" s="5"/>
      <c r="L23" s="5" t="n">
        <v>60</v>
      </c>
      <c r="M23" s="6"/>
      <c r="N23" s="8"/>
      <c r="O23" s="120" t="s">
        <v>3058</v>
      </c>
    </row>
    <row r="24" customFormat="false" ht="22.5" hidden="false" customHeight="false" outlineLevel="0" collapsed="false">
      <c r="A24" s="5" t="n">
        <f aca="false">IF(B24&lt;&gt;"", COUNTA($B$2:B24), "")</f>
        <v>23</v>
      </c>
      <c r="B24" s="124" t="s">
        <v>57</v>
      </c>
      <c r="C24" s="12" t="s">
        <v>2440</v>
      </c>
      <c r="D24" s="5" t="n">
        <v>6063462</v>
      </c>
      <c r="E24" s="16" t="n">
        <v>2018</v>
      </c>
      <c r="F24" s="12" t="s">
        <v>3062</v>
      </c>
      <c r="G24" s="31" t="n">
        <v>0.001</v>
      </c>
      <c r="H24" s="5" t="s">
        <v>3063</v>
      </c>
      <c r="I24" s="5" t="s">
        <v>3064</v>
      </c>
      <c r="J24" s="5" t="s">
        <v>1966</v>
      </c>
      <c r="K24" s="5"/>
      <c r="L24" s="5" t="n">
        <v>60</v>
      </c>
      <c r="M24" s="6"/>
      <c r="N24" s="8"/>
      <c r="O24" s="120"/>
    </row>
    <row r="25" customFormat="false" ht="22.5" hidden="false" customHeight="false" outlineLevel="0" collapsed="false">
      <c r="A25" s="5" t="n">
        <f aca="false">IF(B25&lt;&gt;"", COUNTA($B$2:B25), "")</f>
        <v>24</v>
      </c>
      <c r="B25" s="7" t="s">
        <v>27</v>
      </c>
      <c r="C25" s="12" t="s">
        <v>28</v>
      </c>
      <c r="D25" s="78" t="s">
        <v>3065</v>
      </c>
      <c r="E25" s="8"/>
      <c r="F25" s="12" t="s">
        <v>3066</v>
      </c>
      <c r="G25" s="19" t="s">
        <v>987</v>
      </c>
      <c r="H25" s="5" t="s">
        <v>3063</v>
      </c>
      <c r="I25" s="5" t="s">
        <v>3064</v>
      </c>
      <c r="J25" s="5" t="s">
        <v>1966</v>
      </c>
      <c r="K25" s="5"/>
      <c r="L25" s="5" t="n">
        <v>12</v>
      </c>
      <c r="M25" s="6" t="s">
        <v>41</v>
      </c>
      <c r="N25" s="8" t="s">
        <v>1</v>
      </c>
      <c r="O25" s="120"/>
    </row>
    <row r="26" customFormat="false" ht="22.5" hidden="false" customHeight="false" outlineLevel="0" collapsed="false">
      <c r="A26" s="5" t="n">
        <f aca="false">IF(B26&lt;&gt;"", COUNTA($B$2:B26), "")</f>
        <v>25</v>
      </c>
      <c r="B26" s="7" t="s">
        <v>27</v>
      </c>
      <c r="C26" s="12" t="s">
        <v>28</v>
      </c>
      <c r="D26" s="78" t="s">
        <v>3067</v>
      </c>
      <c r="E26" s="8"/>
      <c r="F26" s="12" t="s">
        <v>3066</v>
      </c>
      <c r="G26" s="19" t="s">
        <v>987</v>
      </c>
      <c r="H26" s="5" t="s">
        <v>3068</v>
      </c>
      <c r="I26" s="5" t="s">
        <v>3064</v>
      </c>
      <c r="J26" s="5" t="s">
        <v>1966</v>
      </c>
      <c r="K26" s="5"/>
      <c r="L26" s="5" t="n">
        <v>12</v>
      </c>
      <c r="M26" s="6" t="s">
        <v>41</v>
      </c>
      <c r="N26" s="8" t="s">
        <v>1</v>
      </c>
      <c r="O26" s="120"/>
    </row>
    <row r="27" customFormat="false" ht="22.5" hidden="false" customHeight="false" outlineLevel="0" collapsed="false">
      <c r="A27" s="5" t="n">
        <f aca="false">IF(B27&lt;&gt;"", COUNTA($B$2:B27), "")</f>
        <v>26</v>
      </c>
      <c r="B27" s="7" t="s">
        <v>27</v>
      </c>
      <c r="C27" s="12" t="s">
        <v>28</v>
      </c>
      <c r="D27" s="78" t="s">
        <v>3069</v>
      </c>
      <c r="E27" s="8"/>
      <c r="F27" s="12" t="s">
        <v>3066</v>
      </c>
      <c r="G27" s="19" t="s">
        <v>987</v>
      </c>
      <c r="H27" s="5" t="s">
        <v>3070</v>
      </c>
      <c r="I27" s="5" t="s">
        <v>3064</v>
      </c>
      <c r="J27" s="5" t="s">
        <v>1966</v>
      </c>
      <c r="K27" s="5"/>
      <c r="L27" s="5" t="n">
        <v>12</v>
      </c>
      <c r="M27" s="6" t="s">
        <v>41</v>
      </c>
      <c r="N27" s="8" t="s">
        <v>1</v>
      </c>
      <c r="O27" s="215"/>
    </row>
    <row r="28" customFormat="false" ht="22.5" hidden="false" customHeight="false" outlineLevel="0" collapsed="false">
      <c r="A28" s="5" t="n">
        <f aca="false">IF(B28&lt;&gt;"", COUNTA($B$2:B28), "")</f>
        <v>27</v>
      </c>
      <c r="B28" s="7" t="s">
        <v>27</v>
      </c>
      <c r="C28" s="12" t="s">
        <v>28</v>
      </c>
      <c r="D28" s="78" t="s">
        <v>3071</v>
      </c>
      <c r="E28" s="8"/>
      <c r="F28" s="12" t="s">
        <v>3066</v>
      </c>
      <c r="G28" s="19" t="s">
        <v>987</v>
      </c>
      <c r="H28" s="5" t="s">
        <v>3072</v>
      </c>
      <c r="I28" s="5" t="s">
        <v>3064</v>
      </c>
      <c r="J28" s="5" t="s">
        <v>1966</v>
      </c>
      <c r="K28" s="5"/>
      <c r="L28" s="5" t="n">
        <v>12</v>
      </c>
      <c r="M28" s="6" t="s">
        <v>41</v>
      </c>
      <c r="N28" s="8" t="s">
        <v>1</v>
      </c>
      <c r="O28" s="120"/>
    </row>
    <row r="29" customFormat="false" ht="22.5" hidden="false" customHeight="false" outlineLevel="0" collapsed="false">
      <c r="A29" s="5" t="n">
        <f aca="false">IF(B29&lt;&gt;"", COUNTA($B$2:B29), "")</f>
        <v>28</v>
      </c>
      <c r="B29" s="7" t="s">
        <v>27</v>
      </c>
      <c r="C29" s="12" t="s">
        <v>28</v>
      </c>
      <c r="D29" s="78" t="s">
        <v>3073</v>
      </c>
      <c r="E29" s="8"/>
      <c r="F29" s="12" t="s">
        <v>3066</v>
      </c>
      <c r="G29" s="19" t="s">
        <v>987</v>
      </c>
      <c r="H29" s="5" t="s">
        <v>3074</v>
      </c>
      <c r="I29" s="5" t="s">
        <v>3064</v>
      </c>
      <c r="J29" s="5" t="s">
        <v>1966</v>
      </c>
      <c r="K29" s="5"/>
      <c r="L29" s="5" t="n">
        <v>12</v>
      </c>
      <c r="M29" s="6" t="s">
        <v>41</v>
      </c>
      <c r="N29" s="8" t="s">
        <v>1</v>
      </c>
      <c r="O29" s="120"/>
    </row>
    <row r="30" customFormat="false" ht="22.5" hidden="false" customHeight="false" outlineLevel="0" collapsed="false">
      <c r="A30" s="5" t="n">
        <f aca="false">IF(B30&lt;&gt;"", COUNTA($B$2:B30), "")</f>
        <v>29</v>
      </c>
      <c r="B30" s="6" t="s">
        <v>64</v>
      </c>
      <c r="C30" s="12" t="s">
        <v>3075</v>
      </c>
      <c r="D30" s="12" t="n">
        <v>2422386</v>
      </c>
      <c r="E30" s="17" t="n">
        <v>2018</v>
      </c>
      <c r="F30" s="19" t="s">
        <v>3048</v>
      </c>
      <c r="G30" s="31" t="n">
        <v>0.0025</v>
      </c>
      <c r="H30" s="5" t="s">
        <v>3076</v>
      </c>
      <c r="I30" s="5" t="s">
        <v>3064</v>
      </c>
      <c r="J30" s="5" t="s">
        <v>1966</v>
      </c>
      <c r="K30" s="5"/>
      <c r="L30" s="5" t="n">
        <v>60</v>
      </c>
      <c r="M30" s="6"/>
      <c r="N30" s="8"/>
      <c r="O30" s="215"/>
    </row>
    <row r="31" customFormat="false" ht="22.5" hidden="false" customHeight="false" outlineLevel="0" collapsed="false">
      <c r="A31" s="5" t="n">
        <f aca="false">IF(B31&lt;&gt;"", COUNTA($B$2:B31), "")</f>
        <v>30</v>
      </c>
      <c r="B31" s="6" t="s">
        <v>46</v>
      </c>
      <c r="C31" s="19" t="s">
        <v>608</v>
      </c>
      <c r="D31" s="6" t="s">
        <v>3077</v>
      </c>
      <c r="E31" s="16"/>
      <c r="F31" s="19" t="s">
        <v>3078</v>
      </c>
      <c r="G31" s="19" t="s">
        <v>181</v>
      </c>
      <c r="H31" s="5" t="s">
        <v>3076</v>
      </c>
      <c r="I31" s="5" t="s">
        <v>3064</v>
      </c>
      <c r="J31" s="5" t="s">
        <v>1966</v>
      </c>
      <c r="K31" s="5"/>
      <c r="L31" s="5" t="n">
        <v>24</v>
      </c>
      <c r="M31" s="6" t="s">
        <v>2364</v>
      </c>
      <c r="N31" s="8" t="s">
        <v>1</v>
      </c>
      <c r="O31" s="120"/>
    </row>
    <row r="32" customFormat="false" ht="45" hidden="false" customHeight="false" outlineLevel="0" collapsed="false">
      <c r="A32" s="5" t="n">
        <f aca="false">IF(B32&lt;&gt;"", COUNTA($B$2:B32), "")</f>
        <v>31</v>
      </c>
      <c r="B32" s="7" t="s">
        <v>3079</v>
      </c>
      <c r="C32" s="12" t="s">
        <v>3080</v>
      </c>
      <c r="D32" s="78" t="s">
        <v>3081</v>
      </c>
      <c r="E32" s="8" t="n">
        <v>2018</v>
      </c>
      <c r="F32" s="15"/>
      <c r="G32" s="10"/>
      <c r="H32" s="5" t="s">
        <v>3082</v>
      </c>
      <c r="I32" s="5" t="s">
        <v>3064</v>
      </c>
      <c r="J32" s="5" t="s">
        <v>1966</v>
      </c>
      <c r="K32" s="5"/>
      <c r="L32" s="5" t="n">
        <v>60</v>
      </c>
      <c r="M32" s="6"/>
      <c r="N32" s="8"/>
      <c r="O32" s="120" t="s">
        <v>2432</v>
      </c>
    </row>
    <row r="33" customFormat="false" ht="22.5" hidden="false" customHeight="false" outlineLevel="0" collapsed="false">
      <c r="A33" s="5" t="n">
        <f aca="false">IF(B33&lt;&gt;"", COUNTA($B$2:B33), "")</f>
        <v>32</v>
      </c>
      <c r="B33" s="124" t="s">
        <v>57</v>
      </c>
      <c r="C33" s="5" t="s">
        <v>3083</v>
      </c>
      <c r="D33" s="5" t="n">
        <v>6063473</v>
      </c>
      <c r="E33" s="16" t="n">
        <v>2018</v>
      </c>
      <c r="F33" s="12" t="s">
        <v>3084</v>
      </c>
      <c r="G33" s="31" t="n">
        <v>0.001</v>
      </c>
      <c r="H33" s="5" t="s">
        <v>3085</v>
      </c>
      <c r="I33" s="5" t="s">
        <v>3064</v>
      </c>
      <c r="J33" s="5" t="s">
        <v>1966</v>
      </c>
      <c r="K33" s="5"/>
      <c r="L33" s="5" t="n">
        <v>60</v>
      </c>
      <c r="M33" s="6"/>
      <c r="N33" s="8"/>
      <c r="O33" s="120"/>
    </row>
    <row r="34" customFormat="false" ht="22.5" hidden="false" customHeight="false" outlineLevel="0" collapsed="false">
      <c r="A34" s="5" t="n">
        <f aca="false">IF(B34&lt;&gt;"", COUNTA($B$2:B34), "")</f>
        <v>33</v>
      </c>
      <c r="B34" s="7" t="s">
        <v>1392</v>
      </c>
      <c r="C34" s="12" t="s">
        <v>3086</v>
      </c>
      <c r="D34" s="78" t="s">
        <v>3087</v>
      </c>
      <c r="E34" s="8" t="n">
        <v>2019</v>
      </c>
      <c r="F34" s="12" t="s">
        <v>3088</v>
      </c>
      <c r="G34" s="31" t="n">
        <v>0.0025</v>
      </c>
      <c r="H34" s="5" t="s">
        <v>3089</v>
      </c>
      <c r="I34" s="5" t="s">
        <v>3064</v>
      </c>
      <c r="J34" s="5" t="s">
        <v>1966</v>
      </c>
      <c r="K34" s="5"/>
      <c r="L34" s="5" t="n">
        <v>60</v>
      </c>
      <c r="M34" s="6"/>
      <c r="N34" s="8"/>
      <c r="O34" s="120"/>
    </row>
    <row r="35" customFormat="false" ht="22.5" hidden="false" customHeight="false" outlineLevel="0" collapsed="false">
      <c r="A35" s="5" t="n">
        <f aca="false">IF(B35&lt;&gt;"", COUNTA($B$2:B35), "")</f>
        <v>34</v>
      </c>
      <c r="B35" s="7" t="s">
        <v>3090</v>
      </c>
      <c r="C35" s="12" t="s">
        <v>3091</v>
      </c>
      <c r="D35" s="78" t="s">
        <v>3092</v>
      </c>
      <c r="E35" s="8" t="n">
        <v>2019</v>
      </c>
      <c r="F35" s="15" t="s">
        <v>3093</v>
      </c>
      <c r="G35" s="126" t="n">
        <v>0.02</v>
      </c>
      <c r="H35" s="5" t="s">
        <v>2985</v>
      </c>
      <c r="I35" s="5" t="s">
        <v>3064</v>
      </c>
      <c r="J35" s="5" t="s">
        <v>1966</v>
      </c>
      <c r="K35" s="5"/>
      <c r="L35" s="5" t="n">
        <v>60</v>
      </c>
      <c r="M35" s="6"/>
      <c r="N35" s="8"/>
      <c r="O35" s="120"/>
    </row>
    <row r="36" customFormat="false" ht="22.5" hidden="false" customHeight="false" outlineLevel="0" collapsed="false">
      <c r="A36" s="5" t="n">
        <f aca="false">IF(B36&lt;&gt;"", COUNTA($B$2:B36), "")</f>
        <v>35</v>
      </c>
      <c r="B36" s="6" t="s">
        <v>64</v>
      </c>
      <c r="C36" s="12" t="s">
        <v>3075</v>
      </c>
      <c r="D36" s="12" t="n">
        <v>2529366</v>
      </c>
      <c r="E36" s="17" t="n">
        <v>2020</v>
      </c>
      <c r="F36" s="19" t="s">
        <v>3004</v>
      </c>
      <c r="G36" s="31" t="n">
        <v>0.0025</v>
      </c>
      <c r="H36" s="5" t="s">
        <v>3094</v>
      </c>
      <c r="I36" s="5" t="s">
        <v>3064</v>
      </c>
      <c r="J36" s="5" t="s">
        <v>1966</v>
      </c>
      <c r="K36" s="5"/>
      <c r="L36" s="5" t="n">
        <v>60</v>
      </c>
      <c r="M36" s="6"/>
      <c r="N36" s="8"/>
      <c r="O36" s="215"/>
    </row>
    <row r="37" customFormat="false" ht="22.5" hidden="false" customHeight="false" outlineLevel="0" collapsed="false">
      <c r="A37" s="5" t="n">
        <f aca="false">IF(B37&lt;&gt;"", COUNTA($B$2:B37), "")</f>
        <v>36</v>
      </c>
      <c r="B37" s="7" t="s">
        <v>3010</v>
      </c>
      <c r="C37" s="12" t="s">
        <v>3095</v>
      </c>
      <c r="D37" s="78" t="s">
        <v>3096</v>
      </c>
      <c r="E37" s="8"/>
      <c r="F37" s="12" t="s">
        <v>3097</v>
      </c>
      <c r="G37" s="19" t="s">
        <v>987</v>
      </c>
      <c r="H37" s="5" t="s">
        <v>3098</v>
      </c>
      <c r="I37" s="5" t="s">
        <v>3064</v>
      </c>
      <c r="J37" s="5" t="s">
        <v>1966</v>
      </c>
      <c r="K37" s="5"/>
      <c r="L37" s="5" t="n">
        <v>12</v>
      </c>
      <c r="M37" s="6" t="s">
        <v>41</v>
      </c>
      <c r="N37" s="8" t="s">
        <v>1</v>
      </c>
      <c r="O37" s="120"/>
    </row>
    <row r="38" customFormat="false" ht="22.5" hidden="false" customHeight="false" outlineLevel="0" collapsed="false">
      <c r="A38" s="5" t="n">
        <f aca="false">IF(B38&lt;&gt;"", COUNTA($B$2:B38), "")</f>
        <v>37</v>
      </c>
      <c r="B38" s="7" t="s">
        <v>3010</v>
      </c>
      <c r="C38" s="12" t="s">
        <v>3095</v>
      </c>
      <c r="D38" s="78" t="s">
        <v>3099</v>
      </c>
      <c r="E38" s="8"/>
      <c r="F38" s="12" t="s">
        <v>3097</v>
      </c>
      <c r="G38" s="19" t="s">
        <v>987</v>
      </c>
      <c r="H38" s="5" t="s">
        <v>3100</v>
      </c>
      <c r="I38" s="5" t="s">
        <v>3064</v>
      </c>
      <c r="J38" s="5" t="s">
        <v>1966</v>
      </c>
      <c r="K38" s="5"/>
      <c r="L38" s="5" t="n">
        <v>12</v>
      </c>
      <c r="M38" s="6" t="s">
        <v>41</v>
      </c>
      <c r="N38" s="8" t="s">
        <v>1</v>
      </c>
      <c r="O38" s="120"/>
    </row>
    <row r="39" customFormat="false" ht="22.5" hidden="false" customHeight="false" outlineLevel="0" collapsed="false">
      <c r="A39" s="5" t="n">
        <f aca="false">IF(B39&lt;&gt;"", COUNTA($B$2:B39), "")</f>
        <v>38</v>
      </c>
      <c r="B39" s="6" t="s">
        <v>46</v>
      </c>
      <c r="C39" s="19" t="s">
        <v>608</v>
      </c>
      <c r="D39" s="6" t="s">
        <v>3101</v>
      </c>
      <c r="E39" s="16" t="n">
        <v>2019</v>
      </c>
      <c r="F39" s="19" t="s">
        <v>3078</v>
      </c>
      <c r="G39" s="19" t="s">
        <v>181</v>
      </c>
      <c r="H39" s="5" t="s">
        <v>3102</v>
      </c>
      <c r="I39" s="5" t="s">
        <v>3064</v>
      </c>
      <c r="J39" s="5" t="s">
        <v>1966</v>
      </c>
      <c r="K39" s="5"/>
      <c r="L39" s="5" t="n">
        <v>24</v>
      </c>
      <c r="M39" s="6" t="s">
        <v>41</v>
      </c>
      <c r="N39" s="8" t="s">
        <v>1</v>
      </c>
      <c r="O39" s="120"/>
    </row>
    <row r="40" customFormat="false" ht="22.5" hidden="false" customHeight="false" outlineLevel="0" collapsed="false">
      <c r="A40" s="5" t="n">
        <f aca="false">IF(B40&lt;&gt;"", COUNTA($B$2:B40), "")</f>
        <v>39</v>
      </c>
      <c r="B40" s="6" t="s">
        <v>46</v>
      </c>
      <c r="C40" s="19" t="s">
        <v>608</v>
      </c>
      <c r="D40" s="6" t="s">
        <v>3103</v>
      </c>
      <c r="E40" s="16" t="n">
        <v>2019</v>
      </c>
      <c r="F40" s="19" t="s">
        <v>3078</v>
      </c>
      <c r="G40" s="19" t="s">
        <v>181</v>
      </c>
      <c r="H40" s="5" t="s">
        <v>3104</v>
      </c>
      <c r="I40" s="5" t="s">
        <v>3064</v>
      </c>
      <c r="J40" s="5" t="s">
        <v>1966</v>
      </c>
      <c r="K40" s="5"/>
      <c r="L40" s="5" t="n">
        <v>24</v>
      </c>
      <c r="M40" s="6" t="s">
        <v>41</v>
      </c>
      <c r="N40" s="8" t="s">
        <v>1</v>
      </c>
      <c r="O40" s="120"/>
    </row>
    <row r="41" customFormat="false" ht="33.75" hidden="false" customHeight="false" outlineLevel="0" collapsed="false">
      <c r="A41" s="5" t="n">
        <f aca="false">IF(B41&lt;&gt;"", COUNTA($B$2:B41), "")</f>
        <v>40</v>
      </c>
      <c r="B41" s="7" t="s">
        <v>27</v>
      </c>
      <c r="C41" s="12" t="s">
        <v>28</v>
      </c>
      <c r="D41" s="78" t="s">
        <v>3105</v>
      </c>
      <c r="E41" s="8"/>
      <c r="F41" s="12" t="s">
        <v>3066</v>
      </c>
      <c r="G41" s="19" t="s">
        <v>987</v>
      </c>
      <c r="H41" s="5" t="s">
        <v>3106</v>
      </c>
      <c r="I41" s="5" t="s">
        <v>3064</v>
      </c>
      <c r="J41" s="5" t="s">
        <v>1966</v>
      </c>
      <c r="K41" s="5"/>
      <c r="L41" s="5" t="n">
        <v>12</v>
      </c>
      <c r="M41" s="6" t="s">
        <v>41</v>
      </c>
      <c r="N41" s="8" t="s">
        <v>1</v>
      </c>
      <c r="O41" s="120"/>
    </row>
    <row r="42" customFormat="false" ht="22.5" hidden="false" customHeight="false" outlineLevel="0" collapsed="false">
      <c r="A42" s="5" t="n">
        <f aca="false">IF(B42&lt;&gt;"", COUNTA($B$2:B42), "")</f>
        <v>41</v>
      </c>
      <c r="B42" s="7" t="s">
        <v>27</v>
      </c>
      <c r="C42" s="12" t="s">
        <v>3107</v>
      </c>
      <c r="D42" s="78" t="s">
        <v>3108</v>
      </c>
      <c r="E42" s="8"/>
      <c r="F42" s="12" t="s">
        <v>3109</v>
      </c>
      <c r="G42" s="19" t="s">
        <v>987</v>
      </c>
      <c r="H42" s="5" t="s">
        <v>3110</v>
      </c>
      <c r="I42" s="5" t="s">
        <v>3064</v>
      </c>
      <c r="J42" s="5" t="s">
        <v>1966</v>
      </c>
      <c r="K42" s="5"/>
      <c r="L42" s="5" t="n">
        <v>12</v>
      </c>
      <c r="M42" s="6" t="s">
        <v>41</v>
      </c>
      <c r="N42" s="8" t="s">
        <v>1</v>
      </c>
      <c r="O42" s="120"/>
    </row>
    <row r="43" customFormat="false" ht="22.5" hidden="false" customHeight="false" outlineLevel="0" collapsed="false">
      <c r="A43" s="5" t="n">
        <f aca="false">IF(B43&lt;&gt;"", COUNTA($B$2:B43), "")</f>
        <v>42</v>
      </c>
      <c r="B43" s="7" t="s">
        <v>27</v>
      </c>
      <c r="C43" s="12" t="s">
        <v>3107</v>
      </c>
      <c r="D43" s="78" t="s">
        <v>3111</v>
      </c>
      <c r="E43" s="8"/>
      <c r="F43" s="12" t="s">
        <v>3109</v>
      </c>
      <c r="G43" s="19" t="s">
        <v>987</v>
      </c>
      <c r="H43" s="5" t="s">
        <v>3112</v>
      </c>
      <c r="I43" s="5" t="s">
        <v>3064</v>
      </c>
      <c r="J43" s="5" t="s">
        <v>1966</v>
      </c>
      <c r="K43" s="5"/>
      <c r="L43" s="5" t="n">
        <v>12</v>
      </c>
      <c r="M43" s="6" t="s">
        <v>41</v>
      </c>
      <c r="N43" s="8" t="s">
        <v>1</v>
      </c>
      <c r="O43" s="120"/>
    </row>
    <row r="44" customFormat="false" ht="22.5" hidden="false" customHeight="false" outlineLevel="0" collapsed="false">
      <c r="A44" s="5" t="n">
        <f aca="false">IF(B44&lt;&gt;"", COUNTA($B$2:B44), "")</f>
        <v>43</v>
      </c>
      <c r="B44" s="7" t="s">
        <v>27</v>
      </c>
      <c r="C44" s="12" t="s">
        <v>28</v>
      </c>
      <c r="D44" s="78" t="s">
        <v>3113</v>
      </c>
      <c r="E44" s="8"/>
      <c r="F44" s="12" t="s">
        <v>3020</v>
      </c>
      <c r="G44" s="19" t="s">
        <v>987</v>
      </c>
      <c r="H44" s="5" t="s">
        <v>3114</v>
      </c>
      <c r="I44" s="5" t="s">
        <v>3064</v>
      </c>
      <c r="J44" s="5" t="s">
        <v>1966</v>
      </c>
      <c r="K44" s="5"/>
      <c r="L44" s="5" t="n">
        <v>12</v>
      </c>
      <c r="M44" s="6" t="s">
        <v>41</v>
      </c>
      <c r="N44" s="8" t="s">
        <v>1</v>
      </c>
      <c r="O44" s="120"/>
    </row>
    <row r="45" customFormat="false" ht="22.5" hidden="false" customHeight="false" outlineLevel="0" collapsed="false">
      <c r="A45" s="5" t="n">
        <f aca="false">IF(B45&lt;&gt;"", COUNTA($B$2:B45), "")</f>
        <v>44</v>
      </c>
      <c r="B45" s="7" t="s">
        <v>27</v>
      </c>
      <c r="C45" s="12" t="s">
        <v>28</v>
      </c>
      <c r="D45" s="78" t="s">
        <v>3115</v>
      </c>
      <c r="E45" s="8"/>
      <c r="F45" s="12" t="s">
        <v>3020</v>
      </c>
      <c r="G45" s="19" t="s">
        <v>987</v>
      </c>
      <c r="H45" s="5" t="s">
        <v>3116</v>
      </c>
      <c r="I45" s="5" t="s">
        <v>3064</v>
      </c>
      <c r="J45" s="5" t="s">
        <v>1966</v>
      </c>
      <c r="K45" s="5"/>
      <c r="L45" s="5" t="n">
        <v>12</v>
      </c>
      <c r="M45" s="6" t="s">
        <v>41</v>
      </c>
      <c r="N45" s="8" t="s">
        <v>1</v>
      </c>
      <c r="O45" s="120"/>
    </row>
    <row r="46" customFormat="false" ht="22.5" hidden="false" customHeight="false" outlineLevel="0" collapsed="false">
      <c r="A46" s="5" t="n">
        <f aca="false">IF(B46&lt;&gt;"", COUNTA($B$2:B46), "")</f>
        <v>45</v>
      </c>
      <c r="B46" s="7" t="s">
        <v>27</v>
      </c>
      <c r="C46" s="12" t="s">
        <v>28</v>
      </c>
      <c r="D46" s="78" t="s">
        <v>3117</v>
      </c>
      <c r="E46" s="8"/>
      <c r="F46" s="12" t="s">
        <v>3020</v>
      </c>
      <c r="G46" s="19" t="s">
        <v>987</v>
      </c>
      <c r="H46" s="5" t="s">
        <v>3118</v>
      </c>
      <c r="I46" s="5" t="s">
        <v>3064</v>
      </c>
      <c r="J46" s="5" t="s">
        <v>1966</v>
      </c>
      <c r="K46" s="5"/>
      <c r="L46" s="5" t="n">
        <v>12</v>
      </c>
      <c r="M46" s="6" t="s">
        <v>41</v>
      </c>
      <c r="N46" s="8" t="s">
        <v>1</v>
      </c>
      <c r="O46" s="120"/>
    </row>
    <row r="47" customFormat="false" ht="22.5" hidden="false" customHeight="false" outlineLevel="0" collapsed="false">
      <c r="A47" s="5" t="n">
        <f aca="false">IF(B47&lt;&gt;"", COUNTA($B$2:B47), "")</f>
        <v>46</v>
      </c>
      <c r="B47" s="6" t="s">
        <v>64</v>
      </c>
      <c r="C47" s="12" t="s">
        <v>3075</v>
      </c>
      <c r="D47" s="12" t="n">
        <v>2422392</v>
      </c>
      <c r="E47" s="17" t="n">
        <v>2018</v>
      </c>
      <c r="F47" s="19" t="s">
        <v>3048</v>
      </c>
      <c r="G47" s="31" t="n">
        <v>0.0025</v>
      </c>
      <c r="H47" s="5" t="s">
        <v>3119</v>
      </c>
      <c r="I47" s="5" t="s">
        <v>3064</v>
      </c>
      <c r="J47" s="5" t="s">
        <v>1966</v>
      </c>
      <c r="K47" s="5"/>
      <c r="L47" s="5" t="n">
        <v>60</v>
      </c>
      <c r="M47" s="6"/>
      <c r="N47" s="8"/>
      <c r="O47" s="215"/>
    </row>
    <row r="48" customFormat="false" ht="22.5" hidden="false" customHeight="false" outlineLevel="0" collapsed="false">
      <c r="A48" s="5" t="n">
        <f aca="false">IF(B48&lt;&gt;"", COUNTA($B$2:B48), "")</f>
        <v>47</v>
      </c>
      <c r="B48" s="124" t="s">
        <v>57</v>
      </c>
      <c r="C48" s="12" t="s">
        <v>2440</v>
      </c>
      <c r="D48" s="5" t="n">
        <v>6063457</v>
      </c>
      <c r="E48" s="16" t="n">
        <v>2018</v>
      </c>
      <c r="F48" s="12" t="s">
        <v>2960</v>
      </c>
      <c r="G48" s="31" t="n">
        <v>0.001</v>
      </c>
      <c r="H48" s="5" t="s">
        <v>3114</v>
      </c>
      <c r="I48" s="5" t="s">
        <v>3064</v>
      </c>
      <c r="J48" s="5" t="s">
        <v>1966</v>
      </c>
      <c r="K48" s="5"/>
      <c r="L48" s="5" t="n">
        <v>60</v>
      </c>
      <c r="M48" s="6"/>
      <c r="N48" s="8"/>
      <c r="O48" s="120"/>
    </row>
    <row r="49" customFormat="false" ht="22.5" hidden="false" customHeight="false" outlineLevel="0" collapsed="false">
      <c r="A49" s="5" t="n">
        <f aca="false">IF(B49&lt;&gt;"", COUNTA($B$2:B49), "")</f>
        <v>48</v>
      </c>
      <c r="B49" s="124" t="s">
        <v>57</v>
      </c>
      <c r="C49" s="12" t="s">
        <v>2440</v>
      </c>
      <c r="D49" s="5" t="n">
        <v>6063465</v>
      </c>
      <c r="E49" s="16" t="n">
        <v>2018</v>
      </c>
      <c r="F49" s="12" t="s">
        <v>3062</v>
      </c>
      <c r="G49" s="31" t="n">
        <v>0.001</v>
      </c>
      <c r="H49" s="5"/>
      <c r="I49" s="5" t="s">
        <v>3064</v>
      </c>
      <c r="J49" s="5" t="s">
        <v>1966</v>
      </c>
      <c r="K49" s="5"/>
      <c r="L49" s="5" t="n">
        <v>60</v>
      </c>
      <c r="M49" s="6"/>
      <c r="N49" s="8"/>
      <c r="O49" s="120"/>
    </row>
    <row r="50" customFormat="false" ht="22.5" hidden="false" customHeight="false" outlineLevel="0" collapsed="false">
      <c r="A50" s="5" t="n">
        <f aca="false">IF(B50&lt;&gt;"", COUNTA($B$2:B50), "")</f>
        <v>49</v>
      </c>
      <c r="B50" s="124" t="s">
        <v>57</v>
      </c>
      <c r="C50" s="12" t="s">
        <v>2444</v>
      </c>
      <c r="D50" s="5" t="n">
        <v>6148422</v>
      </c>
      <c r="E50" s="16" t="n">
        <v>2020</v>
      </c>
      <c r="F50" s="12" t="s">
        <v>3097</v>
      </c>
      <c r="G50" s="31" t="n">
        <v>0.001</v>
      </c>
      <c r="H50" s="5" t="s">
        <v>3120</v>
      </c>
      <c r="I50" s="5" t="s">
        <v>3064</v>
      </c>
      <c r="J50" s="5" t="s">
        <v>1966</v>
      </c>
      <c r="K50" s="5"/>
      <c r="L50" s="5" t="n">
        <v>60</v>
      </c>
      <c r="M50" s="6"/>
      <c r="N50" s="8"/>
      <c r="O50" s="120"/>
    </row>
    <row r="51" customFormat="false" ht="22.5" hidden="false" customHeight="false" outlineLevel="0" collapsed="false">
      <c r="A51" s="5" t="n">
        <f aca="false">IF(B51&lt;&gt;"", COUNTA($B$2:B51), "")</f>
        <v>50</v>
      </c>
      <c r="B51" s="7" t="s">
        <v>27</v>
      </c>
      <c r="C51" s="12" t="s">
        <v>3121</v>
      </c>
      <c r="D51" s="78" t="s">
        <v>3122</v>
      </c>
      <c r="E51" s="8"/>
      <c r="F51" s="12" t="s">
        <v>3066</v>
      </c>
      <c r="G51" s="10" t="n">
        <v>1</v>
      </c>
      <c r="H51" s="5" t="s">
        <v>3123</v>
      </c>
      <c r="I51" s="5" t="s">
        <v>3064</v>
      </c>
      <c r="J51" s="5" t="s">
        <v>1966</v>
      </c>
      <c r="K51" s="5"/>
      <c r="L51" s="5" t="n">
        <v>12</v>
      </c>
      <c r="M51" s="6" t="s">
        <v>41</v>
      </c>
      <c r="N51" s="8" t="s">
        <v>1</v>
      </c>
      <c r="O51" s="120"/>
    </row>
    <row r="52" customFormat="false" ht="22.5" hidden="false" customHeight="false" outlineLevel="0" collapsed="false">
      <c r="A52" s="5" t="n">
        <f aca="false">IF(B52&lt;&gt;"", COUNTA($B$2:B52), "")</f>
        <v>51</v>
      </c>
      <c r="B52" s="7" t="s">
        <v>27</v>
      </c>
      <c r="C52" s="12" t="s">
        <v>3121</v>
      </c>
      <c r="D52" s="78" t="s">
        <v>3124</v>
      </c>
      <c r="E52" s="8"/>
      <c r="F52" s="19" t="s">
        <v>3125</v>
      </c>
      <c r="G52" s="10" t="n">
        <v>1</v>
      </c>
      <c r="H52" s="5" t="s">
        <v>3126</v>
      </c>
      <c r="I52" s="5" t="s">
        <v>3064</v>
      </c>
      <c r="J52" s="5" t="s">
        <v>1966</v>
      </c>
      <c r="K52" s="5"/>
      <c r="L52" s="5" t="n">
        <v>12</v>
      </c>
      <c r="M52" s="6" t="s">
        <v>41</v>
      </c>
      <c r="N52" s="8" t="s">
        <v>1</v>
      </c>
      <c r="O52" s="120"/>
    </row>
    <row r="53" customFormat="false" ht="22.5" hidden="false" customHeight="false" outlineLevel="0" collapsed="false">
      <c r="A53" s="5" t="n">
        <f aca="false">IF(B53&lt;&gt;"", COUNTA($B$2:B53), "")</f>
        <v>52</v>
      </c>
      <c r="B53" s="7" t="s">
        <v>27</v>
      </c>
      <c r="C53" s="12" t="s">
        <v>3121</v>
      </c>
      <c r="D53" s="78" t="s">
        <v>3127</v>
      </c>
      <c r="E53" s="8"/>
      <c r="F53" s="12" t="s">
        <v>3066</v>
      </c>
      <c r="G53" s="10" t="n">
        <v>1</v>
      </c>
      <c r="H53" s="5" t="s">
        <v>3128</v>
      </c>
      <c r="I53" s="5" t="s">
        <v>3064</v>
      </c>
      <c r="J53" s="5" t="s">
        <v>1966</v>
      </c>
      <c r="K53" s="5"/>
      <c r="L53" s="5" t="n">
        <v>12</v>
      </c>
      <c r="M53" s="6" t="s">
        <v>41</v>
      </c>
      <c r="N53" s="8" t="s">
        <v>1</v>
      </c>
      <c r="O53" s="120"/>
    </row>
    <row r="54" customFormat="false" ht="22.5" hidden="false" customHeight="false" outlineLevel="0" collapsed="false">
      <c r="A54" s="5" t="n">
        <f aca="false">IF(B54&lt;&gt;"", COUNTA($B$2:B54), "")</f>
        <v>53</v>
      </c>
      <c r="B54" s="7" t="s">
        <v>27</v>
      </c>
      <c r="C54" s="12" t="s">
        <v>3121</v>
      </c>
      <c r="D54" s="78" t="s">
        <v>3129</v>
      </c>
      <c r="E54" s="8"/>
      <c r="F54" s="12" t="s">
        <v>3066</v>
      </c>
      <c r="G54" s="10" t="n">
        <v>1</v>
      </c>
      <c r="H54" s="5" t="s">
        <v>3130</v>
      </c>
      <c r="I54" s="5" t="s">
        <v>3064</v>
      </c>
      <c r="J54" s="5" t="s">
        <v>1966</v>
      </c>
      <c r="K54" s="5"/>
      <c r="L54" s="5" t="n">
        <v>12</v>
      </c>
      <c r="M54" s="6" t="s">
        <v>41</v>
      </c>
      <c r="N54" s="8" t="s">
        <v>1</v>
      </c>
      <c r="O54" s="120"/>
    </row>
    <row r="55" customFormat="false" ht="22.5" hidden="false" customHeight="false" outlineLevel="0" collapsed="false">
      <c r="A55" s="5" t="n">
        <f aca="false">IF(B55&lt;&gt;"", COUNTA($B$2:B55), "")</f>
        <v>54</v>
      </c>
      <c r="B55" s="7" t="s">
        <v>27</v>
      </c>
      <c r="C55" s="12" t="s">
        <v>3121</v>
      </c>
      <c r="D55" s="78" t="s">
        <v>3131</v>
      </c>
      <c r="E55" s="8"/>
      <c r="F55" s="12" t="s">
        <v>3066</v>
      </c>
      <c r="G55" s="10" t="n">
        <v>1</v>
      </c>
      <c r="H55" s="5" t="s">
        <v>3132</v>
      </c>
      <c r="I55" s="5" t="s">
        <v>3064</v>
      </c>
      <c r="J55" s="5" t="s">
        <v>1966</v>
      </c>
      <c r="K55" s="5"/>
      <c r="L55" s="5" t="n">
        <v>12</v>
      </c>
      <c r="M55" s="6" t="s">
        <v>41</v>
      </c>
      <c r="N55" s="8" t="s">
        <v>1</v>
      </c>
      <c r="O55" s="120"/>
    </row>
    <row r="56" customFormat="false" ht="22.5" hidden="false" customHeight="false" outlineLevel="0" collapsed="false">
      <c r="A56" s="5" t="n">
        <f aca="false">IF(B56&lt;&gt;"", COUNTA($B$2:B56), "")</f>
        <v>55</v>
      </c>
      <c r="B56" s="7" t="s">
        <v>27</v>
      </c>
      <c r="C56" s="12" t="s">
        <v>1882</v>
      </c>
      <c r="D56" s="78" t="s">
        <v>3133</v>
      </c>
      <c r="E56" s="8"/>
      <c r="F56" s="12" t="s">
        <v>3134</v>
      </c>
      <c r="G56" s="10" t="n">
        <v>2.5</v>
      </c>
      <c r="H56" s="5" t="s">
        <v>3135</v>
      </c>
      <c r="I56" s="5" t="s">
        <v>3064</v>
      </c>
      <c r="J56" s="5" t="s">
        <v>1966</v>
      </c>
      <c r="K56" s="5"/>
      <c r="L56" s="5" t="n">
        <v>12</v>
      </c>
      <c r="M56" s="6" t="s">
        <v>41</v>
      </c>
      <c r="N56" s="8" t="s">
        <v>1</v>
      </c>
      <c r="O56" s="120"/>
    </row>
    <row r="57" customFormat="false" ht="22.5" hidden="false" customHeight="false" outlineLevel="0" collapsed="false">
      <c r="A57" s="5" t="n">
        <f aca="false">IF(B57&lt;&gt;"", COUNTA($B$2:B57), "")</f>
        <v>56</v>
      </c>
      <c r="B57" s="7" t="s">
        <v>27</v>
      </c>
      <c r="C57" s="12" t="s">
        <v>1882</v>
      </c>
      <c r="D57" s="78" t="s">
        <v>3136</v>
      </c>
      <c r="E57" s="8"/>
      <c r="F57" s="12" t="s">
        <v>3137</v>
      </c>
      <c r="G57" s="10" t="n">
        <v>2.5</v>
      </c>
      <c r="H57" s="5" t="s">
        <v>3138</v>
      </c>
      <c r="I57" s="5" t="s">
        <v>3064</v>
      </c>
      <c r="J57" s="5" t="s">
        <v>1966</v>
      </c>
      <c r="K57" s="5"/>
      <c r="L57" s="5" t="n">
        <v>12</v>
      </c>
      <c r="M57" s="6" t="s">
        <v>41</v>
      </c>
      <c r="N57" s="8" t="s">
        <v>1</v>
      </c>
      <c r="O57" s="120"/>
    </row>
    <row r="58" customFormat="false" ht="22.5" hidden="false" customHeight="false" outlineLevel="0" collapsed="false">
      <c r="A58" s="5" t="n">
        <f aca="false">IF(B58&lt;&gt;"", COUNTA($B$2:B58), "")</f>
        <v>57</v>
      </c>
      <c r="B58" s="7" t="s">
        <v>3139</v>
      </c>
      <c r="C58" s="12" t="s">
        <v>3140</v>
      </c>
      <c r="D58" s="78" t="s">
        <v>3141</v>
      </c>
      <c r="E58" s="8"/>
      <c r="F58" s="15"/>
      <c r="G58" s="10"/>
      <c r="H58" s="5" t="s">
        <v>3142</v>
      </c>
      <c r="I58" s="5" t="s">
        <v>3064</v>
      </c>
      <c r="J58" s="5" t="s">
        <v>1966</v>
      </c>
      <c r="K58" s="5"/>
      <c r="L58" s="5" t="n">
        <v>60</v>
      </c>
      <c r="M58" s="6"/>
      <c r="N58" s="8"/>
      <c r="O58" s="120" t="s">
        <v>2432</v>
      </c>
    </row>
    <row r="59" customFormat="false" ht="22.5" hidden="false" customHeight="false" outlineLevel="0" collapsed="false">
      <c r="A59" s="5" t="n">
        <f aca="false">IF(B59&lt;&gt;"", COUNTA($B$2:B59), "")</f>
        <v>58</v>
      </c>
      <c r="B59" s="7" t="s">
        <v>3139</v>
      </c>
      <c r="C59" s="12" t="s">
        <v>3140</v>
      </c>
      <c r="D59" s="78" t="s">
        <v>3143</v>
      </c>
      <c r="E59" s="8"/>
      <c r="F59" s="140"/>
      <c r="G59" s="140"/>
      <c r="H59" s="5" t="s">
        <v>3144</v>
      </c>
      <c r="I59" s="5" t="s">
        <v>3064</v>
      </c>
      <c r="J59" s="5" t="s">
        <v>1966</v>
      </c>
      <c r="K59" s="140"/>
      <c r="L59" s="5" t="n">
        <v>60</v>
      </c>
      <c r="M59" s="140"/>
      <c r="N59" s="140"/>
      <c r="O59" s="120" t="s">
        <v>2432</v>
      </c>
    </row>
    <row r="60" customFormat="false" ht="22.5" hidden="false" customHeight="false" outlineLevel="0" collapsed="false">
      <c r="A60" s="5" t="n">
        <f aca="false">IF(B60&lt;&gt;"", COUNTA($B$2:B60), "")</f>
        <v>59</v>
      </c>
      <c r="B60" s="7" t="s">
        <v>2389</v>
      </c>
      <c r="C60" s="12" t="s">
        <v>2976</v>
      </c>
      <c r="D60" s="78" t="s">
        <v>3145</v>
      </c>
      <c r="E60" s="8" t="n">
        <v>2020</v>
      </c>
      <c r="F60" s="15"/>
      <c r="G60" s="10"/>
      <c r="H60" s="5" t="s">
        <v>3146</v>
      </c>
      <c r="I60" s="5" t="s">
        <v>3064</v>
      </c>
      <c r="J60" s="5" t="s">
        <v>1966</v>
      </c>
      <c r="K60" s="5"/>
      <c r="L60" s="5" t="n">
        <v>60</v>
      </c>
      <c r="M60" s="6"/>
      <c r="N60" s="8"/>
      <c r="O60" s="120"/>
    </row>
    <row r="61" customFormat="false" ht="22.5" hidden="false" customHeight="false" outlineLevel="0" collapsed="false">
      <c r="A61" s="5" t="n">
        <f aca="false">IF(B61&lt;&gt;"", COUNTA($B$2:B61), "")</f>
        <v>60</v>
      </c>
      <c r="B61" s="7" t="s">
        <v>2389</v>
      </c>
      <c r="C61" s="12" t="s">
        <v>2976</v>
      </c>
      <c r="D61" s="78" t="s">
        <v>3147</v>
      </c>
      <c r="E61" s="8" t="n">
        <v>2020</v>
      </c>
      <c r="F61" s="15"/>
      <c r="G61" s="10"/>
      <c r="H61" s="5" t="s">
        <v>3148</v>
      </c>
      <c r="I61" s="5" t="s">
        <v>3064</v>
      </c>
      <c r="J61" s="5" t="s">
        <v>1966</v>
      </c>
      <c r="K61" s="5"/>
      <c r="L61" s="5" t="n">
        <v>60</v>
      </c>
      <c r="M61" s="6"/>
      <c r="N61" s="8"/>
      <c r="O61" s="120"/>
    </row>
    <row r="62" customFormat="false" ht="22.5" hidden="false" customHeight="false" outlineLevel="0" collapsed="false">
      <c r="A62" s="5" t="n">
        <f aca="false">IF(B62&lt;&gt;"", COUNTA($B$2:B62), "")</f>
        <v>61</v>
      </c>
      <c r="B62" s="7" t="s">
        <v>64</v>
      </c>
      <c r="C62" s="12" t="s">
        <v>3075</v>
      </c>
      <c r="D62" s="78" t="s">
        <v>3149</v>
      </c>
      <c r="E62" s="8" t="n">
        <v>2018</v>
      </c>
      <c r="F62" s="19" t="s">
        <v>3048</v>
      </c>
      <c r="G62" s="174" t="n">
        <v>0.025</v>
      </c>
      <c r="H62" s="5" t="s">
        <v>3150</v>
      </c>
      <c r="I62" s="5" t="s">
        <v>3064</v>
      </c>
      <c r="J62" s="5" t="s">
        <v>1966</v>
      </c>
      <c r="K62" s="5"/>
      <c r="L62" s="5"/>
      <c r="M62" s="6"/>
      <c r="N62" s="8"/>
      <c r="O62" s="215"/>
    </row>
    <row r="63" customFormat="false" ht="33.75" hidden="false" customHeight="false" outlineLevel="0" collapsed="false">
      <c r="A63" s="5" t="n">
        <f aca="false">IF(B63&lt;&gt;"", COUNTA($B$2:B63), "")</f>
        <v>62</v>
      </c>
      <c r="B63" s="7" t="s">
        <v>3151</v>
      </c>
      <c r="C63" s="12" t="s">
        <v>3152</v>
      </c>
      <c r="D63" s="78" t="s">
        <v>3153</v>
      </c>
      <c r="E63" s="8"/>
      <c r="F63" s="15" t="s">
        <v>3154</v>
      </c>
      <c r="G63" s="10"/>
      <c r="H63" s="5" t="s">
        <v>3155</v>
      </c>
      <c r="I63" s="5" t="s">
        <v>3015</v>
      </c>
      <c r="J63" s="5" t="s">
        <v>1966</v>
      </c>
      <c r="K63" s="5"/>
      <c r="L63" s="5"/>
      <c r="M63" s="5"/>
      <c r="N63" s="5"/>
      <c r="O63" s="120"/>
    </row>
    <row r="64" customFormat="false" ht="33.75" hidden="false" customHeight="false" outlineLevel="0" collapsed="false">
      <c r="A64" s="5" t="n">
        <f aca="false">IF(B64&lt;&gt;"", COUNTA($B$2:B64), "")</f>
        <v>63</v>
      </c>
      <c r="B64" s="7" t="s">
        <v>3151</v>
      </c>
      <c r="C64" s="12" t="s">
        <v>3156</v>
      </c>
      <c r="D64" s="78" t="s">
        <v>3157</v>
      </c>
      <c r="E64" s="8"/>
      <c r="F64" s="15" t="s">
        <v>3158</v>
      </c>
      <c r="G64" s="10"/>
      <c r="H64" s="5" t="s">
        <v>3054</v>
      </c>
      <c r="I64" s="5" t="s">
        <v>3015</v>
      </c>
      <c r="J64" s="5" t="s">
        <v>1966</v>
      </c>
      <c r="K64" s="5"/>
      <c r="L64" s="5"/>
      <c r="M64" s="5"/>
      <c r="N64" s="5"/>
      <c r="O64" s="120"/>
    </row>
  </sheetData>
  <conditionalFormatting sqref="M1:M1048576">
    <cfRule type="expression" priority="2" aboveAverage="0" equalAverage="0" bottom="0" percent="0" rank="0" text="" dxfId="37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" topLeftCell="A28" activePane="bottomLeft" state="frozen"/>
      <selection pane="topLeft" activeCell="A1" activeCellId="0" sqref="A1"/>
      <selection pane="bottomLeft" activeCell="M35" activeCellId="0" sqref="M35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24.86"/>
    <col collapsed="false" customWidth="true" hidden="false" outlineLevel="0" max="3" min="3" style="4" width="9.85"/>
    <col collapsed="false" customWidth="true" hidden="false" outlineLevel="0" max="4" min="4" style="4" width="8.71"/>
    <col collapsed="false" customWidth="true" hidden="false" outlineLevel="0" max="5" min="5" style="4" width="6.57"/>
    <col collapsed="false" customWidth="true" hidden="false" outlineLevel="0" max="6" min="6" style="4" width="12.57"/>
    <col collapsed="false" customWidth="true" hidden="false" outlineLevel="0" max="7" min="7" style="4" width="7.71"/>
    <col collapsed="false" customWidth="true" hidden="false" outlineLevel="0" max="8" min="8" style="4" width="13.29"/>
    <col collapsed="false" customWidth="true" hidden="false" outlineLevel="0" max="9" min="9" style="4" width="8"/>
    <col collapsed="false" customWidth="true" hidden="false" outlineLevel="0" max="10" min="10" style="4" width="11.71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false" hidden="false" outlineLevel="0" max="1024" min="13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22.5" hidden="false" customHeight="false" outlineLevel="0" collapsed="false">
      <c r="A2" s="5" t="n">
        <f aca="false">IF(B2&lt;&gt;"", COUNTA($B$2:B2), "")</f>
        <v>1</v>
      </c>
      <c r="B2" s="7" t="s">
        <v>27</v>
      </c>
      <c r="C2" s="12" t="s">
        <v>1668</v>
      </c>
      <c r="D2" s="78" t="s">
        <v>3159</v>
      </c>
      <c r="E2" s="8"/>
      <c r="F2" s="12" t="s">
        <v>3097</v>
      </c>
      <c r="G2" s="10" t="n">
        <v>1.5</v>
      </c>
      <c r="H2" s="5" t="s">
        <v>3160</v>
      </c>
      <c r="I2" s="5" t="s">
        <v>3161</v>
      </c>
      <c r="J2" s="5" t="s">
        <v>1966</v>
      </c>
      <c r="K2" s="5"/>
      <c r="L2" s="12" t="n">
        <v>12</v>
      </c>
      <c r="M2" s="6" t="s">
        <v>37</v>
      </c>
      <c r="N2" s="8" t="s">
        <v>38</v>
      </c>
    </row>
    <row r="3" customFormat="false" ht="22.5" hidden="false" customHeight="false" outlineLevel="0" collapsed="false">
      <c r="A3" s="5" t="n">
        <f aca="false">IF(B3&lt;&gt;"", COUNTA($B$2:B3), "")</f>
        <v>2</v>
      </c>
      <c r="B3" s="7" t="s">
        <v>27</v>
      </c>
      <c r="C3" s="12" t="s">
        <v>1668</v>
      </c>
      <c r="D3" s="78" t="s">
        <v>3162</v>
      </c>
      <c r="E3" s="16"/>
      <c r="F3" s="12" t="s">
        <v>3097</v>
      </c>
      <c r="G3" s="10" t="n">
        <v>1.5</v>
      </c>
      <c r="H3" s="19" t="s">
        <v>3163</v>
      </c>
      <c r="I3" s="5" t="s">
        <v>3161</v>
      </c>
      <c r="J3" s="5" t="s">
        <v>1966</v>
      </c>
      <c r="K3" s="5"/>
      <c r="L3" s="12" t="n">
        <v>12</v>
      </c>
      <c r="M3" s="6" t="s">
        <v>37</v>
      </c>
      <c r="N3" s="8" t="s">
        <v>38</v>
      </c>
    </row>
    <row r="4" customFormat="false" ht="22.5" hidden="false" customHeight="false" outlineLevel="0" collapsed="false">
      <c r="A4" s="5" t="n">
        <f aca="false">IF(B4&lt;&gt;"", COUNTA($B$2:B4), "")</f>
        <v>3</v>
      </c>
      <c r="B4" s="7" t="s">
        <v>46</v>
      </c>
      <c r="C4" s="12" t="s">
        <v>3164</v>
      </c>
      <c r="D4" s="78" t="s">
        <v>3165</v>
      </c>
      <c r="E4" s="16"/>
      <c r="F4" s="19" t="s">
        <v>3166</v>
      </c>
      <c r="G4" s="10" t="n">
        <v>1.5</v>
      </c>
      <c r="H4" s="19" t="s">
        <v>3167</v>
      </c>
      <c r="I4" s="5" t="s">
        <v>3161</v>
      </c>
      <c r="J4" s="5" t="s">
        <v>1966</v>
      </c>
      <c r="K4" s="5"/>
      <c r="L4" s="12" t="n">
        <v>12</v>
      </c>
      <c r="M4" s="6" t="s">
        <v>1291</v>
      </c>
      <c r="N4" s="8" t="s">
        <v>38</v>
      </c>
    </row>
    <row r="5" customFormat="false" ht="33.75" hidden="false" customHeight="false" outlineLevel="0" collapsed="false">
      <c r="A5" s="5" t="n">
        <f aca="false">IF(B5&lt;&gt;"", COUNTA($B$2:B5), "")</f>
        <v>4</v>
      </c>
      <c r="B5" s="7" t="s">
        <v>27</v>
      </c>
      <c r="C5" s="12" t="s">
        <v>1668</v>
      </c>
      <c r="D5" s="78" t="s">
        <v>3168</v>
      </c>
      <c r="E5" s="16"/>
      <c r="F5" s="12" t="s">
        <v>3097</v>
      </c>
      <c r="G5" s="10" t="n">
        <v>1.5</v>
      </c>
      <c r="H5" s="19" t="s">
        <v>3169</v>
      </c>
      <c r="I5" s="5" t="s">
        <v>3161</v>
      </c>
      <c r="J5" s="5" t="s">
        <v>1966</v>
      </c>
      <c r="K5" s="5"/>
      <c r="L5" s="12" t="n">
        <v>12</v>
      </c>
      <c r="M5" s="6" t="s">
        <v>37</v>
      </c>
      <c r="N5" s="8" t="s">
        <v>38</v>
      </c>
    </row>
    <row r="6" customFormat="false" ht="22.5" hidden="false" customHeight="false" outlineLevel="0" collapsed="false">
      <c r="A6" s="5" t="n">
        <f aca="false">IF(B6&lt;&gt;"", COUNTA($B$2:B6), "")</f>
        <v>5</v>
      </c>
      <c r="B6" s="7" t="s">
        <v>27</v>
      </c>
      <c r="C6" s="12" t="s">
        <v>1668</v>
      </c>
      <c r="D6" s="78" t="s">
        <v>3170</v>
      </c>
      <c r="E6" s="16"/>
      <c r="F6" s="12" t="s">
        <v>3171</v>
      </c>
      <c r="G6" s="10" t="n">
        <v>1.5</v>
      </c>
      <c r="H6" s="5" t="s">
        <v>3172</v>
      </c>
      <c r="I6" s="5" t="s">
        <v>3161</v>
      </c>
      <c r="J6" s="5" t="s">
        <v>1966</v>
      </c>
      <c r="K6" s="5"/>
      <c r="L6" s="12" t="n">
        <v>12</v>
      </c>
      <c r="M6" s="6" t="s">
        <v>37</v>
      </c>
      <c r="N6" s="8" t="s">
        <v>38</v>
      </c>
    </row>
    <row r="7" customFormat="false" ht="22.5" hidden="false" customHeight="false" outlineLevel="0" collapsed="false">
      <c r="A7" s="5" t="n">
        <f aca="false">IF(B7&lt;&gt;"", COUNTA($B$2:B7), "")</f>
        <v>6</v>
      </c>
      <c r="B7" s="7" t="s">
        <v>46</v>
      </c>
      <c r="C7" s="12" t="s">
        <v>3164</v>
      </c>
      <c r="D7" s="78" t="n">
        <v>7000238</v>
      </c>
      <c r="E7" s="16"/>
      <c r="F7" s="19" t="s">
        <v>3166</v>
      </c>
      <c r="G7" s="10" t="n">
        <v>1.5</v>
      </c>
      <c r="H7" s="5" t="s">
        <v>3173</v>
      </c>
      <c r="I7" s="5" t="s">
        <v>3161</v>
      </c>
      <c r="J7" s="5" t="s">
        <v>1966</v>
      </c>
      <c r="K7" s="5"/>
      <c r="L7" s="12" t="n">
        <v>12</v>
      </c>
      <c r="M7" s="6" t="s">
        <v>1291</v>
      </c>
      <c r="N7" s="8" t="s">
        <v>38</v>
      </c>
    </row>
    <row r="8" customFormat="false" ht="22.5" hidden="false" customHeight="false" outlineLevel="0" collapsed="false">
      <c r="A8" s="5" t="n">
        <f aca="false">IF(B8&lt;&gt;"", COUNTA($B$2:B8), "")</f>
        <v>7</v>
      </c>
      <c r="B8" s="7" t="s">
        <v>27</v>
      </c>
      <c r="C8" s="12" t="s">
        <v>1668</v>
      </c>
      <c r="D8" s="78" t="s">
        <v>3174</v>
      </c>
      <c r="E8" s="16"/>
      <c r="F8" s="12" t="s">
        <v>3097</v>
      </c>
      <c r="G8" s="10" t="n">
        <v>1.5</v>
      </c>
      <c r="H8" s="5" t="s">
        <v>3175</v>
      </c>
      <c r="I8" s="5" t="s">
        <v>3161</v>
      </c>
      <c r="J8" s="5" t="s">
        <v>1966</v>
      </c>
      <c r="K8" s="5"/>
      <c r="L8" s="12" t="n">
        <v>12</v>
      </c>
      <c r="M8" s="6" t="s">
        <v>37</v>
      </c>
      <c r="N8" s="8" t="s">
        <v>38</v>
      </c>
    </row>
    <row r="9" customFormat="false" ht="22.5" hidden="false" customHeight="false" outlineLevel="0" collapsed="false">
      <c r="A9" s="5" t="n">
        <f aca="false">IF(B9&lt;&gt;"", COUNTA($B$2:B9), "")</f>
        <v>8</v>
      </c>
      <c r="B9" s="7" t="s">
        <v>27</v>
      </c>
      <c r="C9" s="12" t="s">
        <v>500</v>
      </c>
      <c r="D9" s="78" t="s">
        <v>3176</v>
      </c>
      <c r="E9" s="16"/>
      <c r="F9" s="12" t="s">
        <v>3097</v>
      </c>
      <c r="G9" s="10" t="n">
        <v>1.5</v>
      </c>
      <c r="H9" s="5" t="s">
        <v>3177</v>
      </c>
      <c r="I9" s="5" t="s">
        <v>3161</v>
      </c>
      <c r="J9" s="5" t="s">
        <v>1966</v>
      </c>
      <c r="K9" s="5"/>
      <c r="L9" s="12" t="n">
        <v>12</v>
      </c>
      <c r="M9" s="6" t="s">
        <v>37</v>
      </c>
      <c r="N9" s="8" t="s">
        <v>38</v>
      </c>
    </row>
    <row r="10" customFormat="false" ht="22.5" hidden="false" customHeight="false" outlineLevel="0" collapsed="false">
      <c r="A10" s="5" t="n">
        <f aca="false">IF(B10&lt;&gt;"", COUNTA($B$2:B10), "")</f>
        <v>9</v>
      </c>
      <c r="B10" s="7" t="s">
        <v>27</v>
      </c>
      <c r="C10" s="12" t="s">
        <v>1668</v>
      </c>
      <c r="D10" s="78" t="s">
        <v>3178</v>
      </c>
      <c r="E10" s="16"/>
      <c r="F10" s="12" t="s">
        <v>3097</v>
      </c>
      <c r="G10" s="10" t="n">
        <v>1.5</v>
      </c>
      <c r="H10" s="5" t="s">
        <v>3179</v>
      </c>
      <c r="I10" s="5" t="s">
        <v>3161</v>
      </c>
      <c r="J10" s="5" t="s">
        <v>1966</v>
      </c>
      <c r="K10" s="5"/>
      <c r="L10" s="12" t="n">
        <v>12</v>
      </c>
      <c r="M10" s="6" t="s">
        <v>37</v>
      </c>
      <c r="N10" s="8" t="s">
        <v>38</v>
      </c>
    </row>
    <row r="11" customFormat="false" ht="33.75" hidden="false" customHeight="false" outlineLevel="0" collapsed="false">
      <c r="A11" s="5" t="n">
        <f aca="false">IF(B11&lt;&gt;"", COUNTA($B$2:B11), "")</f>
        <v>10</v>
      </c>
      <c r="B11" s="7" t="s">
        <v>46</v>
      </c>
      <c r="C11" s="12" t="s">
        <v>3164</v>
      </c>
      <c r="D11" s="78" t="s">
        <v>3180</v>
      </c>
      <c r="E11" s="16"/>
      <c r="F11" s="19" t="s">
        <v>3166</v>
      </c>
      <c r="G11" s="10" t="n">
        <v>1.5</v>
      </c>
      <c r="H11" s="5" t="s">
        <v>3181</v>
      </c>
      <c r="I11" s="5" t="s">
        <v>3161</v>
      </c>
      <c r="J11" s="5" t="s">
        <v>1966</v>
      </c>
      <c r="K11" s="5"/>
      <c r="L11" s="12" t="n">
        <v>12</v>
      </c>
      <c r="M11" s="6" t="s">
        <v>1291</v>
      </c>
      <c r="N11" s="8" t="s">
        <v>38</v>
      </c>
    </row>
    <row r="12" customFormat="false" ht="22.5" hidden="false" customHeight="false" outlineLevel="0" collapsed="false">
      <c r="A12" s="5" t="n">
        <f aca="false">IF(B12&lt;&gt;"", COUNTA($B$2:B12), "")</f>
        <v>11</v>
      </c>
      <c r="B12" s="7" t="s">
        <v>27</v>
      </c>
      <c r="C12" s="12" t="s">
        <v>1668</v>
      </c>
      <c r="D12" s="78" t="s">
        <v>3182</v>
      </c>
      <c r="E12" s="16"/>
      <c r="F12" s="12" t="s">
        <v>3097</v>
      </c>
      <c r="G12" s="10" t="n">
        <v>1.5</v>
      </c>
      <c r="H12" s="5" t="s">
        <v>3183</v>
      </c>
      <c r="I12" s="5" t="s">
        <v>3161</v>
      </c>
      <c r="J12" s="5" t="s">
        <v>1966</v>
      </c>
      <c r="K12" s="5"/>
      <c r="L12" s="12" t="n">
        <v>12</v>
      </c>
      <c r="M12" s="6" t="s">
        <v>37</v>
      </c>
      <c r="N12" s="8" t="s">
        <v>38</v>
      </c>
    </row>
    <row r="13" s="28" customFormat="true" ht="22.5" hidden="false" customHeight="false" outlineLevel="0" collapsed="false">
      <c r="A13" s="5" t="n">
        <f aca="false">IF(B13&lt;&gt;"", COUNTA($B$2:B13), "")</f>
        <v>12</v>
      </c>
      <c r="B13" s="22" t="s">
        <v>46</v>
      </c>
      <c r="C13" s="26" t="s">
        <v>3164</v>
      </c>
      <c r="D13" s="87" t="s">
        <v>3184</v>
      </c>
      <c r="E13" s="182"/>
      <c r="F13" s="216" t="s">
        <v>3166</v>
      </c>
      <c r="G13" s="89" t="n">
        <v>1.5</v>
      </c>
      <c r="H13" s="21" t="s">
        <v>3185</v>
      </c>
      <c r="I13" s="21" t="s">
        <v>3161</v>
      </c>
      <c r="J13" s="21" t="s">
        <v>1966</v>
      </c>
      <c r="K13" s="21"/>
      <c r="L13" s="26" t="n">
        <v>12</v>
      </c>
      <c r="M13" s="27" t="s">
        <v>1291</v>
      </c>
      <c r="N13" s="23" t="s">
        <v>38</v>
      </c>
    </row>
    <row r="14" customFormat="false" ht="22.5" hidden="false" customHeight="false" outlineLevel="0" collapsed="false">
      <c r="A14" s="5" t="n">
        <f aca="false">IF(B14&lt;&gt;"", COUNTA($B$2:B14), "")</f>
        <v>13</v>
      </c>
      <c r="B14" s="7" t="s">
        <v>27</v>
      </c>
      <c r="C14" s="12" t="s">
        <v>1668</v>
      </c>
      <c r="D14" s="78" t="s">
        <v>3186</v>
      </c>
      <c r="E14" s="16"/>
      <c r="F14" s="12" t="s">
        <v>3097</v>
      </c>
      <c r="G14" s="10" t="n">
        <v>1.5</v>
      </c>
      <c r="H14" s="5" t="s">
        <v>3187</v>
      </c>
      <c r="I14" s="5" t="s">
        <v>3161</v>
      </c>
      <c r="J14" s="5" t="s">
        <v>1966</v>
      </c>
      <c r="K14" s="5"/>
      <c r="L14" s="12" t="n">
        <v>12</v>
      </c>
      <c r="M14" s="6" t="s">
        <v>37</v>
      </c>
      <c r="N14" s="8" t="s">
        <v>38</v>
      </c>
    </row>
    <row r="15" customFormat="false" ht="22.5" hidden="false" customHeight="false" outlineLevel="0" collapsed="false">
      <c r="A15" s="5" t="n">
        <f aca="false">IF(B15&lt;&gt;"", COUNTA($B$2:B15), "")</f>
        <v>14</v>
      </c>
      <c r="B15" s="7" t="s">
        <v>46</v>
      </c>
      <c r="C15" s="12" t="s">
        <v>3164</v>
      </c>
      <c r="D15" s="78" t="s">
        <v>3188</v>
      </c>
      <c r="E15" s="17"/>
      <c r="F15" s="19" t="s">
        <v>3166</v>
      </c>
      <c r="G15" s="10" t="n">
        <v>1.5</v>
      </c>
      <c r="H15" s="5" t="s">
        <v>3189</v>
      </c>
      <c r="I15" s="5" t="s">
        <v>3161</v>
      </c>
      <c r="J15" s="5" t="s">
        <v>1966</v>
      </c>
      <c r="K15" s="5"/>
      <c r="L15" s="12" t="n">
        <v>12</v>
      </c>
      <c r="M15" s="6" t="s">
        <v>1291</v>
      </c>
      <c r="N15" s="8" t="s">
        <v>38</v>
      </c>
    </row>
    <row r="16" customFormat="false" ht="33.75" hidden="false" customHeight="false" outlineLevel="0" collapsed="false">
      <c r="A16" s="5" t="n">
        <f aca="false">IF(B16&lt;&gt;"", COUNTA($B$2:B16), "")</f>
        <v>15</v>
      </c>
      <c r="B16" s="7" t="s">
        <v>27</v>
      </c>
      <c r="C16" s="12" t="s">
        <v>1668</v>
      </c>
      <c r="D16" s="78" t="s">
        <v>3190</v>
      </c>
      <c r="E16" s="16"/>
      <c r="F16" s="12" t="s">
        <v>3191</v>
      </c>
      <c r="G16" s="10" t="n">
        <v>1.5</v>
      </c>
      <c r="H16" s="5" t="s">
        <v>3192</v>
      </c>
      <c r="I16" s="5" t="s">
        <v>3161</v>
      </c>
      <c r="J16" s="5" t="s">
        <v>1966</v>
      </c>
      <c r="K16" s="5"/>
      <c r="L16" s="12" t="n">
        <v>12</v>
      </c>
      <c r="M16" s="6" t="s">
        <v>37</v>
      </c>
      <c r="N16" s="8" t="s">
        <v>38</v>
      </c>
    </row>
    <row r="17" customFormat="false" ht="33.75" hidden="false" customHeight="false" outlineLevel="0" collapsed="false">
      <c r="A17" s="5" t="n">
        <f aca="false">IF(B17&lt;&gt;"", COUNTA($B$2:B17), "")</f>
        <v>16</v>
      </c>
      <c r="B17" s="7" t="s">
        <v>46</v>
      </c>
      <c r="C17" s="12" t="s">
        <v>3164</v>
      </c>
      <c r="D17" s="78" t="s">
        <v>3184</v>
      </c>
      <c r="E17" s="17"/>
      <c r="F17" s="19" t="s">
        <v>3166</v>
      </c>
      <c r="G17" s="10" t="n">
        <v>1.5</v>
      </c>
      <c r="H17" s="5" t="s">
        <v>3193</v>
      </c>
      <c r="I17" s="5" t="s">
        <v>3161</v>
      </c>
      <c r="J17" s="5" t="s">
        <v>1966</v>
      </c>
      <c r="K17" s="5"/>
      <c r="L17" s="12" t="n">
        <v>12</v>
      </c>
      <c r="M17" s="6" t="s">
        <v>1291</v>
      </c>
      <c r="N17" s="8" t="s">
        <v>38</v>
      </c>
    </row>
    <row r="18" customFormat="false" ht="22.5" hidden="false" customHeight="false" outlineLevel="0" collapsed="false">
      <c r="A18" s="5" t="n">
        <f aca="false">IF(B18&lt;&gt;"", COUNTA($B$2:B18), "")</f>
        <v>17</v>
      </c>
      <c r="B18" s="7" t="s">
        <v>27</v>
      </c>
      <c r="C18" s="12" t="s">
        <v>1668</v>
      </c>
      <c r="D18" s="78" t="s">
        <v>3194</v>
      </c>
      <c r="E18" s="8"/>
      <c r="F18" s="12" t="s">
        <v>3097</v>
      </c>
      <c r="G18" s="10" t="n">
        <v>1.5</v>
      </c>
      <c r="H18" s="5" t="s">
        <v>3195</v>
      </c>
      <c r="I18" s="5" t="s">
        <v>3161</v>
      </c>
      <c r="J18" s="5" t="s">
        <v>1966</v>
      </c>
      <c r="K18" s="5"/>
      <c r="L18" s="12" t="n">
        <v>12</v>
      </c>
      <c r="M18" s="6" t="s">
        <v>37</v>
      </c>
      <c r="N18" s="8" t="s">
        <v>38</v>
      </c>
    </row>
    <row r="19" customFormat="false" ht="22.5" hidden="false" customHeight="false" outlineLevel="0" collapsed="false">
      <c r="A19" s="5" t="n">
        <f aca="false">IF(B19&lt;&gt;"", COUNTA($B$2:B19), "")</f>
        <v>18</v>
      </c>
      <c r="B19" s="7" t="s">
        <v>46</v>
      </c>
      <c r="C19" s="12" t="s">
        <v>3164</v>
      </c>
      <c r="D19" s="78" t="s">
        <v>3196</v>
      </c>
      <c r="E19" s="8"/>
      <c r="F19" s="19" t="s">
        <v>3166</v>
      </c>
      <c r="G19" s="10" t="n">
        <v>1.5</v>
      </c>
      <c r="H19" s="5" t="s">
        <v>3197</v>
      </c>
      <c r="I19" s="5" t="s">
        <v>3161</v>
      </c>
      <c r="J19" s="5" t="s">
        <v>1966</v>
      </c>
      <c r="K19" s="5"/>
      <c r="L19" s="12" t="n">
        <v>12</v>
      </c>
      <c r="M19" s="6" t="s">
        <v>1291</v>
      </c>
      <c r="N19" s="8" t="s">
        <v>38</v>
      </c>
    </row>
    <row r="20" customFormat="false" ht="22.5" hidden="false" customHeight="false" outlineLevel="0" collapsed="false">
      <c r="A20" s="5" t="n">
        <f aca="false">IF(B20&lt;&gt;"", COUNTA($B$2:B20), "")</f>
        <v>19</v>
      </c>
      <c r="B20" s="7" t="s">
        <v>27</v>
      </c>
      <c r="C20" s="12" t="s">
        <v>1668</v>
      </c>
      <c r="D20" s="78" t="s">
        <v>3198</v>
      </c>
      <c r="E20" s="8"/>
      <c r="F20" s="12" t="s">
        <v>3097</v>
      </c>
      <c r="G20" s="10" t="n">
        <v>1.5</v>
      </c>
      <c r="H20" s="5" t="s">
        <v>3199</v>
      </c>
      <c r="I20" s="5" t="s">
        <v>3161</v>
      </c>
      <c r="J20" s="5" t="s">
        <v>1966</v>
      </c>
      <c r="K20" s="5"/>
      <c r="L20" s="12" t="n">
        <v>12</v>
      </c>
      <c r="M20" s="6" t="s">
        <v>37</v>
      </c>
      <c r="N20" s="8" t="s">
        <v>38</v>
      </c>
    </row>
    <row r="21" customFormat="false" ht="22.5" hidden="false" customHeight="false" outlineLevel="0" collapsed="false">
      <c r="A21" s="5" t="n">
        <f aca="false">IF(B21&lt;&gt;"", COUNTA($B$2:B21), "")</f>
        <v>20</v>
      </c>
      <c r="B21" s="7" t="s">
        <v>46</v>
      </c>
      <c r="C21" s="12" t="s">
        <v>3164</v>
      </c>
      <c r="D21" s="78" t="n">
        <v>7000243</v>
      </c>
      <c r="E21" s="8"/>
      <c r="F21" s="19" t="s">
        <v>3166</v>
      </c>
      <c r="G21" s="10" t="n">
        <v>1.5</v>
      </c>
      <c r="H21" s="5" t="s">
        <v>3200</v>
      </c>
      <c r="I21" s="5" t="s">
        <v>3161</v>
      </c>
      <c r="J21" s="5" t="s">
        <v>1966</v>
      </c>
      <c r="K21" s="5"/>
      <c r="L21" s="12" t="n">
        <v>12</v>
      </c>
      <c r="M21" s="6" t="s">
        <v>1291</v>
      </c>
      <c r="N21" s="8" t="s">
        <v>38</v>
      </c>
    </row>
    <row r="22" customFormat="false" ht="22.5" hidden="false" customHeight="false" outlineLevel="0" collapsed="false">
      <c r="A22" s="5" t="n">
        <f aca="false">IF(B22&lt;&gt;"", COUNTA($B$2:B22), "")</f>
        <v>21</v>
      </c>
      <c r="B22" s="7" t="s">
        <v>27</v>
      </c>
      <c r="C22" s="12" t="s">
        <v>1668</v>
      </c>
      <c r="D22" s="78" t="s">
        <v>3201</v>
      </c>
      <c r="E22" s="8"/>
      <c r="F22" s="12" t="s">
        <v>3097</v>
      </c>
      <c r="G22" s="10" t="n">
        <v>1.5</v>
      </c>
      <c r="H22" s="5" t="s">
        <v>3202</v>
      </c>
      <c r="I22" s="5" t="s">
        <v>3161</v>
      </c>
      <c r="J22" s="5" t="s">
        <v>1966</v>
      </c>
      <c r="K22" s="5"/>
      <c r="L22" s="12" t="n">
        <v>12</v>
      </c>
      <c r="M22" s="6" t="s">
        <v>37</v>
      </c>
      <c r="N22" s="8" t="s">
        <v>38</v>
      </c>
    </row>
    <row r="23" customFormat="false" ht="22.5" hidden="false" customHeight="false" outlineLevel="0" collapsed="false">
      <c r="A23" s="5" t="n">
        <f aca="false">IF(B23&lt;&gt;"", COUNTA($B$2:B23), "")</f>
        <v>22</v>
      </c>
      <c r="B23" s="7" t="s">
        <v>27</v>
      </c>
      <c r="C23" s="12" t="s">
        <v>3203</v>
      </c>
      <c r="D23" s="78" t="s">
        <v>3204</v>
      </c>
      <c r="E23" s="8"/>
      <c r="F23" s="12" t="s">
        <v>2960</v>
      </c>
      <c r="G23" s="10" t="n">
        <v>1.5</v>
      </c>
      <c r="H23" s="5" t="s">
        <v>3205</v>
      </c>
      <c r="I23" s="5" t="s">
        <v>3161</v>
      </c>
      <c r="J23" s="5" t="s">
        <v>1966</v>
      </c>
      <c r="K23" s="5"/>
      <c r="L23" s="12" t="n">
        <v>12</v>
      </c>
      <c r="M23" s="6" t="s">
        <v>37</v>
      </c>
      <c r="N23" s="8" t="s">
        <v>38</v>
      </c>
    </row>
    <row r="24" customFormat="false" ht="22.5" hidden="false" customHeight="false" outlineLevel="0" collapsed="false">
      <c r="A24" s="5" t="n">
        <f aca="false">IF(B24&lt;&gt;"", COUNTA($B$2:B24), "")</f>
        <v>23</v>
      </c>
      <c r="B24" s="7" t="s">
        <v>27</v>
      </c>
      <c r="C24" s="12" t="s">
        <v>3203</v>
      </c>
      <c r="D24" s="78" t="s">
        <v>3206</v>
      </c>
      <c r="E24" s="8"/>
      <c r="F24" s="12" t="s">
        <v>2960</v>
      </c>
      <c r="G24" s="10" t="n">
        <v>1.5</v>
      </c>
      <c r="H24" s="5" t="s">
        <v>3207</v>
      </c>
      <c r="I24" s="5" t="s">
        <v>3161</v>
      </c>
      <c r="J24" s="5" t="s">
        <v>1966</v>
      </c>
      <c r="K24" s="5"/>
      <c r="L24" s="12" t="n">
        <v>12</v>
      </c>
      <c r="M24" s="6" t="s">
        <v>37</v>
      </c>
      <c r="N24" s="8" t="s">
        <v>38</v>
      </c>
    </row>
    <row r="25" customFormat="false" ht="22.5" hidden="false" customHeight="false" outlineLevel="0" collapsed="false">
      <c r="A25" s="5" t="n">
        <f aca="false">IF(B25&lt;&gt;"", COUNTA($B$2:B25), "")</f>
        <v>24</v>
      </c>
      <c r="B25" s="7" t="s">
        <v>1218</v>
      </c>
      <c r="C25" s="12" t="s">
        <v>1668</v>
      </c>
      <c r="D25" s="78" t="s">
        <v>3208</v>
      </c>
      <c r="E25" s="8"/>
      <c r="F25" s="12" t="s">
        <v>3097</v>
      </c>
      <c r="G25" s="10" t="n">
        <v>1.5</v>
      </c>
      <c r="H25" s="5" t="s">
        <v>3209</v>
      </c>
      <c r="I25" s="5" t="s">
        <v>3161</v>
      </c>
      <c r="J25" s="5" t="s">
        <v>1966</v>
      </c>
      <c r="K25" s="5"/>
      <c r="L25" s="12" t="n">
        <v>12</v>
      </c>
      <c r="M25" s="6" t="s">
        <v>37</v>
      </c>
      <c r="N25" s="8" t="s">
        <v>38</v>
      </c>
    </row>
    <row r="26" customFormat="false" ht="22.5" hidden="false" customHeight="false" outlineLevel="0" collapsed="false">
      <c r="A26" s="5" t="n">
        <f aca="false">IF(B26&lt;&gt;"", COUNTA($B$2:B26), "")</f>
        <v>25</v>
      </c>
      <c r="B26" s="7" t="s">
        <v>46</v>
      </c>
      <c r="C26" s="12" t="s">
        <v>3164</v>
      </c>
      <c r="D26" s="78" t="n">
        <v>7000279</v>
      </c>
      <c r="E26" s="8"/>
      <c r="F26" s="19" t="s">
        <v>3166</v>
      </c>
      <c r="G26" s="10" t="n">
        <v>1.5</v>
      </c>
      <c r="H26" s="5" t="s">
        <v>3210</v>
      </c>
      <c r="I26" s="5" t="s">
        <v>3161</v>
      </c>
      <c r="J26" s="5" t="s">
        <v>1966</v>
      </c>
      <c r="K26" s="5"/>
      <c r="L26" s="12" t="n">
        <v>12</v>
      </c>
      <c r="M26" s="6" t="s">
        <v>1291</v>
      </c>
      <c r="N26" s="8" t="s">
        <v>38</v>
      </c>
    </row>
    <row r="27" customFormat="false" ht="22.5" hidden="false" customHeight="false" outlineLevel="0" collapsed="false">
      <c r="A27" s="5" t="n">
        <f aca="false">IF(B27&lt;&gt;"", COUNTA($B$2:B27), "")</f>
        <v>26</v>
      </c>
      <c r="B27" s="7" t="s">
        <v>1218</v>
      </c>
      <c r="C27" s="12" t="s">
        <v>2058</v>
      </c>
      <c r="D27" s="78" t="s">
        <v>3211</v>
      </c>
      <c r="E27" s="8"/>
      <c r="F27" s="12" t="s">
        <v>3097</v>
      </c>
      <c r="G27" s="10" t="n">
        <v>1.5</v>
      </c>
      <c r="H27" s="5" t="s">
        <v>3212</v>
      </c>
      <c r="I27" s="5" t="s">
        <v>3161</v>
      </c>
      <c r="J27" s="5" t="s">
        <v>1966</v>
      </c>
      <c r="K27" s="5"/>
      <c r="L27" s="12" t="n">
        <v>12</v>
      </c>
      <c r="M27" s="6" t="s">
        <v>37</v>
      </c>
      <c r="N27" s="8" t="s">
        <v>38</v>
      </c>
    </row>
    <row r="28" customFormat="false" ht="45" hidden="false" customHeight="false" outlineLevel="0" collapsed="false">
      <c r="A28" s="5" t="n">
        <f aca="false">IF(B28&lt;&gt;"", COUNTA($B$2:B28), "")</f>
        <v>27</v>
      </c>
      <c r="B28" s="7" t="s">
        <v>27</v>
      </c>
      <c r="C28" s="12" t="s">
        <v>1000</v>
      </c>
      <c r="D28" s="78" t="s">
        <v>3213</v>
      </c>
      <c r="E28" s="8"/>
      <c r="F28" s="12" t="s">
        <v>3214</v>
      </c>
      <c r="G28" s="10" t="n">
        <v>1.5</v>
      </c>
      <c r="H28" s="5" t="s">
        <v>3215</v>
      </c>
      <c r="I28" s="5" t="s">
        <v>3161</v>
      </c>
      <c r="J28" s="5" t="s">
        <v>1966</v>
      </c>
      <c r="K28" s="5"/>
      <c r="L28" s="12" t="n">
        <v>12</v>
      </c>
      <c r="M28" s="6" t="s">
        <v>37</v>
      </c>
      <c r="N28" s="8" t="s">
        <v>38</v>
      </c>
    </row>
    <row r="29" s="28" customFormat="true" ht="22.5" hidden="false" customHeight="false" outlineLevel="0" collapsed="false">
      <c r="A29" s="5" t="n">
        <f aca="false">IF(B29&lt;&gt;"", COUNTA($B$2:B29), "")</f>
        <v>28</v>
      </c>
      <c r="B29" s="22" t="s">
        <v>27</v>
      </c>
      <c r="C29" s="26" t="s">
        <v>1668</v>
      </c>
      <c r="D29" s="87" t="s">
        <v>3216</v>
      </c>
      <c r="E29" s="23"/>
      <c r="F29" s="26" t="s">
        <v>3097</v>
      </c>
      <c r="G29" s="89" t="n">
        <v>1.5</v>
      </c>
      <c r="H29" s="21" t="s">
        <v>3217</v>
      </c>
      <c r="I29" s="21" t="s">
        <v>3161</v>
      </c>
      <c r="J29" s="21" t="s">
        <v>1966</v>
      </c>
      <c r="K29" s="21"/>
      <c r="L29" s="26" t="n">
        <v>12</v>
      </c>
      <c r="M29" s="6" t="s">
        <v>37</v>
      </c>
      <c r="N29" s="23" t="s">
        <v>38</v>
      </c>
    </row>
    <row r="30" customFormat="false" ht="22.5" hidden="false" customHeight="false" outlineLevel="0" collapsed="false">
      <c r="A30" s="5" t="n">
        <f aca="false">IF(B30&lt;&gt;"", COUNTA($B$2:B30), "")</f>
        <v>29</v>
      </c>
      <c r="B30" s="7" t="s">
        <v>27</v>
      </c>
      <c r="C30" s="12" t="s">
        <v>1000</v>
      </c>
      <c r="D30" s="78" t="s">
        <v>3218</v>
      </c>
      <c r="E30" s="8"/>
      <c r="F30" s="12" t="s">
        <v>3219</v>
      </c>
      <c r="G30" s="10" t="n">
        <v>1.5</v>
      </c>
      <c r="H30" s="5" t="s">
        <v>3220</v>
      </c>
      <c r="I30" s="5" t="s">
        <v>3161</v>
      </c>
      <c r="J30" s="5" t="s">
        <v>1966</v>
      </c>
      <c r="K30" s="5"/>
      <c r="L30" s="12" t="n">
        <v>12</v>
      </c>
      <c r="M30" s="6" t="s">
        <v>37</v>
      </c>
      <c r="N30" s="8" t="s">
        <v>38</v>
      </c>
    </row>
    <row r="31" customFormat="false" ht="22.5" hidden="false" customHeight="false" outlineLevel="0" collapsed="false">
      <c r="A31" s="5" t="n">
        <f aca="false">IF(B31&lt;&gt;"", COUNTA($B$2:B31), "")</f>
        <v>30</v>
      </c>
      <c r="B31" s="7" t="s">
        <v>27</v>
      </c>
      <c r="C31" s="12" t="s">
        <v>1668</v>
      </c>
      <c r="D31" s="78" t="s">
        <v>3221</v>
      </c>
      <c r="E31" s="8"/>
      <c r="F31" s="12" t="s">
        <v>3097</v>
      </c>
      <c r="G31" s="10" t="n">
        <v>1.5</v>
      </c>
      <c r="H31" s="5" t="s">
        <v>3222</v>
      </c>
      <c r="I31" s="5" t="s">
        <v>3161</v>
      </c>
      <c r="J31" s="5" t="s">
        <v>1966</v>
      </c>
      <c r="K31" s="5"/>
      <c r="L31" s="12" t="n">
        <v>12</v>
      </c>
      <c r="M31" s="6" t="s">
        <v>37</v>
      </c>
      <c r="N31" s="8" t="s">
        <v>38</v>
      </c>
    </row>
    <row r="32" customFormat="false" ht="22.5" hidden="false" customHeight="false" outlineLevel="0" collapsed="false">
      <c r="A32" s="5" t="n">
        <f aca="false">IF(B32&lt;&gt;"", COUNTA($B$2:B32), "")</f>
        <v>31</v>
      </c>
      <c r="B32" s="7" t="s">
        <v>27</v>
      </c>
      <c r="C32" s="12" t="s">
        <v>1668</v>
      </c>
      <c r="D32" s="78" t="s">
        <v>3223</v>
      </c>
      <c r="E32" s="8"/>
      <c r="F32" s="12" t="s">
        <v>3097</v>
      </c>
      <c r="G32" s="10" t="n">
        <v>1.5</v>
      </c>
      <c r="H32" s="5" t="s">
        <v>3224</v>
      </c>
      <c r="I32" s="5" t="s">
        <v>3161</v>
      </c>
      <c r="J32" s="5" t="s">
        <v>1966</v>
      </c>
      <c r="K32" s="5"/>
      <c r="L32" s="12" t="n">
        <v>12</v>
      </c>
      <c r="M32" s="6" t="s">
        <v>37</v>
      </c>
      <c r="N32" s="8" t="s">
        <v>38</v>
      </c>
    </row>
    <row r="33" customFormat="false" ht="22.5" hidden="false" customHeight="false" outlineLevel="0" collapsed="false">
      <c r="A33" s="5" t="n">
        <f aca="false">IF(B33&lt;&gt;"", COUNTA($B$2:B33), "")</f>
        <v>32</v>
      </c>
      <c r="B33" s="7" t="s">
        <v>46</v>
      </c>
      <c r="C33" s="12" t="s">
        <v>3164</v>
      </c>
      <c r="D33" s="78" t="s">
        <v>3225</v>
      </c>
      <c r="E33" s="8"/>
      <c r="F33" s="19" t="s">
        <v>3166</v>
      </c>
      <c r="G33" s="10" t="n">
        <v>1.5</v>
      </c>
      <c r="H33" s="5" t="s">
        <v>3226</v>
      </c>
      <c r="I33" s="5" t="s">
        <v>3161</v>
      </c>
      <c r="J33" s="5" t="s">
        <v>1966</v>
      </c>
      <c r="K33" s="5"/>
      <c r="L33" s="12" t="n">
        <v>12</v>
      </c>
      <c r="M33" s="6" t="s">
        <v>1291</v>
      </c>
      <c r="N33" s="8" t="s">
        <v>38</v>
      </c>
    </row>
    <row r="34" customFormat="false" ht="22.5" hidden="false" customHeight="false" outlineLevel="0" collapsed="false">
      <c r="A34" s="5" t="n">
        <f aca="false">IF(B34&lt;&gt;"", COUNTA($B$2:B34), "")</f>
        <v>33</v>
      </c>
      <c r="B34" s="7" t="s">
        <v>27</v>
      </c>
      <c r="C34" s="12" t="s">
        <v>1668</v>
      </c>
      <c r="D34" s="78" t="s">
        <v>3227</v>
      </c>
      <c r="E34" s="8"/>
      <c r="F34" s="12" t="s">
        <v>3097</v>
      </c>
      <c r="G34" s="10" t="n">
        <v>1.5</v>
      </c>
      <c r="H34" s="5" t="s">
        <v>3228</v>
      </c>
      <c r="I34" s="5" t="s">
        <v>3161</v>
      </c>
      <c r="J34" s="5" t="s">
        <v>1966</v>
      </c>
      <c r="K34" s="5"/>
      <c r="L34" s="12" t="n">
        <v>12</v>
      </c>
      <c r="M34" s="6" t="s">
        <v>37</v>
      </c>
      <c r="N34" s="8" t="s">
        <v>38</v>
      </c>
    </row>
    <row r="35" customFormat="false" ht="22.5" hidden="false" customHeight="false" outlineLevel="0" collapsed="false">
      <c r="A35" s="5" t="n">
        <f aca="false">IF(B35&lt;&gt;"", COUNTA($B$2:B35), "")</f>
        <v>34</v>
      </c>
      <c r="B35" s="7" t="s">
        <v>46</v>
      </c>
      <c r="C35" s="12" t="s">
        <v>3164</v>
      </c>
      <c r="D35" s="78" t="s">
        <v>3229</v>
      </c>
      <c r="E35" s="8"/>
      <c r="F35" s="19" t="s">
        <v>3166</v>
      </c>
      <c r="G35" s="10" t="n">
        <v>1.5</v>
      </c>
      <c r="H35" s="5" t="s">
        <v>3230</v>
      </c>
      <c r="I35" s="5" t="s">
        <v>3161</v>
      </c>
      <c r="J35" s="5" t="s">
        <v>1966</v>
      </c>
      <c r="K35" s="5"/>
      <c r="L35" s="12" t="n">
        <v>12</v>
      </c>
      <c r="M35" s="6" t="s">
        <v>1291</v>
      </c>
      <c r="N35" s="8" t="s">
        <v>38</v>
      </c>
    </row>
    <row r="36" customFormat="false" ht="33.75" hidden="false" customHeight="false" outlineLevel="0" collapsed="false">
      <c r="A36" s="5" t="n">
        <f aca="false">IF(B36&lt;&gt;"", COUNTA($B$2:B36), "")</f>
        <v>35</v>
      </c>
      <c r="B36" s="7" t="s">
        <v>27</v>
      </c>
      <c r="C36" s="12" t="s">
        <v>1668</v>
      </c>
      <c r="D36" s="78" t="s">
        <v>3231</v>
      </c>
      <c r="E36" s="8"/>
      <c r="F36" s="8" t="s">
        <v>3171</v>
      </c>
      <c r="G36" s="10" t="n">
        <v>1.5</v>
      </c>
      <c r="H36" s="5" t="s">
        <v>3232</v>
      </c>
      <c r="I36" s="5" t="s">
        <v>3161</v>
      </c>
      <c r="J36" s="5" t="s">
        <v>1966</v>
      </c>
      <c r="K36" s="5"/>
      <c r="L36" s="12" t="n">
        <v>12</v>
      </c>
      <c r="M36" s="6" t="s">
        <v>37</v>
      </c>
      <c r="N36" s="8" t="s">
        <v>38</v>
      </c>
    </row>
    <row r="37" customFormat="false" ht="33.75" hidden="false" customHeight="false" outlineLevel="0" collapsed="false">
      <c r="A37" s="5" t="n">
        <f aca="false">IF(B37&lt;&gt;"", COUNTA($B$2:B37), "")</f>
        <v>36</v>
      </c>
      <c r="B37" s="7" t="s">
        <v>3233</v>
      </c>
      <c r="C37" s="5" t="s">
        <v>3234</v>
      </c>
      <c r="D37" s="8" t="n">
        <v>1800155</v>
      </c>
      <c r="E37" s="8" t="n">
        <v>2018</v>
      </c>
      <c r="F37" s="5" t="s">
        <v>3235</v>
      </c>
      <c r="G37" s="5" t="s">
        <v>3236</v>
      </c>
      <c r="H37" s="5" t="s">
        <v>3237</v>
      </c>
      <c r="I37" s="5" t="s">
        <v>3161</v>
      </c>
      <c r="J37" s="5" t="s">
        <v>3238</v>
      </c>
      <c r="K37" s="5" t="n">
        <v>2021</v>
      </c>
      <c r="L37" s="5" t="n">
        <v>48</v>
      </c>
      <c r="M37" s="173" t="n">
        <v>43389</v>
      </c>
      <c r="N37" s="8" t="s">
        <v>38</v>
      </c>
    </row>
    <row r="38" customFormat="false" ht="33.75" hidden="false" customHeight="false" outlineLevel="0" collapsed="false">
      <c r="A38" s="5" t="n">
        <f aca="false">IF(B38&lt;&gt;"", COUNTA($B$2:B38), "")</f>
        <v>37</v>
      </c>
      <c r="B38" s="7" t="s">
        <v>3239</v>
      </c>
      <c r="C38" s="5" t="s">
        <v>3240</v>
      </c>
      <c r="D38" s="8" t="n">
        <v>1800155</v>
      </c>
      <c r="E38" s="8" t="n">
        <v>2018</v>
      </c>
      <c r="F38" s="5" t="s">
        <v>3235</v>
      </c>
      <c r="G38" s="5" t="s">
        <v>3236</v>
      </c>
      <c r="H38" s="5" t="s">
        <v>3237</v>
      </c>
      <c r="I38" s="5" t="s">
        <v>3161</v>
      </c>
      <c r="J38" s="5" t="s">
        <v>3238</v>
      </c>
      <c r="K38" s="5" t="n">
        <v>2021</v>
      </c>
      <c r="L38" s="5" t="n">
        <v>48</v>
      </c>
      <c r="M38" s="6" t="s">
        <v>3241</v>
      </c>
      <c r="N38" s="8" t="s">
        <v>38</v>
      </c>
    </row>
    <row r="39" customFormat="false" ht="33.75" hidden="false" customHeight="false" outlineLevel="0" collapsed="false">
      <c r="A39" s="5" t="n">
        <f aca="false">IF(B39&lt;&gt;"", COUNTA($B$2:B39), "")</f>
        <v>38</v>
      </c>
      <c r="B39" s="7" t="s">
        <v>3242</v>
      </c>
      <c r="C39" s="5" t="s">
        <v>3243</v>
      </c>
      <c r="D39" s="8" t="n">
        <v>1904180</v>
      </c>
      <c r="E39" s="8" t="n">
        <v>2018</v>
      </c>
      <c r="F39" s="5" t="s">
        <v>3235</v>
      </c>
      <c r="G39" s="5" t="s">
        <v>3236</v>
      </c>
      <c r="H39" s="5" t="s">
        <v>3237</v>
      </c>
      <c r="I39" s="5" t="s">
        <v>3161</v>
      </c>
      <c r="J39" s="5" t="s">
        <v>3238</v>
      </c>
      <c r="K39" s="5" t="n">
        <v>2021</v>
      </c>
      <c r="L39" s="5" t="n">
        <v>48</v>
      </c>
      <c r="M39" s="6" t="s">
        <v>3241</v>
      </c>
      <c r="N39" s="8" t="s">
        <v>38</v>
      </c>
    </row>
    <row r="40" customFormat="false" ht="33.75" hidden="false" customHeight="false" outlineLevel="0" collapsed="false">
      <c r="A40" s="5" t="n">
        <f aca="false">IF(B40&lt;&gt;"", COUNTA($B$2:B40), "")</f>
        <v>39</v>
      </c>
      <c r="B40" s="7" t="s">
        <v>3242</v>
      </c>
      <c r="C40" s="5" t="s">
        <v>3243</v>
      </c>
      <c r="D40" s="8" t="n">
        <v>1901505</v>
      </c>
      <c r="E40" s="8" t="n">
        <v>2018</v>
      </c>
      <c r="F40" s="5" t="s">
        <v>3235</v>
      </c>
      <c r="G40" s="5" t="s">
        <v>3236</v>
      </c>
      <c r="H40" s="5" t="s">
        <v>3237</v>
      </c>
      <c r="I40" s="5" t="s">
        <v>3161</v>
      </c>
      <c r="J40" s="5" t="s">
        <v>3238</v>
      </c>
      <c r="K40" s="5" t="n">
        <v>2021</v>
      </c>
      <c r="L40" s="5" t="n">
        <v>48</v>
      </c>
      <c r="M40" s="6" t="s">
        <v>3241</v>
      </c>
      <c r="N40" s="8" t="s">
        <v>38</v>
      </c>
    </row>
    <row r="41" customFormat="false" ht="22.5" hidden="false" customHeight="false" outlineLevel="0" collapsed="false">
      <c r="A41" s="5" t="n">
        <f aca="false">IF(B41&lt;&gt;"", COUNTA($B$2:B41), "")</f>
        <v>40</v>
      </c>
      <c r="B41" s="7" t="s">
        <v>3244</v>
      </c>
      <c r="C41" s="5" t="s">
        <v>3245</v>
      </c>
      <c r="D41" s="19" t="s">
        <v>3246</v>
      </c>
      <c r="E41" s="8" t="n">
        <v>2018</v>
      </c>
      <c r="F41" s="5" t="s">
        <v>501</v>
      </c>
      <c r="G41" s="217" t="n">
        <v>0.005</v>
      </c>
      <c r="H41" s="5" t="s">
        <v>3247</v>
      </c>
      <c r="I41" s="5" t="s">
        <v>3161</v>
      </c>
      <c r="J41" s="5" t="s">
        <v>3238</v>
      </c>
      <c r="K41" s="5" t="n">
        <v>2021</v>
      </c>
      <c r="L41" s="5" t="n">
        <v>60</v>
      </c>
      <c r="M41" s="6" t="s">
        <v>3248</v>
      </c>
      <c r="N41" s="8" t="s">
        <v>38</v>
      </c>
    </row>
    <row r="42" customFormat="false" ht="22.5" hidden="false" customHeight="false" outlineLevel="0" collapsed="false">
      <c r="A42" s="5" t="n">
        <f aca="false">IF(B42&lt;&gt;"", COUNTA($B$2:B42), "")</f>
        <v>41</v>
      </c>
      <c r="B42" s="7" t="s">
        <v>3244</v>
      </c>
      <c r="C42" s="5" t="s">
        <v>3245</v>
      </c>
      <c r="D42" s="19" t="s">
        <v>3249</v>
      </c>
      <c r="E42" s="19" t="n">
        <v>2018</v>
      </c>
      <c r="F42" s="5" t="s">
        <v>2415</v>
      </c>
      <c r="G42" s="217" t="n">
        <v>0.005</v>
      </c>
      <c r="H42" s="6" t="s">
        <v>3250</v>
      </c>
      <c r="I42" s="5" t="s">
        <v>3161</v>
      </c>
      <c r="J42" s="5" t="s">
        <v>3238</v>
      </c>
      <c r="K42" s="5" t="n">
        <v>2021</v>
      </c>
      <c r="L42" s="5" t="n">
        <v>60</v>
      </c>
      <c r="M42" s="6" t="s">
        <v>3248</v>
      </c>
      <c r="N42" s="8" t="s">
        <v>38</v>
      </c>
    </row>
    <row r="43" customFormat="false" ht="22.5" hidden="false" customHeight="false" outlineLevel="0" collapsed="false">
      <c r="A43" s="5" t="n">
        <f aca="false">IF(B43&lt;&gt;"", COUNTA($B$2:B43), "")</f>
        <v>42</v>
      </c>
      <c r="B43" s="6" t="s">
        <v>3251</v>
      </c>
      <c r="C43" s="19" t="s">
        <v>3252</v>
      </c>
      <c r="D43" s="19" t="s">
        <v>3253</v>
      </c>
      <c r="E43" s="19" t="s">
        <v>2590</v>
      </c>
      <c r="F43" s="5" t="s">
        <v>3254</v>
      </c>
      <c r="G43" s="5" t="s">
        <v>182</v>
      </c>
      <c r="H43" s="6" t="s">
        <v>3255</v>
      </c>
      <c r="I43" s="5" t="s">
        <v>3161</v>
      </c>
      <c r="J43" s="5" t="s">
        <v>3238</v>
      </c>
      <c r="K43" s="5" t="n">
        <v>2021</v>
      </c>
      <c r="L43" s="5" t="n">
        <v>48</v>
      </c>
      <c r="M43" s="6" t="s">
        <v>3256</v>
      </c>
      <c r="N43" s="8" t="s">
        <v>38</v>
      </c>
    </row>
    <row r="44" customFormat="false" ht="22.5" hidden="false" customHeight="false" outlineLevel="0" collapsed="false">
      <c r="A44" s="5" t="n">
        <f aca="false">IF(B44&lt;&gt;"", COUNTA($B$2:B44), "")</f>
        <v>43</v>
      </c>
      <c r="B44" s="6" t="s">
        <v>3251</v>
      </c>
      <c r="C44" s="19" t="s">
        <v>3252</v>
      </c>
      <c r="D44" s="19" t="s">
        <v>3257</v>
      </c>
      <c r="E44" s="19" t="s">
        <v>2590</v>
      </c>
      <c r="F44" s="5" t="s">
        <v>3254</v>
      </c>
      <c r="G44" s="5" t="s">
        <v>182</v>
      </c>
      <c r="H44" s="6" t="s">
        <v>3258</v>
      </c>
      <c r="I44" s="5" t="s">
        <v>3161</v>
      </c>
      <c r="J44" s="5" t="s">
        <v>3238</v>
      </c>
      <c r="K44" s="5" t="n">
        <v>2021</v>
      </c>
      <c r="L44" s="5" t="n">
        <v>48</v>
      </c>
      <c r="M44" s="6" t="s">
        <v>3256</v>
      </c>
      <c r="N44" s="8" t="s">
        <v>38</v>
      </c>
    </row>
    <row r="45" customFormat="false" ht="22.5" hidden="false" customHeight="false" outlineLevel="0" collapsed="false">
      <c r="A45" s="5" t="n">
        <f aca="false">IF(B45&lt;&gt;"", COUNTA($B$2:B45), "")</f>
        <v>44</v>
      </c>
      <c r="B45" s="6" t="s">
        <v>3251</v>
      </c>
      <c r="C45" s="19" t="s">
        <v>3252</v>
      </c>
      <c r="D45" s="19" t="s">
        <v>3259</v>
      </c>
      <c r="E45" s="19" t="s">
        <v>2590</v>
      </c>
      <c r="F45" s="6" t="s">
        <v>3260</v>
      </c>
      <c r="G45" s="5" t="s">
        <v>182</v>
      </c>
      <c r="H45" s="6" t="s">
        <v>3261</v>
      </c>
      <c r="I45" s="5" t="s">
        <v>3161</v>
      </c>
      <c r="J45" s="5" t="s">
        <v>3238</v>
      </c>
      <c r="K45" s="5" t="n">
        <v>2021</v>
      </c>
      <c r="L45" s="5" t="n">
        <v>48</v>
      </c>
      <c r="M45" s="6" t="s">
        <v>3256</v>
      </c>
      <c r="N45" s="8" t="s">
        <v>38</v>
      </c>
    </row>
    <row r="46" customFormat="false" ht="22.5" hidden="false" customHeight="false" outlineLevel="0" collapsed="false">
      <c r="A46" s="5" t="n">
        <f aca="false">IF(B46&lt;&gt;"", COUNTA($B$2:B46), "")</f>
        <v>45</v>
      </c>
      <c r="B46" s="6" t="s">
        <v>3251</v>
      </c>
      <c r="C46" s="19" t="s">
        <v>3252</v>
      </c>
      <c r="D46" s="19" t="s">
        <v>3262</v>
      </c>
      <c r="E46" s="19" t="s">
        <v>2590</v>
      </c>
      <c r="F46" s="6" t="s">
        <v>3260</v>
      </c>
      <c r="G46" s="5" t="s">
        <v>182</v>
      </c>
      <c r="H46" s="6" t="s">
        <v>3263</v>
      </c>
      <c r="I46" s="5" t="s">
        <v>3161</v>
      </c>
      <c r="J46" s="5" t="s">
        <v>3238</v>
      </c>
      <c r="K46" s="5" t="n">
        <v>2021</v>
      </c>
      <c r="L46" s="5" t="n">
        <v>48</v>
      </c>
      <c r="M46" s="6" t="s">
        <v>3264</v>
      </c>
      <c r="N46" s="8" t="s">
        <v>38</v>
      </c>
    </row>
    <row r="47" customFormat="false" ht="22.5" hidden="false" customHeight="false" outlineLevel="0" collapsed="false">
      <c r="A47" s="5" t="n">
        <f aca="false">IF(B47&lt;&gt;"", COUNTA($B$2:B47), "")</f>
        <v>46</v>
      </c>
      <c r="B47" s="6" t="s">
        <v>3251</v>
      </c>
      <c r="C47" s="19" t="s">
        <v>3252</v>
      </c>
      <c r="D47" s="19" t="s">
        <v>3265</v>
      </c>
      <c r="E47" s="19" t="s">
        <v>2590</v>
      </c>
      <c r="F47" s="5" t="s">
        <v>3254</v>
      </c>
      <c r="G47" s="5" t="s">
        <v>182</v>
      </c>
      <c r="H47" s="19" t="s">
        <v>3266</v>
      </c>
      <c r="I47" s="5" t="s">
        <v>3161</v>
      </c>
      <c r="J47" s="5" t="s">
        <v>3238</v>
      </c>
      <c r="K47" s="5" t="n">
        <v>2021</v>
      </c>
      <c r="L47" s="5" t="n">
        <v>48</v>
      </c>
      <c r="M47" s="6" t="s">
        <v>3264</v>
      </c>
      <c r="N47" s="8" t="s">
        <v>38</v>
      </c>
    </row>
    <row r="48" customFormat="false" ht="22.5" hidden="false" customHeight="false" outlineLevel="0" collapsed="false">
      <c r="A48" s="5" t="n">
        <f aca="false">IF(B48&lt;&gt;"", COUNTA($B$2:B48), "")</f>
        <v>47</v>
      </c>
      <c r="B48" s="6" t="s">
        <v>3251</v>
      </c>
      <c r="C48" s="19" t="s">
        <v>3252</v>
      </c>
      <c r="D48" s="19" t="s">
        <v>3267</v>
      </c>
      <c r="E48" s="19" t="s">
        <v>2590</v>
      </c>
      <c r="F48" s="5" t="s">
        <v>3254</v>
      </c>
      <c r="G48" s="5" t="s">
        <v>182</v>
      </c>
      <c r="H48" s="6" t="s">
        <v>3268</v>
      </c>
      <c r="I48" s="5" t="s">
        <v>3161</v>
      </c>
      <c r="J48" s="5" t="s">
        <v>3238</v>
      </c>
      <c r="K48" s="5" t="n">
        <v>2021</v>
      </c>
      <c r="L48" s="5" t="n">
        <v>48</v>
      </c>
      <c r="M48" s="6" t="s">
        <v>3264</v>
      </c>
      <c r="N48" s="8" t="s">
        <v>38</v>
      </c>
    </row>
    <row r="49" customFormat="false" ht="45" hidden="false" customHeight="false" outlineLevel="0" collapsed="false">
      <c r="A49" s="5" t="n">
        <f aca="false">IF(B49&lt;&gt;"", COUNTA($B$2:B49), "")</f>
        <v>48</v>
      </c>
      <c r="B49" s="6" t="s">
        <v>3242</v>
      </c>
      <c r="C49" s="19" t="s">
        <v>3269</v>
      </c>
      <c r="D49" s="19" t="s">
        <v>3270</v>
      </c>
      <c r="E49" s="19" t="s">
        <v>3271</v>
      </c>
      <c r="F49" s="5"/>
      <c r="G49" s="5" t="s">
        <v>3272</v>
      </c>
      <c r="H49" s="6" t="s">
        <v>3237</v>
      </c>
      <c r="I49" s="5" t="s">
        <v>3161</v>
      </c>
      <c r="J49" s="5" t="s">
        <v>3238</v>
      </c>
      <c r="K49" s="5" t="n">
        <v>2021</v>
      </c>
      <c r="L49" s="5" t="n">
        <v>48</v>
      </c>
      <c r="M49" s="6" t="s">
        <v>3273</v>
      </c>
      <c r="N49" s="8" t="s">
        <v>38</v>
      </c>
    </row>
    <row r="50" customFormat="false" ht="22.5" hidden="false" customHeight="false" outlineLevel="0" collapsed="false">
      <c r="A50" s="5" t="n">
        <f aca="false">IF(B50&lt;&gt;"", COUNTA($B$2:B50), "")</f>
        <v>49</v>
      </c>
      <c r="B50" s="7" t="s">
        <v>27</v>
      </c>
      <c r="C50" s="12" t="s">
        <v>28</v>
      </c>
      <c r="D50" s="19" t="s">
        <v>3274</v>
      </c>
      <c r="E50" s="19" t="s">
        <v>2590</v>
      </c>
      <c r="F50" s="5" t="s">
        <v>2102</v>
      </c>
      <c r="G50" s="218" t="n">
        <v>45047</v>
      </c>
      <c r="H50" s="6" t="s">
        <v>3275</v>
      </c>
      <c r="I50" s="5" t="s">
        <v>3161</v>
      </c>
      <c r="J50" s="5" t="s">
        <v>3238</v>
      </c>
      <c r="K50" s="5" t="n">
        <v>2021</v>
      </c>
      <c r="L50" s="5" t="n">
        <v>12</v>
      </c>
      <c r="M50" s="6" t="s">
        <v>3276</v>
      </c>
      <c r="N50" s="8" t="s">
        <v>1</v>
      </c>
    </row>
  </sheetData>
  <conditionalFormatting sqref="M1:M1048576">
    <cfRule type="expression" priority="2" aboveAverage="0" equalAverage="0" bottom="0" percent="0" rank="0" text="" dxfId="38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08333333333333" right="0.708333333333333" top="0.747916666666667" bottom="0.747916666666667" header="0.511805555555555" footer="0.511805555555555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8" activePane="bottomLeft" state="frozen"/>
      <selection pane="topLeft" activeCell="A1" activeCellId="0" sqref="A1"/>
      <selection pane="bottomLeft" activeCell="B28" activeCellId="0" sqref="B28"/>
    </sheetView>
  </sheetViews>
  <sheetFormatPr defaultColWidth="9.15625" defaultRowHeight="15" zeroHeight="false" outlineLevelRow="0" outlineLevelCol="0"/>
  <cols>
    <col collapsed="false" customWidth="true" hidden="false" outlineLevel="0" max="1" min="1" style="4" width="3.14"/>
    <col collapsed="false" customWidth="true" hidden="false" outlineLevel="0" max="2" min="2" style="4" width="22.57"/>
    <col collapsed="false" customWidth="true" hidden="false" outlineLevel="0" max="3" min="3" style="4" width="14.57"/>
    <col collapsed="false" customWidth="true" hidden="false" outlineLevel="0" max="4" min="4" style="4" width="8.71"/>
    <col collapsed="false" customWidth="true" hidden="false" outlineLevel="0" max="5" min="5" style="4" width="6.57"/>
    <col collapsed="false" customWidth="true" hidden="false" outlineLevel="0" max="6" min="6" style="4" width="11.14"/>
    <col collapsed="false" customWidth="true" hidden="false" outlineLevel="0" max="7" min="7" style="4" width="7.42"/>
    <col collapsed="false" customWidth="true" hidden="false" outlineLevel="0" max="8" min="8" style="4" width="30.86"/>
    <col collapsed="false" customWidth="true" hidden="false" outlineLevel="0" max="9" min="9" style="4" width="13.7"/>
    <col collapsed="false" customWidth="true" hidden="false" outlineLevel="0" max="10" min="10" style="4" width="12.42"/>
    <col collapsed="false" customWidth="true" hidden="false" outlineLevel="0" max="11" min="11" style="4" width="8"/>
    <col collapsed="false" customWidth="true" hidden="false" outlineLevel="0" max="12" min="12" style="4" width="9"/>
    <col collapsed="false" customWidth="true" hidden="false" outlineLevel="0" max="13" min="13" style="4" width="8.86"/>
    <col collapsed="false" customWidth="true" hidden="false" outlineLevel="0" max="14" min="14" style="4" width="9"/>
    <col collapsed="false" customWidth="false" hidden="false" outlineLevel="0" max="1024" min="15" style="4" width="9.14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1019</v>
      </c>
      <c r="F1" s="5" t="s">
        <v>18</v>
      </c>
      <c r="G1" s="5" t="s">
        <v>19</v>
      </c>
      <c r="H1" s="5" t="s">
        <v>20</v>
      </c>
      <c r="I1" s="5" t="s">
        <v>2253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17.25" hidden="false" customHeight="true" outlineLevel="0" collapsed="false">
      <c r="A2" s="5" t="n">
        <f aca="false">IF(B2&lt;&gt;"", COUNTA($B$2:B2), "")</f>
        <v>1</v>
      </c>
      <c r="B2" s="6" t="s">
        <v>27</v>
      </c>
      <c r="C2" s="19" t="s">
        <v>28</v>
      </c>
      <c r="D2" s="19" t="s">
        <v>3277</v>
      </c>
      <c r="E2" s="19"/>
      <c r="F2" s="5" t="s">
        <v>2115</v>
      </c>
      <c r="G2" s="5" t="n">
        <v>1.5</v>
      </c>
      <c r="H2" s="6" t="s">
        <v>3278</v>
      </c>
      <c r="I2" s="5" t="s">
        <v>1073</v>
      </c>
      <c r="J2" s="5" t="s">
        <v>1966</v>
      </c>
      <c r="K2" s="5" t="n">
        <v>2019</v>
      </c>
      <c r="L2" s="5" t="n">
        <v>12</v>
      </c>
      <c r="M2" s="6" t="s">
        <v>41</v>
      </c>
      <c r="N2" s="12" t="s">
        <v>1</v>
      </c>
    </row>
    <row r="3" customFormat="false" ht="16.5" hidden="false" customHeight="true" outlineLevel="0" collapsed="false">
      <c r="A3" s="5" t="n">
        <f aca="false">IF(B3&lt;&gt;"", COUNTA($B$2:B3), "")</f>
        <v>2</v>
      </c>
      <c r="B3" s="6" t="s">
        <v>27</v>
      </c>
      <c r="C3" s="19" t="s">
        <v>500</v>
      </c>
      <c r="D3" s="19" t="s">
        <v>3279</v>
      </c>
      <c r="E3" s="19"/>
      <c r="F3" s="5" t="s">
        <v>2115</v>
      </c>
      <c r="G3" s="5" t="n">
        <v>1</v>
      </c>
      <c r="H3" s="6" t="s">
        <v>3280</v>
      </c>
      <c r="I3" s="5" t="s">
        <v>1073</v>
      </c>
      <c r="J3" s="5" t="s">
        <v>1966</v>
      </c>
      <c r="K3" s="5" t="n">
        <v>2019</v>
      </c>
      <c r="L3" s="5" t="n">
        <v>12</v>
      </c>
      <c r="M3" s="6" t="s">
        <v>41</v>
      </c>
      <c r="N3" s="12" t="s">
        <v>1</v>
      </c>
    </row>
    <row r="4" customFormat="false" ht="22.5" hidden="false" customHeight="false" outlineLevel="0" collapsed="false">
      <c r="A4" s="5" t="n">
        <f aca="false">IF(B4&lt;&gt;"", COUNTA($B$2:B4), "")</f>
        <v>3</v>
      </c>
      <c r="B4" s="6" t="s">
        <v>27</v>
      </c>
      <c r="C4" s="19" t="s">
        <v>2124</v>
      </c>
      <c r="D4" s="19" t="s">
        <v>3281</v>
      </c>
      <c r="E4" s="19"/>
      <c r="F4" s="5" t="s">
        <v>2115</v>
      </c>
      <c r="G4" s="5" t="n">
        <v>1</v>
      </c>
      <c r="H4" s="6" t="s">
        <v>3282</v>
      </c>
      <c r="I4" s="5" t="s">
        <v>1073</v>
      </c>
      <c r="J4" s="5" t="s">
        <v>1966</v>
      </c>
      <c r="K4" s="5" t="n">
        <v>2019</v>
      </c>
      <c r="L4" s="5" t="n">
        <v>12</v>
      </c>
      <c r="M4" s="6" t="s">
        <v>41</v>
      </c>
      <c r="N4" s="12" t="s">
        <v>1</v>
      </c>
    </row>
    <row r="5" customFormat="false" ht="22.5" hidden="false" customHeight="false" outlineLevel="0" collapsed="false">
      <c r="A5" s="5" t="n">
        <f aca="false">IF(B5&lt;&gt;"", COUNTA($B$2:B5), "")</f>
        <v>4</v>
      </c>
      <c r="B5" s="6" t="s">
        <v>27</v>
      </c>
      <c r="C5" s="19" t="s">
        <v>144</v>
      </c>
      <c r="D5" s="19" t="s">
        <v>3283</v>
      </c>
      <c r="E5" s="19"/>
      <c r="F5" s="5" t="s">
        <v>3284</v>
      </c>
      <c r="G5" s="5" t="n">
        <v>1</v>
      </c>
      <c r="H5" s="19" t="s">
        <v>3285</v>
      </c>
      <c r="I5" s="5" t="s">
        <v>1073</v>
      </c>
      <c r="J5" s="5" t="s">
        <v>1966</v>
      </c>
      <c r="K5" s="5" t="n">
        <v>2019</v>
      </c>
      <c r="L5" s="5" t="n">
        <v>12</v>
      </c>
      <c r="M5" s="6" t="s">
        <v>41</v>
      </c>
      <c r="N5" s="12" t="s">
        <v>1</v>
      </c>
    </row>
    <row r="6" customFormat="false" ht="22.5" hidden="false" customHeight="false" outlineLevel="0" collapsed="false">
      <c r="A6" s="5" t="n">
        <f aca="false">IF(B6&lt;&gt;"", COUNTA($B$2:B6), "")</f>
        <v>5</v>
      </c>
      <c r="B6" s="6" t="s">
        <v>27</v>
      </c>
      <c r="C6" s="19" t="s">
        <v>28</v>
      </c>
      <c r="D6" s="19" t="s">
        <v>3286</v>
      </c>
      <c r="E6" s="19"/>
      <c r="F6" s="5" t="s">
        <v>2115</v>
      </c>
      <c r="G6" s="5" t="n">
        <v>1.5</v>
      </c>
      <c r="H6" s="6" t="s">
        <v>3287</v>
      </c>
      <c r="I6" s="5" t="s">
        <v>1073</v>
      </c>
      <c r="J6" s="5" t="s">
        <v>1966</v>
      </c>
      <c r="K6" s="5" t="n">
        <v>2019</v>
      </c>
      <c r="L6" s="5" t="n">
        <v>12</v>
      </c>
      <c r="M6" s="6" t="s">
        <v>41</v>
      </c>
      <c r="N6" s="12" t="s">
        <v>1</v>
      </c>
    </row>
    <row r="7" customFormat="false" ht="22.5" hidden="false" customHeight="false" outlineLevel="0" collapsed="false">
      <c r="A7" s="5" t="n">
        <f aca="false">IF(B7&lt;&gt;"", COUNTA($B$2:B7), "")</f>
        <v>6</v>
      </c>
      <c r="B7" s="6" t="s">
        <v>27</v>
      </c>
      <c r="C7" s="19" t="s">
        <v>500</v>
      </c>
      <c r="D7" s="19" t="s">
        <v>3288</v>
      </c>
      <c r="E7" s="19"/>
      <c r="F7" s="5" t="s">
        <v>2115</v>
      </c>
      <c r="G7" s="5" t="n">
        <v>1</v>
      </c>
      <c r="H7" s="19" t="s">
        <v>3289</v>
      </c>
      <c r="I7" s="5" t="s">
        <v>1073</v>
      </c>
      <c r="J7" s="5" t="s">
        <v>1966</v>
      </c>
      <c r="K7" s="5" t="n">
        <v>2019</v>
      </c>
      <c r="L7" s="5" t="n">
        <v>12</v>
      </c>
      <c r="M7" s="6" t="s">
        <v>41</v>
      </c>
      <c r="N7" s="12" t="s">
        <v>1</v>
      </c>
    </row>
    <row r="8" customFormat="false" ht="22.5" hidden="false" customHeight="false" outlineLevel="0" collapsed="false">
      <c r="A8" s="5" t="n">
        <f aca="false">IF(B8&lt;&gt;"", COUNTA($B$2:B8), "")</f>
        <v>7</v>
      </c>
      <c r="B8" s="6" t="s">
        <v>27</v>
      </c>
      <c r="C8" s="19" t="s">
        <v>28</v>
      </c>
      <c r="D8" s="19" t="s">
        <v>3290</v>
      </c>
      <c r="E8" s="19"/>
      <c r="F8" s="5" t="s">
        <v>2115</v>
      </c>
      <c r="G8" s="5" t="n">
        <v>1.5</v>
      </c>
      <c r="H8" s="19" t="s">
        <v>3291</v>
      </c>
      <c r="I8" s="5" t="s">
        <v>1073</v>
      </c>
      <c r="J8" s="5" t="s">
        <v>1966</v>
      </c>
      <c r="K8" s="5" t="n">
        <v>2019</v>
      </c>
      <c r="L8" s="5" t="n">
        <v>12</v>
      </c>
      <c r="M8" s="6" t="s">
        <v>41</v>
      </c>
      <c r="N8" s="12" t="s">
        <v>1</v>
      </c>
    </row>
    <row r="9" customFormat="false" ht="22.5" hidden="false" customHeight="false" outlineLevel="0" collapsed="false">
      <c r="A9" s="5" t="n">
        <f aca="false">IF(B9&lt;&gt;"", COUNTA($B$2:B9), "")</f>
        <v>8</v>
      </c>
      <c r="B9" s="6" t="s">
        <v>27</v>
      </c>
      <c r="C9" s="19" t="s">
        <v>144</v>
      </c>
      <c r="D9" s="17" t="n">
        <v>15212</v>
      </c>
      <c r="E9" s="19"/>
      <c r="F9" s="5" t="s">
        <v>1106</v>
      </c>
      <c r="G9" s="5" t="n">
        <v>1.5</v>
      </c>
      <c r="H9" s="19" t="s">
        <v>3292</v>
      </c>
      <c r="I9" s="5" t="s">
        <v>1073</v>
      </c>
      <c r="J9" s="5" t="s">
        <v>1966</v>
      </c>
      <c r="K9" s="5" t="n">
        <v>2019</v>
      </c>
      <c r="L9" s="5" t="n">
        <v>12</v>
      </c>
      <c r="M9" s="6" t="s">
        <v>41</v>
      </c>
      <c r="N9" s="12" t="s">
        <v>1</v>
      </c>
    </row>
    <row r="10" customFormat="false" ht="22.5" hidden="false" customHeight="false" outlineLevel="0" collapsed="false">
      <c r="A10" s="5" t="n">
        <f aca="false">IF(B10&lt;&gt;"", COUNTA($B$2:B10), "")</f>
        <v>9</v>
      </c>
      <c r="B10" s="6" t="s">
        <v>27</v>
      </c>
      <c r="C10" s="19" t="s">
        <v>28</v>
      </c>
      <c r="D10" s="6" t="s">
        <v>3293</v>
      </c>
      <c r="E10" s="19"/>
      <c r="F10" s="5" t="s">
        <v>2115</v>
      </c>
      <c r="G10" s="5" t="n">
        <v>1.5</v>
      </c>
      <c r="H10" s="19" t="s">
        <v>3294</v>
      </c>
      <c r="I10" s="5" t="s">
        <v>1073</v>
      </c>
      <c r="J10" s="5" t="s">
        <v>1966</v>
      </c>
      <c r="K10" s="5" t="n">
        <v>2019</v>
      </c>
      <c r="L10" s="5" t="n">
        <v>12</v>
      </c>
      <c r="M10" s="6" t="s">
        <v>41</v>
      </c>
      <c r="N10" s="12" t="s">
        <v>1</v>
      </c>
    </row>
    <row r="11" customFormat="false" ht="22.5" hidden="false" customHeight="false" outlineLevel="0" collapsed="false">
      <c r="A11" s="5" t="n">
        <f aca="false">IF(B11&lt;&gt;"", COUNTA($B$2:B11), "")</f>
        <v>10</v>
      </c>
      <c r="B11" s="6" t="s">
        <v>27</v>
      </c>
      <c r="C11" s="6" t="s">
        <v>2236</v>
      </c>
      <c r="D11" s="6" t="s">
        <v>3295</v>
      </c>
      <c r="E11" s="19"/>
      <c r="F11" s="5" t="s">
        <v>1106</v>
      </c>
      <c r="G11" s="5" t="n">
        <v>1.5</v>
      </c>
      <c r="H11" s="6" t="s">
        <v>3296</v>
      </c>
      <c r="I11" s="5" t="s">
        <v>1073</v>
      </c>
      <c r="J11" s="5" t="s">
        <v>1966</v>
      </c>
      <c r="K11" s="5" t="n">
        <v>2019</v>
      </c>
      <c r="L11" s="5" t="n">
        <v>12</v>
      </c>
      <c r="M11" s="6" t="s">
        <v>41</v>
      </c>
      <c r="N11" s="12" t="s">
        <v>1</v>
      </c>
    </row>
    <row r="12" customFormat="false" ht="22.5" hidden="false" customHeight="false" outlineLevel="0" collapsed="false">
      <c r="A12" s="5" t="n">
        <f aca="false">IF(B12&lt;&gt;"", COUNTA($B$2:B12), "")</f>
        <v>11</v>
      </c>
      <c r="B12" s="6" t="s">
        <v>27</v>
      </c>
      <c r="C12" s="19" t="s">
        <v>2124</v>
      </c>
      <c r="D12" s="6" t="s">
        <v>3297</v>
      </c>
      <c r="E12" s="19"/>
      <c r="F12" s="5" t="s">
        <v>2115</v>
      </c>
      <c r="G12" s="5" t="n">
        <v>1</v>
      </c>
      <c r="H12" s="6" t="s">
        <v>3298</v>
      </c>
      <c r="I12" s="5" t="s">
        <v>1073</v>
      </c>
      <c r="J12" s="5" t="s">
        <v>1966</v>
      </c>
      <c r="K12" s="5" t="n">
        <v>2019</v>
      </c>
      <c r="L12" s="5" t="n">
        <v>12</v>
      </c>
      <c r="M12" s="6" t="s">
        <v>41</v>
      </c>
      <c r="N12" s="12" t="s">
        <v>1</v>
      </c>
    </row>
    <row r="13" customFormat="false" ht="22.5" hidden="false" customHeight="false" outlineLevel="0" collapsed="false">
      <c r="A13" s="5" t="n">
        <f aca="false">IF(B13&lt;&gt;"", COUNTA($B$2:B13), "")</f>
        <v>12</v>
      </c>
      <c r="B13" s="6" t="s">
        <v>27</v>
      </c>
      <c r="C13" s="6" t="s">
        <v>1324</v>
      </c>
      <c r="D13" s="6" t="s">
        <v>3299</v>
      </c>
      <c r="E13" s="19"/>
      <c r="F13" s="5" t="s">
        <v>1106</v>
      </c>
      <c r="G13" s="5" t="n">
        <v>1.5</v>
      </c>
      <c r="H13" s="6" t="s">
        <v>3300</v>
      </c>
      <c r="I13" s="5" t="s">
        <v>1073</v>
      </c>
      <c r="J13" s="5" t="s">
        <v>1966</v>
      </c>
      <c r="K13" s="5" t="n">
        <v>2019</v>
      </c>
      <c r="L13" s="5" t="n">
        <v>12</v>
      </c>
      <c r="M13" s="6" t="s">
        <v>41</v>
      </c>
      <c r="N13" s="12" t="s">
        <v>1</v>
      </c>
    </row>
    <row r="14" customFormat="false" ht="22.5" hidden="false" customHeight="false" outlineLevel="0" collapsed="false">
      <c r="A14" s="5" t="n">
        <f aca="false">IF(B14&lt;&gt;"", COUNTA($B$2:B14), "")</f>
        <v>13</v>
      </c>
      <c r="B14" s="6" t="s">
        <v>27</v>
      </c>
      <c r="C14" s="19" t="s">
        <v>2124</v>
      </c>
      <c r="D14" s="6" t="s">
        <v>3301</v>
      </c>
      <c r="E14" s="19"/>
      <c r="F14" s="5" t="s">
        <v>2115</v>
      </c>
      <c r="G14" s="5" t="n">
        <v>1</v>
      </c>
      <c r="H14" s="6" t="s">
        <v>3302</v>
      </c>
      <c r="I14" s="5" t="s">
        <v>1073</v>
      </c>
      <c r="J14" s="5" t="s">
        <v>1966</v>
      </c>
      <c r="K14" s="5" t="n">
        <v>2019</v>
      </c>
      <c r="L14" s="5" t="n">
        <v>12</v>
      </c>
      <c r="M14" s="6" t="s">
        <v>41</v>
      </c>
      <c r="N14" s="12" t="s">
        <v>1</v>
      </c>
    </row>
    <row r="15" customFormat="false" ht="22.5" hidden="false" customHeight="false" outlineLevel="0" collapsed="false">
      <c r="A15" s="5" t="n">
        <f aca="false">IF(B15&lt;&gt;"", COUNTA($B$2:B15), "")</f>
        <v>14</v>
      </c>
      <c r="B15" s="6" t="s">
        <v>27</v>
      </c>
      <c r="C15" s="19" t="s">
        <v>1324</v>
      </c>
      <c r="D15" s="6" t="s">
        <v>3303</v>
      </c>
      <c r="E15" s="19"/>
      <c r="F15" s="5" t="s">
        <v>1106</v>
      </c>
      <c r="G15" s="5" t="n">
        <v>1.5</v>
      </c>
      <c r="H15" s="6" t="s">
        <v>3304</v>
      </c>
      <c r="I15" s="5" t="s">
        <v>1073</v>
      </c>
      <c r="J15" s="5" t="s">
        <v>1966</v>
      </c>
      <c r="K15" s="5" t="n">
        <v>2019</v>
      </c>
      <c r="L15" s="5" t="n">
        <v>12</v>
      </c>
      <c r="M15" s="6" t="s">
        <v>41</v>
      </c>
      <c r="N15" s="12" t="s">
        <v>1</v>
      </c>
    </row>
    <row r="16" customFormat="false" ht="22.5" hidden="false" customHeight="false" outlineLevel="0" collapsed="false">
      <c r="A16" s="5" t="n">
        <f aca="false">IF(B16&lt;&gt;"", COUNTA($B$2:B16), "")</f>
        <v>15</v>
      </c>
      <c r="B16" s="6" t="s">
        <v>27</v>
      </c>
      <c r="C16" s="19" t="s">
        <v>28</v>
      </c>
      <c r="D16" s="6" t="s">
        <v>3305</v>
      </c>
      <c r="E16" s="19"/>
      <c r="F16" s="5" t="s">
        <v>1106</v>
      </c>
      <c r="G16" s="5" t="n">
        <v>1</v>
      </c>
      <c r="H16" s="6" t="s">
        <v>3306</v>
      </c>
      <c r="I16" s="5" t="s">
        <v>1073</v>
      </c>
      <c r="J16" s="5" t="s">
        <v>1966</v>
      </c>
      <c r="K16" s="5" t="n">
        <v>2019</v>
      </c>
      <c r="L16" s="5" t="n">
        <v>12</v>
      </c>
      <c r="M16" s="6" t="s">
        <v>41</v>
      </c>
      <c r="N16" s="12" t="s">
        <v>1</v>
      </c>
    </row>
    <row r="17" customFormat="false" ht="22.5" hidden="false" customHeight="false" outlineLevel="0" collapsed="false">
      <c r="A17" s="5" t="n">
        <f aca="false">IF(B17&lt;&gt;"", COUNTA($B$2:B17), "")</f>
        <v>16</v>
      </c>
      <c r="B17" s="6" t="s">
        <v>27</v>
      </c>
      <c r="C17" s="19" t="s">
        <v>500</v>
      </c>
      <c r="D17" s="6" t="s">
        <v>3307</v>
      </c>
      <c r="E17" s="19"/>
      <c r="F17" s="5" t="s">
        <v>2115</v>
      </c>
      <c r="G17" s="5" t="n">
        <v>1.5</v>
      </c>
      <c r="H17" s="6" t="s">
        <v>3308</v>
      </c>
      <c r="I17" s="5" t="s">
        <v>1073</v>
      </c>
      <c r="J17" s="5" t="s">
        <v>1966</v>
      </c>
      <c r="K17" s="5" t="n">
        <v>2019</v>
      </c>
      <c r="L17" s="5" t="n">
        <v>12</v>
      </c>
      <c r="M17" s="6" t="s">
        <v>41</v>
      </c>
      <c r="N17" s="12" t="s">
        <v>1</v>
      </c>
    </row>
    <row r="18" customFormat="false" ht="22.5" hidden="false" customHeight="false" outlineLevel="0" collapsed="false">
      <c r="A18" s="5" t="n">
        <f aca="false">IF(B18&lt;&gt;"", COUNTA($B$2:B18), "")</f>
        <v>17</v>
      </c>
      <c r="B18" s="6" t="s">
        <v>27</v>
      </c>
      <c r="C18" s="19" t="s">
        <v>28</v>
      </c>
      <c r="D18" s="6" t="s">
        <v>3309</v>
      </c>
      <c r="E18" s="19"/>
      <c r="F18" s="5" t="s">
        <v>2115</v>
      </c>
      <c r="G18" s="5" t="n">
        <v>1.5</v>
      </c>
      <c r="H18" s="6" t="s">
        <v>3310</v>
      </c>
      <c r="I18" s="5" t="s">
        <v>1073</v>
      </c>
      <c r="J18" s="5" t="s">
        <v>1966</v>
      </c>
      <c r="K18" s="5" t="n">
        <v>2019</v>
      </c>
      <c r="L18" s="5" t="n">
        <v>12</v>
      </c>
      <c r="M18" s="6" t="s">
        <v>41</v>
      </c>
      <c r="N18" s="12" t="s">
        <v>1</v>
      </c>
    </row>
    <row r="19" customFormat="false" ht="22.5" hidden="false" customHeight="false" outlineLevel="0" collapsed="false">
      <c r="A19" s="5" t="n">
        <f aca="false">IF(B19&lt;&gt;"", COUNTA($B$2:B19), "")</f>
        <v>18</v>
      </c>
      <c r="B19" s="6" t="s">
        <v>27</v>
      </c>
      <c r="C19" s="19" t="s">
        <v>500</v>
      </c>
      <c r="D19" s="6" t="s">
        <v>3311</v>
      </c>
      <c r="E19" s="19"/>
      <c r="F19" s="5" t="s">
        <v>2115</v>
      </c>
      <c r="G19" s="5" t="n">
        <v>1.5</v>
      </c>
      <c r="H19" s="6" t="s">
        <v>3312</v>
      </c>
      <c r="I19" s="5" t="s">
        <v>1073</v>
      </c>
      <c r="J19" s="5" t="s">
        <v>1966</v>
      </c>
      <c r="K19" s="5" t="n">
        <v>2019</v>
      </c>
      <c r="L19" s="5" t="n">
        <v>12</v>
      </c>
      <c r="M19" s="6" t="s">
        <v>41</v>
      </c>
      <c r="N19" s="12" t="s">
        <v>1</v>
      </c>
    </row>
    <row r="20" customFormat="false" ht="22.5" hidden="false" customHeight="false" outlineLevel="0" collapsed="false">
      <c r="A20" s="5" t="s">
        <v>1015</v>
      </c>
      <c r="B20" s="6" t="s">
        <v>27</v>
      </c>
      <c r="C20" s="19" t="s">
        <v>28</v>
      </c>
      <c r="D20" s="6" t="s">
        <v>3313</v>
      </c>
      <c r="E20" s="19"/>
      <c r="F20" s="5" t="s">
        <v>1106</v>
      </c>
      <c r="G20" s="5" t="n">
        <v>1.5</v>
      </c>
      <c r="H20" s="6" t="s">
        <v>3314</v>
      </c>
      <c r="I20" s="5" t="s">
        <v>1073</v>
      </c>
      <c r="J20" s="5" t="s">
        <v>1966</v>
      </c>
      <c r="K20" s="5" t="n">
        <v>2019</v>
      </c>
      <c r="L20" s="5" t="n">
        <v>12</v>
      </c>
      <c r="M20" s="6" t="s">
        <v>41</v>
      </c>
      <c r="N20" s="12" t="s">
        <v>1</v>
      </c>
    </row>
    <row r="21" customFormat="false" ht="22.5" hidden="false" customHeight="false" outlineLevel="0" collapsed="false">
      <c r="A21" s="5" t="n">
        <f aca="false">IF(B21&lt;&gt;"", COUNTA($B$2:B21), "")</f>
        <v>20</v>
      </c>
      <c r="B21" s="6" t="s">
        <v>27</v>
      </c>
      <c r="C21" s="19" t="s">
        <v>144</v>
      </c>
      <c r="D21" s="6" t="s">
        <v>3315</v>
      </c>
      <c r="E21" s="19"/>
      <c r="F21" s="5" t="s">
        <v>1106</v>
      </c>
      <c r="G21" s="5" t="n">
        <v>1</v>
      </c>
      <c r="H21" s="6" t="s">
        <v>3316</v>
      </c>
      <c r="I21" s="5" t="s">
        <v>1073</v>
      </c>
      <c r="J21" s="5" t="s">
        <v>1966</v>
      </c>
      <c r="K21" s="5" t="n">
        <v>2019</v>
      </c>
      <c r="L21" s="5" t="n">
        <v>12</v>
      </c>
      <c r="M21" s="6" t="s">
        <v>41</v>
      </c>
      <c r="N21" s="12" t="s">
        <v>1</v>
      </c>
    </row>
    <row r="22" customFormat="false" ht="22.5" hidden="false" customHeight="false" outlineLevel="0" collapsed="false">
      <c r="A22" s="5" t="n">
        <f aca="false">IF(B22&lt;&gt;"", COUNTA($B$2:B22), "")</f>
        <v>21</v>
      </c>
      <c r="B22" s="6" t="s">
        <v>27</v>
      </c>
      <c r="C22" s="19" t="s">
        <v>860</v>
      </c>
      <c r="D22" s="6" t="s">
        <v>3317</v>
      </c>
      <c r="E22" s="19"/>
      <c r="F22" s="5" t="s">
        <v>2115</v>
      </c>
      <c r="G22" s="5" t="n">
        <v>1</v>
      </c>
      <c r="H22" s="6" t="s">
        <v>3318</v>
      </c>
      <c r="I22" s="5" t="s">
        <v>1073</v>
      </c>
      <c r="J22" s="5" t="s">
        <v>1966</v>
      </c>
      <c r="K22" s="5" t="n">
        <v>2019</v>
      </c>
      <c r="L22" s="5" t="n">
        <v>12</v>
      </c>
      <c r="M22" s="6" t="s">
        <v>41</v>
      </c>
      <c r="N22" s="12" t="s">
        <v>1</v>
      </c>
    </row>
    <row r="23" customFormat="false" ht="22.5" hidden="false" customHeight="false" outlineLevel="0" collapsed="false">
      <c r="A23" s="5" t="n">
        <f aca="false">IF(B23&lt;&gt;"", COUNTA($B$2:B23), "")</f>
        <v>22</v>
      </c>
      <c r="B23" s="6" t="s">
        <v>27</v>
      </c>
      <c r="C23" s="19" t="s">
        <v>144</v>
      </c>
      <c r="D23" s="6" t="s">
        <v>3319</v>
      </c>
      <c r="E23" s="19"/>
      <c r="F23" s="5" t="s">
        <v>1106</v>
      </c>
      <c r="G23" s="5" t="n">
        <v>1.5</v>
      </c>
      <c r="H23" s="6" t="s">
        <v>3320</v>
      </c>
      <c r="I23" s="5" t="s">
        <v>1073</v>
      </c>
      <c r="J23" s="5" t="s">
        <v>1966</v>
      </c>
      <c r="K23" s="5" t="n">
        <v>2019</v>
      </c>
      <c r="L23" s="5" t="n">
        <v>12</v>
      </c>
      <c r="M23" s="6" t="s">
        <v>41</v>
      </c>
      <c r="N23" s="12" t="s">
        <v>1</v>
      </c>
    </row>
    <row r="24" customFormat="false" ht="22.5" hidden="false" customHeight="false" outlineLevel="0" collapsed="false">
      <c r="A24" s="5" t="n">
        <f aca="false">IF(B24&lt;&gt;"", COUNTA($B$2:B24), "")</f>
        <v>23</v>
      </c>
      <c r="B24" s="6" t="s">
        <v>27</v>
      </c>
      <c r="C24" s="19" t="s">
        <v>28</v>
      </c>
      <c r="D24" s="6" t="s">
        <v>3321</v>
      </c>
      <c r="E24" s="19"/>
      <c r="F24" s="5" t="s">
        <v>2115</v>
      </c>
      <c r="G24" s="5" t="n">
        <v>1.5</v>
      </c>
      <c r="H24" s="6" t="s">
        <v>3322</v>
      </c>
      <c r="I24" s="5" t="s">
        <v>1073</v>
      </c>
      <c r="J24" s="5" t="s">
        <v>1966</v>
      </c>
      <c r="K24" s="5" t="n">
        <v>2019</v>
      </c>
      <c r="L24" s="5" t="n">
        <v>12</v>
      </c>
      <c r="M24" s="6" t="s">
        <v>41</v>
      </c>
      <c r="N24" s="12" t="s">
        <v>1</v>
      </c>
    </row>
    <row r="25" customFormat="false" ht="22.5" hidden="false" customHeight="false" outlineLevel="0" collapsed="false">
      <c r="A25" s="5" t="n">
        <f aca="false">IF(B25&lt;&gt;"", COUNTA($B$2:B25), "")</f>
        <v>24</v>
      </c>
      <c r="B25" s="6" t="s">
        <v>27</v>
      </c>
      <c r="C25" s="19" t="s">
        <v>28</v>
      </c>
      <c r="D25" s="6" t="s">
        <v>3323</v>
      </c>
      <c r="E25" s="19"/>
      <c r="F25" s="5" t="s">
        <v>2115</v>
      </c>
      <c r="G25" s="5" t="n">
        <v>1</v>
      </c>
      <c r="H25" s="6" t="s">
        <v>3324</v>
      </c>
      <c r="I25" s="5" t="s">
        <v>1073</v>
      </c>
      <c r="J25" s="5" t="s">
        <v>1966</v>
      </c>
      <c r="K25" s="5" t="n">
        <v>2019</v>
      </c>
      <c r="L25" s="5" t="n">
        <v>12</v>
      </c>
      <c r="M25" s="6" t="s">
        <v>41</v>
      </c>
      <c r="N25" s="12" t="s">
        <v>1</v>
      </c>
    </row>
    <row r="26" customFormat="false" ht="22.5" hidden="false" customHeight="false" outlineLevel="0" collapsed="false">
      <c r="A26" s="5" t="n">
        <f aca="false">IF(B26&lt;&gt;"", COUNTA($B$2:B26), "")</f>
        <v>25</v>
      </c>
      <c r="B26" s="6" t="s">
        <v>27</v>
      </c>
      <c r="C26" s="19" t="s">
        <v>2236</v>
      </c>
      <c r="D26" s="6" t="s">
        <v>3325</v>
      </c>
      <c r="E26" s="19"/>
      <c r="F26" s="5" t="s">
        <v>1106</v>
      </c>
      <c r="G26" s="5" t="n">
        <v>1.5</v>
      </c>
      <c r="H26" s="6" t="s">
        <v>3326</v>
      </c>
      <c r="I26" s="5" t="s">
        <v>1073</v>
      </c>
      <c r="J26" s="5" t="s">
        <v>1966</v>
      </c>
      <c r="K26" s="5" t="n">
        <v>2019</v>
      </c>
      <c r="L26" s="5" t="n">
        <v>12</v>
      </c>
      <c r="M26" s="6" t="s">
        <v>41</v>
      </c>
      <c r="N26" s="12" t="s">
        <v>1</v>
      </c>
    </row>
    <row r="27" customFormat="false" ht="22.5" hidden="false" customHeight="false" outlineLevel="0" collapsed="false">
      <c r="A27" s="5" t="n">
        <f aca="false">IF(B27&lt;&gt;"", COUNTA($B$2:B27), "")</f>
        <v>26</v>
      </c>
      <c r="B27" s="6" t="s">
        <v>27</v>
      </c>
      <c r="C27" s="19" t="s">
        <v>860</v>
      </c>
      <c r="D27" s="6" t="s">
        <v>3327</v>
      </c>
      <c r="E27" s="19"/>
      <c r="F27" s="5" t="s">
        <v>1106</v>
      </c>
      <c r="G27" s="5" t="n">
        <v>1</v>
      </c>
      <c r="H27" s="6" t="s">
        <v>3328</v>
      </c>
      <c r="I27" s="5" t="s">
        <v>1073</v>
      </c>
      <c r="J27" s="5" t="s">
        <v>1966</v>
      </c>
      <c r="K27" s="5" t="n">
        <v>2019</v>
      </c>
      <c r="L27" s="5" t="n">
        <v>12</v>
      </c>
      <c r="M27" s="6" t="s">
        <v>41</v>
      </c>
      <c r="N27" s="12" t="s">
        <v>1</v>
      </c>
    </row>
    <row r="28" s="223" customFormat="true" ht="22.5" hidden="false" customHeight="false" outlineLevel="0" collapsed="false">
      <c r="A28" s="219" t="n">
        <f aca="false">IF(B28&lt;&gt;"", COUNTA($B$2:B28), "")</f>
        <v>27</v>
      </c>
      <c r="B28" s="220" t="s">
        <v>27</v>
      </c>
      <c r="C28" s="221" t="s">
        <v>500</v>
      </c>
      <c r="D28" s="220" t="s">
        <v>3329</v>
      </c>
      <c r="E28" s="221"/>
      <c r="F28" s="219" t="s">
        <v>2115</v>
      </c>
      <c r="G28" s="219" t="n">
        <v>1.5</v>
      </c>
      <c r="H28" s="220" t="s">
        <v>3330</v>
      </c>
      <c r="I28" s="219" t="s">
        <v>1073</v>
      </c>
      <c r="J28" s="219" t="s">
        <v>1966</v>
      </c>
      <c r="K28" s="219" t="n">
        <v>2019</v>
      </c>
      <c r="L28" s="219" t="n">
        <v>12</v>
      </c>
      <c r="M28" s="220" t="s">
        <v>41</v>
      </c>
      <c r="N28" s="222" t="s">
        <v>1</v>
      </c>
    </row>
    <row r="29" customFormat="false" ht="22.5" hidden="false" customHeight="false" outlineLevel="0" collapsed="false">
      <c r="A29" s="5" t="n">
        <f aca="false">IF(B29&lt;&gt;"", COUNTA($B$2:B29), "")</f>
        <v>28</v>
      </c>
      <c r="B29" s="6" t="s">
        <v>27</v>
      </c>
      <c r="C29" s="19" t="s">
        <v>28</v>
      </c>
      <c r="D29" s="6" t="s">
        <v>3331</v>
      </c>
      <c r="E29" s="19"/>
      <c r="F29" s="5" t="s">
        <v>2115</v>
      </c>
      <c r="G29" s="5" t="n">
        <v>1</v>
      </c>
      <c r="H29" s="6" t="s">
        <v>3332</v>
      </c>
      <c r="I29" s="5" t="s">
        <v>1073</v>
      </c>
      <c r="J29" s="5" t="s">
        <v>1966</v>
      </c>
      <c r="K29" s="5" t="n">
        <v>2019</v>
      </c>
      <c r="L29" s="5" t="n">
        <v>12</v>
      </c>
      <c r="M29" s="6" t="s">
        <v>41</v>
      </c>
      <c r="N29" s="12" t="s">
        <v>1</v>
      </c>
    </row>
    <row r="30" customFormat="false" ht="22.5" hidden="false" customHeight="false" outlineLevel="0" collapsed="false">
      <c r="A30" s="5" t="n">
        <f aca="false">IF(B30&lt;&gt;"", COUNTA($B$2:B30), "")</f>
        <v>29</v>
      </c>
      <c r="B30" s="6" t="s">
        <v>27</v>
      </c>
      <c r="C30" s="19" t="s">
        <v>500</v>
      </c>
      <c r="D30" s="6" t="s">
        <v>3333</v>
      </c>
      <c r="E30" s="19"/>
      <c r="F30" s="5" t="s">
        <v>2115</v>
      </c>
      <c r="G30" s="5" t="n">
        <v>1</v>
      </c>
      <c r="H30" s="6" t="s">
        <v>3334</v>
      </c>
      <c r="I30" s="5" t="s">
        <v>1073</v>
      </c>
      <c r="J30" s="5" t="s">
        <v>1966</v>
      </c>
      <c r="K30" s="5" t="n">
        <v>2019</v>
      </c>
      <c r="L30" s="5" t="n">
        <v>12</v>
      </c>
      <c r="M30" s="6" t="s">
        <v>41</v>
      </c>
      <c r="N30" s="12" t="s">
        <v>1</v>
      </c>
    </row>
    <row r="31" customFormat="false" ht="22.5" hidden="false" customHeight="false" outlineLevel="0" collapsed="false">
      <c r="A31" s="5" t="n">
        <f aca="false">IF(B31&lt;&gt;"", COUNTA($B$2:B31), "")</f>
        <v>30</v>
      </c>
      <c r="B31" s="6" t="s">
        <v>27</v>
      </c>
      <c r="C31" s="19" t="s">
        <v>28</v>
      </c>
      <c r="D31" s="6" t="s">
        <v>3335</v>
      </c>
      <c r="E31" s="19"/>
      <c r="F31" s="5" t="s">
        <v>1106</v>
      </c>
      <c r="G31" s="5" t="n">
        <v>1.5</v>
      </c>
      <c r="H31" s="6" t="s">
        <v>3336</v>
      </c>
      <c r="I31" s="5" t="s">
        <v>1073</v>
      </c>
      <c r="J31" s="5" t="s">
        <v>1966</v>
      </c>
      <c r="K31" s="5" t="n">
        <v>2019</v>
      </c>
      <c r="L31" s="5" t="n">
        <v>12</v>
      </c>
      <c r="M31" s="6" t="s">
        <v>41</v>
      </c>
      <c r="N31" s="12" t="s">
        <v>1</v>
      </c>
    </row>
    <row r="32" customFormat="false" ht="22.5" hidden="false" customHeight="false" outlineLevel="0" collapsed="false">
      <c r="A32" s="5" t="n">
        <f aca="false">IF(B32&lt;&gt;"", COUNTA($B$2:B32), "")</f>
        <v>31</v>
      </c>
      <c r="B32" s="6" t="s">
        <v>27</v>
      </c>
      <c r="C32" s="19" t="s">
        <v>500</v>
      </c>
      <c r="D32" s="6" t="s">
        <v>3337</v>
      </c>
      <c r="E32" s="19"/>
      <c r="F32" s="5" t="s">
        <v>2115</v>
      </c>
      <c r="G32" s="5" t="n">
        <v>1</v>
      </c>
      <c r="H32" s="6" t="s">
        <v>3338</v>
      </c>
      <c r="I32" s="5" t="s">
        <v>1073</v>
      </c>
      <c r="J32" s="5" t="s">
        <v>1966</v>
      </c>
      <c r="K32" s="5" t="n">
        <v>2019</v>
      </c>
      <c r="L32" s="5" t="n">
        <v>12</v>
      </c>
      <c r="M32" s="6" t="s">
        <v>41</v>
      </c>
      <c r="N32" s="12" t="s">
        <v>1</v>
      </c>
    </row>
    <row r="33" customFormat="false" ht="22.5" hidden="false" customHeight="false" outlineLevel="0" collapsed="false">
      <c r="A33" s="5" t="n">
        <f aca="false">IF(B33&lt;&gt;"", COUNTA($B$2:B33), "")</f>
        <v>32</v>
      </c>
      <c r="B33" s="6" t="s">
        <v>27</v>
      </c>
      <c r="C33" s="19" t="s">
        <v>28</v>
      </c>
      <c r="D33" s="6" t="s">
        <v>3339</v>
      </c>
      <c r="E33" s="19"/>
      <c r="F33" s="5" t="s">
        <v>2115</v>
      </c>
      <c r="G33" s="5" t="n">
        <v>1</v>
      </c>
      <c r="H33" s="6" t="s">
        <v>3340</v>
      </c>
      <c r="I33" s="5" t="s">
        <v>1073</v>
      </c>
      <c r="J33" s="5" t="s">
        <v>1966</v>
      </c>
      <c r="K33" s="5" t="n">
        <v>2019</v>
      </c>
      <c r="L33" s="5" t="n">
        <v>12</v>
      </c>
      <c r="M33" s="6" t="s">
        <v>41</v>
      </c>
      <c r="N33" s="12" t="s">
        <v>1</v>
      </c>
    </row>
    <row r="34" customFormat="false" ht="22.5" hidden="false" customHeight="false" outlineLevel="0" collapsed="false">
      <c r="A34" s="5" t="n">
        <f aca="false">IF(B34&lt;&gt;"", COUNTA($B$2:B34), "")</f>
        <v>33</v>
      </c>
      <c r="B34" s="6" t="s">
        <v>27</v>
      </c>
      <c r="C34" s="19" t="s">
        <v>500</v>
      </c>
      <c r="D34" s="6" t="s">
        <v>3341</v>
      </c>
      <c r="E34" s="19"/>
      <c r="F34" s="5" t="s">
        <v>2115</v>
      </c>
      <c r="G34" s="5" t="n">
        <v>1</v>
      </c>
      <c r="H34" s="6" t="s">
        <v>3342</v>
      </c>
      <c r="I34" s="5" t="s">
        <v>1073</v>
      </c>
      <c r="J34" s="5" t="s">
        <v>1966</v>
      </c>
      <c r="K34" s="5" t="n">
        <v>2019</v>
      </c>
      <c r="L34" s="5" t="n">
        <v>12</v>
      </c>
      <c r="M34" s="6" t="s">
        <v>41</v>
      </c>
      <c r="N34" s="12" t="s">
        <v>1</v>
      </c>
    </row>
    <row r="35" customFormat="false" ht="22.5" hidden="false" customHeight="false" outlineLevel="0" collapsed="false">
      <c r="A35" s="5" t="n">
        <f aca="false">IF(B35&lt;&gt;"", COUNTA($B$2:B35), "")</f>
        <v>34</v>
      </c>
      <c r="B35" s="6" t="s">
        <v>27</v>
      </c>
      <c r="C35" s="6" t="s">
        <v>144</v>
      </c>
      <c r="D35" s="6" t="s">
        <v>3343</v>
      </c>
      <c r="E35" s="19"/>
      <c r="F35" s="5" t="s">
        <v>2115</v>
      </c>
      <c r="G35" s="5" t="n">
        <v>1.5</v>
      </c>
      <c r="H35" s="6" t="s">
        <v>3344</v>
      </c>
      <c r="I35" s="5" t="s">
        <v>1073</v>
      </c>
      <c r="J35" s="5" t="s">
        <v>1966</v>
      </c>
      <c r="K35" s="5" t="n">
        <v>2019</v>
      </c>
      <c r="L35" s="5" t="n">
        <v>12</v>
      </c>
      <c r="M35" s="6" t="s">
        <v>41</v>
      </c>
      <c r="N35" s="12" t="s">
        <v>1</v>
      </c>
    </row>
    <row r="36" customFormat="false" ht="22.5" hidden="false" customHeight="false" outlineLevel="0" collapsed="false">
      <c r="A36" s="5" t="n">
        <f aca="false">IF(B36&lt;&gt;"", COUNTA($B$2:B36), "")</f>
        <v>35</v>
      </c>
      <c r="B36" s="6" t="s">
        <v>27</v>
      </c>
      <c r="C36" s="19" t="s">
        <v>500</v>
      </c>
      <c r="D36" s="6" t="s">
        <v>3345</v>
      </c>
      <c r="E36" s="19"/>
      <c r="F36" s="5" t="s">
        <v>2115</v>
      </c>
      <c r="G36" s="5" t="n">
        <v>1.5</v>
      </c>
      <c r="H36" s="6" t="s">
        <v>3346</v>
      </c>
      <c r="I36" s="5" t="s">
        <v>1073</v>
      </c>
      <c r="J36" s="5" t="s">
        <v>1966</v>
      </c>
      <c r="K36" s="5" t="n">
        <v>2019</v>
      </c>
      <c r="L36" s="5" t="n">
        <v>12</v>
      </c>
      <c r="M36" s="6" t="s">
        <v>41</v>
      </c>
      <c r="N36" s="12" t="s">
        <v>1</v>
      </c>
    </row>
    <row r="37" customFormat="false" ht="22.5" hidden="false" customHeight="false" outlineLevel="0" collapsed="false">
      <c r="A37" s="5" t="n">
        <f aca="false">IF(B37&lt;&gt;"", COUNTA($B$2:B37), "")</f>
        <v>36</v>
      </c>
      <c r="B37" s="6" t="s">
        <v>27</v>
      </c>
      <c r="C37" s="19" t="s">
        <v>1324</v>
      </c>
      <c r="D37" s="6" t="s">
        <v>3347</v>
      </c>
      <c r="E37" s="19"/>
      <c r="F37" s="5" t="s">
        <v>1106</v>
      </c>
      <c r="G37" s="5" t="n">
        <v>1.5</v>
      </c>
      <c r="H37" s="6" t="s">
        <v>3348</v>
      </c>
      <c r="I37" s="5" t="s">
        <v>1073</v>
      </c>
      <c r="J37" s="5" t="s">
        <v>1966</v>
      </c>
      <c r="K37" s="5" t="n">
        <v>2019</v>
      </c>
      <c r="L37" s="5" t="n">
        <v>12</v>
      </c>
      <c r="M37" s="6" t="s">
        <v>41</v>
      </c>
      <c r="N37" s="12" t="s">
        <v>1</v>
      </c>
    </row>
    <row r="38" customFormat="false" ht="22.5" hidden="false" customHeight="false" outlineLevel="0" collapsed="false">
      <c r="A38" s="5" t="n">
        <f aca="false">IF(B38&lt;&gt;"", COUNTA($B$2:B38), "")</f>
        <v>37</v>
      </c>
      <c r="B38" s="6" t="s">
        <v>27</v>
      </c>
      <c r="C38" s="19" t="s">
        <v>1112</v>
      </c>
      <c r="D38" s="6" t="s">
        <v>3349</v>
      </c>
      <c r="E38" s="19"/>
      <c r="F38" s="5" t="s">
        <v>1106</v>
      </c>
      <c r="G38" s="5" t="n">
        <v>1.5</v>
      </c>
      <c r="H38" s="5" t="s">
        <v>1165</v>
      </c>
      <c r="I38" s="5" t="s">
        <v>1073</v>
      </c>
      <c r="J38" s="5" t="s">
        <v>1966</v>
      </c>
      <c r="K38" s="5" t="n">
        <v>2019</v>
      </c>
      <c r="L38" s="5" t="n">
        <v>12</v>
      </c>
      <c r="M38" s="6" t="s">
        <v>37</v>
      </c>
      <c r="N38" s="12" t="s">
        <v>38</v>
      </c>
    </row>
    <row r="39" customFormat="false" ht="22.5" hidden="false" customHeight="false" outlineLevel="0" collapsed="false">
      <c r="A39" s="5" t="n">
        <f aca="false">IF(B39&lt;&gt;"", COUNTA($B$2:B39), "")</f>
        <v>38</v>
      </c>
      <c r="B39" s="6" t="s">
        <v>27</v>
      </c>
      <c r="C39" s="19" t="s">
        <v>2236</v>
      </c>
      <c r="D39" s="6" t="s">
        <v>3350</v>
      </c>
      <c r="E39" s="19"/>
      <c r="F39" s="5" t="s">
        <v>2115</v>
      </c>
      <c r="G39" s="5" t="n">
        <v>1.5</v>
      </c>
      <c r="H39" s="6" t="s">
        <v>3351</v>
      </c>
      <c r="I39" s="5" t="s">
        <v>1073</v>
      </c>
      <c r="J39" s="5" t="s">
        <v>1966</v>
      </c>
      <c r="K39" s="5" t="n">
        <v>2019</v>
      </c>
      <c r="L39" s="5" t="n">
        <v>12</v>
      </c>
      <c r="M39" s="6" t="s">
        <v>41</v>
      </c>
      <c r="N39" s="12" t="s">
        <v>1</v>
      </c>
    </row>
    <row r="40" customFormat="false" ht="22.5" hidden="false" customHeight="false" outlineLevel="0" collapsed="false">
      <c r="A40" s="5" t="n">
        <f aca="false">IF(B40&lt;&gt;"", COUNTA($B$2:B40), "")</f>
        <v>39</v>
      </c>
      <c r="B40" s="6" t="s">
        <v>27</v>
      </c>
      <c r="C40" s="19" t="s">
        <v>1324</v>
      </c>
      <c r="D40" s="6" t="s">
        <v>3352</v>
      </c>
      <c r="E40" s="19"/>
      <c r="F40" s="5" t="s">
        <v>2115</v>
      </c>
      <c r="G40" s="5" t="n">
        <v>1.5</v>
      </c>
      <c r="H40" s="6" t="s">
        <v>3353</v>
      </c>
      <c r="I40" s="5" t="s">
        <v>1073</v>
      </c>
      <c r="J40" s="5" t="s">
        <v>1966</v>
      </c>
      <c r="K40" s="5" t="n">
        <v>2019</v>
      </c>
      <c r="L40" s="5" t="n">
        <v>12</v>
      </c>
      <c r="M40" s="6" t="s">
        <v>41</v>
      </c>
      <c r="N40" s="12" t="s">
        <v>1</v>
      </c>
    </row>
    <row r="41" customFormat="false" ht="22.5" hidden="false" customHeight="false" outlineLevel="0" collapsed="false">
      <c r="A41" s="5" t="n">
        <f aca="false">IF(B41&lt;&gt;"", COUNTA($B$2:B41), "")</f>
        <v>40</v>
      </c>
      <c r="B41" s="6" t="s">
        <v>27</v>
      </c>
      <c r="C41" s="19" t="s">
        <v>28</v>
      </c>
      <c r="D41" s="6" t="s">
        <v>3354</v>
      </c>
      <c r="E41" s="19"/>
      <c r="F41" s="5" t="s">
        <v>1106</v>
      </c>
      <c r="G41" s="5" t="n">
        <v>1.5</v>
      </c>
      <c r="H41" s="6" t="s">
        <v>3355</v>
      </c>
      <c r="I41" s="5" t="s">
        <v>1073</v>
      </c>
      <c r="J41" s="5" t="s">
        <v>1966</v>
      </c>
      <c r="K41" s="5" t="n">
        <v>2019</v>
      </c>
      <c r="L41" s="5" t="n">
        <v>12</v>
      </c>
      <c r="M41" s="6" t="s">
        <v>41</v>
      </c>
      <c r="N41" s="12" t="s">
        <v>1</v>
      </c>
    </row>
    <row r="42" customFormat="false" ht="22.5" hidden="false" customHeight="false" outlineLevel="0" collapsed="false">
      <c r="A42" s="5" t="n">
        <f aca="false">IF(B42&lt;&gt;"", COUNTA($B$2:B42), "")</f>
        <v>41</v>
      </c>
      <c r="B42" s="6" t="s">
        <v>27</v>
      </c>
      <c r="C42" s="19" t="s">
        <v>2124</v>
      </c>
      <c r="D42" s="6" t="s">
        <v>3356</v>
      </c>
      <c r="E42" s="19"/>
      <c r="F42" s="5" t="s">
        <v>2115</v>
      </c>
      <c r="G42" s="5" t="n">
        <v>1</v>
      </c>
      <c r="H42" s="6" t="s">
        <v>3357</v>
      </c>
      <c r="I42" s="5" t="s">
        <v>1073</v>
      </c>
      <c r="J42" s="5" t="s">
        <v>1966</v>
      </c>
      <c r="K42" s="5" t="n">
        <v>2019</v>
      </c>
      <c r="L42" s="5" t="n">
        <v>12</v>
      </c>
      <c r="M42" s="6" t="s">
        <v>41</v>
      </c>
      <c r="N42" s="12" t="s">
        <v>1</v>
      </c>
    </row>
    <row r="43" customFormat="false" ht="22.5" hidden="false" customHeight="false" outlineLevel="0" collapsed="false">
      <c r="A43" s="5" t="n">
        <f aca="false">IF(B43&lt;&gt;"", COUNTA($B$2:B43), "")</f>
        <v>42</v>
      </c>
      <c r="B43" s="6" t="s">
        <v>27</v>
      </c>
      <c r="C43" s="19" t="s">
        <v>28</v>
      </c>
      <c r="D43" s="6" t="s">
        <v>3358</v>
      </c>
      <c r="E43" s="19"/>
      <c r="F43" s="5" t="s">
        <v>2115</v>
      </c>
      <c r="G43" s="5" t="n">
        <v>1</v>
      </c>
      <c r="H43" s="6" t="s">
        <v>3359</v>
      </c>
      <c r="I43" s="5" t="s">
        <v>1073</v>
      </c>
      <c r="J43" s="5" t="s">
        <v>1966</v>
      </c>
      <c r="K43" s="5" t="n">
        <v>2019</v>
      </c>
      <c r="L43" s="5" t="n">
        <v>12</v>
      </c>
      <c r="M43" s="6" t="s">
        <v>41</v>
      </c>
      <c r="N43" s="12" t="s">
        <v>1</v>
      </c>
    </row>
    <row r="44" customFormat="false" ht="22.5" hidden="false" customHeight="false" outlineLevel="0" collapsed="false">
      <c r="A44" s="5" t="n">
        <f aca="false">IF(B44&lt;&gt;"", COUNTA($B$2:B44), "")</f>
        <v>43</v>
      </c>
      <c r="B44" s="6" t="s">
        <v>27</v>
      </c>
      <c r="C44" s="19" t="s">
        <v>28</v>
      </c>
      <c r="D44" s="6" t="s">
        <v>3360</v>
      </c>
      <c r="E44" s="19"/>
      <c r="F44" s="5" t="s">
        <v>2115</v>
      </c>
      <c r="G44" s="5" t="n">
        <v>1</v>
      </c>
      <c r="H44" s="6" t="s">
        <v>3361</v>
      </c>
      <c r="I44" s="5" t="s">
        <v>1073</v>
      </c>
      <c r="J44" s="5" t="s">
        <v>1966</v>
      </c>
      <c r="K44" s="5" t="n">
        <v>2019</v>
      </c>
      <c r="L44" s="5" t="n">
        <v>12</v>
      </c>
      <c r="M44" s="6" t="s">
        <v>41</v>
      </c>
      <c r="N44" s="12" t="s">
        <v>1</v>
      </c>
    </row>
    <row r="45" customFormat="false" ht="22.5" hidden="false" customHeight="false" outlineLevel="0" collapsed="false">
      <c r="A45" s="5" t="n">
        <f aca="false">IF(B45&lt;&gt;"", COUNTA($B$2:B45), "")</f>
        <v>44</v>
      </c>
      <c r="B45" s="6" t="s">
        <v>27</v>
      </c>
      <c r="C45" s="19" t="s">
        <v>860</v>
      </c>
      <c r="D45" s="6" t="s">
        <v>3362</v>
      </c>
      <c r="E45" s="19"/>
      <c r="F45" s="5" t="s">
        <v>2115</v>
      </c>
      <c r="G45" s="5" t="n">
        <v>1</v>
      </c>
      <c r="H45" s="6" t="s">
        <v>3363</v>
      </c>
      <c r="I45" s="5" t="s">
        <v>1073</v>
      </c>
      <c r="J45" s="5" t="s">
        <v>1966</v>
      </c>
      <c r="K45" s="5" t="n">
        <v>2019</v>
      </c>
      <c r="L45" s="5" t="n">
        <v>12</v>
      </c>
      <c r="M45" s="6" t="s">
        <v>41</v>
      </c>
      <c r="N45" s="12" t="s">
        <v>1</v>
      </c>
    </row>
    <row r="46" customFormat="false" ht="22.5" hidden="false" customHeight="false" outlineLevel="0" collapsed="false">
      <c r="A46" s="5" t="n">
        <f aca="false">IF(B46&lt;&gt;"", COUNTA($B$2:B46), "")</f>
        <v>45</v>
      </c>
      <c r="B46" s="6" t="s">
        <v>27</v>
      </c>
      <c r="C46" s="19" t="s">
        <v>28</v>
      </c>
      <c r="D46" s="6" t="s">
        <v>3364</v>
      </c>
      <c r="E46" s="19"/>
      <c r="F46" s="5" t="s">
        <v>2115</v>
      </c>
      <c r="G46" s="5" t="n">
        <v>1.5</v>
      </c>
      <c r="H46" s="6" t="s">
        <v>3365</v>
      </c>
      <c r="I46" s="5" t="s">
        <v>1073</v>
      </c>
      <c r="J46" s="5" t="s">
        <v>1966</v>
      </c>
      <c r="K46" s="5" t="n">
        <v>2019</v>
      </c>
      <c r="L46" s="5" t="n">
        <v>12</v>
      </c>
      <c r="M46" s="6" t="s">
        <v>41</v>
      </c>
      <c r="N46" s="12" t="s">
        <v>1</v>
      </c>
    </row>
    <row r="47" customFormat="false" ht="22.5" hidden="false" customHeight="false" outlineLevel="0" collapsed="false">
      <c r="A47" s="5" t="n">
        <f aca="false">IF(B47&lt;&gt;"", COUNTA($B$2:B47), "")</f>
        <v>46</v>
      </c>
      <c r="B47" s="6" t="s">
        <v>27</v>
      </c>
      <c r="C47" s="19" t="s">
        <v>28</v>
      </c>
      <c r="D47" s="6" t="s">
        <v>3366</v>
      </c>
      <c r="E47" s="19"/>
      <c r="F47" s="5" t="s">
        <v>3367</v>
      </c>
      <c r="G47" s="5" t="n">
        <v>1.5</v>
      </c>
      <c r="H47" s="6" t="s">
        <v>3368</v>
      </c>
      <c r="I47" s="5" t="s">
        <v>1073</v>
      </c>
      <c r="J47" s="5" t="s">
        <v>1966</v>
      </c>
      <c r="K47" s="5" t="n">
        <v>2019</v>
      </c>
      <c r="L47" s="5" t="n">
        <v>12</v>
      </c>
      <c r="M47" s="6" t="s">
        <v>41</v>
      </c>
      <c r="N47" s="12" t="s">
        <v>1</v>
      </c>
    </row>
    <row r="48" customFormat="false" ht="22.5" hidden="false" customHeight="false" outlineLevel="0" collapsed="false">
      <c r="A48" s="5" t="n">
        <f aca="false">IF(B48&lt;&gt;"", COUNTA($B$2:B48), "")</f>
        <v>47</v>
      </c>
      <c r="B48" s="125" t="s">
        <v>57</v>
      </c>
      <c r="C48" s="12" t="s">
        <v>3369</v>
      </c>
      <c r="D48" s="134" t="n">
        <v>1634492</v>
      </c>
      <c r="E48" s="144" t="n">
        <v>43709</v>
      </c>
      <c r="F48" s="5" t="s">
        <v>2115</v>
      </c>
      <c r="G48" s="10" t="n">
        <v>0.1</v>
      </c>
      <c r="H48" s="12" t="s">
        <v>3370</v>
      </c>
      <c r="I48" s="5" t="s">
        <v>1073</v>
      </c>
      <c r="J48" s="69" t="s">
        <v>1966</v>
      </c>
      <c r="K48" s="132"/>
      <c r="L48" s="132"/>
      <c r="M48" s="132"/>
      <c r="N48" s="132"/>
    </row>
    <row r="49" customFormat="false" ht="22.5" hidden="false" customHeight="false" outlineLevel="0" collapsed="false">
      <c r="A49" s="5" t="n">
        <f aca="false">IF(B49&lt;&gt;"", COUNTA($B$2:B49), "")</f>
        <v>48</v>
      </c>
      <c r="B49" s="125" t="s">
        <v>57</v>
      </c>
      <c r="C49" s="12" t="s">
        <v>3369</v>
      </c>
      <c r="D49" s="134" t="n">
        <v>1634494</v>
      </c>
      <c r="E49" s="144" t="n">
        <v>43710</v>
      </c>
      <c r="F49" s="5" t="s">
        <v>2115</v>
      </c>
      <c r="G49" s="10" t="n">
        <v>0.1</v>
      </c>
      <c r="H49" s="12" t="s">
        <v>3371</v>
      </c>
      <c r="I49" s="5" t="s">
        <v>1073</v>
      </c>
      <c r="J49" s="69" t="s">
        <v>1966</v>
      </c>
      <c r="K49" s="132"/>
      <c r="L49" s="132"/>
      <c r="M49" s="132"/>
      <c r="N49" s="132"/>
    </row>
    <row r="50" customFormat="false" ht="22.5" hidden="false" customHeight="false" outlineLevel="0" collapsed="false">
      <c r="A50" s="5" t="n">
        <f aca="false">IF(B50&lt;&gt;"", COUNTA($B$2:B50), "")</f>
        <v>49</v>
      </c>
      <c r="B50" s="125" t="s">
        <v>57</v>
      </c>
      <c r="C50" s="12" t="s">
        <v>3369</v>
      </c>
      <c r="D50" s="134" t="n">
        <v>1634487</v>
      </c>
      <c r="E50" s="144" t="n">
        <v>43711</v>
      </c>
      <c r="F50" s="5" t="s">
        <v>2115</v>
      </c>
      <c r="G50" s="10" t="n">
        <v>0.1</v>
      </c>
      <c r="H50" s="12" t="s">
        <v>3372</v>
      </c>
      <c r="I50" s="5" t="s">
        <v>1073</v>
      </c>
      <c r="J50" s="69" t="s">
        <v>1966</v>
      </c>
      <c r="K50" s="132"/>
      <c r="L50" s="132"/>
      <c r="M50" s="132"/>
      <c r="N50" s="132"/>
    </row>
    <row r="51" customFormat="false" ht="22.5" hidden="false" customHeight="false" outlineLevel="0" collapsed="false">
      <c r="A51" s="5" t="n">
        <f aca="false">IF(B51&lt;&gt;"", COUNTA($B$2:B51), "")</f>
        <v>50</v>
      </c>
      <c r="B51" s="125" t="s">
        <v>57</v>
      </c>
      <c r="C51" s="12" t="s">
        <v>3369</v>
      </c>
      <c r="D51" s="134" t="n">
        <v>1634490</v>
      </c>
      <c r="E51" s="144" t="n">
        <v>43712</v>
      </c>
      <c r="F51" s="5" t="s">
        <v>2115</v>
      </c>
      <c r="G51" s="10" t="n">
        <v>0.1</v>
      </c>
      <c r="H51" s="12" t="s">
        <v>3373</v>
      </c>
      <c r="I51" s="5" t="s">
        <v>1073</v>
      </c>
      <c r="J51" s="69" t="s">
        <v>1966</v>
      </c>
      <c r="K51" s="132"/>
      <c r="L51" s="132"/>
      <c r="M51" s="132"/>
      <c r="N51" s="132"/>
    </row>
    <row r="52" customFormat="false" ht="22.5" hidden="false" customHeight="false" outlineLevel="0" collapsed="false">
      <c r="A52" s="5" t="n">
        <f aca="false">IF(B52&lt;&gt;"", COUNTA($B$2:B52), "")</f>
        <v>51</v>
      </c>
      <c r="B52" s="125" t="s">
        <v>57</v>
      </c>
      <c r="C52" s="12" t="s">
        <v>3369</v>
      </c>
      <c r="D52" s="134" t="n">
        <v>1634489</v>
      </c>
      <c r="E52" s="144" t="n">
        <v>43713</v>
      </c>
      <c r="F52" s="5" t="s">
        <v>2115</v>
      </c>
      <c r="G52" s="10" t="n">
        <v>0.1</v>
      </c>
      <c r="H52" s="12" t="s">
        <v>3374</v>
      </c>
      <c r="I52" s="5" t="s">
        <v>1073</v>
      </c>
      <c r="J52" s="69" t="s">
        <v>1966</v>
      </c>
      <c r="K52" s="132"/>
      <c r="L52" s="132"/>
      <c r="M52" s="132"/>
      <c r="N52" s="132"/>
    </row>
    <row r="53" customFormat="false" ht="22.5" hidden="false" customHeight="false" outlineLevel="0" collapsed="false">
      <c r="A53" s="5" t="n">
        <f aca="false">IF(B53&lt;&gt;"", COUNTA($B$2:B53), "")</f>
        <v>52</v>
      </c>
      <c r="B53" s="125" t="s">
        <v>57</v>
      </c>
      <c r="C53" s="12" t="s">
        <v>2440</v>
      </c>
      <c r="D53" s="134" t="n">
        <v>6194873</v>
      </c>
      <c r="E53" s="144" t="n">
        <v>44445</v>
      </c>
      <c r="F53" s="5" t="s">
        <v>2115</v>
      </c>
      <c r="G53" s="10" t="n">
        <v>0.1</v>
      </c>
      <c r="H53" s="12" t="s">
        <v>3375</v>
      </c>
      <c r="I53" s="5" t="s">
        <v>1073</v>
      </c>
      <c r="J53" s="69" t="s">
        <v>1966</v>
      </c>
      <c r="K53" s="132"/>
      <c r="L53" s="132"/>
      <c r="M53" s="132"/>
      <c r="N53" s="132"/>
    </row>
    <row r="54" customFormat="false" ht="22.5" hidden="false" customHeight="false" outlineLevel="0" collapsed="false">
      <c r="A54" s="5" t="n">
        <f aca="false">IF(B54&lt;&gt;"", COUNTA($B$2:B54), "")</f>
        <v>53</v>
      </c>
      <c r="B54" s="125" t="s">
        <v>57</v>
      </c>
      <c r="C54" s="12" t="s">
        <v>3369</v>
      </c>
      <c r="D54" s="134" t="n">
        <v>1634486</v>
      </c>
      <c r="E54" s="144" t="n">
        <v>43715</v>
      </c>
      <c r="F54" s="5" t="s">
        <v>2115</v>
      </c>
      <c r="G54" s="10" t="n">
        <v>0.1</v>
      </c>
      <c r="H54" s="12" t="s">
        <v>3376</v>
      </c>
      <c r="I54" s="5" t="s">
        <v>1073</v>
      </c>
      <c r="J54" s="69" t="s">
        <v>1966</v>
      </c>
      <c r="K54" s="132"/>
      <c r="L54" s="132"/>
      <c r="M54" s="132"/>
      <c r="N54" s="132"/>
    </row>
    <row r="55" customFormat="false" ht="22.5" hidden="false" customHeight="false" outlineLevel="0" collapsed="false">
      <c r="A55" s="5" t="n">
        <f aca="false">IF(B55&lt;&gt;"", COUNTA($B$2:B55), "")</f>
        <v>54</v>
      </c>
      <c r="B55" s="125" t="s">
        <v>57</v>
      </c>
      <c r="C55" s="12" t="s">
        <v>3369</v>
      </c>
      <c r="D55" s="134" t="n">
        <v>1634493</v>
      </c>
      <c r="E55" s="144" t="n">
        <v>43716</v>
      </c>
      <c r="F55" s="5" t="s">
        <v>2115</v>
      </c>
      <c r="G55" s="10" t="n">
        <v>0.1</v>
      </c>
      <c r="H55" s="12" t="s">
        <v>3377</v>
      </c>
      <c r="I55" s="5" t="s">
        <v>1073</v>
      </c>
      <c r="J55" s="69" t="s">
        <v>1966</v>
      </c>
      <c r="K55" s="132"/>
      <c r="L55" s="132"/>
      <c r="M55" s="132"/>
      <c r="N55" s="132"/>
    </row>
    <row r="56" customFormat="false" ht="22.5" hidden="false" customHeight="false" outlineLevel="0" collapsed="false">
      <c r="A56" s="5" t="n">
        <f aca="false">IF(B56&lt;&gt;"", COUNTA($B$2:B56), "")</f>
        <v>55</v>
      </c>
      <c r="B56" s="125" t="s">
        <v>57</v>
      </c>
      <c r="C56" s="12" t="s">
        <v>3369</v>
      </c>
      <c r="D56" s="134" t="n">
        <v>1634488</v>
      </c>
      <c r="E56" s="144" t="n">
        <v>43717</v>
      </c>
      <c r="F56" s="5" t="s">
        <v>2115</v>
      </c>
      <c r="G56" s="10" t="n">
        <v>0.1</v>
      </c>
      <c r="H56" s="12" t="s">
        <v>3378</v>
      </c>
      <c r="I56" s="5" t="s">
        <v>1073</v>
      </c>
      <c r="J56" s="69" t="s">
        <v>1966</v>
      </c>
      <c r="K56" s="132"/>
      <c r="L56" s="132"/>
      <c r="M56" s="132"/>
      <c r="N56" s="132"/>
    </row>
    <row r="57" customFormat="false" ht="22.5" hidden="false" customHeight="false" outlineLevel="0" collapsed="false">
      <c r="A57" s="5" t="n">
        <f aca="false">IF(B57&lt;&gt;"", COUNTA($B$2:B57), "")</f>
        <v>56</v>
      </c>
      <c r="B57" s="125" t="s">
        <v>57</v>
      </c>
      <c r="C57" s="12" t="s">
        <v>3369</v>
      </c>
      <c r="D57" s="134" t="n">
        <v>1634491</v>
      </c>
      <c r="E57" s="144" t="n">
        <v>43717</v>
      </c>
      <c r="F57" s="5" t="s">
        <v>2115</v>
      </c>
      <c r="G57" s="10" t="n">
        <v>0.1</v>
      </c>
      <c r="H57" s="12" t="s">
        <v>3379</v>
      </c>
      <c r="I57" s="5" t="s">
        <v>1073</v>
      </c>
      <c r="J57" s="69" t="s">
        <v>1966</v>
      </c>
      <c r="K57" s="132"/>
      <c r="L57" s="132"/>
      <c r="M57" s="132"/>
      <c r="N57" s="132"/>
    </row>
    <row r="58" customFormat="false" ht="22.5" hidden="false" customHeight="false" outlineLevel="0" collapsed="false">
      <c r="A58" s="5" t="n">
        <f aca="false">IF(B58&lt;&gt;"", COUNTA($B$2:B58), "")</f>
        <v>57</v>
      </c>
      <c r="B58" s="125" t="s">
        <v>57</v>
      </c>
      <c r="C58" s="12" t="s">
        <v>3380</v>
      </c>
      <c r="D58" s="134" t="n">
        <v>1634497</v>
      </c>
      <c r="E58" s="144" t="n">
        <v>43717</v>
      </c>
      <c r="F58" s="19" t="s">
        <v>3381</v>
      </c>
      <c r="G58" s="10" t="n">
        <v>0.1</v>
      </c>
      <c r="H58" s="12" t="s">
        <v>3382</v>
      </c>
      <c r="I58" s="5" t="s">
        <v>1073</v>
      </c>
      <c r="J58" s="69" t="s">
        <v>1966</v>
      </c>
      <c r="K58" s="132"/>
      <c r="L58" s="132"/>
      <c r="M58" s="132"/>
      <c r="N58" s="132"/>
    </row>
    <row r="59" s="231" customFormat="true" ht="22.5" hidden="false" customHeight="false" outlineLevel="0" collapsed="false">
      <c r="A59" s="5" t="n">
        <f aca="false">IF(B59&lt;&gt;"", COUNTA($B$2:B59), "")</f>
        <v>58</v>
      </c>
      <c r="B59" s="224" t="s">
        <v>64</v>
      </c>
      <c r="C59" s="76" t="s">
        <v>2913</v>
      </c>
      <c r="D59" s="225" t="n">
        <v>40</v>
      </c>
      <c r="E59" s="226" t="n">
        <v>43678</v>
      </c>
      <c r="F59" s="227" t="s">
        <v>3383</v>
      </c>
      <c r="G59" s="228" t="s">
        <v>3384</v>
      </c>
      <c r="H59" s="74" t="s">
        <v>3385</v>
      </c>
      <c r="I59" s="74" t="s">
        <v>1073</v>
      </c>
      <c r="J59" s="229" t="s">
        <v>1966</v>
      </c>
      <c r="K59" s="230"/>
      <c r="L59" s="230"/>
      <c r="M59" s="230"/>
      <c r="N59" s="230"/>
    </row>
    <row r="60" s="231" customFormat="true" ht="22.5" hidden="false" customHeight="false" outlineLevel="0" collapsed="false">
      <c r="A60" s="5" t="n">
        <f aca="false">IF(B60&lt;&gt;"", COUNTA($B$2:B60), "")</f>
        <v>59</v>
      </c>
      <c r="B60" s="224" t="s">
        <v>64</v>
      </c>
      <c r="C60" s="76" t="s">
        <v>2913</v>
      </c>
      <c r="D60" s="225" t="n">
        <v>41</v>
      </c>
      <c r="E60" s="226" t="n">
        <v>43678</v>
      </c>
      <c r="F60" s="227" t="s">
        <v>3383</v>
      </c>
      <c r="G60" s="228" t="s">
        <v>3384</v>
      </c>
      <c r="H60" s="74" t="s">
        <v>1072</v>
      </c>
      <c r="I60" s="74" t="s">
        <v>1073</v>
      </c>
      <c r="J60" s="229" t="s">
        <v>1966</v>
      </c>
      <c r="K60" s="230"/>
      <c r="L60" s="230"/>
      <c r="M60" s="230"/>
      <c r="N60" s="230"/>
    </row>
    <row r="61" s="231" customFormat="true" ht="22.5" hidden="false" customHeight="false" outlineLevel="0" collapsed="false">
      <c r="A61" s="5" t="n">
        <f aca="false">IF(B61&lt;&gt;"", COUNTA($B$2:B61), "")</f>
        <v>60</v>
      </c>
      <c r="B61" s="224" t="s">
        <v>64</v>
      </c>
      <c r="C61" s="76" t="s">
        <v>3386</v>
      </c>
      <c r="D61" s="225" t="n">
        <v>95</v>
      </c>
      <c r="E61" s="226" t="n">
        <v>43678</v>
      </c>
      <c r="F61" s="227" t="s">
        <v>3387</v>
      </c>
      <c r="G61" s="228" t="s">
        <v>3384</v>
      </c>
      <c r="H61" s="76" t="s">
        <v>3388</v>
      </c>
      <c r="I61" s="74" t="s">
        <v>1073</v>
      </c>
      <c r="J61" s="74" t="s">
        <v>1966</v>
      </c>
      <c r="K61" s="230"/>
      <c r="L61" s="230"/>
      <c r="M61" s="230"/>
      <c r="N61" s="230"/>
    </row>
  </sheetData>
  <conditionalFormatting sqref="M1:M1048576">
    <cfRule type="expression" priority="2" aboveAverage="0" equalAverage="0" bottom="0" percent="0" rank="0" text="" dxfId="39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17.58"/>
    <col collapsed="false" customWidth="true" hidden="false" outlineLevel="0" max="3" min="3" style="0" width="8.14"/>
    <col collapsed="false" customWidth="true" hidden="false" outlineLevel="0" max="4" min="4" style="0" width="8"/>
    <col collapsed="false" customWidth="true" hidden="false" outlineLevel="0" max="5" min="5" style="0" width="6.57"/>
    <col collapsed="false" customWidth="true" hidden="false" outlineLevel="0" max="6" min="6" style="0" width="9.71"/>
    <col collapsed="false" customWidth="true" hidden="false" outlineLevel="0" max="7" min="7" style="0" width="7.42"/>
    <col collapsed="false" customWidth="true" hidden="false" outlineLevel="0" max="8" min="8" style="0" width="12.86"/>
    <col collapsed="false" customWidth="true" hidden="false" outlineLevel="0" max="9" min="9" style="0" width="8"/>
    <col collapsed="false" customWidth="true" hidden="false" outlineLevel="0" max="10" min="10" style="0" width="17.42"/>
    <col collapsed="false" customWidth="true" hidden="false" outlineLevel="0" max="11" min="11" style="0" width="8"/>
    <col collapsed="false" customWidth="true" hidden="false" outlineLevel="0" max="12" min="12" style="0" width="12.57"/>
    <col collapsed="false" customWidth="true" hidden="false" outlineLevel="0" max="13" min="13" style="0" width="8.86"/>
    <col collapsed="false" customWidth="true" hidden="false" outlineLevel="0" max="14" min="14" style="0" width="9"/>
  </cols>
  <sheetData>
    <row r="1" customFormat="false" ht="4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6" t="s">
        <v>25</v>
      </c>
      <c r="N1" s="5" t="s">
        <v>26</v>
      </c>
    </row>
    <row r="2" customFormat="false" ht="22.5" hidden="false" customHeight="false" outlineLevel="0" collapsed="false">
      <c r="A2" s="232"/>
      <c r="B2" s="232" t="s">
        <v>27</v>
      </c>
      <c r="C2" s="232" t="s">
        <v>28</v>
      </c>
      <c r="D2" s="232" t="n">
        <v>30167</v>
      </c>
      <c r="E2" s="232" t="n">
        <v>2010</v>
      </c>
      <c r="F2" s="232" t="s">
        <v>3389</v>
      </c>
      <c r="G2" s="232" t="n">
        <v>1.5</v>
      </c>
      <c r="H2" s="232" t="s">
        <v>1676</v>
      </c>
      <c r="I2" s="232" t="s">
        <v>1563</v>
      </c>
      <c r="J2" s="232" t="s">
        <v>32</v>
      </c>
      <c r="K2" s="232" t="n">
        <v>2012</v>
      </c>
      <c r="L2" s="232" t="n">
        <v>12</v>
      </c>
      <c r="M2" s="233" t="s">
        <v>1291</v>
      </c>
      <c r="N2" s="232" t="s">
        <v>38</v>
      </c>
    </row>
    <row r="3" customFormat="false" ht="22.5" hidden="false" customHeight="false" outlineLevel="0" collapsed="false">
      <c r="A3" s="53"/>
      <c r="B3" s="53" t="s">
        <v>27</v>
      </c>
      <c r="C3" s="53" t="s">
        <v>28</v>
      </c>
      <c r="D3" s="53" t="n">
        <v>700310</v>
      </c>
      <c r="E3" s="53" t="n">
        <v>2010</v>
      </c>
      <c r="F3" s="53" t="s">
        <v>2126</v>
      </c>
      <c r="G3" s="53" t="n">
        <v>1.5</v>
      </c>
      <c r="H3" s="53" t="s">
        <v>1676</v>
      </c>
      <c r="I3" s="53" t="s">
        <v>1563</v>
      </c>
      <c r="J3" s="53" t="s">
        <v>32</v>
      </c>
      <c r="K3" s="53" t="n">
        <v>2012</v>
      </c>
      <c r="L3" s="53" t="n">
        <v>12</v>
      </c>
      <c r="M3" s="234" t="s">
        <v>37</v>
      </c>
      <c r="N3" s="53" t="s">
        <v>38</v>
      </c>
    </row>
  </sheetData>
  <conditionalFormatting sqref="M1:M2">
    <cfRule type="expression" priority="2" aboveAverage="0" equalAverage="0" bottom="0" percent="0" rank="0" text="" dxfId="4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M3">
    <cfRule type="expression" priority="3" aboveAverage="0" equalAverage="0" bottom="0" percent="0" rank="0" text="" dxfId="41">
      <formula>OR(AND(IF(VALUE(LEFT(TEXT($M3,"0"),1))&lt;=INT((MONTH(TODAY())+2)/3),1),IF(VALUE(RIGHT(TEXT($M3,"0"),2))+($L3/12)&lt;=VALUE(TEXT(TODAY(),"ГГ")),1),OR($N3="К",$N3="K", ,$N3="П")),IFERROR(AND(IF(INT((MONTH($M3)+2)/3)&lt;=INT((MONTH(TODAY())+2)/3),1),IF(VALUE(TEXT($M3,"ГГ"))+($L3/12)&lt;=VALUE(TEXT(TODAY(),"ГГ")),1),OR($N3="К",$N3="K",$N3="П")),0))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LibreOffice/7.1.6.2$Windows_X86_64 LibreOffice_project/0e133318fcee89abacd6a7d077e292f1145735c3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2019-05-27T06:08:35Z</dcterms:created>
  <dc:creator>АСУ КЦ6</dc:creator>
  <dc:description/>
  <dc:language>en-US</dc:language>
  <cp:lastModifiedBy>АСУ КЦ 6-7</cp:lastModifiedBy>
  <cp:lastPrinted>2026-07-23T06:15:52Z</cp:lastPrinted>
  <dcterms:modified xsi:type="dcterms:W3CDTF">2026-09-11T13:33:10Z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