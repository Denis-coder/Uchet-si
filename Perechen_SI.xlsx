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1" activeTab="4" autoFilterDateGrouping="1"/>
  </bookViews>
  <sheets>
    <sheet name="Лист1" sheetId="1" state="hidden" r:id="rId1"/>
    <sheet name="ГПА 61" sheetId="2" state="visible" r:id="rId2"/>
    <sheet name="ГПА 62" sheetId="3" state="visible" r:id="rId3"/>
    <sheet name="ГПА 63" sheetId="4" state="visible" r:id="rId4"/>
    <sheet name="ГПА 64" sheetId="5" state="visible" r:id="rId5"/>
    <sheet name="ПП КЦ6" sheetId="6" state="visible" r:id="rId6"/>
    <sheet name="УП КЦ6" sheetId="7" state="visible" r:id="rId7"/>
    <sheet name="УПТИГ" sheetId="8" state="visible" r:id="rId8"/>
    <sheet name="УОГ" sheetId="9" state="visible" r:id="rId9"/>
    <sheet name="Котельная" sheetId="10" state="visible" r:id="rId10"/>
    <sheet name="КОС" sheetId="11" state="visible" r:id="rId11"/>
    <sheet name="НХПВ" sheetId="12" state="visible" r:id="rId12"/>
    <sheet name="НППВ" sheetId="13" state="visible" r:id="rId13"/>
    <sheet name="Водомерный узел" sheetId="14" state="visible" r:id="rId14"/>
    <sheet name="Тепловые узлы" sheetId="15" state="visible" r:id="rId15"/>
    <sheet name="Венткамеры" sheetId="16" state="visible" r:id="rId16"/>
    <sheet name="Арт. скважины" sheetId="17" state="visible" r:id="rId17"/>
    <sheet name="СИ" sheetId="18" state="visible" r:id="rId18"/>
    <sheet name="Индикаторы" sheetId="19" state="visible" r:id="rId19"/>
    <sheet name="Лист2" sheetId="20" state="visible" r:id="rId20"/>
    <sheet name="Резерв б|у" sheetId="21" state="visible" r:id="rId21"/>
    <sheet name="Резерв (новые)" sheetId="22" state="visible" r:id="rId22"/>
    <sheet name="ГПА 71" sheetId="23" state="visible" r:id="rId23"/>
    <sheet name="ГПА 72" sheetId="24" state="visible" r:id="rId24"/>
    <sheet name="ГПА 73" sheetId="25" state="visible" r:id="rId25"/>
    <sheet name="ПП КЦ7" sheetId="26" state="visible" r:id="rId26"/>
    <sheet name="УТО" sheetId="27" state="visible" r:id="rId27"/>
    <sheet name="УПТПГ" sheetId="28" state="visible" r:id="rId28"/>
    <sheet name="ПЭБ КЦ-7 тепловой узел" sheetId="29" state="visible" r:id="rId29"/>
    <sheet name="УП КЦ7" sheetId="30" state="visible" r:id="rId30"/>
    <sheet name="Замены июль 2026" sheetId="31" state="visible" r:id="rId31"/>
  </sheets>
  <definedNames>
    <definedName name="_xlnm.Print_Area" localSheetId="1">'ГПА 61'!$A$1:$I$235</definedName>
    <definedName name="_xlnm.Print_Area" localSheetId="2">'ГПА 62'!$A$1:$I$235</definedName>
    <definedName name="_xlnm.Print_Area" localSheetId="10">'КОС'!$A$1:$N$14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m/d/yyyy"/>
    <numFmt numFmtId="165" formatCode="dd/mm/yy;@"/>
    <numFmt numFmtId="166" formatCode="0.000%"/>
    <numFmt numFmtId="167" formatCode="0.0"/>
    <numFmt numFmtId="168" formatCode="mmm\-yy"/>
    <numFmt numFmtId="169" formatCode="[$-419]mmm\.yy"/>
    <numFmt numFmtId="170" formatCode="[$-419]dd\.mmm"/>
    <numFmt numFmtId="171" formatCode="dd\.mm\.yyyy"/>
    <numFmt numFmtId="172" formatCode="d\-mmm"/>
  </numFmts>
  <fonts count="22">
    <font>
      <name val="Calibri"/>
      <charset val="204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204"/>
      <family val="2"/>
      <color rgb="FF000000"/>
      <sz val="10"/>
    </font>
    <font>
      <name val="Times New Roman"/>
      <charset val="204"/>
      <family val="1"/>
      <color rgb="FF000000"/>
      <sz val="8"/>
    </font>
    <font>
      <name val="Times New Roman"/>
      <charset val="204"/>
      <family val="1"/>
      <sz val="8"/>
    </font>
    <font>
      <name val="Times New Roman"/>
      <charset val="204"/>
      <family val="1"/>
      <color rgb="FF000000"/>
      <sz val="8"/>
      <vertAlign val="superscript"/>
    </font>
    <font>
      <name val="Times New Roman"/>
      <charset val="204"/>
      <family val="1"/>
      <sz val="8"/>
      <vertAlign val="superscript"/>
    </font>
    <font>
      <name val="Times New Roman"/>
      <charset val="204"/>
      <family val="1"/>
      <color rgb="FF000000"/>
      <sz val="9"/>
    </font>
    <font>
      <name val="Calibri"/>
      <charset val="204"/>
      <family val="2"/>
      <color rgb="FF000000"/>
      <sz val="8"/>
    </font>
    <font>
      <name val="Times New Roman"/>
      <charset val="204"/>
      <family val="1"/>
      <color rgb="FFFFFFFF"/>
      <sz val="8"/>
    </font>
    <font>
      <name val="Times New Roman"/>
      <charset val="204"/>
      <family val="1"/>
      <color rgb="FF000000"/>
      <sz val="10"/>
    </font>
    <font>
      <name val="Calibri"/>
      <charset val="204"/>
      <family val="2"/>
      <sz val="11"/>
    </font>
    <font>
      <name val="Times New Roman"/>
      <charset val="204"/>
      <family val="1"/>
      <sz val="9"/>
    </font>
    <font>
      <name val="Calibri"/>
      <charset val="204"/>
      <family val="2"/>
      <sz val="8"/>
    </font>
    <font>
      <name val="Calibri"/>
      <charset val="204"/>
      <family val="2"/>
      <color rgb="FFFF0000"/>
      <sz val="8"/>
    </font>
    <font>
      <name val="Times New Roman"/>
      <charset val="204"/>
      <family val="1"/>
      <color rgb="FFFF0000"/>
      <sz val="8"/>
    </font>
    <font>
      <name val="Calibri"/>
      <charset val="204"/>
      <family val="2"/>
      <color rgb="FF000000"/>
      <sz val="12"/>
    </font>
    <font>
      <name val="Times New Roman"/>
      <charset val="204"/>
      <family val="1"/>
      <color rgb="FF000000"/>
      <sz val="8"/>
      <vertAlign val="subscript"/>
    </font>
    <font>
      <name val="Times New Roman"/>
      <charset val="204"/>
      <family val="1"/>
      <color rgb="FFC00000"/>
      <sz val="8"/>
    </font>
    <font>
      <name val="Times New Roman"/>
      <charset val="204"/>
      <family val="1"/>
      <color rgb="FF000000"/>
      <sz val="9.199999999999999"/>
    </font>
  </fonts>
  <fills count="12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00B050"/>
        <bgColor rgb="FF008080"/>
      </patternFill>
    </fill>
    <fill>
      <patternFill patternType="solid">
        <fgColor rgb="FFA9D18E"/>
        <bgColor rgb="FF92D050"/>
      </patternFill>
    </fill>
    <fill>
      <patternFill patternType="solid">
        <fgColor rgb="FFFFD966"/>
        <bgColor rgb="FFFFCC00"/>
      </patternFill>
    </fill>
    <fill>
      <patternFill patternType="solid">
        <fgColor rgb="FF9DC3E6"/>
        <bgColor rgb="FFCCCCFF"/>
      </patternFill>
    </fill>
    <fill>
      <patternFill patternType="solid">
        <fgColor rgb="FF92D050"/>
        <bgColor rgb="FFA9D18E"/>
      </patternFill>
    </fill>
    <fill>
      <patternFill patternType="solid">
        <fgColor rgb="FF385724"/>
        <bgColor rgb="FF333300"/>
      </patternFill>
    </fill>
    <fill>
      <patternFill patternType="solid">
        <fgColor rgb="FFF2F2F2"/>
        <bgColor rgb="FFFFFFFF"/>
      </patternFill>
    </fill>
    <fill>
      <patternFill patternType="solid">
        <fgColor rgb="FFFF0000"/>
        <bgColor rgb="FFC00000"/>
      </patternFill>
    </fill>
  </fills>
  <borders count="12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 style="thin"/>
      <bottom style="thin"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</cellStyleXfs>
  <cellXfs count="422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 wrapText="1"/>
    </xf>
    <xf numFmtId="0" fontId="6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49" fontId="5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20">
      <alignment horizontal="center" vertical="center" wrapText="1"/>
    </xf>
    <xf numFmtId="49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49" fontId="5" fillId="3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general" vertical="bottom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1" applyAlignment="1" pivotButton="0" quotePrefix="0" xfId="0">
      <alignment horizontal="general" vertical="bottom"/>
    </xf>
    <xf numFmtId="10" fontId="6" fillId="0" borderId="1" applyAlignment="1" pivotButton="0" quotePrefix="0" xfId="0">
      <alignment horizontal="center" vertical="center" wrapText="1"/>
    </xf>
    <xf numFmtId="9" fontId="6" fillId="0" borderId="1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6" fillId="0" borderId="3" applyAlignment="1" pivotButton="0" quotePrefix="0" xfId="0">
      <alignment horizontal="center" vertical="center" wrapText="1"/>
    </xf>
    <xf numFmtId="49" fontId="6" fillId="0" borderId="3" applyAlignment="1" pivotButton="0" quotePrefix="0" xfId="0">
      <alignment horizontal="center" vertical="center" wrapText="1"/>
    </xf>
    <xf numFmtId="49" fontId="5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49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applyProtection="1" pivotButton="0" quotePrefix="0" xfId="0">
      <alignment horizontal="center" vertical="center" wrapText="1"/>
      <protection locked="0" hidden="0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center" vertical="center" wrapText="1"/>
    </xf>
    <xf numFmtId="49" fontId="5" fillId="5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 wrapText="1"/>
    </xf>
    <xf numFmtId="0" fontId="6" fillId="0" borderId="3" applyAlignment="1" applyProtection="1" pivotButton="0" quotePrefix="0" xfId="0">
      <alignment horizontal="center" vertical="center" wrapText="1"/>
      <protection locked="0" hidden="0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general" vertical="bottom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49" fontId="5" fillId="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5" fillId="2" borderId="1" applyAlignment="1" pivotButton="0" quotePrefix="0" xfId="2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10" fontId="6" fillId="2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21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2" applyAlignment="1" pivotButton="0" quotePrefix="0" xfId="0">
      <alignment horizontal="center" vertical="center" wrapText="1"/>
    </xf>
    <xf numFmtId="49" fontId="6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49" fontId="6" fillId="3" borderId="1" applyAlignment="1" pivotButton="0" quotePrefix="0" xfId="0">
      <alignment horizontal="center" vertical="center"/>
    </xf>
    <xf numFmtId="49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49" fontId="6" fillId="0" borderId="2" applyAlignment="1" applyProtection="1" pivotButton="0" quotePrefix="0" xfId="0">
      <alignment horizontal="center" vertical="center" wrapText="1"/>
      <protection locked="0" hidden="0"/>
    </xf>
    <xf numFmtId="49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168" fontId="6" fillId="0" borderId="1" applyAlignment="1" pivotButton="0" quotePrefix="0" xfId="0">
      <alignment horizontal="center" vertical="center" wrapText="1"/>
    </xf>
    <xf numFmtId="168" fontId="6" fillId="3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applyProtection="1" pivotButton="0" quotePrefix="0" xfId="0">
      <alignment horizontal="center" vertical="center" wrapText="1"/>
      <protection locked="0" hidden="0"/>
    </xf>
    <xf numFmtId="0" fontId="12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center"/>
    </xf>
    <xf numFmtId="0" fontId="0" fillId="0" borderId="1" applyAlignment="1" pivotButton="0" quotePrefix="0" xfId="0">
      <alignment horizontal="center" vertical="bottom"/>
    </xf>
    <xf numFmtId="0" fontId="6" fillId="0" borderId="5" applyAlignment="1" applyProtection="1" pivotButton="0" quotePrefix="0" xfId="0">
      <alignment horizontal="center" vertical="center" wrapText="1"/>
      <protection locked="0" hidden="0"/>
    </xf>
    <xf numFmtId="0" fontId="5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bottom"/>
    </xf>
    <xf numFmtId="49" fontId="5" fillId="0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49" fontId="5" fillId="0" borderId="1" applyAlignment="1" pivotButton="0" quotePrefix="0" xfId="0">
      <alignment horizontal="center" vertical="bottom"/>
    </xf>
    <xf numFmtId="164" fontId="5" fillId="0" borderId="1" applyAlignment="1" pivotButton="0" quotePrefix="0" xfId="0">
      <alignment horizontal="center" vertical="bottom"/>
    </xf>
    <xf numFmtId="0" fontId="5" fillId="0" borderId="6" applyAlignment="1" pivotButton="0" quotePrefix="0" xfId="0">
      <alignment horizontal="center" vertical="bottom"/>
    </xf>
    <xf numFmtId="0" fontId="5" fillId="0" borderId="7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bottom"/>
    </xf>
    <xf numFmtId="49" fontId="5" fillId="7" borderId="1" applyAlignment="1" pivotButton="0" quotePrefix="0" xfId="0">
      <alignment horizontal="center" vertical="bottom"/>
    </xf>
    <xf numFmtId="0" fontId="5" fillId="7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13" fillId="0" borderId="0" applyAlignment="1" pivotButton="0" quotePrefix="0" xfId="0">
      <alignment horizontal="general" vertical="center"/>
    </xf>
    <xf numFmtId="0" fontId="1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20">
      <alignment horizontal="center" vertical="center" wrapText="1"/>
    </xf>
    <xf numFmtId="0" fontId="6" fillId="0" borderId="1" applyAlignment="1" pivotButton="0" quotePrefix="0" xfId="20">
      <alignment horizontal="center" vertical="center" wrapText="1"/>
    </xf>
    <xf numFmtId="9" fontId="6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169" fontId="6" fillId="0" borderId="1" applyAlignment="1" pivotButton="0" quotePrefix="0" xfId="0">
      <alignment horizontal="center" vertical="center" wrapText="1"/>
    </xf>
    <xf numFmtId="170" fontId="5" fillId="0" borderId="1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bottom"/>
    </xf>
    <xf numFmtId="169" fontId="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center" vertical="center"/>
    </xf>
    <xf numFmtId="169" fontId="10" fillId="0" borderId="1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169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49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general" vertical="bottom"/>
    </xf>
    <xf numFmtId="169" fontId="6" fillId="0" borderId="1" applyAlignment="1" pivotButton="0" quotePrefix="0" xfId="0">
      <alignment horizontal="center" vertical="center"/>
    </xf>
    <xf numFmtId="10" fontId="1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 wrapText="1"/>
    </xf>
    <xf numFmtId="10" fontId="6" fillId="0" borderId="1" applyAlignment="1" pivotButton="0" quotePrefix="0" xfId="0">
      <alignment horizontal="center" vertical="bottom"/>
    </xf>
    <xf numFmtId="0" fontId="14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applyProtection="1" pivotButton="0" quotePrefix="0" xfId="0">
      <alignment horizontal="center" vertical="center" wrapText="1"/>
      <protection locked="0" hidden="0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49" fontId="5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/>
    </xf>
    <xf numFmtId="0" fontId="0" fillId="8" borderId="0" applyAlignment="1" pivotButton="0" quotePrefix="0" xfId="0">
      <alignment horizontal="general" vertical="bottom"/>
    </xf>
    <xf numFmtId="49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0" borderId="5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center" vertical="top" wrapText="1"/>
    </xf>
    <xf numFmtId="0" fontId="20" fillId="0" borderId="1" applyAlignment="1" pivotButton="0" quotePrefix="0" xfId="0">
      <alignment horizontal="center" vertical="center"/>
    </xf>
    <xf numFmtId="171" fontId="5" fillId="0" borderId="1" applyAlignment="1" pivotButton="0" quotePrefix="0" xfId="0">
      <alignment horizontal="center" vertical="center" wrapText="1"/>
    </xf>
    <xf numFmtId="10" fontId="6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general" vertical="bottom" wrapText="1"/>
    </xf>
    <xf numFmtId="0" fontId="5" fillId="3" borderId="3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general" vertical="center" wrapText="1"/>
    </xf>
    <xf numFmtId="0" fontId="0" fillId="3" borderId="0" applyAlignment="1" pivotButton="0" quotePrefix="0" xfId="0">
      <alignment horizontal="general" vertical="bottom" wrapText="1"/>
    </xf>
    <xf numFmtId="0" fontId="10" fillId="0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14" fillId="0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 wrapText="1"/>
    </xf>
    <xf numFmtId="0" fontId="15" fillId="0" borderId="1" applyAlignment="1" pivotButton="0" quotePrefix="0" xfId="0">
      <alignment horizontal="center" vertical="center" wrapText="1"/>
    </xf>
    <xf numFmtId="169" fontId="5" fillId="0" borderId="1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general" vertical="bottom" wrapText="1"/>
    </xf>
    <xf numFmtId="169" fontId="15" fillId="0" borderId="1" applyAlignment="1" pivotButton="0" quotePrefix="0" xfId="0">
      <alignment horizontal="center" vertical="center" wrapText="1"/>
    </xf>
    <xf numFmtId="169" fontId="10" fillId="0" borderId="1" applyAlignment="1" pivotButton="0" quotePrefix="0" xfId="0">
      <alignment horizontal="center" vertical="center" wrapText="1"/>
    </xf>
    <xf numFmtId="49" fontId="15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general" vertical="bottom" wrapText="1"/>
    </xf>
    <xf numFmtId="0" fontId="13" fillId="0" borderId="0" applyAlignment="1" pivotButton="0" quotePrefix="0" xfId="0">
      <alignment horizontal="general" vertical="center" wrapText="1"/>
    </xf>
    <xf numFmtId="10" fontId="15" fillId="0" borderId="1" applyAlignment="1" pivotButton="0" quotePrefix="0" xfId="0">
      <alignment horizontal="center" vertical="center" wrapText="1"/>
    </xf>
    <xf numFmtId="10" fontId="6" fillId="0" borderId="1" applyAlignment="1" pivotButton="0" quotePrefix="0" xfId="0">
      <alignment horizontal="general" vertical="bottom" wrapText="1"/>
    </xf>
    <xf numFmtId="0" fontId="18" fillId="0" borderId="1" applyAlignment="1" pivotButton="0" quotePrefix="0" xfId="0">
      <alignment horizontal="center" vertical="bottom" wrapText="1"/>
    </xf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general" vertical="bottom" wrapText="1"/>
    </xf>
    <xf numFmtId="0" fontId="5" fillId="6" borderId="3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general" vertical="bottom" wrapText="1"/>
    </xf>
    <xf numFmtId="0" fontId="13" fillId="6" borderId="0" applyAlignment="1" pivotButton="0" quotePrefix="0" xfId="0">
      <alignment horizontal="general" vertical="center" wrapText="1"/>
    </xf>
    <xf numFmtId="0" fontId="0" fillId="6" borderId="0" applyAlignment="1" pivotButton="0" quotePrefix="0" xfId="0">
      <alignment horizontal="general" vertical="bottom" wrapText="1"/>
    </xf>
    <xf numFmtId="0" fontId="14" fillId="0" borderId="2" applyAlignment="1" pivotButton="0" quotePrefix="0" xfId="0">
      <alignment horizontal="center" vertical="center" wrapText="1"/>
    </xf>
    <xf numFmtId="49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general" vertical="bottom"/>
    </xf>
    <xf numFmtId="49" fontId="6" fillId="8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49" fontId="6" fillId="3" borderId="1" applyAlignment="1" pivotButton="0" quotePrefix="0" xfId="0">
      <alignment horizontal="center" vertical="center" wrapText="1"/>
    </xf>
    <xf numFmtId="10" fontId="5" fillId="0" borderId="1" applyAlignment="1" pivotButton="0" quotePrefix="0" xfId="0">
      <alignment horizontal="center" vertical="center" wrapText="1"/>
    </xf>
    <xf numFmtId="172" fontId="5" fillId="0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49" fontId="5" fillId="9" borderId="1" applyAlignment="1" pivotButton="0" quotePrefix="0" xfId="0">
      <alignment horizontal="center" vertical="center" wrapText="1"/>
    </xf>
    <xf numFmtId="49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general" vertical="bottom"/>
    </xf>
    <xf numFmtId="0" fontId="5" fillId="2" borderId="1" applyAlignment="1" pivotButton="0" quotePrefix="0" xfId="20">
      <alignment horizontal="center" vertical="center" wrapText="1"/>
    </xf>
    <xf numFmtId="0" fontId="10" fillId="2" borderId="1" applyAlignment="1" pivotButton="0" quotePrefix="0" xfId="0">
      <alignment horizontal="center" vertical="center"/>
    </xf>
    <xf numFmtId="169" fontId="10" fillId="2" borderId="1" applyAlignment="1" pivotButton="0" quotePrefix="0" xfId="0">
      <alignment horizontal="center" vertical="center"/>
    </xf>
    <xf numFmtId="49" fontId="6" fillId="2" borderId="1" applyAlignment="1" pivotButton="0" quotePrefix="0" xfId="0">
      <alignment horizontal="center" vertical="center" wrapText="1"/>
    </xf>
    <xf numFmtId="10" fontId="10" fillId="2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bottom"/>
    </xf>
    <xf numFmtId="0" fontId="5" fillId="11" borderId="1" applyAlignment="1" pivotButton="0" quotePrefix="0" xfId="0">
      <alignment horizontal="center" vertical="center" wrapText="1"/>
    </xf>
    <xf numFmtId="168" fontId="6" fillId="11" borderId="1" applyAlignment="1" pivotButton="0" quotePrefix="0" xfId="0">
      <alignment horizontal="center" vertical="center" wrapText="1"/>
    </xf>
    <xf numFmtId="168" fontId="6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 wrapText="1"/>
    </xf>
    <xf numFmtId="0" fontId="6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20">
      <alignment horizontal="center" vertical="center" wrapText="1"/>
    </xf>
    <xf numFmtId="0" fontId="0" fillId="3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 wrapText="1"/>
    </xf>
    <xf numFmtId="49" fontId="5" fillId="0" borderId="1" applyAlignment="1" applyProtection="1" pivotButton="0" quotePrefix="0" xfId="0">
      <alignment horizontal="center" vertical="center" wrapText="1"/>
      <protection locked="0" hidden="0"/>
    </xf>
    <xf numFmtId="49" fontId="6" fillId="0" borderId="1" applyAlignment="1" pivotButton="0" quotePrefix="0" xfId="0">
      <alignment horizontal="center" vertical="center" wrapText="1"/>
    </xf>
    <xf numFmtId="49" fontId="5" fillId="0" borderId="1" applyAlignment="1" pivotButton="0" quotePrefix="0" xfId="20">
      <alignment horizontal="center" vertical="center" wrapText="1"/>
    </xf>
    <xf numFmtId="49" fontId="6" fillId="0" borderId="3" applyAlignment="1" pivotButton="0" quotePrefix="0" xfId="0">
      <alignment horizontal="center" vertical="center" wrapText="1"/>
    </xf>
    <xf numFmtId="49" fontId="6" fillId="0" borderId="3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5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49" fontId="5" fillId="0" borderId="1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49" fontId="5" fillId="6" borderId="1" applyAlignment="1" pivotButton="0" quotePrefix="0" xfId="0">
      <alignment horizontal="center" vertical="center"/>
    </xf>
    <xf numFmtId="49" fontId="5" fillId="6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1" applyAlignment="1" applyProtection="1" pivotButton="0" quotePrefix="0" xfId="0">
      <alignment horizontal="center" vertical="center"/>
      <protection locked="0" hidden="0"/>
    </xf>
    <xf numFmtId="10" fontId="6" fillId="0" borderId="1" applyAlignment="1" pivotButton="0" quotePrefix="0" xfId="0">
      <alignment horizontal="center" vertical="center" wrapText="1"/>
    </xf>
    <xf numFmtId="1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21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49" fontId="5" fillId="2" borderId="1" applyAlignment="1" pivotButton="0" quotePrefix="0" xfId="0">
      <alignment horizontal="center" vertical="center" wrapText="1"/>
    </xf>
    <xf numFmtId="49" fontId="5" fillId="2" borderId="1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5" fillId="3" borderId="1" applyAlignment="1" pivotButton="0" quotePrefix="0" xfId="0">
      <alignment horizontal="center" vertical="center"/>
    </xf>
    <xf numFmtId="49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5" fillId="3" borderId="1" applyAlignment="1" pivotButton="0" quotePrefix="0" xfId="0">
      <alignment horizontal="center" vertical="center"/>
    </xf>
    <xf numFmtId="49" fontId="5" fillId="3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 wrapText="1"/>
    </xf>
    <xf numFmtId="168" fontId="6" fillId="0" borderId="1" applyAlignment="1" pivotButton="0" quotePrefix="0" xfId="0">
      <alignment horizontal="center" vertical="center" wrapText="1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general" vertical="bottom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applyProtection="1" pivotButton="0" quotePrefix="0" xfId="0">
      <alignment horizontal="center" vertical="center" wrapText="1"/>
      <protection locked="0" hidden="0"/>
    </xf>
    <xf numFmtId="0" fontId="12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  <xf numFmtId="0" fontId="6" fillId="7" borderId="1" applyAlignment="1" applyProtection="1" pivotButton="0" quotePrefix="0" xfId="0">
      <alignment horizontal="center" vertical="center" wrapText="1"/>
      <protection locked="0" hidden="0"/>
    </xf>
    <xf numFmtId="0" fontId="0" fillId="0" borderId="1" applyAlignment="1" pivotButton="0" quotePrefix="0" xfId="0">
      <alignment horizontal="center" vertical="bottom"/>
    </xf>
    <xf numFmtId="0" fontId="0" fillId="0" borderId="11" pivotButton="0" quotePrefix="0" xfId="0"/>
    <xf numFmtId="0" fontId="0" fillId="0" borderId="4" pivotButton="0" quotePrefix="0" xfId="0"/>
    <xf numFmtId="0" fontId="0" fillId="0" borderId="1" applyAlignment="1" applyProtection="1" pivotButton="0" quotePrefix="0" xfId="0">
      <alignment horizontal="center" vertical="bottom"/>
      <protection locked="0" hidden="0"/>
    </xf>
    <xf numFmtId="0" fontId="0" fillId="0" borderId="1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49" fontId="5" fillId="0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49" fontId="5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49" fontId="5" fillId="0" borderId="1" applyAlignment="1" pivotButton="0" quotePrefix="0" xfId="0">
      <alignment horizontal="center" vertical="bottom"/>
    </xf>
    <xf numFmtId="0" fontId="5" fillId="0" borderId="6" applyAlignment="1" pivotButton="0" quotePrefix="0" xfId="0">
      <alignment horizontal="center" vertical="bottom"/>
    </xf>
    <xf numFmtId="0" fontId="5" fillId="0" borderId="7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general" vertical="bottom"/>
    </xf>
    <xf numFmtId="0" fontId="5" fillId="7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13" fillId="0" borderId="0" applyAlignment="1" pivotButton="0" quotePrefix="0" xfId="0">
      <alignment horizontal="general" vertical="center"/>
    </xf>
    <xf numFmtId="0" fontId="5" fillId="0" borderId="1" applyAlignment="1" pivotButton="0" quotePrefix="0" xfId="2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bottom"/>
    </xf>
    <xf numFmtId="0" fontId="5" fillId="0" borderId="1" applyAlignment="1" pivotButton="0" quotePrefix="0" xfId="2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0" fontId="0" fillId="8" borderId="0" applyAlignment="1" pivotButton="0" quotePrefix="0" xfId="0">
      <alignment horizontal="general" vertical="bottom"/>
    </xf>
    <xf numFmtId="0" fontId="0" fillId="8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bottom" wrapText="1"/>
    </xf>
    <xf numFmtId="0" fontId="5" fillId="3" borderId="3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bottom" wrapText="1"/>
    </xf>
    <xf numFmtId="0" fontId="5" fillId="3" borderId="3" applyAlignment="1" pivotButton="0" quotePrefix="0" xfId="0">
      <alignment horizontal="center" vertical="center" wrapText="1"/>
    </xf>
    <xf numFmtId="0" fontId="5" fillId="3" borderId="1" applyAlignment="1" pivotButton="0" quotePrefix="0" xfId="20">
      <alignment horizontal="center" vertical="center" wrapText="1"/>
    </xf>
    <xf numFmtId="0" fontId="1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center" wrapText="1"/>
    </xf>
    <xf numFmtId="0" fontId="0" fillId="3" borderId="0" applyAlignment="1" pivotButton="0" quotePrefix="0" xfId="0">
      <alignment horizontal="general" vertical="bottom" wrapText="1"/>
    </xf>
    <xf numFmtId="0" fontId="0" fillId="3" borderId="0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general" vertical="bottom" wrapText="1"/>
    </xf>
    <xf numFmtId="0" fontId="10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 wrapText="1"/>
    </xf>
    <xf numFmtId="0" fontId="10" fillId="0" borderId="1" applyAlignment="1" pivotButton="0" quotePrefix="0" xfId="0">
      <alignment horizontal="general" vertical="bottom" wrapText="1"/>
    </xf>
    <xf numFmtId="0" fontId="13" fillId="0" borderId="0" applyAlignment="1" pivotButton="0" quotePrefix="0" xfId="0">
      <alignment horizontal="general" vertical="center" wrapText="1"/>
    </xf>
    <xf numFmtId="0" fontId="6" fillId="0" borderId="1" applyAlignment="1" pivotButton="0" quotePrefix="0" xfId="20">
      <alignment horizontal="center" vertical="center" wrapText="1"/>
    </xf>
    <xf numFmtId="169" fontId="6" fillId="0" borderId="1" applyAlignment="1" pivotButton="0" quotePrefix="0" xfId="0">
      <alignment horizontal="center" vertical="center" wrapText="1"/>
    </xf>
    <xf numFmtId="10" fontId="6" fillId="0" borderId="1" applyAlignment="1" pivotButton="0" quotePrefix="0" xfId="0">
      <alignment horizontal="general" vertical="bottom" wrapText="1"/>
    </xf>
    <xf numFmtId="0" fontId="18" fillId="0" borderId="1" applyAlignment="1" pivotButton="0" quotePrefix="0" xfId="0">
      <alignment horizontal="center" vertical="bottom" wrapText="1"/>
    </xf>
    <xf numFmtId="169" fontId="6" fillId="0" borderId="1" applyAlignment="1" pivotButton="0" quotePrefix="0" xfId="0">
      <alignment horizontal="center" vertical="center" wrapText="1"/>
    </xf>
    <xf numFmtId="10" fontId="6" fillId="0" borderId="1" applyAlignment="1" pivotButton="0" quotePrefix="0" xfId="0">
      <alignment horizontal="general" vertical="bottom" wrapText="1"/>
    </xf>
    <xf numFmtId="0" fontId="18" fillId="0" borderId="1" applyAlignment="1" pivotButton="0" quotePrefix="0" xfId="0">
      <alignment horizontal="center" vertical="bottom" wrapText="1"/>
    </xf>
    <xf numFmtId="0" fontId="0" fillId="6" borderId="0" applyAlignment="1" pivotButton="0" quotePrefix="0" xfId="0">
      <alignment horizontal="general" vertical="bottom" wrapText="1"/>
    </xf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general" vertical="bottom" wrapText="1"/>
    </xf>
    <xf numFmtId="0" fontId="5" fillId="6" borderId="3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general" vertical="bottom" wrapText="1"/>
    </xf>
    <xf numFmtId="0" fontId="13" fillId="6" borderId="0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general" vertical="bottom" wrapText="1"/>
    </xf>
    <xf numFmtId="0" fontId="5" fillId="6" borderId="3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general" vertical="bottom" wrapText="1"/>
    </xf>
    <xf numFmtId="0" fontId="5" fillId="6" borderId="1" applyAlignment="1" pivotButton="0" quotePrefix="0" xfId="2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general" vertical="bottom"/>
    </xf>
    <xf numFmtId="0" fontId="5" fillId="8" borderId="1" applyAlignment="1" pivotButton="0" quotePrefix="0" xfId="0">
      <alignment horizontal="center" vertical="center" wrapText="1"/>
    </xf>
    <xf numFmtId="49" fontId="5" fillId="8" borderId="1" applyAlignment="1" pivotButton="0" quotePrefix="0" xfId="0">
      <alignment horizontal="center" vertical="center" wrapText="1"/>
    </xf>
    <xf numFmtId="49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49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 wrapText="1"/>
    </xf>
    <xf numFmtId="49" fontId="5" fillId="8" borderId="1" applyAlignment="1" pivotButton="0" quotePrefix="0" xfId="0">
      <alignment horizontal="center" vertical="center" wrapText="1"/>
    </xf>
    <xf numFmtId="49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49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49" fontId="5" fillId="8" borderId="1" applyAlignment="1" applyProtection="1" pivotButton="0" quotePrefix="0" xfId="0">
      <alignment horizontal="center" vertical="center" wrapText="1"/>
      <protection locked="0" hidden="0"/>
    </xf>
    <xf numFmtId="49" fontId="5" fillId="8" borderId="1" applyAlignment="1" pivotButton="0" quotePrefix="0" xfId="20">
      <alignment horizontal="center" vertical="center" wrapText="1"/>
    </xf>
    <xf numFmtId="0" fontId="6" fillId="0" borderId="0" applyAlignment="1" pivotButton="0" quotePrefix="0" xfId="0">
      <alignment horizontal="general" vertical="center"/>
    </xf>
    <xf numFmtId="49" fontId="6" fillId="3" borderId="1" applyAlignment="1" pivotButton="0" quotePrefix="0" xfId="0">
      <alignment horizontal="center" vertical="center"/>
    </xf>
    <xf numFmtId="49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49" fontId="6" fillId="3" borderId="1" applyAlignment="1" pivotButton="0" quotePrefix="0" xfId="0">
      <alignment horizontal="center" vertical="center"/>
    </xf>
    <xf numFmtId="49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171" fontId="5" fillId="0" borderId="1" applyAlignment="1" pivotButton="0" quotePrefix="0" xfId="0">
      <alignment horizontal="center" vertical="center" wrapText="1"/>
    </xf>
    <xf numFmtId="171" fontId="5" fillId="0" borderId="1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bottom"/>
    </xf>
    <xf numFmtId="0" fontId="5" fillId="11" borderId="1" applyAlignment="1" pivotButton="0" quotePrefix="0" xfId="0">
      <alignment horizontal="center" vertical="center" wrapText="1"/>
    </xf>
    <xf numFmtId="168" fontId="6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168" fontId="6" fillId="11" borderId="1" applyAlignment="1" pivotButton="0" quotePrefix="0" xfId="0">
      <alignment horizontal="center" vertical="center" wrapText="1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Обычный 2" xfId="6"/>
    <cellStyle name="Обычный 7" xfId="7"/>
  </cellStyles>
  <dxfs count="42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  <sz val="11"/>
      </font>
      <fill>
        <patternFill>
          <bgColor rgb="FFFFC7CE"/>
        </patternFill>
      </fill>
    </dxf>
    <dxf>
      <font>
        <color rgb="FF9C0006"/>
        <sz val="11"/>
      </font>
      <fill>
        <patternFill>
          <bgColor rgb="FFFFC7CE"/>
        </patternFill>
      </fill>
    </dxf>
    <dxf>
      <font>
        <color rgb="FF9C0006"/>
        <sz val="11"/>
      </font>
      <fill>
        <patternFill>
          <bgColor rgb="FFFFC7CE"/>
        </patternFill>
      </fill>
    </dxf>
    <dxf>
      <font>
        <color rgb="FF9C0006"/>
        <sz val="11"/>
      </font>
      <fill>
        <patternFill>
          <bgColor rgb="FFFFC7CE"/>
        </patternFill>
      </fill>
    </dxf>
    <dxf>
      <font>
        <color rgb="FF9C0006"/>
        <sz val="11"/>
      </font>
      <fill>
        <patternFill>
          <bgColor rgb="FFFFC7CE"/>
        </patternFill>
      </fill>
    </dxf>
    <dxf>
      <font>
        <color rgb="FF9C0006"/>
        <sz val="11"/>
      </font>
      <fill>
        <patternFill>
          <bgColor rgb="FFFFC7CE"/>
        </patternFill>
      </fill>
    </dxf>
    <dxf>
      <font>
        <color rgb="FF9C0006"/>
        <sz val="11"/>
      </font>
      <fill>
        <patternFill>
          <bgColor rgb="FFFFC7CE"/>
        </patternFill>
      </fill>
    </dxf>
    <dxf>
      <font>
        <color rgb="FF9C0006"/>
        <sz val="11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D966"/>
      <rgbColor rgb="FF9DC3E6"/>
      <rgbColor rgb="FFFF99CC"/>
      <rgbColor rgb="FFCC99FF"/>
      <rgbColor rgb="FFFFC7CE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8572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10" activeCellId="0" sqref="F10"/>
    </sheetView>
  </sheetViews>
  <sheetFormatPr baseColWidth="8" defaultColWidth="8.55078125" defaultRowHeight="15" zeroHeight="0" outlineLevelRow="0"/>
  <cols>
    <col width="11.99" customWidth="1" style="235" min="1" max="1"/>
  </cols>
  <sheetData>
    <row r="1" ht="15" customHeight="1" s="236">
      <c r="A1" s="237" t="n"/>
      <c r="B1" s="235" t="inlineStr">
        <is>
          <t>1К21</t>
        </is>
      </c>
      <c r="E1" s="235">
        <f>AND(IF(VALUE(LEFT(TEXT($N1,"0"),1))&lt;=INT((MONTH(TODAY())+2)/3),1),IF(VALUE(RIGHT(TEXT($N1,"0"),2))+($R1/12)&lt;=VALUE(TEXT(TODAY(),"ГГ")),1),OR($S1="К",$S1="K"))</f>
        <v/>
      </c>
      <c r="F1" s="235" t="n">
        <v>12</v>
      </c>
      <c r="G1" s="235" t="inlineStr">
        <is>
          <t>К</t>
        </is>
      </c>
    </row>
    <row r="2" ht="15" customHeight="1" s="236">
      <c r="A2" s="235">
        <f>INT((MONTH(TODAY())+2)/3)&amp;"К"&amp;VALUE(TEXT(TODAY(),"ГГ"))-1</f>
        <v/>
      </c>
      <c r="B2" s="235" t="n"/>
    </row>
    <row r="3" ht="15" customHeight="1" s="236">
      <c r="A3" s="237">
        <f>TODAY()</f>
        <v/>
      </c>
      <c r="B3" s="235" t="n"/>
      <c r="D3" s="235" t="inlineStr">
        <is>
          <t>если в ячейке М с буквой К</t>
        </is>
      </c>
      <c r="E3" s="235" t="inlineStr">
        <is>
          <t>И(ЕСЛИ(ЗНАЧЕН(ЛЕВСИМВ(ТЕКСТ($M1;"0");1))&lt;=ЦЕЛОЕ((МЕСЯЦ(СЕГОДНЯ())+2)/3);1);ЕСЛИ(ЗНАЧЕН(ПРАВСИМВ(ТЕКСТ($M1;"0");2))+($L1/12)&lt;=ЗНАЧЕН(ТЕКСТ(СЕГОДНЯ();"ГГ"));1);ИЛИ($N1="К";$N1="K";;$N1="П"))</t>
        </is>
      </c>
    </row>
    <row r="4" ht="15" customHeight="1" s="236">
      <c r="A4" s="235">
        <f>TEXT(TODAY(),"ГГ")</f>
        <v/>
      </c>
      <c r="B4" s="235" t="n"/>
      <c r="D4" s="235" t="inlineStr">
        <is>
          <t>если в ячейке М дата поверки</t>
        </is>
      </c>
      <c r="E4" s="235" t="inlineStr">
        <is>
          <t>И(ЕСЛИ(ЦЕЛОЕ((МЕСЯЦ($M1)+2)/3)&lt;=ЦЕЛОЕ((МЕСЯЦ(СЕГОДНЯ())+2)/3);1);ЕСЛИ(ЗНАЧЕН(ТЕКСТ($M1;"ГГ"))+($L1/12)&lt;=ЗНАЧЕН(ТЕКСТ(СЕГОДНЯ();"ГГ"));1);ИЛИ($N1="К";$N1="K";$N1="П"))</t>
        </is>
      </c>
    </row>
    <row r="5" ht="15" customHeight="1" s="236">
      <c r="B5" s="235" t="inlineStr">
        <is>
          <t>2К22</t>
        </is>
      </c>
      <c r="D5" s="235" t="inlineStr">
        <is>
          <t>общая формула</t>
        </is>
      </c>
      <c r="E5" s="235" t="inlineStr">
        <is>
          <t>ИЛИ(И(ЕСЛИ(ЗНАЧЕН(ЛЕВСИМВ(ТЕКСТ($M1;"0");1))&lt;=ЦЕЛОЕ((МЕСЯЦ(СЕГОДНЯ())+2)/3);1);ЕСЛИ(ЗНАЧЕН(ПРАВСИМВ(ТЕКСТ($M1;"0");2))+($L1/12)&lt;=ЗНАЧЕН(ТЕКСТ(СЕГОДНЯ();"ГГ"));1);ИЛИ($N1="К";$N1="K";;$N1="П"));ЕСЛИОШИБКА(И(ЕСЛИ(ЦЕЛОЕ((МЕСЯЦ($M1)+2)/3)&lt;=ЦЕЛОЕ((МЕСЯЦ(СЕГОДНЯ())+2)/3);1);ЕСЛИ(ЗНАЧЕН(ТЕКСТ($M1;"ГГ"))+($L1/12)&lt;=ЗНАЧЕН(ТЕКСТ(СЕГОДНЯ();"ГГ"));1);ИЛИ($N1="К";$N1="K";$N1="П"));0))</t>
        </is>
      </c>
    </row>
    <row r="6" ht="15" customHeight="1" s="236">
      <c r="B6" s="235" t="inlineStr">
        <is>
          <t>3К22</t>
        </is>
      </c>
    </row>
    <row r="7" ht="15" customHeight="1" s="236">
      <c r="B7" s="235" t="inlineStr">
        <is>
          <t>3К21</t>
        </is>
      </c>
    </row>
    <row r="8" ht="15" customHeight="1" s="236">
      <c r="A8" s="235">
        <f>VALUE(TEXT(TODAY(),"ГГ"))-1</f>
        <v/>
      </c>
      <c r="B8" s="235" t="inlineStr">
        <is>
          <t>3К21</t>
        </is>
      </c>
      <c r="C8" s="235" t="inlineStr">
        <is>
          <t>термометр</t>
        </is>
      </c>
    </row>
    <row r="9" ht="15" customHeight="1" s="236">
      <c r="B9" s="235" t="inlineStr">
        <is>
          <t>3К21</t>
        </is>
      </c>
      <c r="C9" s="235" t="inlineStr">
        <is>
          <t>Термометр</t>
        </is>
      </c>
    </row>
    <row r="10" ht="15" customHeight="1" s="236">
      <c r="B10" s="235" t="n"/>
    </row>
    <row r="11" ht="15" customHeight="1" s="236">
      <c r="B11" s="235" t="n"/>
    </row>
    <row r="12" ht="15" customHeight="1" s="236">
      <c r="A12" s="238" t="n">
        <v>44785</v>
      </c>
      <c r="B12" s="235" t="n"/>
    </row>
    <row r="13" ht="15" customHeight="1" s="236">
      <c r="A13" s="235">
        <f>INT((MONTH(A12)+2)/3)</f>
        <v/>
      </c>
      <c r="B13" s="235" t="n"/>
    </row>
    <row r="14" ht="15" customHeight="1" s="236">
      <c r="B14" s="235" t="n"/>
    </row>
    <row r="15" ht="15" customHeight="1" s="236">
      <c r="B15" s="235" t="n"/>
    </row>
    <row r="16" ht="15" customHeight="1" s="236">
      <c r="B16" s="235" t="n"/>
    </row>
    <row r="17" ht="15" customHeight="1" s="236">
      <c r="B17" s="235" t="n"/>
    </row>
    <row r="18" ht="15" customHeight="1" s="236">
      <c r="B18" s="235" t="n"/>
    </row>
    <row r="19" ht="15" customHeight="1" s="236">
      <c r="B19" s="235" t="n"/>
    </row>
    <row r="20" ht="15" customHeight="1" s="236">
      <c r="B20" s="235" t="n"/>
    </row>
    <row r="21" ht="15" customHeight="1" s="236">
      <c r="B21" s="235" t="n"/>
    </row>
    <row r="22" ht="15" customHeight="1" s="236">
      <c r="B22" s="235" t="n"/>
    </row>
    <row r="23" ht="15" customHeight="1" s="236">
      <c r="B23" s="235" t="n"/>
    </row>
    <row r="24" ht="15" customHeight="1" s="236">
      <c r="B24" s="235" t="n"/>
    </row>
    <row r="25" ht="15" customHeight="1" s="236">
      <c r="B25" s="235" t="n"/>
    </row>
    <row r="26" ht="15" customHeight="1" s="236">
      <c r="B26" s="235" t="n"/>
    </row>
    <row r="27" ht="15" customHeight="1" s="236">
      <c r="B27" s="235" t="n"/>
    </row>
    <row r="28" ht="15" customHeight="1" s="236">
      <c r="B28" s="235" t="n"/>
    </row>
    <row r="29" ht="15" customHeight="1" s="236">
      <c r="B29" s="235" t="n"/>
    </row>
    <row r="30" ht="15" customHeight="1" s="236">
      <c r="B30" s="235" t="n"/>
    </row>
    <row r="31" ht="15" customHeight="1" s="236">
      <c r="B31" s="235" t="n"/>
    </row>
    <row r="32" ht="15" customHeight="1" s="236">
      <c r="B32" s="235" t="n"/>
    </row>
    <row r="33" ht="15" customHeight="1" s="236">
      <c r="B33" s="235" t="n"/>
    </row>
    <row r="34" ht="15" customHeight="1" s="236">
      <c r="B34" s="235" t="n"/>
    </row>
    <row r="35" ht="15" customHeight="1" s="236">
      <c r="B35" s="235" t="n"/>
    </row>
    <row r="36" ht="15" customHeight="1" s="236">
      <c r="B36" s="235" t="n"/>
    </row>
    <row r="37" ht="15" customHeight="1" s="236">
      <c r="B37" s="235" t="n"/>
    </row>
    <row r="38" ht="15" customHeight="1" s="236">
      <c r="B38" s="235" t="n"/>
    </row>
    <row r="39" ht="15" customHeight="1" s="236">
      <c r="B39" s="235" t="n"/>
    </row>
    <row r="40" ht="15" customHeight="1" s="236">
      <c r="B40" s="235" t="n"/>
    </row>
  </sheetData>
  <conditionalFormatting sqref="B1:B40">
    <cfRule type="expression" rank="0" priority="2" equalAverage="0" aboveAverage="0" dxfId="0" text="" percent="0" bottom="0">
      <formula>AND(IF(#ref!="3К21",1),IF(#ref!="термометр",1))</formula>
    </cfRule>
  </conditionalFormatting>
  <printOptions horizontalCentered="0" verticalCentered="0" headings="0" gridLines="0" gridLinesSet="1"/>
  <pageMargins left="0.7" right="0.7" top="0.75" bottom="0.75" header="0.511805555555555" footer="0.511805555555555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O227"/>
  <sheetViews>
    <sheetView showFormulas="0" showGridLines="1" showRowColHeaders="1" showZeros="1" rightToLeft="0" tabSelected="0" showOutlineSymbols="1" defaultGridColor="1" view="normal" topLeftCell="D193" colorId="64" zoomScale="118" zoomScaleNormal="118" zoomScalePageLayoutView="100" workbookViewId="0">
      <selection pane="topLeft" activeCell="N64" activeCellId="0" sqref="N64"/>
    </sheetView>
  </sheetViews>
  <sheetFormatPr baseColWidth="8" defaultColWidth="9.15625" defaultRowHeight="15" zeroHeight="0" outlineLevelRow="0"/>
  <cols>
    <col width="3.57" customWidth="1" style="235" min="1" max="1"/>
    <col width="21.43" customWidth="1" style="235" min="2" max="2"/>
    <col width="26.42" customWidth="1" style="235" min="3" max="3"/>
    <col width="15.29" customWidth="1" style="235" min="4" max="4"/>
    <col width="7" customWidth="1" style="235" min="5" max="5"/>
    <col width="15.42" customWidth="1" style="235" min="6" max="7"/>
    <col width="28.57" customWidth="1" style="235" min="8" max="8"/>
    <col width="12.57" customWidth="1" style="235" min="9" max="9"/>
    <col width="17.58" customWidth="1" style="235" min="10" max="10"/>
    <col width="8.710000000000001" customWidth="1" style="235" min="11" max="11"/>
    <col width="7.57" customWidth="1" style="235" min="12" max="12"/>
    <col width="8" customWidth="1" style="235" min="13" max="13"/>
    <col width="7.29" customWidth="1" style="235" min="14" max="14"/>
    <col width="9.140000000000001" customWidth="1" style="235" min="15" max="1024"/>
  </cols>
  <sheetData>
    <row r="1" ht="56.25" customHeight="1" s="236">
      <c r="A1" s="239" t="inlineStr">
        <is>
          <t>№ п/п</t>
        </is>
      </c>
      <c r="B1" s="239" t="inlineStr">
        <is>
          <t>Наименование</t>
        </is>
      </c>
      <c r="C1" s="239" t="inlineStr">
        <is>
          <t>Тип</t>
        </is>
      </c>
      <c r="D1" s="239" t="inlineStr">
        <is>
          <t>Заводской номер</t>
        </is>
      </c>
      <c r="E1" s="240" t="inlineStr">
        <is>
          <t>Год выпуска</t>
        </is>
      </c>
      <c r="F1" s="239" t="inlineStr">
        <is>
          <t>Диапазон измерений</t>
        </is>
      </c>
      <c r="G1" s="239" t="inlineStr">
        <is>
          <t>Класс точности</t>
        </is>
      </c>
      <c r="H1" s="239" t="inlineStr">
        <is>
          <t>Место установки СИ</t>
        </is>
      </c>
      <c r="I1" s="239" t="inlineStr">
        <is>
          <t>Объект установки</t>
        </is>
      </c>
      <c r="J1" s="239" t="inlineStr">
        <is>
          <t>Подразделение</t>
        </is>
      </c>
      <c r="K1" s="239" t="inlineStr">
        <is>
          <t>Дата установки</t>
        </is>
      </c>
      <c r="L1" s="239" t="inlineStr">
        <is>
          <t>Межповерочный интервал, мес.</t>
        </is>
      </c>
      <c r="M1" s="240" t="inlineStr">
        <is>
          <t>Дата последней поверки / калибровки</t>
        </is>
      </c>
      <c r="N1" s="239" t="inlineStr">
        <is>
          <t>Поверка (П)/ Калибровка (К)</t>
        </is>
      </c>
    </row>
    <row r="2" ht="15" customHeight="1" s="236">
      <c r="A2" s="239" t="n">
        <v>1</v>
      </c>
      <c r="B2" s="241" t="inlineStr">
        <is>
          <t>Манометр технический</t>
        </is>
      </c>
      <c r="C2" s="242" t="inlineStr">
        <is>
          <t>МП4-УУ2</t>
        </is>
      </c>
      <c r="D2" s="242" t="inlineStr">
        <is>
          <t>15088</t>
        </is>
      </c>
      <c r="E2" s="242" t="inlineStr">
        <is>
          <t>2010</t>
        </is>
      </c>
      <c r="F2" s="242" t="inlineStr">
        <is>
          <t>0…160 кгс/см2</t>
        </is>
      </c>
      <c r="G2" s="242" t="inlineStr">
        <is>
          <t>1.5</t>
        </is>
      </c>
      <c r="H2" s="239" t="inlineStr">
        <is>
          <t>P газа перед КШ 731/1,2</t>
        </is>
      </c>
      <c r="I2" s="242" t="inlineStr">
        <is>
          <t>ГПА 61 БПТГ</t>
        </is>
      </c>
      <c r="J2" s="239" t="inlineStr">
        <is>
          <t>АСУ,А и ТМ (КЦ № 6)</t>
        </is>
      </c>
      <c r="K2" s="239" t="inlineStr">
        <is>
          <t>2012</t>
        </is>
      </c>
      <c r="L2" s="239" t="inlineStr">
        <is>
          <t>12</t>
        </is>
      </c>
      <c r="M2" s="240" t="inlineStr">
        <is>
          <t>1К26</t>
        </is>
      </c>
      <c r="N2" s="242" t="inlineStr">
        <is>
          <t>К</t>
        </is>
      </c>
    </row>
    <row r="3" ht="15" customHeight="1" s="236">
      <c r="A3" s="243" t="n">
        <v>2</v>
      </c>
      <c r="B3" s="244" t="inlineStr">
        <is>
          <t>Манометр технический</t>
        </is>
      </c>
      <c r="C3" s="245" t="inlineStr">
        <is>
          <t>МП4-УУ2</t>
        </is>
      </c>
      <c r="D3" s="245" t="inlineStr">
        <is>
          <t>15105</t>
        </is>
      </c>
      <c r="E3" s="245" t="inlineStr">
        <is>
          <t>2010</t>
        </is>
      </c>
      <c r="F3" s="245" t="inlineStr">
        <is>
          <t>0…100 кгс/см2</t>
        </is>
      </c>
      <c r="G3" s="245" t="inlineStr">
        <is>
          <t>1.5</t>
        </is>
      </c>
      <c r="H3" s="243" t="inlineStr">
        <is>
          <t>P газа после КРД 730/1</t>
        </is>
      </c>
      <c r="I3" s="245" t="inlineStr">
        <is>
          <t>ГПА 61 БПТГ</t>
        </is>
      </c>
      <c r="J3" s="243" t="inlineStr">
        <is>
          <t>АСУ,А и ТМ (КЦ № 6)</t>
        </is>
      </c>
      <c r="K3" s="243" t="inlineStr">
        <is>
          <t>2012</t>
        </is>
      </c>
      <c r="L3" s="243" t="inlineStr">
        <is>
          <t>12</t>
        </is>
      </c>
      <c r="M3" s="246" t="inlineStr">
        <is>
          <t>1К26</t>
        </is>
      </c>
      <c r="N3" s="245" t="inlineStr">
        <is>
          <t>К</t>
        </is>
      </c>
    </row>
    <row r="4" ht="15" customHeight="1" s="236">
      <c r="A4" s="243" t="n">
        <v>3</v>
      </c>
      <c r="B4" s="244" t="inlineStr">
        <is>
          <t>Манометр технический</t>
        </is>
      </c>
      <c r="C4" s="245" t="inlineStr">
        <is>
          <t>МП4-УУ2</t>
        </is>
      </c>
      <c r="D4" s="245" t="inlineStr">
        <is>
          <t>15564</t>
        </is>
      </c>
      <c r="E4" s="245" t="inlineStr">
        <is>
          <t>2010</t>
        </is>
      </c>
      <c r="F4" s="245" t="inlineStr">
        <is>
          <t>0…160 кгс/см2</t>
        </is>
      </c>
      <c r="G4" s="245" t="inlineStr">
        <is>
          <t>1</t>
        </is>
      </c>
      <c r="H4" s="243" t="inlineStr">
        <is>
          <t>P газа в C 701</t>
        </is>
      </c>
      <c r="I4" s="245" t="inlineStr">
        <is>
          <t>ГПА 61 БПТГ</t>
        </is>
      </c>
      <c r="J4" s="243" t="inlineStr">
        <is>
          <t>АСУ,А и ТМ (КЦ № 6)</t>
        </is>
      </c>
      <c r="K4" s="243" t="inlineStr">
        <is>
          <t>2012</t>
        </is>
      </c>
      <c r="L4" s="243" t="inlineStr">
        <is>
          <t>12</t>
        </is>
      </c>
      <c r="M4" s="246" t="inlineStr">
        <is>
          <t>26ДЯУ</t>
        </is>
      </c>
      <c r="N4" s="245" t="inlineStr">
        <is>
          <t>П</t>
        </is>
      </c>
      <c r="O4" s="247" t="n"/>
    </row>
    <row r="5" ht="15" customHeight="1" s="236">
      <c r="A5" s="243" t="n">
        <v>4</v>
      </c>
      <c r="B5" s="244" t="inlineStr">
        <is>
          <t>Манометр технический</t>
        </is>
      </c>
      <c r="C5" s="245" t="inlineStr">
        <is>
          <t>МП4-УУ2</t>
        </is>
      </c>
      <c r="D5" s="245" t="inlineStr">
        <is>
          <t>15518</t>
        </is>
      </c>
      <c r="E5" s="245" t="inlineStr">
        <is>
          <t>2010</t>
        </is>
      </c>
      <c r="F5" s="245" t="inlineStr">
        <is>
          <t>0…160 кгс/см2</t>
        </is>
      </c>
      <c r="G5" s="245" t="inlineStr">
        <is>
          <t>1.5</t>
        </is>
      </c>
      <c r="H5" s="243" t="inlineStr">
        <is>
          <t>P газа на выходе ЭПГ 700/1</t>
        </is>
      </c>
      <c r="I5" s="245" t="inlineStr">
        <is>
          <t>ГПА 61 БПТГ</t>
        </is>
      </c>
      <c r="J5" s="243" t="inlineStr">
        <is>
          <t>АСУ,А и ТМ (КЦ № 6)</t>
        </is>
      </c>
      <c r="K5" s="243" t="inlineStr">
        <is>
          <t>2012</t>
        </is>
      </c>
      <c r="L5" s="243" t="inlineStr">
        <is>
          <t>12</t>
        </is>
      </c>
      <c r="M5" s="246" t="inlineStr">
        <is>
          <t>2К26</t>
        </is>
      </c>
      <c r="N5" s="245" t="inlineStr">
        <is>
          <t>К</t>
        </is>
      </c>
    </row>
    <row r="6" ht="15" customHeight="1" s="236">
      <c r="A6" s="243" t="n">
        <v>5</v>
      </c>
      <c r="B6" s="244" t="inlineStr">
        <is>
          <t>Манометр технический</t>
        </is>
      </c>
      <c r="C6" s="245" t="inlineStr">
        <is>
          <t>МП4-УУ2</t>
        </is>
      </c>
      <c r="D6" s="245" t="inlineStr">
        <is>
          <t>15103</t>
        </is>
      </c>
      <c r="E6" s="245" t="inlineStr">
        <is>
          <t>2010</t>
        </is>
      </c>
      <c r="F6" s="245" t="inlineStr">
        <is>
          <t>0…100 кгс/см2</t>
        </is>
      </c>
      <c r="G6" s="245" t="inlineStr">
        <is>
          <t>1.5</t>
        </is>
      </c>
      <c r="H6" s="243" t="inlineStr">
        <is>
          <t>P газа после КРД 730/2</t>
        </is>
      </c>
      <c r="I6" s="245" t="inlineStr">
        <is>
          <t>ГПА 61 БПТГ</t>
        </is>
      </c>
      <c r="J6" s="243" t="inlineStr">
        <is>
          <t>АСУ,А и ТМ (КЦ № 6)</t>
        </is>
      </c>
      <c r="K6" s="243" t="inlineStr">
        <is>
          <t>2012</t>
        </is>
      </c>
      <c r="L6" s="243" t="inlineStr">
        <is>
          <t>12</t>
        </is>
      </c>
      <c r="M6" s="246" t="inlineStr">
        <is>
          <t>1К26</t>
        </is>
      </c>
      <c r="N6" s="245" t="inlineStr">
        <is>
          <t>К</t>
        </is>
      </c>
    </row>
    <row r="7" ht="15" customHeight="1" s="236">
      <c r="A7" s="243" t="n">
        <v>6</v>
      </c>
      <c r="B7" s="244" t="inlineStr">
        <is>
          <t>Манометр технический</t>
        </is>
      </c>
      <c r="C7" s="245" t="inlineStr">
        <is>
          <t>МП4-УУ2</t>
        </is>
      </c>
      <c r="D7" s="245" t="inlineStr">
        <is>
          <t>15180</t>
        </is>
      </c>
      <c r="E7" s="245" t="inlineStr">
        <is>
          <t>2010</t>
        </is>
      </c>
      <c r="F7" s="245" t="inlineStr">
        <is>
          <t>0…160 кгс/см2</t>
        </is>
      </c>
      <c r="G7" s="245" t="inlineStr">
        <is>
          <t>1.5</t>
        </is>
      </c>
      <c r="H7" s="243" t="inlineStr">
        <is>
          <t>P газа на выходе ЭПГ 700/2</t>
        </is>
      </c>
      <c r="I7" s="245" t="inlineStr">
        <is>
          <t>ГПА 61 БПТГ</t>
        </is>
      </c>
      <c r="J7" s="243" t="inlineStr">
        <is>
          <t>АСУ,А и ТМ (КЦ № 6)</t>
        </is>
      </c>
      <c r="K7" s="243" t="inlineStr">
        <is>
          <t>2012</t>
        </is>
      </c>
      <c r="L7" s="243" t="inlineStr">
        <is>
          <t>12</t>
        </is>
      </c>
      <c r="M7" s="246" t="inlineStr">
        <is>
          <t>1К26</t>
        </is>
      </c>
      <c r="N7" s="245" t="inlineStr">
        <is>
          <t>К</t>
        </is>
      </c>
    </row>
    <row r="8" ht="22.5" customHeight="1" s="236">
      <c r="A8" s="243" t="n">
        <v>7</v>
      </c>
      <c r="B8" s="248" t="inlineStr">
        <is>
          <t>Термометр биметаллический</t>
        </is>
      </c>
      <c r="C8" s="245" t="inlineStr">
        <is>
          <t>ТБ-2</t>
        </is>
      </c>
      <c r="D8" s="245" t="inlineStr">
        <is>
          <t>7557</t>
        </is>
      </c>
      <c r="E8" s="245" t="inlineStr">
        <is>
          <t>2010</t>
        </is>
      </c>
      <c r="F8" s="245" t="inlineStr">
        <is>
          <t>0…100 °С</t>
        </is>
      </c>
      <c r="G8" s="245" t="inlineStr">
        <is>
          <t>1.5</t>
        </is>
      </c>
      <c r="H8" s="243" t="inlineStr">
        <is>
          <t>Тг на выходе ЭПГ 700/1</t>
        </is>
      </c>
      <c r="I8" s="245" t="inlineStr">
        <is>
          <t>ГПА 61 БПТГ</t>
        </is>
      </c>
      <c r="J8" s="243" t="inlineStr">
        <is>
          <t>АСУ,А и ТМ (КЦ № 6)</t>
        </is>
      </c>
      <c r="K8" s="243" t="inlineStr">
        <is>
          <t>2012</t>
        </is>
      </c>
      <c r="L8" s="243" t="inlineStr">
        <is>
          <t>24</t>
        </is>
      </c>
      <c r="M8" s="246" t="inlineStr">
        <is>
          <t>2К26</t>
        </is>
      </c>
      <c r="N8" s="245" t="inlineStr">
        <is>
          <t>К</t>
        </is>
      </c>
    </row>
    <row r="9" ht="18" customHeight="1" s="236">
      <c r="A9" s="243" t="n">
        <v>8</v>
      </c>
      <c r="B9" s="248" t="inlineStr">
        <is>
          <t>Термометр биметаллический</t>
        </is>
      </c>
      <c r="C9" s="245" t="inlineStr">
        <is>
          <t>ТБ-2</t>
        </is>
      </c>
      <c r="D9" s="245" t="inlineStr">
        <is>
          <t>7563</t>
        </is>
      </c>
      <c r="E9" s="245" t="inlineStr">
        <is>
          <t>2005</t>
        </is>
      </c>
      <c r="F9" s="245" t="inlineStr">
        <is>
          <t>0…100 °С</t>
        </is>
      </c>
      <c r="G9" s="245" t="inlineStr">
        <is>
          <t>1.5</t>
        </is>
      </c>
      <c r="H9" s="243" t="inlineStr">
        <is>
          <t>Тг на выходе ЭПГ 700/2</t>
        </is>
      </c>
      <c r="I9" s="245" t="inlineStr">
        <is>
          <t>ГПА 61 БПТГ</t>
        </is>
      </c>
      <c r="J9" s="243" t="inlineStr">
        <is>
          <t>АСУ,А и ТМ (КЦ № 6)</t>
        </is>
      </c>
      <c r="K9" s="243" t="inlineStr">
        <is>
          <t>2012</t>
        </is>
      </c>
      <c r="L9" s="243" t="inlineStr">
        <is>
          <t>24</t>
        </is>
      </c>
      <c r="M9" s="246" t="inlineStr">
        <is>
          <t>2К26</t>
        </is>
      </c>
      <c r="N9" s="245" t="inlineStr">
        <is>
          <t>К</t>
        </is>
      </c>
    </row>
    <row r="10" ht="16.5" customHeight="1" s="236">
      <c r="A10" s="243" t="n">
        <v>9</v>
      </c>
      <c r="B10" s="248" t="inlineStr">
        <is>
          <t>Уровнемер</t>
        </is>
      </c>
      <c r="C10" s="245" t="inlineStr">
        <is>
          <t>KROHNE BM-26A/C/RR</t>
        </is>
      </c>
      <c r="D10" s="245" t="inlineStr">
        <is>
          <t>447006647.20.04</t>
        </is>
      </c>
      <c r="E10" s="245" t="inlineStr">
        <is>
          <t>2011</t>
        </is>
      </c>
      <c r="F10" s="245" t="inlineStr">
        <is>
          <t>0…100 %</t>
        </is>
      </c>
      <c r="G10" s="245" t="inlineStr">
        <is>
          <t>±10 мм</t>
        </is>
      </c>
      <c r="H10" s="243" t="inlineStr">
        <is>
          <t>Уровень жидкости в сепараторе С701</t>
        </is>
      </c>
      <c r="I10" s="245" t="inlineStr">
        <is>
          <t>ГПА 61 БПТГ</t>
        </is>
      </c>
      <c r="J10" s="243" t="inlineStr">
        <is>
          <t>АСУ,А и ТМ (КЦ № 6)</t>
        </is>
      </c>
      <c r="K10" s="243" t="inlineStr">
        <is>
          <t>2012</t>
        </is>
      </c>
      <c r="L10" s="243" t="inlineStr">
        <is>
          <t>48</t>
        </is>
      </c>
      <c r="M10" s="246" t="inlineStr"/>
      <c r="N10" s="245" t="inlineStr"/>
    </row>
    <row r="11" ht="27" customHeight="1" s="236">
      <c r="A11" s="243" t="n">
        <v>10</v>
      </c>
      <c r="B11" s="249" t="inlineStr">
        <is>
          <t>Преобразователь избыточного давления</t>
        </is>
      </c>
      <c r="C11" s="245" t="inlineStr">
        <is>
          <t>Honeywell STG-97L</t>
        </is>
      </c>
      <c r="D11" s="245" t="inlineStr">
        <is>
          <t>11W03 C3287149003052</t>
        </is>
      </c>
      <c r="E11" s="245" t="inlineStr">
        <is>
          <t>2011</t>
        </is>
      </c>
      <c r="F11" s="245" t="inlineStr">
        <is>
          <t>0…10 MПa</t>
        </is>
      </c>
      <c r="G11" s="245" t="inlineStr">
        <is>
          <t>0.075</t>
        </is>
      </c>
      <c r="H11" s="243" t="inlineStr">
        <is>
          <t>Давление газа перед С701 (на входе в блок БПТГ)</t>
        </is>
      </c>
      <c r="I11" s="245" t="inlineStr">
        <is>
          <t>ГПА 61 БПТГ</t>
        </is>
      </c>
      <c r="J11" s="243" t="inlineStr">
        <is>
          <t>АСУ,А и ТМ (КЦ № 6)</t>
        </is>
      </c>
      <c r="K11" s="243" t="inlineStr">
        <is>
          <t>2012</t>
        </is>
      </c>
      <c r="L11" s="243" t="inlineStr">
        <is>
          <t>36</t>
        </is>
      </c>
      <c r="M11" s="246" t="inlineStr"/>
      <c r="N11" s="245" t="inlineStr"/>
    </row>
    <row r="12" ht="26.25" customHeight="1" s="236">
      <c r="A12" s="243" t="n">
        <v>11</v>
      </c>
      <c r="B12" s="249" t="inlineStr">
        <is>
          <t>Преобразователь избыточного давления</t>
        </is>
      </c>
      <c r="C12" s="245" t="inlineStr">
        <is>
          <t>Honeywell STG-97L</t>
        </is>
      </c>
      <c r="D12" s="245" t="inlineStr">
        <is>
          <t>11W03 C3287149003003</t>
        </is>
      </c>
      <c r="E12" s="245" t="inlineStr">
        <is>
          <t>2011</t>
        </is>
      </c>
      <c r="F12" s="245" t="inlineStr">
        <is>
          <t>0…10 MПa</t>
        </is>
      </c>
      <c r="G12" s="245" t="inlineStr">
        <is>
          <t>0.075</t>
        </is>
      </c>
      <c r="H12" s="243" t="inlineStr">
        <is>
          <t>Давление газа на выходе блока БПТГ перед КШ12</t>
        </is>
      </c>
      <c r="I12" s="245" t="inlineStr">
        <is>
          <t>ГПА 61 БПТГ</t>
        </is>
      </c>
      <c r="J12" s="243" t="inlineStr">
        <is>
          <t>АСУ,А и ТМ (КЦ № 6)</t>
        </is>
      </c>
      <c r="K12" s="243" t="inlineStr">
        <is>
          <t>2012</t>
        </is>
      </c>
      <c r="L12" s="243" t="inlineStr">
        <is>
          <t>36</t>
        </is>
      </c>
      <c r="M12" s="246" t="inlineStr"/>
      <c r="N12" s="245" t="inlineStr"/>
    </row>
    <row r="13" ht="15" customHeight="1" s="236">
      <c r="A13" s="243" t="n">
        <v>12</v>
      </c>
      <c r="B13" s="248" t="inlineStr">
        <is>
          <t>Термометр сопротивления</t>
        </is>
      </c>
      <c r="C13" s="245" t="inlineStr">
        <is>
          <t>ТСП 012.60 Pt100/В/3</t>
        </is>
      </c>
      <c r="D13" s="245" t="inlineStr">
        <is>
          <t>363</t>
        </is>
      </c>
      <c r="E13" s="245" t="inlineStr">
        <is>
          <t>2011</t>
        </is>
      </c>
      <c r="F13" s="245" t="inlineStr">
        <is>
          <t>-60…200 °С</t>
        </is>
      </c>
      <c r="G13" s="245" t="inlineStr">
        <is>
          <t>B</t>
        </is>
      </c>
      <c r="H13" s="243" t="inlineStr">
        <is>
          <t>Температура газа перед С701</t>
        </is>
      </c>
      <c r="I13" s="245" t="inlineStr">
        <is>
          <t>ГПА 61 БПТГ</t>
        </is>
      </c>
      <c r="J13" s="243" t="inlineStr">
        <is>
          <t>АСУ,А и ТМ (КЦ № 6)</t>
        </is>
      </c>
      <c r="K13" s="243" t="inlineStr"/>
      <c r="L13" s="243" t="inlineStr"/>
      <c r="M13" s="246" t="inlineStr"/>
      <c r="N13" s="245" t="inlineStr"/>
    </row>
    <row r="14" ht="22.5" customHeight="1" s="236">
      <c r="A14" s="243" t="n">
        <v>13</v>
      </c>
      <c r="B14" s="248" t="inlineStr">
        <is>
          <t>Термометр сопротивления</t>
        </is>
      </c>
      <c r="C14" s="245" t="inlineStr">
        <is>
          <t>ТСП 012.60 Pt100/В/3</t>
        </is>
      </c>
      <c r="D14" s="245" t="inlineStr">
        <is>
          <t>383</t>
        </is>
      </c>
      <c r="E14" s="245" t="inlineStr">
        <is>
          <t>2011</t>
        </is>
      </c>
      <c r="F14" s="245" t="inlineStr">
        <is>
          <t>-60…200 °С</t>
        </is>
      </c>
      <c r="G14" s="245" t="inlineStr">
        <is>
          <t>B</t>
        </is>
      </c>
      <c r="H14" s="243" t="inlineStr">
        <is>
          <t>Температура антифриза в подогревателе ЭПГ700/2</t>
        </is>
      </c>
      <c r="I14" s="245" t="inlineStr">
        <is>
          <t>ГПА 61 БПТГ</t>
        </is>
      </c>
      <c r="J14" s="243" t="inlineStr">
        <is>
          <t>АСУ,А и ТМ (КЦ № 6)</t>
        </is>
      </c>
      <c r="K14" s="243" t="inlineStr">
        <is>
          <t>2012</t>
        </is>
      </c>
      <c r="L14" s="243" t="inlineStr">
        <is>
          <t>36</t>
        </is>
      </c>
      <c r="M14" s="246" t="inlineStr"/>
      <c r="N14" s="245" t="inlineStr"/>
    </row>
    <row r="15" ht="15" customHeight="1" s="236">
      <c r="A15" s="243" t="n">
        <v>14</v>
      </c>
      <c r="B15" s="248" t="inlineStr">
        <is>
          <t>Термометр сопротивления</t>
        </is>
      </c>
      <c r="C15" s="245" t="inlineStr">
        <is>
          <t>ТСП 012.60 Pt100/В/3</t>
        </is>
      </c>
      <c r="D15" s="245" t="inlineStr">
        <is>
          <t>357</t>
        </is>
      </c>
      <c r="E15" s="245" t="inlineStr">
        <is>
          <t>2011</t>
        </is>
      </c>
      <c r="F15" s="245" t="inlineStr">
        <is>
          <t>-60…200 °С</t>
        </is>
      </c>
      <c r="G15" s="245" t="inlineStr">
        <is>
          <t>B</t>
        </is>
      </c>
      <c r="H15" s="243" t="inlineStr">
        <is>
          <t>Температура газа после ЭПГ700/2</t>
        </is>
      </c>
      <c r="I15" s="245" t="inlineStr">
        <is>
          <t>ГПА 61 БПТГ</t>
        </is>
      </c>
      <c r="J15" s="243" t="inlineStr">
        <is>
          <t>АСУ,А и ТМ (КЦ № 6)</t>
        </is>
      </c>
      <c r="K15" s="243" t="inlineStr">
        <is>
          <t>2012</t>
        </is>
      </c>
      <c r="L15" s="243" t="inlineStr">
        <is>
          <t>36</t>
        </is>
      </c>
      <c r="M15" s="246" t="inlineStr"/>
      <c r="N15" s="245" t="inlineStr"/>
    </row>
    <row r="16" ht="22.5" customHeight="1" s="236">
      <c r="A16" s="243" t="n">
        <v>15</v>
      </c>
      <c r="B16" s="248" t="inlineStr">
        <is>
          <t>Термометр сопротивления</t>
        </is>
      </c>
      <c r="C16" s="245" t="inlineStr">
        <is>
          <t>ТСП 012.60 Pt100/В/3</t>
        </is>
      </c>
      <c r="D16" s="245" t="inlineStr">
        <is>
          <t>384</t>
        </is>
      </c>
      <c r="E16" s="245" t="inlineStr">
        <is>
          <t>2011</t>
        </is>
      </c>
      <c r="F16" s="245" t="inlineStr">
        <is>
          <t>-60…200 °С</t>
        </is>
      </c>
      <c r="G16" s="245" t="inlineStr">
        <is>
          <t>B</t>
        </is>
      </c>
      <c r="H16" s="243" t="inlineStr">
        <is>
          <t>Температура антифриза в подогревателе ЭПГ700/1</t>
        </is>
      </c>
      <c r="I16" s="245" t="inlineStr">
        <is>
          <t>ГПА 61 БПТГ</t>
        </is>
      </c>
      <c r="J16" s="243" t="inlineStr">
        <is>
          <t>АСУ,А и ТМ (КЦ № 6)</t>
        </is>
      </c>
      <c r="K16" s="243" t="inlineStr">
        <is>
          <t>2012</t>
        </is>
      </c>
      <c r="L16" s="243" t="inlineStr">
        <is>
          <t>36</t>
        </is>
      </c>
      <c r="M16" s="246" t="inlineStr"/>
      <c r="N16" s="245" t="inlineStr"/>
    </row>
    <row r="17" ht="15" customHeight="1" s="236">
      <c r="A17" s="243" t="n">
        <v>16</v>
      </c>
      <c r="B17" s="248" t="inlineStr">
        <is>
          <t>Термометр сопротивления</t>
        </is>
      </c>
      <c r="C17" s="245" t="inlineStr">
        <is>
          <t>ТСП 012.60 Pt100/В/3</t>
        </is>
      </c>
      <c r="D17" s="245" t="inlineStr">
        <is>
          <t>447</t>
        </is>
      </c>
      <c r="E17" s="245" t="inlineStr">
        <is>
          <t>2011</t>
        </is>
      </c>
      <c r="F17" s="245" t="inlineStr">
        <is>
          <t>-60…200 °С</t>
        </is>
      </c>
      <c r="G17" s="245" t="inlineStr">
        <is>
          <t>B</t>
        </is>
      </c>
      <c r="H17" s="243" t="inlineStr">
        <is>
          <t>Температура газа после ЭПГ700/1</t>
        </is>
      </c>
      <c r="I17" s="245" t="inlineStr">
        <is>
          <t>ГПА 61 БПТГ</t>
        </is>
      </c>
      <c r="J17" s="243" t="inlineStr">
        <is>
          <t>АСУ,А и ТМ (КЦ № 6)</t>
        </is>
      </c>
      <c r="K17" s="243" t="inlineStr">
        <is>
          <t>2012</t>
        </is>
      </c>
      <c r="L17" s="243" t="inlineStr">
        <is>
          <t>36</t>
        </is>
      </c>
      <c r="M17" s="246" t="inlineStr"/>
      <c r="N17" s="245" t="inlineStr"/>
    </row>
    <row r="18" ht="22.5" customHeight="1" s="236">
      <c r="A18" s="243" t="n">
        <v>17</v>
      </c>
      <c r="B18" s="248" t="inlineStr">
        <is>
          <t>Термометр сопротивления</t>
        </is>
      </c>
      <c r="C18" s="245" t="inlineStr">
        <is>
          <t>ТСП 012.60 Pt100/В/3</t>
        </is>
      </c>
      <c r="D18" s="245" t="inlineStr">
        <is>
          <t>373</t>
        </is>
      </c>
      <c r="E18" s="245" t="inlineStr">
        <is>
          <t>2011</t>
        </is>
      </c>
      <c r="F18" s="245" t="inlineStr">
        <is>
          <t>-60…200 °С</t>
        </is>
      </c>
      <c r="G18" s="245" t="inlineStr">
        <is>
          <t>B</t>
        </is>
      </c>
      <c r="H18" s="243" t="inlineStr">
        <is>
          <t>Температура воздуха в контейнере блока БПТГ т.1</t>
        </is>
      </c>
      <c r="I18" s="245" t="inlineStr">
        <is>
          <t>ГПА 61 БПТГ</t>
        </is>
      </c>
      <c r="J18" s="243" t="inlineStr">
        <is>
          <t>АСУ,А и ТМ (КЦ № 6)</t>
        </is>
      </c>
      <c r="K18" s="243" t="inlineStr">
        <is>
          <t>2012</t>
        </is>
      </c>
      <c r="L18" s="243" t="inlineStr">
        <is>
          <t>36</t>
        </is>
      </c>
      <c r="M18" s="246" t="inlineStr"/>
      <c r="N18" s="245" t="inlineStr"/>
    </row>
    <row r="19" ht="22.5" customHeight="1" s="236">
      <c r="A19" s="243" t="n">
        <v>18</v>
      </c>
      <c r="B19" s="248" t="inlineStr">
        <is>
          <t>Термометр сопротивления</t>
        </is>
      </c>
      <c r="C19" s="245" t="inlineStr">
        <is>
          <t>ТСП 012.60 Pt100/В/3</t>
        </is>
      </c>
      <c r="D19" s="245" t="inlineStr">
        <is>
          <t>381</t>
        </is>
      </c>
      <c r="E19" s="245" t="inlineStr">
        <is>
          <t>2011</t>
        </is>
      </c>
      <c r="F19" s="245" t="inlineStr">
        <is>
          <t>-60…200 °С</t>
        </is>
      </c>
      <c r="G19" s="245" t="inlineStr">
        <is>
          <t>B</t>
        </is>
      </c>
      <c r="H19" s="243" t="inlineStr">
        <is>
          <t>Температура воздуха в контейнере блока БПТГ т.2</t>
        </is>
      </c>
      <c r="I19" s="245" t="inlineStr">
        <is>
          <t>ГПА 61 БПТГ</t>
        </is>
      </c>
      <c r="J19" s="243" t="inlineStr">
        <is>
          <t>АСУ,А и ТМ (КЦ № 6)</t>
        </is>
      </c>
      <c r="K19" s="243" t="inlineStr">
        <is>
          <t>2012</t>
        </is>
      </c>
      <c r="L19" s="243" t="inlineStr">
        <is>
          <t>36</t>
        </is>
      </c>
      <c r="M19" s="246" t="inlineStr"/>
      <c r="N19" s="245" t="inlineStr"/>
    </row>
    <row r="20" ht="15" customHeight="1" s="236">
      <c r="A20" s="243" t="n">
        <v>19</v>
      </c>
      <c r="B20" s="248" t="inlineStr">
        <is>
          <t>Термометр сопротивления</t>
        </is>
      </c>
      <c r="C20" s="245" t="inlineStr">
        <is>
          <t>ТСП 012.60 Pt100/В/3</t>
        </is>
      </c>
      <c r="D20" s="245" t="inlineStr">
        <is>
          <t>371</t>
        </is>
      </c>
      <c r="E20" s="245" t="inlineStr">
        <is>
          <t>2011</t>
        </is>
      </c>
      <c r="F20" s="245" t="inlineStr">
        <is>
          <t>-60…200 °С</t>
        </is>
      </c>
      <c r="G20" s="245" t="inlineStr">
        <is>
          <t>B</t>
        </is>
      </c>
      <c r="H20" s="243" t="inlineStr">
        <is>
          <t>Температура масла EK225</t>
        </is>
      </c>
      <c r="I20" s="245" t="inlineStr">
        <is>
          <t>ГПА 61 БПТГ</t>
        </is>
      </c>
      <c r="J20" s="243" t="inlineStr">
        <is>
          <t>АСУ,А и ТМ (КЦ № 6)</t>
        </is>
      </c>
      <c r="K20" s="243" t="inlineStr">
        <is>
          <t>2012</t>
        </is>
      </c>
      <c r="L20" s="243" t="inlineStr">
        <is>
          <t>36</t>
        </is>
      </c>
      <c r="M20" s="246" t="inlineStr"/>
      <c r="N20" s="245" t="inlineStr"/>
    </row>
    <row r="21" ht="15" customHeight="1" s="236">
      <c r="A21" s="243" t="n">
        <v>20</v>
      </c>
      <c r="B21" s="248" t="inlineStr">
        <is>
          <t>Термометр сопротивления</t>
        </is>
      </c>
      <c r="C21" s="245" t="inlineStr">
        <is>
          <t>ТСП 012.60 Pt100/В/3</t>
        </is>
      </c>
      <c r="D21" s="245" t="inlineStr">
        <is>
          <t>370</t>
        </is>
      </c>
      <c r="E21" s="245" t="inlineStr">
        <is>
          <t>2011</t>
        </is>
      </c>
      <c r="F21" s="245" t="inlineStr">
        <is>
          <t>-60…200 °С</t>
        </is>
      </c>
      <c r="G21" s="245" t="inlineStr">
        <is>
          <t>B</t>
        </is>
      </c>
      <c r="H21" s="243" t="inlineStr">
        <is>
          <t>Температура масла EK226</t>
        </is>
      </c>
      <c r="I21" s="245" t="inlineStr">
        <is>
          <t>ГПА 61 БПТГ</t>
        </is>
      </c>
      <c r="J21" s="243" t="inlineStr">
        <is>
          <t>АСУ,А и ТМ (КЦ № 6)</t>
        </is>
      </c>
      <c r="K21" s="243" t="inlineStr">
        <is>
          <t>2012</t>
        </is>
      </c>
      <c r="L21" s="243" t="inlineStr">
        <is>
          <t>36</t>
        </is>
      </c>
      <c r="M21" s="246" t="inlineStr"/>
      <c r="N21" s="245" t="inlineStr"/>
    </row>
    <row r="22" ht="15" customHeight="1" s="236">
      <c r="A22" s="243" t="n">
        <v>21</v>
      </c>
      <c r="B22" s="248" t="inlineStr">
        <is>
          <t>Датчик уровня</t>
        </is>
      </c>
      <c r="C22" s="245" t="inlineStr">
        <is>
          <t>KROHNE Optiswitch 5200C</t>
        </is>
      </c>
      <c r="D22" s="245" t="inlineStr">
        <is>
          <t>20408759</t>
        </is>
      </c>
      <c r="E22" s="245" t="inlineStr">
        <is>
          <t>2011</t>
        </is>
      </c>
      <c r="F22" s="245" t="inlineStr">
        <is>
          <t>0…400 мм</t>
        </is>
      </c>
      <c r="G22" s="245" t="inlineStr"/>
      <c r="H22" s="243" t="inlineStr">
        <is>
          <t>Уровень антифриза в ЭПГ 700/1</t>
        </is>
      </c>
      <c r="I22" s="245" t="inlineStr">
        <is>
          <t>ГПА 61 БПТГ</t>
        </is>
      </c>
      <c r="J22" s="243" t="inlineStr">
        <is>
          <t>АСУ,А и ТМ (КЦ № 6)</t>
        </is>
      </c>
      <c r="K22" s="243" t="inlineStr"/>
      <c r="L22" s="243" t="inlineStr"/>
      <c r="M22" s="246" t="inlineStr"/>
      <c r="N22" s="245" t="inlineStr"/>
    </row>
    <row r="23" ht="15" customHeight="1" s="236">
      <c r="A23" s="243" t="n">
        <v>22</v>
      </c>
      <c r="B23" s="248" t="inlineStr">
        <is>
          <t>Датчик уровня</t>
        </is>
      </c>
      <c r="C23" s="245" t="inlineStr">
        <is>
          <t>KROHNE Optiswitch 5200C</t>
        </is>
      </c>
      <c r="D23" s="245" t="inlineStr">
        <is>
          <t>20408763</t>
        </is>
      </c>
      <c r="E23" s="245" t="inlineStr">
        <is>
          <t>2011</t>
        </is>
      </c>
      <c r="F23" s="245" t="inlineStr">
        <is>
          <t>0…400 мм</t>
        </is>
      </c>
      <c r="G23" s="245" t="inlineStr"/>
      <c r="H23" s="243" t="inlineStr">
        <is>
          <t>Уровень антифриза в ЭПГ 700/2</t>
        </is>
      </c>
      <c r="I23" s="245" t="inlineStr">
        <is>
          <t>ГПА 61 БПТГ</t>
        </is>
      </c>
      <c r="J23" s="243" t="inlineStr">
        <is>
          <t>АСУ,А и ТМ (КЦ № 6)</t>
        </is>
      </c>
      <c r="K23" s="243" t="inlineStr"/>
      <c r="L23" s="243" t="inlineStr"/>
      <c r="M23" s="246" t="inlineStr"/>
      <c r="N23" s="245" t="inlineStr"/>
    </row>
    <row r="24" ht="15" customHeight="1" s="236">
      <c r="A24" s="243" t="n">
        <v>23</v>
      </c>
      <c r="B24" s="244" t="inlineStr">
        <is>
          <t>Контроль загазованности</t>
        </is>
      </c>
      <c r="C24" s="245" t="inlineStr">
        <is>
          <t>Det-Tronics (PIRECL 21M)</t>
        </is>
      </c>
      <c r="D24" s="245" t="inlineStr">
        <is>
          <t>1105076</t>
        </is>
      </c>
      <c r="E24" s="245" t="inlineStr">
        <is>
          <t>2011</t>
        </is>
      </c>
      <c r="F24" s="245" t="inlineStr"/>
      <c r="G24" s="245" t="inlineStr"/>
      <c r="H24" s="243" t="inlineStr">
        <is>
          <t>ЭП 700/2 (QT 502)</t>
        </is>
      </c>
      <c r="I24" s="245" t="inlineStr">
        <is>
          <t>ГПА 61 БПТГ</t>
        </is>
      </c>
      <c r="J24" s="243" t="inlineStr">
        <is>
          <t>АСУ,А и ТМ (КЦ № 6)</t>
        </is>
      </c>
      <c r="K24" s="243" t="inlineStr">
        <is>
          <t>2012</t>
        </is>
      </c>
      <c r="L24" s="243" t="inlineStr"/>
      <c r="M24" s="246" t="inlineStr"/>
      <c r="N24" s="245" t="inlineStr"/>
    </row>
    <row r="25" ht="15" customFormat="1" customHeight="1" s="250">
      <c r="A25" s="243" t="n">
        <v>24</v>
      </c>
      <c r="B25" s="244" t="inlineStr">
        <is>
          <t>Контроль загазованности</t>
        </is>
      </c>
      <c r="C25" s="245" t="inlineStr">
        <is>
          <t>ОГС-ПГП/М-СН4-А</t>
        </is>
      </c>
      <c r="D25" s="245" t="inlineStr">
        <is>
          <t>24102</t>
        </is>
      </c>
      <c r="E25" s="245" t="inlineStr">
        <is>
          <t>2023</t>
        </is>
      </c>
      <c r="F25" s="245" t="inlineStr"/>
      <c r="G25" s="245" t="inlineStr"/>
      <c r="H25" s="243" t="inlineStr">
        <is>
          <t>ЭП 700/1 (QT 501)</t>
        </is>
      </c>
      <c r="I25" s="245" t="inlineStr">
        <is>
          <t>ГПА 61 БПТГ</t>
        </is>
      </c>
      <c r="J25" s="243" t="inlineStr">
        <is>
          <t>АСУ,А и ТМ (КЦ № 6)</t>
        </is>
      </c>
      <c r="K25" s="243" t="inlineStr">
        <is>
          <t>2012</t>
        </is>
      </c>
      <c r="L25" s="243" t="inlineStr"/>
      <c r="M25" s="246" t="inlineStr"/>
      <c r="N25" s="245" t="inlineStr"/>
    </row>
    <row r="26" ht="15" customHeight="1" s="236">
      <c r="A26" s="243" t="n">
        <v>25</v>
      </c>
      <c r="B26" s="244" t="inlineStr">
        <is>
          <t>Датчик пламени</t>
        </is>
      </c>
      <c r="C26" s="245" t="inlineStr">
        <is>
          <t>ИП330/3-20-А1</t>
        </is>
      </c>
      <c r="D26" s="245" t="inlineStr">
        <is>
          <t>000984</t>
        </is>
      </c>
      <c r="E26" s="245" t="inlineStr"/>
      <c r="F26" s="245" t="inlineStr"/>
      <c r="G26" s="245" t="inlineStr"/>
      <c r="H26" s="243" t="inlineStr">
        <is>
          <t>(BTF501)</t>
        </is>
      </c>
      <c r="I26" s="245" t="inlineStr">
        <is>
          <t>ГПА 61 БПТГ</t>
        </is>
      </c>
      <c r="J26" s="243" t="inlineStr">
        <is>
          <t>АСУ,А и ТМ (КЦ № 6)</t>
        </is>
      </c>
      <c r="K26" s="243" t="inlineStr">
        <is>
          <t>2012</t>
        </is>
      </c>
      <c r="L26" s="243" t="inlineStr"/>
      <c r="M26" s="246" t="inlineStr"/>
      <c r="N26" s="245" t="inlineStr"/>
    </row>
    <row r="27" ht="15" customHeight="1" s="236">
      <c r="A27" s="243" t="n">
        <v>26</v>
      </c>
      <c r="B27" s="244" t="inlineStr">
        <is>
          <t>Датчик пламени</t>
        </is>
      </c>
      <c r="C27" s="245" t="inlineStr">
        <is>
          <t>ИП330/3-20-А1</t>
        </is>
      </c>
      <c r="D27" s="245" t="inlineStr">
        <is>
          <t>001000</t>
        </is>
      </c>
      <c r="E27" s="245" t="inlineStr"/>
      <c r="F27" s="245" t="inlineStr"/>
      <c r="G27" s="245" t="inlineStr"/>
      <c r="H27" s="243" t="inlineStr">
        <is>
          <t>(BTF502)</t>
        </is>
      </c>
      <c r="I27" s="245" t="inlineStr">
        <is>
          <t>ГПА 61 БПТГ</t>
        </is>
      </c>
      <c r="J27" s="243" t="inlineStr">
        <is>
          <t>АСУ,А и ТМ (КЦ № 6)</t>
        </is>
      </c>
      <c r="K27" s="243" t="inlineStr">
        <is>
          <t>2012</t>
        </is>
      </c>
      <c r="L27" s="243" t="inlineStr"/>
      <c r="M27" s="246" t="inlineStr"/>
      <c r="N27" s="245" t="inlineStr"/>
    </row>
    <row r="28" ht="15" customHeight="1" s="236">
      <c r="A28" s="243" t="n">
        <v>27</v>
      </c>
      <c r="B28" s="244" t="inlineStr">
        <is>
          <t>Датчик пламени</t>
        </is>
      </c>
      <c r="C28" s="245" t="inlineStr">
        <is>
          <t>ИП330/3-20-А1</t>
        </is>
      </c>
      <c r="D28" s="245" t="inlineStr">
        <is>
          <t>001016</t>
        </is>
      </c>
      <c r="E28" s="245" t="inlineStr"/>
      <c r="F28" s="245" t="inlineStr"/>
      <c r="G28" s="245" t="inlineStr"/>
      <c r="H28" s="243" t="inlineStr">
        <is>
          <t>(BTF503)</t>
        </is>
      </c>
      <c r="I28" s="245" t="inlineStr">
        <is>
          <t>ГПА 61 БПТГ</t>
        </is>
      </c>
      <c r="J28" s="243" t="inlineStr">
        <is>
          <t>АСУ,А и ТМ (КЦ № 6)</t>
        </is>
      </c>
      <c r="K28" s="243" t="inlineStr">
        <is>
          <t>2012</t>
        </is>
      </c>
      <c r="L28" s="243" t="inlineStr"/>
      <c r="M28" s="246" t="inlineStr"/>
      <c r="N28" s="245" t="inlineStr"/>
    </row>
    <row r="29" ht="15" customHeight="1" s="236">
      <c r="A29" s="243" t="n">
        <v>28</v>
      </c>
      <c r="B29" s="244" t="inlineStr">
        <is>
          <t>Датчик пламени</t>
        </is>
      </c>
      <c r="C29" s="245" t="inlineStr">
        <is>
          <t>ИП330/3-20-А1</t>
        </is>
      </c>
      <c r="D29" s="245" t="inlineStr">
        <is>
          <t>000999</t>
        </is>
      </c>
      <c r="E29" s="245" t="inlineStr"/>
      <c r="F29" s="245" t="inlineStr"/>
      <c r="G29" s="245" t="inlineStr"/>
      <c r="H29" s="243" t="inlineStr">
        <is>
          <t>(BTF504)</t>
        </is>
      </c>
      <c r="I29" s="245" t="inlineStr">
        <is>
          <t>ГПА 61 БПТГ</t>
        </is>
      </c>
      <c r="J29" s="243" t="inlineStr">
        <is>
          <t>АСУ,А и ТМ (КЦ № 6)</t>
        </is>
      </c>
      <c r="K29" s="243" t="inlineStr">
        <is>
          <t>2012</t>
        </is>
      </c>
      <c r="L29" s="243" t="inlineStr"/>
      <c r="M29" s="246" t="inlineStr"/>
      <c r="N29" s="245" t="inlineStr"/>
    </row>
    <row r="30" ht="15" customHeight="1" s="236">
      <c r="A30" s="243" t="n">
        <v>29</v>
      </c>
      <c r="B30" s="248" t="inlineStr">
        <is>
          <t>Термометр сопротивления</t>
        </is>
      </c>
      <c r="C30" s="245" t="inlineStr">
        <is>
          <t>ТСПУ-Л 22322 УХЛ3.1</t>
        </is>
      </c>
      <c r="D30" s="245" t="inlineStr">
        <is>
          <t>18</t>
        </is>
      </c>
      <c r="E30" s="245" t="inlineStr">
        <is>
          <t>2011</t>
        </is>
      </c>
      <c r="F30" s="245" t="inlineStr">
        <is>
          <t>-60…100 °С</t>
        </is>
      </c>
      <c r="G30" s="245" t="inlineStr">
        <is>
          <t>±0,5 %</t>
        </is>
      </c>
      <c r="H30" s="243" t="inlineStr">
        <is>
          <t>Т нагретого воздуха</t>
        </is>
      </c>
      <c r="I30" s="245" t="inlineStr">
        <is>
          <t>ГПА 61 АВГМ</t>
        </is>
      </c>
      <c r="J30" s="243" t="inlineStr">
        <is>
          <t>АСУ,А и ТМ (КЦ № 6)</t>
        </is>
      </c>
      <c r="K30" s="243" t="inlineStr">
        <is>
          <t>2012</t>
        </is>
      </c>
      <c r="L30" s="243" t="inlineStr">
        <is>
          <t>24</t>
        </is>
      </c>
      <c r="M30" s="246" t="inlineStr"/>
      <c r="N30" s="245" t="inlineStr"/>
    </row>
    <row r="31" ht="15" customHeight="1" s="236">
      <c r="A31" s="243" t="n">
        <v>30</v>
      </c>
      <c r="B31" s="248" t="inlineStr">
        <is>
          <t>Термометр сопротивления</t>
        </is>
      </c>
      <c r="C31" s="245" t="inlineStr">
        <is>
          <t>ТСПУ-Л 22322 УХЛ3.1</t>
        </is>
      </c>
      <c r="D31" s="245" t="inlineStr">
        <is>
          <t>7</t>
        </is>
      </c>
      <c r="E31" s="245" t="inlineStr">
        <is>
          <t>2011</t>
        </is>
      </c>
      <c r="F31" s="245" t="inlineStr">
        <is>
          <t>-60…100 °С</t>
        </is>
      </c>
      <c r="G31" s="245" t="inlineStr">
        <is>
          <t>±0,5 %</t>
        </is>
      </c>
      <c r="H31" s="243" t="inlineStr">
        <is>
          <t>Тг на газовом счетчике</t>
        </is>
      </c>
      <c r="I31" s="245" t="inlineStr">
        <is>
          <t>ГПА 61 АВГМ</t>
        </is>
      </c>
      <c r="J31" s="243" t="inlineStr">
        <is>
          <t>АСУ,А и ТМ (КЦ № 6)</t>
        </is>
      </c>
      <c r="K31" s="243" t="inlineStr">
        <is>
          <t>2012</t>
        </is>
      </c>
      <c r="L31" s="243" t="inlineStr">
        <is>
          <t>24</t>
        </is>
      </c>
      <c r="M31" s="246" t="inlineStr"/>
      <c r="N31" s="245" t="inlineStr"/>
    </row>
    <row r="32" ht="15" customHeight="1" s="236">
      <c r="A32" s="243" t="n">
        <v>31</v>
      </c>
      <c r="B32" s="248" t="inlineStr">
        <is>
          <t>Термометр сопротивления</t>
        </is>
      </c>
      <c r="C32" s="245" t="inlineStr">
        <is>
          <t>ТСПУ-Л 22322 УХЛ3.1</t>
        </is>
      </c>
      <c r="D32" s="245" t="inlineStr">
        <is>
          <t>31</t>
        </is>
      </c>
      <c r="E32" s="245" t="inlineStr">
        <is>
          <t>2011</t>
        </is>
      </c>
      <c r="F32" s="245" t="inlineStr">
        <is>
          <t>-60…350 °С</t>
        </is>
      </c>
      <c r="G32" s="245" t="inlineStr">
        <is>
          <t>±0,5 %</t>
        </is>
      </c>
      <c r="H32" s="243" t="inlineStr">
        <is>
          <t>Т теплообменника 1</t>
        </is>
      </c>
      <c r="I32" s="245" t="inlineStr">
        <is>
          <t>ГПА 61 АВГМ</t>
        </is>
      </c>
      <c r="J32" s="243" t="inlineStr">
        <is>
          <t>АСУ,А и ТМ (КЦ № 6)</t>
        </is>
      </c>
      <c r="K32" s="243" t="inlineStr">
        <is>
          <t>2012</t>
        </is>
      </c>
      <c r="L32" s="243" t="inlineStr">
        <is>
          <t>24</t>
        </is>
      </c>
      <c r="M32" s="246" t="inlineStr"/>
      <c r="N32" s="245" t="inlineStr"/>
    </row>
    <row r="33" ht="15" customHeight="1" s="236">
      <c r="A33" s="243" t="n">
        <v>32</v>
      </c>
      <c r="B33" s="248" t="inlineStr">
        <is>
          <t>Термометр сопротивления</t>
        </is>
      </c>
      <c r="C33" s="245" t="inlineStr">
        <is>
          <t>ТСПУ-Л 22322 УХЛ3.1</t>
        </is>
      </c>
      <c r="D33" s="245" t="inlineStr">
        <is>
          <t>26</t>
        </is>
      </c>
      <c r="E33" s="245" t="inlineStr">
        <is>
          <t>2011</t>
        </is>
      </c>
      <c r="F33" s="245" t="inlineStr">
        <is>
          <t>-60…350 °С</t>
        </is>
      </c>
      <c r="G33" s="245" t="inlineStr">
        <is>
          <t>±0,5 %</t>
        </is>
      </c>
      <c r="H33" s="243" t="inlineStr">
        <is>
          <t>Т теплообменника 2</t>
        </is>
      </c>
      <c r="I33" s="245" t="inlineStr">
        <is>
          <t>ГПА 61 АВГМ</t>
        </is>
      </c>
      <c r="J33" s="243" t="inlineStr">
        <is>
          <t>АСУ,А и ТМ (КЦ № 6)</t>
        </is>
      </c>
      <c r="K33" s="243" t="inlineStr">
        <is>
          <t>2012</t>
        </is>
      </c>
      <c r="L33" s="243" t="inlineStr">
        <is>
          <t>24</t>
        </is>
      </c>
      <c r="M33" s="246" t="inlineStr"/>
      <c r="N33" s="245" t="inlineStr"/>
    </row>
    <row r="34" ht="15" customHeight="1" s="236">
      <c r="A34" s="243" t="n">
        <v>33</v>
      </c>
      <c r="B34" s="248" t="inlineStr">
        <is>
          <t>Термометр сопротивления</t>
        </is>
      </c>
      <c r="C34" s="245" t="inlineStr">
        <is>
          <t>ТСПУ-Л 22322 УХЛ3.1</t>
        </is>
      </c>
      <c r="D34" s="245" t="inlineStr">
        <is>
          <t>9</t>
        </is>
      </c>
      <c r="E34" s="245" t="inlineStr">
        <is>
          <t>2011</t>
        </is>
      </c>
      <c r="F34" s="245" t="inlineStr">
        <is>
          <t>-60…100 °С</t>
        </is>
      </c>
      <c r="G34" s="245" t="inlineStr">
        <is>
          <t>±0,5 %</t>
        </is>
      </c>
      <c r="H34" s="243" t="inlineStr">
        <is>
          <t>Тг на входе</t>
        </is>
      </c>
      <c r="I34" s="245" t="inlineStr">
        <is>
          <t>ГПА 61 АВГМ</t>
        </is>
      </c>
      <c r="J34" s="243" t="inlineStr">
        <is>
          <t>АСУ,А и ТМ (КЦ № 6)</t>
        </is>
      </c>
      <c r="K34" s="243" t="inlineStr">
        <is>
          <t>2012</t>
        </is>
      </c>
      <c r="L34" s="243" t="inlineStr">
        <is>
          <t>24</t>
        </is>
      </c>
      <c r="M34" s="246" t="inlineStr"/>
      <c r="N34" s="245" t="inlineStr"/>
    </row>
    <row r="35" ht="15" customHeight="1" s="236">
      <c r="A35" s="239">
        <f>IF(B35&lt;&gt;"", COUNTA($B$2:B35), "")</f>
        <v/>
      </c>
      <c r="B35" s="240" t="inlineStr">
        <is>
          <t>Термометр сопротивления</t>
        </is>
      </c>
      <c r="C35" s="251" t="inlineStr">
        <is>
          <t>ТСПУ-Л  22322 УХЛ3.1</t>
        </is>
      </c>
      <c r="D35" s="251" t="n">
        <v>1</v>
      </c>
      <c r="E35" s="239" t="n">
        <v>2011</v>
      </c>
      <c r="F35" s="252" t="inlineStr">
        <is>
          <t>-60…100 °С</t>
        </is>
      </c>
      <c r="G35" s="251" t="inlineStr">
        <is>
          <t>±0,5 %</t>
        </is>
      </c>
      <c r="H35" s="239" t="inlineStr">
        <is>
          <t>Тв в секции обслуживания</t>
        </is>
      </c>
      <c r="I35" s="239" t="inlineStr">
        <is>
          <t>ГПА 61 АВГМ</t>
        </is>
      </c>
      <c r="J35" s="239" t="inlineStr">
        <is>
          <t>АСУ,А и ТМ (КЦ № 6)</t>
        </is>
      </c>
      <c r="K35" s="239" t="n">
        <v>2012</v>
      </c>
      <c r="L35" s="251" t="n">
        <v>24</v>
      </c>
      <c r="M35" s="240" t="n"/>
      <c r="N35" s="242" t="n"/>
    </row>
    <row r="36" ht="15" customHeight="1" s="236">
      <c r="A36" s="243" t="n">
        <v>35</v>
      </c>
      <c r="B36" s="253" t="inlineStr">
        <is>
          <t>Манометр технический</t>
        </is>
      </c>
      <c r="C36" s="248" t="inlineStr">
        <is>
          <t>МП4-УУ2</t>
        </is>
      </c>
      <c r="D36" s="248" t="inlineStr">
        <is>
          <t>15169</t>
        </is>
      </c>
      <c r="E36" s="243" t="inlineStr"/>
      <c r="F36" s="254" t="inlineStr">
        <is>
          <t>0…0,6 кгс/см2</t>
        </is>
      </c>
      <c r="G36" s="248" t="inlineStr">
        <is>
          <t>1.5</t>
        </is>
      </c>
      <c r="H36" s="243" t="inlineStr">
        <is>
          <t>Р газа после счетчика АВГМ</t>
        </is>
      </c>
      <c r="I36" s="243" t="inlineStr">
        <is>
          <t>ГПА 61 АВГМ</t>
        </is>
      </c>
      <c r="J36" s="243" t="inlineStr">
        <is>
          <t>АСУ,А и ТМ (КЦ № 6)</t>
        </is>
      </c>
      <c r="K36" s="243" t="inlineStr">
        <is>
          <t>2012</t>
        </is>
      </c>
      <c r="L36" s="248" t="inlineStr">
        <is>
          <t>12</t>
        </is>
      </c>
      <c r="M36" s="246" t="inlineStr">
        <is>
          <t>1К26</t>
        </is>
      </c>
      <c r="N36" s="245" t="inlineStr">
        <is>
          <t>К</t>
        </is>
      </c>
    </row>
    <row r="37" ht="15" customHeight="1" s="236">
      <c r="A37" s="243" t="n">
        <v>36</v>
      </c>
      <c r="B37" s="253" t="inlineStr">
        <is>
          <t>Манометр технический</t>
        </is>
      </c>
      <c r="C37" s="248" t="inlineStr">
        <is>
          <t>ДМ8008-ВУ-У2</t>
        </is>
      </c>
      <c r="D37" s="248" t="inlineStr">
        <is>
          <t>15583</t>
        </is>
      </c>
      <c r="E37" s="243" t="inlineStr">
        <is>
          <t>2010</t>
        </is>
      </c>
      <c r="F37" s="254" t="inlineStr">
        <is>
          <t>0…6 кгс/см2</t>
        </is>
      </c>
      <c r="G37" s="248" t="inlineStr">
        <is>
          <t>1.5</t>
        </is>
      </c>
      <c r="H37" s="243" t="inlineStr">
        <is>
          <t>Р газа на входе АВГМ</t>
        </is>
      </c>
      <c r="I37" s="243" t="inlineStr">
        <is>
          <t>ГПА 61 АВГМ</t>
        </is>
      </c>
      <c r="J37" s="243" t="inlineStr">
        <is>
          <t>АСУ,А и ТМ (КЦ № 6)</t>
        </is>
      </c>
      <c r="K37" s="243" t="inlineStr">
        <is>
          <t>2012</t>
        </is>
      </c>
      <c r="L37" s="248" t="inlineStr">
        <is>
          <t>12</t>
        </is>
      </c>
      <c r="M37" s="246" t="inlineStr">
        <is>
          <t>1К26</t>
        </is>
      </c>
      <c r="N37" s="245" t="inlineStr">
        <is>
          <t>К</t>
        </is>
      </c>
    </row>
    <row r="38" ht="15" customHeight="1" s="236">
      <c r="A38" s="243" t="n">
        <v>37</v>
      </c>
      <c r="B38" s="253" t="inlineStr">
        <is>
          <t>Контроль загазованности</t>
        </is>
      </c>
      <c r="C38" s="248" t="inlineStr">
        <is>
          <t>Det-Tronics (PIRECL 21M)</t>
        </is>
      </c>
      <c r="D38" s="248" t="inlineStr">
        <is>
          <t>2310064</t>
        </is>
      </c>
      <c r="E38" s="243" t="inlineStr">
        <is>
          <t>2011</t>
        </is>
      </c>
      <c r="F38" s="254" t="inlineStr"/>
      <c r="G38" s="248" t="inlineStr"/>
      <c r="H38" s="243" t="inlineStr">
        <is>
          <t>QT 701</t>
        </is>
      </c>
      <c r="I38" s="243" t="inlineStr">
        <is>
          <t>ГПА 61 АВГМ</t>
        </is>
      </c>
      <c r="J38" s="243" t="inlineStr">
        <is>
          <t>АСУ,А и ТМ (КЦ № 6)</t>
        </is>
      </c>
      <c r="K38" s="243" t="inlineStr">
        <is>
          <t>2012</t>
        </is>
      </c>
      <c r="L38" s="248" t="inlineStr"/>
      <c r="M38" s="246" t="inlineStr"/>
      <c r="N38" s="245" t="inlineStr"/>
    </row>
    <row r="39" ht="22.5" customHeight="1" s="236">
      <c r="A39" s="243" t="n">
        <v>38</v>
      </c>
      <c r="B39" s="253" t="inlineStr">
        <is>
          <t>Извещатель тепловой пожарный</t>
        </is>
      </c>
      <c r="C39" s="248" t="inlineStr">
        <is>
          <t>Fenwal 12-X27121-000</t>
        </is>
      </c>
      <c r="D39" s="248" t="inlineStr">
        <is>
          <t>1918</t>
        </is>
      </c>
      <c r="E39" s="243" t="inlineStr">
        <is>
          <t>2011</t>
        </is>
      </c>
      <c r="F39" s="254" t="inlineStr">
        <is>
          <t>-55…150 °С</t>
        </is>
      </c>
      <c r="G39" s="248" t="inlineStr"/>
      <c r="H39" s="243" t="inlineStr">
        <is>
          <t>BTK 501</t>
        </is>
      </c>
      <c r="I39" s="243" t="inlineStr">
        <is>
          <t>ГПА 61 АВГМ</t>
        </is>
      </c>
      <c r="J39" s="243" t="inlineStr">
        <is>
          <t>АСУ,А и ТМ (КЦ № 6)</t>
        </is>
      </c>
      <c r="K39" s="243" t="inlineStr">
        <is>
          <t>2012</t>
        </is>
      </c>
      <c r="L39" s="248" t="inlineStr"/>
      <c r="M39" s="246" t="inlineStr"/>
      <c r="N39" s="245" t="inlineStr"/>
    </row>
    <row r="40" ht="22.5" customHeight="1" s="236">
      <c r="A40" s="243" t="n">
        <v>39</v>
      </c>
      <c r="B40" s="253" t="inlineStr">
        <is>
          <t>Извещатель тепловой пожарный</t>
        </is>
      </c>
      <c r="C40" s="248" t="inlineStr">
        <is>
          <t>Fenwal 12-X27121-000</t>
        </is>
      </c>
      <c r="D40" s="248" t="inlineStr">
        <is>
          <t>1919</t>
        </is>
      </c>
      <c r="E40" s="243" t="inlineStr">
        <is>
          <t>2011</t>
        </is>
      </c>
      <c r="F40" s="254" t="inlineStr">
        <is>
          <t>-55…150 °С</t>
        </is>
      </c>
      <c r="G40" s="248" t="inlineStr"/>
      <c r="H40" s="243" t="inlineStr">
        <is>
          <t>BTK 502</t>
        </is>
      </c>
      <c r="I40" s="243" t="inlineStr">
        <is>
          <t>ГПА 61 АВГМ</t>
        </is>
      </c>
      <c r="J40" s="243" t="inlineStr">
        <is>
          <t>АСУ,А и ТМ (КЦ № 6)</t>
        </is>
      </c>
      <c r="K40" s="243" t="inlineStr">
        <is>
          <t>2012</t>
        </is>
      </c>
      <c r="L40" s="248" t="inlineStr"/>
      <c r="M40" s="246" t="inlineStr"/>
      <c r="N40" s="245" t="inlineStr"/>
    </row>
    <row r="41" ht="22.5" customHeight="1" s="236">
      <c r="A41" s="243" t="n">
        <v>40</v>
      </c>
      <c r="B41" s="253" t="inlineStr">
        <is>
          <t>Извещатель тепловой пожарный</t>
        </is>
      </c>
      <c r="C41" s="248" t="inlineStr">
        <is>
          <t>Fenwal 12-X27121-000</t>
        </is>
      </c>
      <c r="D41" s="248" t="inlineStr">
        <is>
          <t>1920</t>
        </is>
      </c>
      <c r="E41" s="243" t="inlineStr">
        <is>
          <t>2011</t>
        </is>
      </c>
      <c r="F41" s="254" t="inlineStr">
        <is>
          <t>-55…150 °С</t>
        </is>
      </c>
      <c r="G41" s="248" t="inlineStr"/>
      <c r="H41" s="243" t="inlineStr">
        <is>
          <t>BTK 503</t>
        </is>
      </c>
      <c r="I41" s="243" t="inlineStr">
        <is>
          <t>ГПА 61 АВГМ</t>
        </is>
      </c>
      <c r="J41" s="243" t="inlineStr">
        <is>
          <t>АСУ,А и ТМ (КЦ № 6)</t>
        </is>
      </c>
      <c r="K41" s="243" t="inlineStr">
        <is>
          <t>2012</t>
        </is>
      </c>
      <c r="L41" s="248" t="inlineStr"/>
      <c r="M41" s="246" t="inlineStr"/>
      <c r="N41" s="245" t="inlineStr"/>
    </row>
    <row r="42" ht="22.5" customHeight="1" s="236">
      <c r="A42" s="243" t="n">
        <v>41</v>
      </c>
      <c r="B42" s="255" t="inlineStr">
        <is>
          <t>Преобразователь избыточного давления</t>
        </is>
      </c>
      <c r="C42" s="248" t="inlineStr">
        <is>
          <t>Dunas LGW 3 A2</t>
        </is>
      </c>
      <c r="D42" s="248" t="inlineStr">
        <is>
          <t>CE-0085 AQ0673</t>
        </is>
      </c>
      <c r="E42" s="243" t="inlineStr"/>
      <c r="F42" s="254" t="inlineStr">
        <is>
          <t>0…500 мбар</t>
        </is>
      </c>
      <c r="G42" s="248" t="inlineStr"/>
      <c r="H42" s="243" t="inlineStr">
        <is>
          <t>Перепад давления</t>
        </is>
      </c>
      <c r="I42" s="243" t="inlineStr">
        <is>
          <t>ГПА 61 АВГМ</t>
        </is>
      </c>
      <c r="J42" s="243" t="inlineStr">
        <is>
          <t>АСУ,А и ТМ (КЦ № 6)</t>
        </is>
      </c>
      <c r="K42" s="243" t="inlineStr">
        <is>
          <t>2012</t>
        </is>
      </c>
      <c r="L42" s="248" t="inlineStr"/>
      <c r="M42" s="246" t="inlineStr"/>
      <c r="N42" s="245" t="inlineStr"/>
    </row>
    <row r="43" ht="22.5" customHeight="1" s="236">
      <c r="A43" s="243" t="n">
        <v>42</v>
      </c>
      <c r="B43" s="255" t="inlineStr">
        <is>
          <t>Преобразователь избыточного давления</t>
        </is>
      </c>
      <c r="C43" s="248" t="inlineStr">
        <is>
          <t>ПРОМА-ИДМ-(В)</t>
        </is>
      </c>
      <c r="D43" s="248" t="inlineStr">
        <is>
          <t>108165</t>
        </is>
      </c>
      <c r="E43" s="243" t="inlineStr">
        <is>
          <t>2011</t>
        </is>
      </c>
      <c r="F43" s="254" t="inlineStr">
        <is>
          <t>0…1 кПа</t>
        </is>
      </c>
      <c r="G43" s="248" t="inlineStr"/>
      <c r="H43" s="243" t="inlineStr">
        <is>
          <t>Р воздуха на входе (датчик и прибор)</t>
        </is>
      </c>
      <c r="I43" s="243" t="inlineStr">
        <is>
          <t>ГПА 61 АВГМ</t>
        </is>
      </c>
      <c r="J43" s="243" t="inlineStr">
        <is>
          <t>АСУ,А и ТМ (КЦ № 6)</t>
        </is>
      </c>
      <c r="K43" s="243" t="inlineStr">
        <is>
          <t>2012</t>
        </is>
      </c>
      <c r="L43" s="248" t="inlineStr"/>
      <c r="M43" s="246" t="inlineStr"/>
      <c r="N43" s="245" t="inlineStr"/>
    </row>
    <row r="44" ht="22.5" customHeight="1" s="236">
      <c r="A44" s="243" t="n">
        <v>43</v>
      </c>
      <c r="B44" s="255" t="inlineStr">
        <is>
          <t>Преобразователь избыточного давления</t>
        </is>
      </c>
      <c r="C44" s="248" t="inlineStr">
        <is>
          <t>ДДМ-03-ДИ</t>
        </is>
      </c>
      <c r="D44" s="248" t="inlineStr">
        <is>
          <t>303046</t>
        </is>
      </c>
      <c r="E44" s="243" t="inlineStr"/>
      <c r="F44" s="254" t="inlineStr">
        <is>
          <t>0…40 кПа</t>
        </is>
      </c>
      <c r="G44" s="248" t="inlineStr"/>
      <c r="H44" s="243" t="inlineStr">
        <is>
          <t>Р газа полсе РД</t>
        </is>
      </c>
      <c r="I44" s="243" t="inlineStr">
        <is>
          <t>ГПА 61 АВГМ</t>
        </is>
      </c>
      <c r="J44" s="243" t="inlineStr">
        <is>
          <t>АСУ,А и ТМ (КЦ № 6)</t>
        </is>
      </c>
      <c r="K44" s="243" t="inlineStr">
        <is>
          <t>2012</t>
        </is>
      </c>
      <c r="L44" s="248" t="inlineStr"/>
      <c r="M44" s="246" t="inlineStr"/>
      <c r="N44" s="245" t="inlineStr"/>
    </row>
    <row r="45" ht="15" customHeight="1" s="236">
      <c r="A45" s="243" t="n">
        <v>44</v>
      </c>
      <c r="B45" s="246" t="inlineStr">
        <is>
          <t>Счетчик газа</t>
        </is>
      </c>
      <c r="C45" s="248" t="inlineStr">
        <is>
          <t>Elster ПГТИ G65</t>
        </is>
      </c>
      <c r="D45" s="248" t="inlineStr">
        <is>
          <t>11024687</t>
        </is>
      </c>
      <c r="E45" s="243" t="inlineStr">
        <is>
          <t>2011</t>
        </is>
      </c>
      <c r="F45" s="254" t="inlineStr">
        <is>
          <t>3…100 м3/ч</t>
        </is>
      </c>
      <c r="G45" s="248" t="inlineStr"/>
      <c r="H45" s="243" t="inlineStr">
        <is>
          <t>Счетчик газа</t>
        </is>
      </c>
      <c r="I45" s="243" t="inlineStr">
        <is>
          <t>ГПА 61 АВГМ</t>
        </is>
      </c>
      <c r="J45" s="243" t="inlineStr">
        <is>
          <t>АСУ,А и ТМ (КЦ № 6)</t>
        </is>
      </c>
      <c r="K45" s="243" t="inlineStr">
        <is>
          <t>2012</t>
        </is>
      </c>
      <c r="L45" s="248" t="inlineStr"/>
      <c r="M45" s="246" t="inlineStr"/>
      <c r="N45" s="245" t="inlineStr"/>
    </row>
    <row r="46" ht="15" customHeight="1" s="236">
      <c r="A46" s="243" t="n">
        <v>45</v>
      </c>
      <c r="B46" s="253" t="inlineStr">
        <is>
          <t>Манометр технический</t>
        </is>
      </c>
      <c r="C46" s="248" t="inlineStr">
        <is>
          <t>МП3-УУХЛ1</t>
        </is>
      </c>
      <c r="D46" s="248" t="inlineStr">
        <is>
          <t>15652</t>
        </is>
      </c>
      <c r="E46" s="243" t="inlineStr">
        <is>
          <t>2010</t>
        </is>
      </c>
      <c r="F46" s="254" t="inlineStr">
        <is>
          <t>0…160 кгс/см2</t>
        </is>
      </c>
      <c r="G46" s="248" t="inlineStr">
        <is>
          <t>1.5</t>
        </is>
      </c>
      <c r="H46" s="243" t="inlineStr">
        <is>
          <t>Р газа 1 секции</t>
        </is>
      </c>
      <c r="I46" s="243" t="inlineStr">
        <is>
          <t>ГПА 61 АВОГ</t>
        </is>
      </c>
      <c r="J46" s="243" t="inlineStr">
        <is>
          <t>АСУ,А и ТМ (КЦ № 6)</t>
        </is>
      </c>
      <c r="K46" s="243" t="inlineStr">
        <is>
          <t>2012</t>
        </is>
      </c>
      <c r="L46" s="248" t="inlineStr">
        <is>
          <t>12</t>
        </is>
      </c>
      <c r="M46" s="246" t="inlineStr">
        <is>
          <t>1К26</t>
        </is>
      </c>
      <c r="N46" s="245" t="inlineStr">
        <is>
          <t>К</t>
        </is>
      </c>
    </row>
    <row r="47" ht="15" customHeight="1" s="236">
      <c r="A47" s="243" t="n">
        <v>46</v>
      </c>
      <c r="B47" s="253" t="inlineStr">
        <is>
          <t>Манометр технический</t>
        </is>
      </c>
      <c r="C47" s="248" t="inlineStr">
        <is>
          <t>МП3-УУХЛ1</t>
        </is>
      </c>
      <c r="D47" s="248" t="inlineStr">
        <is>
          <t>15207</t>
        </is>
      </c>
      <c r="E47" s="243" t="inlineStr">
        <is>
          <t>2010</t>
        </is>
      </c>
      <c r="F47" s="254" t="inlineStr">
        <is>
          <t>0…160 кгс/см2</t>
        </is>
      </c>
      <c r="G47" s="248" t="inlineStr">
        <is>
          <t>1.5</t>
        </is>
      </c>
      <c r="H47" s="243" t="inlineStr">
        <is>
          <t>Р газа 2 секции</t>
        </is>
      </c>
      <c r="I47" s="243" t="inlineStr">
        <is>
          <t>ГПА 61 АВОГ</t>
        </is>
      </c>
      <c r="J47" s="243" t="inlineStr">
        <is>
          <t>АСУ,А и ТМ (КЦ № 6)</t>
        </is>
      </c>
      <c r="K47" s="243" t="inlineStr">
        <is>
          <t>2012</t>
        </is>
      </c>
      <c r="L47" s="248" t="inlineStr">
        <is>
          <t>12</t>
        </is>
      </c>
      <c r="M47" s="246" t="inlineStr">
        <is>
          <t>1К26</t>
        </is>
      </c>
      <c r="N47" s="245" t="inlineStr">
        <is>
          <t>К</t>
        </is>
      </c>
    </row>
    <row r="48" ht="15" customHeight="1" s="236">
      <c r="A48" s="243" t="n">
        <v>47</v>
      </c>
      <c r="B48" s="253" t="inlineStr">
        <is>
          <t>Манометр технический</t>
        </is>
      </c>
      <c r="C48" s="248" t="inlineStr">
        <is>
          <t>МП3-УУХЛ1</t>
        </is>
      </c>
      <c r="D48" s="248" t="inlineStr">
        <is>
          <t>15360</t>
        </is>
      </c>
      <c r="E48" s="243" t="inlineStr">
        <is>
          <t>2010</t>
        </is>
      </c>
      <c r="F48" s="254" t="inlineStr">
        <is>
          <t>0…160 кгс/см2</t>
        </is>
      </c>
      <c r="G48" s="248" t="inlineStr">
        <is>
          <t>1.5</t>
        </is>
      </c>
      <c r="H48" s="243" t="inlineStr">
        <is>
          <t>Р газа 3 секции</t>
        </is>
      </c>
      <c r="I48" s="243" t="inlineStr">
        <is>
          <t>ГПА 61 АВОГ</t>
        </is>
      </c>
      <c r="J48" s="243" t="inlineStr">
        <is>
          <t>АСУ,А и ТМ (КЦ № 6)</t>
        </is>
      </c>
      <c r="K48" s="243" t="inlineStr">
        <is>
          <t>2012</t>
        </is>
      </c>
      <c r="L48" s="248" t="inlineStr">
        <is>
          <t>12</t>
        </is>
      </c>
      <c r="M48" s="246" t="inlineStr">
        <is>
          <t>1К26</t>
        </is>
      </c>
      <c r="N48" s="245" t="inlineStr">
        <is>
          <t>К</t>
        </is>
      </c>
    </row>
    <row r="49" ht="15" customHeight="1" s="236">
      <c r="A49" s="243" t="n">
        <v>48</v>
      </c>
      <c r="B49" s="253" t="inlineStr">
        <is>
          <t>Манометр технический</t>
        </is>
      </c>
      <c r="C49" s="248" t="inlineStr">
        <is>
          <t>МП3-УУХЛ1</t>
        </is>
      </c>
      <c r="D49" s="248" t="inlineStr">
        <is>
          <t>15224</t>
        </is>
      </c>
      <c r="E49" s="243" t="inlineStr">
        <is>
          <t>2010</t>
        </is>
      </c>
      <c r="F49" s="254" t="inlineStr">
        <is>
          <t>0…160 кгс/см2</t>
        </is>
      </c>
      <c r="G49" s="248" t="inlineStr">
        <is>
          <t>1.5</t>
        </is>
      </c>
      <c r="H49" s="243" t="inlineStr">
        <is>
          <t>Р газа 4 секции</t>
        </is>
      </c>
      <c r="I49" s="243" t="inlineStr">
        <is>
          <t>ГПА 61 АВОГ</t>
        </is>
      </c>
      <c r="J49" s="243" t="inlineStr">
        <is>
          <t>АСУ,А и ТМ (КЦ № 6)</t>
        </is>
      </c>
      <c r="K49" s="243" t="inlineStr">
        <is>
          <t>2012</t>
        </is>
      </c>
      <c r="L49" s="248" t="inlineStr">
        <is>
          <t>12</t>
        </is>
      </c>
      <c r="M49" s="246" t="inlineStr">
        <is>
          <t>1К26</t>
        </is>
      </c>
      <c r="N49" s="245" t="inlineStr">
        <is>
          <t>К</t>
        </is>
      </c>
    </row>
    <row r="50" ht="15" customHeight="1" s="236">
      <c r="A50" s="243" t="n">
        <v>49</v>
      </c>
      <c r="B50" s="253" t="inlineStr">
        <is>
          <t>Манометр технический</t>
        </is>
      </c>
      <c r="C50" s="248" t="inlineStr">
        <is>
          <t>МП3-УУХЛ1</t>
        </is>
      </c>
      <c r="D50" s="248" t="inlineStr">
        <is>
          <t>15222</t>
        </is>
      </c>
      <c r="E50" s="243" t="inlineStr">
        <is>
          <t>2010</t>
        </is>
      </c>
      <c r="F50" s="254" t="inlineStr">
        <is>
          <t>0…160 кгс/см2</t>
        </is>
      </c>
      <c r="G50" s="248" t="inlineStr">
        <is>
          <t>1.5</t>
        </is>
      </c>
      <c r="H50" s="243" t="inlineStr">
        <is>
          <t>Р газа 5 секции</t>
        </is>
      </c>
      <c r="I50" s="243" t="inlineStr">
        <is>
          <t>ГПА 61 АВОГ</t>
        </is>
      </c>
      <c r="J50" s="243" t="inlineStr">
        <is>
          <t>АСУ,А и ТМ (КЦ № 6)</t>
        </is>
      </c>
      <c r="K50" s="243" t="inlineStr">
        <is>
          <t>2012</t>
        </is>
      </c>
      <c r="L50" s="248" t="inlineStr">
        <is>
          <t>12</t>
        </is>
      </c>
      <c r="M50" s="246" t="inlineStr">
        <is>
          <t>1К26</t>
        </is>
      </c>
      <c r="N50" s="245" t="inlineStr">
        <is>
          <t>К</t>
        </is>
      </c>
    </row>
    <row r="51" ht="15" customHeight="1" s="236">
      <c r="A51" s="243" t="n">
        <v>50</v>
      </c>
      <c r="B51" s="253" t="inlineStr">
        <is>
          <t>Манометр технический</t>
        </is>
      </c>
      <c r="C51" s="248" t="inlineStr">
        <is>
          <t>МП3-УУХЛ1</t>
        </is>
      </c>
      <c r="D51" s="248" t="inlineStr">
        <is>
          <t>15262</t>
        </is>
      </c>
      <c r="E51" s="243" t="inlineStr">
        <is>
          <t>2010</t>
        </is>
      </c>
      <c r="F51" s="254" t="inlineStr">
        <is>
          <t>0…160 кгс/см2</t>
        </is>
      </c>
      <c r="G51" s="248" t="inlineStr">
        <is>
          <t>1.5</t>
        </is>
      </c>
      <c r="H51" s="243" t="inlineStr">
        <is>
          <t>Р газа 6 секции</t>
        </is>
      </c>
      <c r="I51" s="243" t="inlineStr">
        <is>
          <t>ГПА 61 АВОГ</t>
        </is>
      </c>
      <c r="J51" s="243" t="inlineStr">
        <is>
          <t>АСУ,А и ТМ (КЦ № 6)</t>
        </is>
      </c>
      <c r="K51" s="243" t="inlineStr">
        <is>
          <t>2012</t>
        </is>
      </c>
      <c r="L51" s="248" t="inlineStr">
        <is>
          <t>12</t>
        </is>
      </c>
      <c r="M51" s="246" t="inlineStr">
        <is>
          <t>1К26</t>
        </is>
      </c>
      <c r="N51" s="245" t="inlineStr">
        <is>
          <t>К</t>
        </is>
      </c>
    </row>
    <row r="52" ht="15" customHeight="1" s="236">
      <c r="A52" s="243" t="n">
        <v>51</v>
      </c>
      <c r="B52" s="253" t="inlineStr">
        <is>
          <t>Манометр технический</t>
        </is>
      </c>
      <c r="C52" s="248" t="inlineStr">
        <is>
          <t>МП3-УУХЛ1</t>
        </is>
      </c>
      <c r="D52" s="248" t="inlineStr">
        <is>
          <t>15264</t>
        </is>
      </c>
      <c r="E52" s="243" t="inlineStr">
        <is>
          <t>2010</t>
        </is>
      </c>
      <c r="F52" s="254" t="inlineStr">
        <is>
          <t>0…160 кгс/см2</t>
        </is>
      </c>
      <c r="G52" s="248" t="inlineStr">
        <is>
          <t>1.5</t>
        </is>
      </c>
      <c r="H52" s="243" t="inlineStr">
        <is>
          <t>Р газа 7 секции</t>
        </is>
      </c>
      <c r="I52" s="243" t="inlineStr">
        <is>
          <t>ГПА 61 АВОГ</t>
        </is>
      </c>
      <c r="J52" s="243" t="inlineStr">
        <is>
          <t>АСУ,А и ТМ (КЦ № 6)</t>
        </is>
      </c>
      <c r="K52" s="243" t="inlineStr">
        <is>
          <t>2012</t>
        </is>
      </c>
      <c r="L52" s="248" t="inlineStr">
        <is>
          <t>12</t>
        </is>
      </c>
      <c r="M52" s="246" t="inlineStr">
        <is>
          <t>1К26</t>
        </is>
      </c>
      <c r="N52" s="245" t="inlineStr">
        <is>
          <t>К</t>
        </is>
      </c>
    </row>
    <row r="53" ht="15" customHeight="1" s="236">
      <c r="A53" s="243" t="n">
        <v>52</v>
      </c>
      <c r="B53" s="253" t="inlineStr">
        <is>
          <t>Манометр технический</t>
        </is>
      </c>
      <c r="C53" s="248" t="inlineStr">
        <is>
          <t>МП3-УУХЛ1</t>
        </is>
      </c>
      <c r="D53" s="248" t="inlineStr">
        <is>
          <t>15574</t>
        </is>
      </c>
      <c r="E53" s="243" t="inlineStr">
        <is>
          <t>2010</t>
        </is>
      </c>
      <c r="F53" s="254" t="inlineStr">
        <is>
          <t>0…160 кгс/см2</t>
        </is>
      </c>
      <c r="G53" s="248" t="inlineStr">
        <is>
          <t>1.5</t>
        </is>
      </c>
      <c r="H53" s="243" t="inlineStr">
        <is>
          <t>Р газа 8 секции</t>
        </is>
      </c>
      <c r="I53" s="243" t="inlineStr">
        <is>
          <t>ГПА 61 АВОГ</t>
        </is>
      </c>
      <c r="J53" s="243" t="inlineStr">
        <is>
          <t>АСУ,А и ТМ (КЦ № 6)</t>
        </is>
      </c>
      <c r="K53" s="243" t="inlineStr">
        <is>
          <t>2012</t>
        </is>
      </c>
      <c r="L53" s="248" t="inlineStr">
        <is>
          <t>12</t>
        </is>
      </c>
      <c r="M53" s="246" t="inlineStr">
        <is>
          <t>1К26</t>
        </is>
      </c>
      <c r="N53" s="245" t="inlineStr">
        <is>
          <t>К</t>
        </is>
      </c>
    </row>
    <row r="54" ht="22.5" customHeight="1" s="236">
      <c r="A54" s="243" t="n">
        <v>53</v>
      </c>
      <c r="B54" s="246" t="inlineStr">
        <is>
          <t>Термометр биметаллический</t>
        </is>
      </c>
      <c r="C54" s="248" t="inlineStr">
        <is>
          <t>ТБф</t>
        </is>
      </c>
      <c r="D54" s="248" t="inlineStr">
        <is>
          <t>072177</t>
        </is>
      </c>
      <c r="E54" s="243" t="inlineStr">
        <is>
          <t>2018</t>
        </is>
      </c>
      <c r="F54" s="254" t="inlineStr">
        <is>
          <t>­50…100 °C</t>
        </is>
      </c>
      <c r="G54" s="248" t="inlineStr">
        <is>
          <t>1.5</t>
        </is>
      </c>
      <c r="H54" s="243" t="inlineStr">
        <is>
          <t>Тг на выходе 1 секции АВО</t>
        </is>
      </c>
      <c r="I54" s="243" t="inlineStr">
        <is>
          <t>ГПА 61 АВОГ</t>
        </is>
      </c>
      <c r="J54" s="243" t="inlineStr">
        <is>
          <t>АСУ,А и ТМ (КЦ № 6)</t>
        </is>
      </c>
      <c r="K54" s="243" t="inlineStr">
        <is>
          <t>2019</t>
        </is>
      </c>
      <c r="L54" s="248" t="inlineStr">
        <is>
          <t>24</t>
        </is>
      </c>
      <c r="M54" s="246" t="inlineStr">
        <is>
          <t>3К26</t>
        </is>
      </c>
      <c r="N54" s="245" t="inlineStr">
        <is>
          <t>К</t>
        </is>
      </c>
    </row>
    <row r="55" ht="22.5" customHeight="1" s="236">
      <c r="A55" s="243" t="n">
        <v>54</v>
      </c>
      <c r="B55" s="246" t="inlineStr">
        <is>
          <t>Термометр биметаллический</t>
        </is>
      </c>
      <c r="C55" s="248" t="inlineStr">
        <is>
          <t>ТБф</t>
        </is>
      </c>
      <c r="D55" s="248" t="inlineStr">
        <is>
          <t>072178</t>
        </is>
      </c>
      <c r="E55" s="243" t="inlineStr">
        <is>
          <t>2018</t>
        </is>
      </c>
      <c r="F55" s="254" t="inlineStr">
        <is>
          <t>­50…100 °C</t>
        </is>
      </c>
      <c r="G55" s="248" t="inlineStr">
        <is>
          <t>1.5</t>
        </is>
      </c>
      <c r="H55" s="243" t="inlineStr">
        <is>
          <t>Тг на выходе 2 секции АВО</t>
        </is>
      </c>
      <c r="I55" s="243" t="inlineStr">
        <is>
          <t>ГПА 61 АВОГ</t>
        </is>
      </c>
      <c r="J55" s="243" t="inlineStr">
        <is>
          <t>АСУ,А и ТМ (КЦ № 6)</t>
        </is>
      </c>
      <c r="K55" s="243" t="inlineStr">
        <is>
          <t>2019</t>
        </is>
      </c>
      <c r="L55" s="248" t="inlineStr">
        <is>
          <t>24</t>
        </is>
      </c>
      <c r="M55" s="246" t="inlineStr">
        <is>
          <t>3К26</t>
        </is>
      </c>
      <c r="N55" s="245" t="inlineStr">
        <is>
          <t>К</t>
        </is>
      </c>
    </row>
    <row r="56" ht="22.5" customHeight="1" s="236">
      <c r="A56" s="243" t="n">
        <v>55</v>
      </c>
      <c r="B56" s="246" t="inlineStr">
        <is>
          <t>Термометр биметаллический</t>
        </is>
      </c>
      <c r="C56" s="248" t="inlineStr">
        <is>
          <t>ТБф</t>
        </is>
      </c>
      <c r="D56" s="248" t="inlineStr">
        <is>
          <t>072179</t>
        </is>
      </c>
      <c r="E56" s="243" t="inlineStr">
        <is>
          <t>2018</t>
        </is>
      </c>
      <c r="F56" s="254" t="inlineStr">
        <is>
          <t>­50…100 °C</t>
        </is>
      </c>
      <c r="G56" s="248" t="inlineStr">
        <is>
          <t>1.5</t>
        </is>
      </c>
      <c r="H56" s="243" t="inlineStr">
        <is>
          <t>Тг на выходе 3 секции АВО</t>
        </is>
      </c>
      <c r="I56" s="243" t="inlineStr">
        <is>
          <t>ГПА 61 АВОГ</t>
        </is>
      </c>
      <c r="J56" s="243" t="inlineStr">
        <is>
          <t>АСУ,А и ТМ (КЦ № 6)</t>
        </is>
      </c>
      <c r="K56" s="243" t="inlineStr">
        <is>
          <t>2019</t>
        </is>
      </c>
      <c r="L56" s="248" t="inlineStr">
        <is>
          <t>24</t>
        </is>
      </c>
      <c r="M56" s="246" t="inlineStr">
        <is>
          <t>3К26</t>
        </is>
      </c>
      <c r="N56" s="245" t="inlineStr">
        <is>
          <t>К</t>
        </is>
      </c>
    </row>
    <row r="57" ht="22.5" customHeight="1" s="236">
      <c r="A57" s="243" t="n">
        <v>56</v>
      </c>
      <c r="B57" s="246" t="inlineStr">
        <is>
          <t>Термометр биметаллический</t>
        </is>
      </c>
      <c r="C57" s="248" t="inlineStr">
        <is>
          <t>ТБф</t>
        </is>
      </c>
      <c r="D57" s="248" t="inlineStr">
        <is>
          <t>072180</t>
        </is>
      </c>
      <c r="E57" s="243" t="inlineStr">
        <is>
          <t>2018</t>
        </is>
      </c>
      <c r="F57" s="254" t="inlineStr">
        <is>
          <t>­50…100 °C</t>
        </is>
      </c>
      <c r="G57" s="248" t="inlineStr">
        <is>
          <t>1.5</t>
        </is>
      </c>
      <c r="H57" s="243" t="inlineStr">
        <is>
          <t>Тг на выходе 4 секции АВО</t>
        </is>
      </c>
      <c r="I57" s="243" t="inlineStr">
        <is>
          <t>ГПА 61 АВОГ</t>
        </is>
      </c>
      <c r="J57" s="243" t="inlineStr">
        <is>
          <t>АСУ,А и ТМ (КЦ № 6)</t>
        </is>
      </c>
      <c r="K57" s="243" t="inlineStr">
        <is>
          <t>2019</t>
        </is>
      </c>
      <c r="L57" s="248" t="inlineStr">
        <is>
          <t>24</t>
        </is>
      </c>
      <c r="M57" s="246" t="inlineStr">
        <is>
          <t>3К26</t>
        </is>
      </c>
      <c r="N57" s="245" t="inlineStr">
        <is>
          <t>К</t>
        </is>
      </c>
    </row>
    <row r="58" ht="22.5" customHeight="1" s="236">
      <c r="A58" s="243" t="n">
        <v>57</v>
      </c>
      <c r="B58" s="246" t="inlineStr">
        <is>
          <t>Термометр биметаллический</t>
        </is>
      </c>
      <c r="C58" s="248" t="inlineStr">
        <is>
          <t>ТБ-2</t>
        </is>
      </c>
      <c r="D58" s="248" t="inlineStr">
        <is>
          <t>845</t>
        </is>
      </c>
      <c r="E58" s="243" t="inlineStr">
        <is>
          <t>2018</t>
        </is>
      </c>
      <c r="F58" s="254" t="inlineStr">
        <is>
          <t>­50…100 °C</t>
        </is>
      </c>
      <c r="G58" s="248" t="inlineStr">
        <is>
          <t>1</t>
        </is>
      </c>
      <c r="H58" s="243" t="inlineStr">
        <is>
          <t>Тг на выходе 5 секции АВО</t>
        </is>
      </c>
      <c r="I58" s="243" t="inlineStr">
        <is>
          <t>ГПА 61 АВОГ</t>
        </is>
      </c>
      <c r="J58" s="243" t="inlineStr">
        <is>
          <t>АСУ,А и ТМ (КЦ № 6)</t>
        </is>
      </c>
      <c r="K58" s="243" t="inlineStr">
        <is>
          <t>2019</t>
        </is>
      </c>
      <c r="L58" s="248" t="inlineStr">
        <is>
          <t>24</t>
        </is>
      </c>
      <c r="M58" s="246" t="inlineStr">
        <is>
          <t>3К26</t>
        </is>
      </c>
      <c r="N58" s="245" t="inlineStr">
        <is>
          <t>К</t>
        </is>
      </c>
    </row>
    <row r="59" ht="22.5" customHeight="1" s="236">
      <c r="A59" s="243" t="n">
        <v>58</v>
      </c>
      <c r="B59" s="246" t="inlineStr">
        <is>
          <t>Термометр биметаллический</t>
        </is>
      </c>
      <c r="C59" s="248" t="inlineStr">
        <is>
          <t>ТБф</t>
        </is>
      </c>
      <c r="D59" s="248" t="inlineStr">
        <is>
          <t>072182</t>
        </is>
      </c>
      <c r="E59" s="243" t="inlineStr">
        <is>
          <t>2018</t>
        </is>
      </c>
      <c r="F59" s="254" t="inlineStr">
        <is>
          <t>­50…100 °C</t>
        </is>
      </c>
      <c r="G59" s="248" t="inlineStr">
        <is>
          <t>1.5</t>
        </is>
      </c>
      <c r="H59" s="243" t="inlineStr">
        <is>
          <t>Тг на выходе 6 секции АВО</t>
        </is>
      </c>
      <c r="I59" s="243" t="inlineStr">
        <is>
          <t>ГПА 61 АВОГ</t>
        </is>
      </c>
      <c r="J59" s="243" t="inlineStr">
        <is>
          <t>АСУ,А и ТМ (КЦ № 6)</t>
        </is>
      </c>
      <c r="K59" s="243" t="inlineStr">
        <is>
          <t>2019</t>
        </is>
      </c>
      <c r="L59" s="248" t="inlineStr">
        <is>
          <t>24</t>
        </is>
      </c>
      <c r="M59" s="246" t="inlineStr">
        <is>
          <t>3К26</t>
        </is>
      </c>
      <c r="N59" s="245" t="inlineStr">
        <is>
          <t>К</t>
        </is>
      </c>
    </row>
    <row r="60" ht="22.5" customHeight="1" s="236">
      <c r="A60" s="243" t="n">
        <v>59</v>
      </c>
      <c r="B60" s="246" t="inlineStr">
        <is>
          <t>Термометр биметаллический</t>
        </is>
      </c>
      <c r="C60" s="248" t="inlineStr">
        <is>
          <t>ТБф</t>
        </is>
      </c>
      <c r="D60" s="248" t="inlineStr">
        <is>
          <t>072183</t>
        </is>
      </c>
      <c r="E60" s="243" t="inlineStr">
        <is>
          <t>2018</t>
        </is>
      </c>
      <c r="F60" s="254" t="inlineStr">
        <is>
          <t>­50…100 °C</t>
        </is>
      </c>
      <c r="G60" s="248" t="inlineStr">
        <is>
          <t>1.5</t>
        </is>
      </c>
      <c r="H60" s="243" t="inlineStr">
        <is>
          <t>Тг на выходе 7 секции АВО</t>
        </is>
      </c>
      <c r="I60" s="243" t="inlineStr">
        <is>
          <t>ГПА 61 АВОГ</t>
        </is>
      </c>
      <c r="J60" s="243" t="inlineStr">
        <is>
          <t>АСУ,А и ТМ (КЦ № 6)</t>
        </is>
      </c>
      <c r="K60" s="243" t="inlineStr">
        <is>
          <t>2019</t>
        </is>
      </c>
      <c r="L60" s="248" t="inlineStr">
        <is>
          <t>24</t>
        </is>
      </c>
      <c r="M60" s="246" t="inlineStr">
        <is>
          <t>3К26</t>
        </is>
      </c>
      <c r="N60" s="245" t="inlineStr">
        <is>
          <t>К</t>
        </is>
      </c>
    </row>
    <row r="61" ht="22.5" customHeight="1" s="236">
      <c r="A61" s="243" t="n">
        <v>60</v>
      </c>
      <c r="B61" s="246" t="inlineStr">
        <is>
          <t>Термометр биметаллический</t>
        </is>
      </c>
      <c r="C61" s="248" t="inlineStr">
        <is>
          <t>ТБф</t>
        </is>
      </c>
      <c r="D61" s="248" t="inlineStr">
        <is>
          <t>072184</t>
        </is>
      </c>
      <c r="E61" s="243" t="inlineStr">
        <is>
          <t>2018</t>
        </is>
      </c>
      <c r="F61" s="254" t="inlineStr">
        <is>
          <t>­50…100 °C</t>
        </is>
      </c>
      <c r="G61" s="248" t="inlineStr">
        <is>
          <t>1.5</t>
        </is>
      </c>
      <c r="H61" s="243" t="inlineStr">
        <is>
          <t>Тг на выходе 8 секции АВО</t>
        </is>
      </c>
      <c r="I61" s="243" t="inlineStr">
        <is>
          <t>ГПА 61 АВОГ</t>
        </is>
      </c>
      <c r="J61" s="243" t="inlineStr">
        <is>
          <t>АСУ,А и ТМ (КЦ № 6)</t>
        </is>
      </c>
      <c r="K61" s="243" t="inlineStr">
        <is>
          <t>2019</t>
        </is>
      </c>
      <c r="L61" s="248" t="inlineStr">
        <is>
          <t>24</t>
        </is>
      </c>
      <c r="M61" s="246" t="inlineStr">
        <is>
          <t>3К26</t>
        </is>
      </c>
      <c r="N61" s="245" t="inlineStr">
        <is>
          <t>К</t>
        </is>
      </c>
    </row>
    <row r="62" ht="15" customHeight="1" s="236">
      <c r="A62" s="243" t="n">
        <v>61</v>
      </c>
      <c r="B62" s="253" t="inlineStr">
        <is>
          <t>Манометр технический</t>
        </is>
      </c>
      <c r="C62" s="248" t="inlineStr">
        <is>
          <t>МП4-УФ БС УХЛ1</t>
        </is>
      </c>
      <c r="D62" s="248" t="inlineStr">
        <is>
          <t>312533</t>
        </is>
      </c>
      <c r="E62" s="243" t="inlineStr">
        <is>
          <t>2010</t>
        </is>
      </c>
      <c r="F62" s="254" t="inlineStr">
        <is>
          <t>0…160 кгс/см2</t>
        </is>
      </c>
      <c r="G62" s="248" t="inlineStr">
        <is>
          <t>1.5</t>
        </is>
      </c>
      <c r="H62" s="243" t="inlineStr">
        <is>
          <t>Р газа на входе АВО</t>
        </is>
      </c>
      <c r="I62" s="243" t="inlineStr">
        <is>
          <t>ГПА 61 АВОГ</t>
        </is>
      </c>
      <c r="J62" s="243" t="inlineStr">
        <is>
          <t>АСУ,А и ТМ (КЦ № 6)</t>
        </is>
      </c>
      <c r="K62" s="243" t="inlineStr">
        <is>
          <t>2012</t>
        </is>
      </c>
      <c r="L62" s="248" t="inlineStr">
        <is>
          <t>12</t>
        </is>
      </c>
      <c r="M62" s="246" t="inlineStr">
        <is>
          <t>1К26</t>
        </is>
      </c>
      <c r="N62" s="245" t="inlineStr">
        <is>
          <t>К</t>
        </is>
      </c>
    </row>
    <row r="63" ht="15" customHeight="1" s="236">
      <c r="A63" s="243" t="n">
        <v>62</v>
      </c>
      <c r="B63" s="253" t="inlineStr">
        <is>
          <t>Манометр технический</t>
        </is>
      </c>
      <c r="C63" s="248" t="inlineStr">
        <is>
          <t>МП4-УФ БС УХЛ1</t>
        </is>
      </c>
      <c r="D63" s="248" t="inlineStr">
        <is>
          <t>312549</t>
        </is>
      </c>
      <c r="E63" s="243" t="inlineStr">
        <is>
          <t>2010</t>
        </is>
      </c>
      <c r="F63" s="254" t="inlineStr">
        <is>
          <t>0…160 кгс/см2</t>
        </is>
      </c>
      <c r="G63" s="248" t="inlineStr">
        <is>
          <t>1.5</t>
        </is>
      </c>
      <c r="H63" s="243" t="inlineStr">
        <is>
          <t>Р газа на выходе АВО</t>
        </is>
      </c>
      <c r="I63" s="243" t="inlineStr">
        <is>
          <t>ГПА 61 АВОГ</t>
        </is>
      </c>
      <c r="J63" s="243" t="inlineStr">
        <is>
          <t>АСУ,А и ТМ (КЦ № 6)</t>
        </is>
      </c>
      <c r="K63" s="243" t="inlineStr">
        <is>
          <t>2012</t>
        </is>
      </c>
      <c r="L63" s="248" t="inlineStr">
        <is>
          <t>12</t>
        </is>
      </c>
      <c r="M63" s="246" t="inlineStr">
        <is>
          <t>1К26</t>
        </is>
      </c>
      <c r="N63" s="245" t="inlineStr">
        <is>
          <t>К</t>
        </is>
      </c>
    </row>
    <row r="64" ht="15" customHeight="1" s="236">
      <c r="A64" s="243" t="n">
        <v>63</v>
      </c>
      <c r="B64" s="253" t="inlineStr">
        <is>
          <t>Манометр технический</t>
        </is>
      </c>
      <c r="C64" s="248" t="inlineStr">
        <is>
          <t>МП4-УУ2</t>
        </is>
      </c>
      <c r="D64" s="248" t="inlineStr">
        <is>
          <t>15145</t>
        </is>
      </c>
      <c r="E64" s="243" t="inlineStr">
        <is>
          <t>2010</t>
        </is>
      </c>
      <c r="F64" s="254" t="inlineStr">
        <is>
          <t>0…16 кгс/см2</t>
        </is>
      </c>
      <c r="G64" s="248" t="inlineStr">
        <is>
          <t>1.5</t>
        </is>
      </c>
      <c r="H64" s="243" t="inlineStr">
        <is>
          <t>Р имп. воздуха кр. 6к</t>
        </is>
      </c>
      <c r="I64" s="243" t="inlineStr">
        <is>
          <t>ГПА 61 АВОГ</t>
        </is>
      </c>
      <c r="J64" s="243" t="inlineStr">
        <is>
          <t>АСУ,А и ТМ (КЦ № 6)</t>
        </is>
      </c>
      <c r="K64" s="243" t="inlineStr">
        <is>
          <t>2012</t>
        </is>
      </c>
      <c r="L64" s="248" t="inlineStr">
        <is>
          <t>12</t>
        </is>
      </c>
      <c r="M64" s="246" t="inlineStr">
        <is>
          <t>1К26</t>
        </is>
      </c>
      <c r="N64" s="245" t="inlineStr">
        <is>
          <t>К</t>
        </is>
      </c>
    </row>
    <row r="65" ht="22.5" customHeight="1" s="236">
      <c r="A65" s="243" t="n">
        <v>64</v>
      </c>
      <c r="B65" s="246" t="inlineStr">
        <is>
          <t>Термометр сопротивления</t>
        </is>
      </c>
      <c r="C65" s="248" t="inlineStr">
        <is>
          <t>ТСП 012.56ОВ 100П/А/4</t>
        </is>
      </c>
      <c r="D65" s="248" t="inlineStr">
        <is>
          <t>1</t>
        </is>
      </c>
      <c r="E65" s="243" t="inlineStr">
        <is>
          <t>2011</t>
        </is>
      </c>
      <c r="F65" s="254" t="inlineStr">
        <is>
          <t>-60…200 °С</t>
        </is>
      </c>
      <c r="G65" s="248" t="inlineStr">
        <is>
          <t>А</t>
        </is>
      </c>
      <c r="H65" s="243" t="inlineStr">
        <is>
          <t>Температура газа на выходе АВО перед краном 6к</t>
        </is>
      </c>
      <c r="I65" s="243" t="inlineStr">
        <is>
          <t>ГПА 61 АВОГ</t>
        </is>
      </c>
      <c r="J65" s="243" t="inlineStr">
        <is>
          <t>АСУ,А и ТМ (КЦ № 6)</t>
        </is>
      </c>
      <c r="K65" s="243" t="inlineStr">
        <is>
          <t>2012</t>
        </is>
      </c>
      <c r="L65" s="248" t="inlineStr">
        <is>
          <t>36</t>
        </is>
      </c>
      <c r="M65" s="246" t="inlineStr"/>
      <c r="N65" s="245" t="inlineStr"/>
    </row>
    <row r="66" ht="22.5" customHeight="1" s="236">
      <c r="A66" s="243" t="n">
        <v>65</v>
      </c>
      <c r="B66" s="246" t="inlineStr">
        <is>
          <t>Термометр сопротивления</t>
        </is>
      </c>
      <c r="C66" s="248" t="inlineStr">
        <is>
          <t>ТСП 012.56ОВ 100П/А/4</t>
        </is>
      </c>
      <c r="D66" s="248" t="inlineStr">
        <is>
          <t>5</t>
        </is>
      </c>
      <c r="E66" s="243" t="inlineStr">
        <is>
          <t>2011</t>
        </is>
      </c>
      <c r="F66" s="254" t="inlineStr">
        <is>
          <t>-60…200 °С</t>
        </is>
      </c>
      <c r="G66" s="248" t="inlineStr">
        <is>
          <t>А</t>
        </is>
      </c>
      <c r="H66" s="243" t="inlineStr">
        <is>
          <t>Температура газа на выходе АВО перед краном 2</t>
        </is>
      </c>
      <c r="I66" s="243" t="inlineStr">
        <is>
          <t>ГПА 61 АВОГ</t>
        </is>
      </c>
      <c r="J66" s="243" t="inlineStr">
        <is>
          <t>АСУ,А и ТМ (КЦ № 6)</t>
        </is>
      </c>
      <c r="K66" s="243" t="inlineStr">
        <is>
          <t>2012</t>
        </is>
      </c>
      <c r="L66" s="248" t="inlineStr">
        <is>
          <t>36</t>
        </is>
      </c>
      <c r="M66" s="246" t="inlineStr"/>
      <c r="N66" s="245" t="inlineStr"/>
    </row>
    <row r="67" ht="22.5" customHeight="1" s="236">
      <c r="A67" s="243" t="n">
        <v>66</v>
      </c>
      <c r="B67" s="255" t="inlineStr">
        <is>
          <t>Преобразователь избыточного давления</t>
        </is>
      </c>
      <c r="C67" s="248" t="inlineStr">
        <is>
          <t>YOKOGAVA EJX110А-EНS5J-B19DM/KF21/QR</t>
        </is>
      </c>
      <c r="D67" s="248" t="inlineStr">
        <is>
          <t>91М439692.217</t>
        </is>
      </c>
      <c r="E67" s="243" t="inlineStr">
        <is>
          <t>2012</t>
        </is>
      </c>
      <c r="F67" s="254" t="inlineStr">
        <is>
          <t>0…160 кПa</t>
        </is>
      </c>
      <c r="G67" s="248" t="inlineStr">
        <is>
          <t>0.04%</t>
        </is>
      </c>
      <c r="H67" s="243" t="inlineStr">
        <is>
          <t>Перепад давления на АВО газа</t>
        </is>
      </c>
      <c r="I67" s="243" t="inlineStr">
        <is>
          <t>ГПА 61 АВОГ</t>
        </is>
      </c>
      <c r="J67" s="243" t="inlineStr">
        <is>
          <t>АСУ,А и ТМ (КЦ № 6)</t>
        </is>
      </c>
      <c r="K67" s="243" t="inlineStr">
        <is>
          <t>2012</t>
        </is>
      </c>
      <c r="L67" s="248" t="inlineStr">
        <is>
          <t>60</t>
        </is>
      </c>
      <c r="M67" s="246" t="inlineStr"/>
      <c r="N67" s="245" t="inlineStr"/>
    </row>
    <row r="68" ht="22.5" customHeight="1" s="236">
      <c r="A68" s="243" t="n">
        <v>67</v>
      </c>
      <c r="B68" s="255" t="inlineStr">
        <is>
          <t>Преобразователь избыточного давления</t>
        </is>
      </c>
      <c r="C68" s="248" t="inlineStr">
        <is>
          <t>YOKOGAVA EJX530А-EDS9N-019DL/KF21/QR</t>
        </is>
      </c>
      <c r="D68" s="248" t="inlineStr">
        <is>
          <t>91M439736.217</t>
        </is>
      </c>
      <c r="E68" s="243" t="inlineStr">
        <is>
          <t>2012</t>
        </is>
      </c>
      <c r="F68" s="254" t="inlineStr">
        <is>
          <t>0…16 МПа</t>
        </is>
      </c>
      <c r="G68" s="248" t="inlineStr">
        <is>
          <t>0.10%</t>
        </is>
      </c>
      <c r="H68" s="243" t="inlineStr">
        <is>
          <t>Давление газа на выходе АВО (до крана №2)</t>
        </is>
      </c>
      <c r="I68" s="243" t="inlineStr">
        <is>
          <t>ГПА 61 АВОГ</t>
        </is>
      </c>
      <c r="J68" s="243" t="inlineStr">
        <is>
          <t>АСУ,А и ТМ (КЦ № 6)</t>
        </is>
      </c>
      <c r="K68" s="243" t="inlineStr">
        <is>
          <t>2012</t>
        </is>
      </c>
      <c r="L68" s="248" t="inlineStr">
        <is>
          <t>60</t>
        </is>
      </c>
      <c r="M68" s="246" t="inlineStr"/>
      <c r="N68" s="245" t="inlineStr"/>
    </row>
    <row r="69" ht="15" customHeight="1" s="236">
      <c r="A69" s="243" t="n">
        <v>68</v>
      </c>
      <c r="B69" s="246" t="inlineStr">
        <is>
          <t>Термометр сопротивления</t>
        </is>
      </c>
      <c r="C69" s="248" t="inlineStr">
        <is>
          <t>ТСП 012.60 Pt100/В/3</t>
        </is>
      </c>
      <c r="D69" s="248" t="inlineStr">
        <is>
          <t>454</t>
        </is>
      </c>
      <c r="E69" s="243" t="inlineStr">
        <is>
          <t>2011</t>
        </is>
      </c>
      <c r="F69" s="254" t="inlineStr">
        <is>
          <t>-50…130 °С</t>
        </is>
      </c>
      <c r="G69" s="248" t="inlineStr">
        <is>
          <t>B</t>
        </is>
      </c>
      <c r="H69" s="243" t="inlineStr">
        <is>
          <t>Температура масла на выходе МОД</t>
        </is>
      </c>
      <c r="I69" s="243" t="inlineStr">
        <is>
          <t>ГПА 61</t>
        </is>
      </c>
      <c r="J69" s="243" t="inlineStr">
        <is>
          <t>АСУ,А и ТМ (КЦ № 6)</t>
        </is>
      </c>
      <c r="K69" s="243" t="inlineStr">
        <is>
          <t>2012</t>
        </is>
      </c>
      <c r="L69" s="248" t="inlineStr">
        <is>
          <t>36</t>
        </is>
      </c>
      <c r="M69" s="246" t="inlineStr"/>
      <c r="N69" s="245" t="inlineStr"/>
    </row>
    <row r="70" ht="15" customHeight="1" s="236">
      <c r="A70" s="243" t="n">
        <v>69</v>
      </c>
      <c r="B70" s="246" t="inlineStr">
        <is>
          <t>Термометр сопротивления</t>
        </is>
      </c>
      <c r="C70" s="248" t="inlineStr">
        <is>
          <t>Метран 256-04 100П/В/3</t>
        </is>
      </c>
      <c r="D70" s="248" t="inlineStr">
        <is>
          <t>2025077</t>
        </is>
      </c>
      <c r="E70" s="243" t="inlineStr">
        <is>
          <t>2011</t>
        </is>
      </c>
      <c r="F70" s="254" t="inlineStr">
        <is>
          <t>-50…200 °С</t>
        </is>
      </c>
      <c r="G70" s="248" t="inlineStr">
        <is>
          <t>B</t>
        </is>
      </c>
      <c r="H70" s="243" t="inlineStr">
        <is>
          <t>Температура масла на входе в МОД</t>
        </is>
      </c>
      <c r="I70" s="243" t="inlineStr">
        <is>
          <t>ГПА 61</t>
        </is>
      </c>
      <c r="J70" s="243" t="inlineStr">
        <is>
          <t>АСУ,А и ТМ (КЦ № 6)</t>
        </is>
      </c>
      <c r="K70" s="243" t="inlineStr"/>
      <c r="L70" s="248" t="inlineStr"/>
      <c r="M70" s="246" t="inlineStr"/>
      <c r="N70" s="245" t="inlineStr"/>
    </row>
    <row r="71" ht="15" customHeight="1" s="236">
      <c r="A71" s="243" t="n">
        <v>70</v>
      </c>
      <c r="B71" s="246" t="inlineStr">
        <is>
          <t>Термометр сопротивления</t>
        </is>
      </c>
      <c r="C71" s="248" t="inlineStr">
        <is>
          <t>ТСП 012П 100П/В/4</t>
        </is>
      </c>
      <c r="D71" s="248" t="inlineStr">
        <is>
          <t>17</t>
        </is>
      </c>
      <c r="E71" s="243" t="inlineStr">
        <is>
          <t>2011</t>
        </is>
      </c>
      <c r="F71" s="254" t="inlineStr">
        <is>
          <t>-50…130 °С</t>
        </is>
      </c>
      <c r="G71" s="248" t="inlineStr">
        <is>
          <t>B</t>
        </is>
      </c>
      <c r="H71" s="243" t="inlineStr">
        <is>
          <t>Температура секции МОД</t>
        </is>
      </c>
      <c r="I71" s="243" t="inlineStr">
        <is>
          <t>ГПА 61</t>
        </is>
      </c>
      <c r="J71" s="243" t="inlineStr">
        <is>
          <t>АСУ,А и ТМ (КЦ № 6)</t>
        </is>
      </c>
      <c r="K71" s="243" t="inlineStr">
        <is>
          <t>2012</t>
        </is>
      </c>
      <c r="L71" s="248" t="inlineStr">
        <is>
          <t>36</t>
        </is>
      </c>
      <c r="M71" s="246" t="inlineStr"/>
      <c r="N71" s="245" t="inlineStr"/>
    </row>
    <row r="72" ht="22.5" customHeight="1" s="236">
      <c r="A72" s="243" t="n">
        <v>71</v>
      </c>
      <c r="B72" s="246" t="inlineStr">
        <is>
          <t>Термометр сопротивления</t>
        </is>
      </c>
      <c r="C72" s="248" t="inlineStr">
        <is>
          <t>ТСП 012П 100П/В/4</t>
        </is>
      </c>
      <c r="D72" s="248" t="inlineStr">
        <is>
          <t>11</t>
        </is>
      </c>
      <c r="E72" s="243" t="inlineStr">
        <is>
          <t>2013</t>
        </is>
      </c>
      <c r="F72" s="254" t="inlineStr">
        <is>
          <t>-50…200 °С</t>
        </is>
      </c>
      <c r="G72" s="248" t="inlineStr">
        <is>
          <t>B</t>
        </is>
      </c>
      <c r="H72" s="243" t="inlineStr">
        <is>
          <t>Температура поверхности электронагревателей МОД</t>
        </is>
      </c>
      <c r="I72" s="243" t="inlineStr">
        <is>
          <t>ГПА 61</t>
        </is>
      </c>
      <c r="J72" s="243" t="inlineStr">
        <is>
          <t>АСУ,А и ТМ (КЦ № 6)</t>
        </is>
      </c>
      <c r="K72" s="243" t="inlineStr">
        <is>
          <t>2012</t>
        </is>
      </c>
      <c r="L72" s="248" t="inlineStr">
        <is>
          <t>36</t>
        </is>
      </c>
      <c r="M72" s="246" t="inlineStr"/>
      <c r="N72" s="245" t="inlineStr"/>
    </row>
    <row r="73" ht="22.5" customHeight="1" s="236">
      <c r="A73" s="243" t="n">
        <v>72</v>
      </c>
      <c r="B73" s="253" t="inlineStr">
        <is>
          <t>Выключатель давления</t>
        </is>
      </c>
      <c r="C73" s="248" t="inlineStr">
        <is>
          <t>Садко 44 ТЖИУ 406422.004</t>
        </is>
      </c>
      <c r="D73" s="248" t="inlineStr">
        <is>
          <t>124603</t>
        </is>
      </c>
      <c r="E73" s="243" t="inlineStr">
        <is>
          <t>2011</t>
        </is>
      </c>
      <c r="F73" s="254" t="inlineStr">
        <is>
          <t>0,04…0,15 МПа</t>
        </is>
      </c>
      <c r="G73" s="248" t="inlineStr"/>
      <c r="H73" s="243" t="inlineStr">
        <is>
          <t>Перепад давления масла на фильтрах смазки после МОД</t>
        </is>
      </c>
      <c r="I73" s="243" t="inlineStr">
        <is>
          <t>ГПА 61</t>
        </is>
      </c>
      <c r="J73" s="243" t="inlineStr">
        <is>
          <t>АСУ,А и ТМ (КЦ № 6)</t>
        </is>
      </c>
      <c r="K73" s="243" t="inlineStr">
        <is>
          <t>2012</t>
        </is>
      </c>
      <c r="L73" s="248" t="inlineStr"/>
      <c r="M73" s="246" t="inlineStr"/>
      <c r="N73" s="245" t="inlineStr"/>
    </row>
    <row r="74" ht="22.5" customHeight="1" s="236">
      <c r="A74" s="243" t="n">
        <v>73</v>
      </c>
      <c r="B74" s="253" t="inlineStr">
        <is>
          <t>Выключатель давления</t>
        </is>
      </c>
      <c r="C74" s="248" t="inlineStr">
        <is>
          <t>Садко 44 ТЖИУ 406422.004</t>
        </is>
      </c>
      <c r="D74" s="248" t="inlineStr">
        <is>
          <t>124779</t>
        </is>
      </c>
      <c r="E74" s="243" t="inlineStr">
        <is>
          <t>2011</t>
        </is>
      </c>
      <c r="F74" s="254" t="inlineStr">
        <is>
          <t>0,01…0,04 МПа</t>
        </is>
      </c>
      <c r="G74" s="248" t="inlineStr"/>
      <c r="H74" s="243" t="inlineStr">
        <is>
          <t>Перепад давления масла на фильтрах двигателя</t>
        </is>
      </c>
      <c r="I74" s="243" t="inlineStr">
        <is>
          <t>ГПА 61</t>
        </is>
      </c>
      <c r="J74" s="243" t="inlineStr">
        <is>
          <t>АСУ,А и ТМ (КЦ № 6)</t>
        </is>
      </c>
      <c r="K74" s="243" t="inlineStr">
        <is>
          <t>2012</t>
        </is>
      </c>
      <c r="L74" s="248" t="inlineStr"/>
      <c r="M74" s="246" t="inlineStr"/>
      <c r="N74" s="245" t="inlineStr"/>
    </row>
    <row r="75" ht="22.5" customHeight="1" s="236">
      <c r="A75" s="243" t="n">
        <v>74</v>
      </c>
      <c r="B75" s="253" t="inlineStr">
        <is>
          <t>Выключатель давления</t>
        </is>
      </c>
      <c r="C75" s="248" t="inlineStr">
        <is>
          <t>Садко 107 ТЖИУ 406423.004</t>
        </is>
      </c>
      <c r="D75" s="248" t="inlineStr">
        <is>
          <t>124019</t>
        </is>
      </c>
      <c r="E75" s="243" t="inlineStr">
        <is>
          <t>2011</t>
        </is>
      </c>
      <c r="F75" s="254" t="inlineStr">
        <is>
          <t>0,09…0,5 МПа</t>
        </is>
      </c>
      <c r="G75" s="248" t="inlineStr"/>
      <c r="H75" s="243" t="inlineStr">
        <is>
          <t>Давление масла на входе в фильтр маслобака</t>
        </is>
      </c>
      <c r="I75" s="243" t="inlineStr">
        <is>
          <t>ГПА 61</t>
        </is>
      </c>
      <c r="J75" s="243" t="inlineStr">
        <is>
          <t>АСУ,А и ТМ (КЦ № 6)</t>
        </is>
      </c>
      <c r="K75" s="243" t="inlineStr">
        <is>
          <t>2012</t>
        </is>
      </c>
      <c r="L75" s="248" t="inlineStr"/>
      <c r="M75" s="246" t="inlineStr"/>
      <c r="N75" s="245" t="inlineStr"/>
    </row>
    <row r="76" ht="22.5" customHeight="1" s="236">
      <c r="A76" s="243" t="n">
        <v>75</v>
      </c>
      <c r="B76" s="253" t="inlineStr">
        <is>
          <t>Выключатель давления</t>
        </is>
      </c>
      <c r="C76" s="248" t="inlineStr">
        <is>
          <t>Садко 44 ТЖИУ 406422.004</t>
        </is>
      </c>
      <c r="D76" s="248" t="inlineStr">
        <is>
          <t>122901</t>
        </is>
      </c>
      <c r="E76" s="243" t="inlineStr">
        <is>
          <t>2011</t>
        </is>
      </c>
      <c r="F76" s="254" t="inlineStr">
        <is>
          <t>0,04…0,15 МПа</t>
        </is>
      </c>
      <c r="G76" s="248" t="inlineStr"/>
      <c r="H76" s="243" t="inlineStr">
        <is>
          <t>Перепад давления запирающего воздуха на фильтре</t>
        </is>
      </c>
      <c r="I76" s="243" t="inlineStr">
        <is>
          <t>ГПА 61</t>
        </is>
      </c>
      <c r="J76" s="243" t="inlineStr">
        <is>
          <t>АСУ,А и ТМ (КЦ № 6)</t>
        </is>
      </c>
      <c r="K76" s="243" t="inlineStr">
        <is>
          <t>2012</t>
        </is>
      </c>
      <c r="L76" s="248" t="inlineStr"/>
      <c r="M76" s="246" t="inlineStr"/>
      <c r="N76" s="245" t="inlineStr"/>
    </row>
    <row r="77" ht="15" customHeight="1" s="236">
      <c r="A77" s="243" t="n">
        <v>76</v>
      </c>
      <c r="B77" s="253" t="inlineStr">
        <is>
          <t>Выключатель давления</t>
        </is>
      </c>
      <c r="C77" s="248" t="inlineStr">
        <is>
          <t>Садко 107 ТЖИУ 406423.004</t>
        </is>
      </c>
      <c r="D77" s="248" t="inlineStr">
        <is>
          <t>122938</t>
        </is>
      </c>
      <c r="E77" s="243" t="inlineStr">
        <is>
          <t>2011</t>
        </is>
      </c>
      <c r="F77" s="254" t="inlineStr">
        <is>
          <t>3…6 МПа</t>
        </is>
      </c>
      <c r="G77" s="248" t="inlineStr"/>
      <c r="H77" s="243" t="inlineStr">
        <is>
          <t>Сигнализатор обрыва металлорукава</t>
        </is>
      </c>
      <c r="I77" s="243" t="inlineStr">
        <is>
          <t>ГПА 61</t>
        </is>
      </c>
      <c r="J77" s="243" t="inlineStr">
        <is>
          <t>АСУ,А и ТМ (КЦ № 6)</t>
        </is>
      </c>
      <c r="K77" s="243" t="inlineStr">
        <is>
          <t>2012</t>
        </is>
      </c>
      <c r="L77" s="248" t="inlineStr"/>
      <c r="M77" s="246" t="inlineStr"/>
      <c r="N77" s="245" t="inlineStr"/>
    </row>
    <row r="78" ht="33.75" customHeight="1" s="236">
      <c r="A78" s="243" t="n">
        <v>77</v>
      </c>
      <c r="B78" s="246" t="inlineStr">
        <is>
          <t>Термометр сопротивления</t>
        </is>
      </c>
      <c r="C78" s="248" t="inlineStr">
        <is>
          <t>ТСП 012.60 Pt100/В/3</t>
        </is>
      </c>
      <c r="D78" s="248" t="inlineStr">
        <is>
          <t>332</t>
        </is>
      </c>
      <c r="E78" s="243" t="inlineStr">
        <is>
          <t>2011</t>
        </is>
      </c>
      <c r="F78" s="254" t="inlineStr">
        <is>
          <t>-60…200 °С</t>
        </is>
      </c>
      <c r="G78" s="248" t="inlineStr">
        <is>
          <t>B</t>
        </is>
      </c>
      <c r="H78" s="243" t="inlineStr">
        <is>
          <t>Температура защитного воздуха на выходе оболочки опорно-упорного подшипника (задний)</t>
        </is>
      </c>
      <c r="I78" s="243" t="inlineStr">
        <is>
          <t>ГПА 61</t>
        </is>
      </c>
      <c r="J78" s="243" t="inlineStr">
        <is>
          <t>АСУ,А и ТМ (КЦ № 6)</t>
        </is>
      </c>
      <c r="K78" s="243" t="inlineStr">
        <is>
          <t>2012</t>
        </is>
      </c>
      <c r="L78" s="248" t="inlineStr">
        <is>
          <t>36</t>
        </is>
      </c>
      <c r="M78" s="246" t="inlineStr"/>
      <c r="N78" s="245" t="inlineStr"/>
    </row>
    <row r="79" ht="15" customHeight="1" s="236">
      <c r="A79" s="243" t="n">
        <v>78</v>
      </c>
      <c r="B79" s="246" t="inlineStr">
        <is>
          <t>Расходомер</t>
        </is>
      </c>
      <c r="C79" s="248" t="inlineStr">
        <is>
          <t>СУРГ 1.000</t>
        </is>
      </c>
      <c r="D79" s="248" t="inlineStr">
        <is>
          <t>01.1359</t>
        </is>
      </c>
      <c r="E79" s="243" t="inlineStr">
        <is>
          <t>2011</t>
        </is>
      </c>
      <c r="F79" s="254" t="inlineStr">
        <is>
          <t>0…100000 кг/час</t>
        </is>
      </c>
      <c r="G79" s="248" t="inlineStr">
        <is>
          <t>3%</t>
        </is>
      </c>
      <c r="H79" s="243" t="inlineStr">
        <is>
          <t>(Наддув) под кожухом двигателя</t>
        </is>
      </c>
      <c r="I79" s="243" t="inlineStr">
        <is>
          <t>ГПА 61</t>
        </is>
      </c>
      <c r="J79" s="243" t="inlineStr">
        <is>
          <t>АСУ,А и ТМ (КЦ № 6)</t>
        </is>
      </c>
      <c r="K79" s="243" t="inlineStr">
        <is>
          <t>2012</t>
        </is>
      </c>
      <c r="L79" s="248" t="inlineStr">
        <is>
          <t>36</t>
        </is>
      </c>
      <c r="M79" s="246" t="inlineStr"/>
      <c r="N79" s="245" t="inlineStr"/>
    </row>
    <row r="80" ht="22.5" customHeight="1" s="236">
      <c r="A80" s="243" t="n">
        <v>79</v>
      </c>
      <c r="B80" s="255" t="inlineStr">
        <is>
          <t>Преобразователь избыточного давления</t>
        </is>
      </c>
      <c r="C80" s="248" t="inlineStr">
        <is>
          <t>Метран 150 TG2</t>
        </is>
      </c>
      <c r="D80" s="248" t="inlineStr">
        <is>
          <t>950560</t>
        </is>
      </c>
      <c r="E80" s="243" t="inlineStr">
        <is>
          <t>2010</t>
        </is>
      </c>
      <c r="F80" s="254" t="inlineStr">
        <is>
          <t>0…600 кПa</t>
        </is>
      </c>
      <c r="G80" s="248" t="inlineStr">
        <is>
          <t>0.20%</t>
        </is>
      </c>
      <c r="H80" s="243" t="inlineStr">
        <is>
          <t>Давление газа на выходе 1-ой ступени ТУ ПКВ</t>
        </is>
      </c>
      <c r="I80" s="243" t="inlineStr">
        <is>
          <t>ГПА 61</t>
        </is>
      </c>
      <c r="J80" s="243" t="inlineStr">
        <is>
          <t>АСУ,А и ТМ (КЦ № 6)</t>
        </is>
      </c>
      <c r="K80" s="243" t="inlineStr">
        <is>
          <t>2012</t>
        </is>
      </c>
      <c r="L80" s="248" t="inlineStr">
        <is>
          <t>48</t>
        </is>
      </c>
      <c r="M80" s="246" t="inlineStr"/>
      <c r="N80" s="245" t="inlineStr"/>
    </row>
    <row r="81" ht="22.5" customHeight="1" s="236">
      <c r="A81" s="243" t="n">
        <v>80</v>
      </c>
      <c r="B81" s="255" t="inlineStr">
        <is>
          <t>Преобразователь избыточного давления</t>
        </is>
      </c>
      <c r="C81" s="248" t="inlineStr">
        <is>
          <t>Метран 150 TG2</t>
        </is>
      </c>
      <c r="D81" s="248" t="inlineStr">
        <is>
          <t>1066247</t>
        </is>
      </c>
      <c r="E81" s="243" t="inlineStr">
        <is>
          <t>2011</t>
        </is>
      </c>
      <c r="F81" s="254" t="inlineStr">
        <is>
          <t>0…600 кПa</t>
        </is>
      </c>
      <c r="G81" s="248" t="inlineStr">
        <is>
          <t>0.20%</t>
        </is>
      </c>
      <c r="H81" s="243" t="inlineStr">
        <is>
          <t>Давление газа на выходе 1-ой ступени ТУ ЗКВ</t>
        </is>
      </c>
      <c r="I81" s="243" t="inlineStr">
        <is>
          <t>ГПА 61</t>
        </is>
      </c>
      <c r="J81" s="243" t="inlineStr">
        <is>
          <t>АСУ,А и ТМ (КЦ № 6)</t>
        </is>
      </c>
      <c r="K81" s="243" t="inlineStr">
        <is>
          <t>2012</t>
        </is>
      </c>
      <c r="L81" s="248" t="inlineStr">
        <is>
          <t>48</t>
        </is>
      </c>
      <c r="M81" s="246" t="inlineStr"/>
      <c r="N81" s="245" t="inlineStr"/>
    </row>
    <row r="82" ht="22.5" customHeight="1" s="236">
      <c r="A82" s="243" t="n">
        <v>81</v>
      </c>
      <c r="B82" s="255" t="inlineStr">
        <is>
          <t>Преобразователь избыточного давления</t>
        </is>
      </c>
      <c r="C82" s="248" t="inlineStr">
        <is>
          <t>Метран 150 TG4</t>
        </is>
      </c>
      <c r="D82" s="248" t="inlineStr">
        <is>
          <t>6112274</t>
        </is>
      </c>
      <c r="E82" s="243" t="inlineStr">
        <is>
          <t>2019</t>
        </is>
      </c>
      <c r="F82" s="254" t="inlineStr">
        <is>
          <t>0…16 МПа</t>
        </is>
      </c>
      <c r="G82" s="248" t="inlineStr">
        <is>
          <t>0,075%</t>
        </is>
      </c>
      <c r="H82" s="243" t="inlineStr">
        <is>
          <t>Давление газа на выходе бустерной компрессорной установки</t>
        </is>
      </c>
      <c r="I82" s="243" t="inlineStr">
        <is>
          <t>ГПА 61</t>
        </is>
      </c>
      <c r="J82" s="243" t="inlineStr">
        <is>
          <t>АСУ,А и ТМ (КЦ № 6)</t>
        </is>
      </c>
      <c r="K82" s="243" t="inlineStr">
        <is>
          <t>2019</t>
        </is>
      </c>
      <c r="L82" s="248" t="inlineStr"/>
      <c r="M82" s="246" t="inlineStr"/>
      <c r="N82" s="245" t="inlineStr"/>
    </row>
    <row r="83" ht="22.5" customHeight="1" s="236">
      <c r="A83" s="243" t="n">
        <v>82</v>
      </c>
      <c r="B83" s="255" t="inlineStr">
        <is>
          <t>Преобразователь избыточного давления</t>
        </is>
      </c>
      <c r="C83" s="248" t="inlineStr">
        <is>
          <t>Метран 150 CD4</t>
        </is>
      </c>
      <c r="D83" s="248" t="inlineStr">
        <is>
          <t>6112272</t>
        </is>
      </c>
      <c r="E83" s="243" t="inlineStr">
        <is>
          <t>2019</t>
        </is>
      </c>
      <c r="F83" s="254" t="inlineStr">
        <is>
          <t>0…500 кПа</t>
        </is>
      </c>
      <c r="G83" s="248" t="inlineStr">
        <is>
          <t>0,075%</t>
        </is>
      </c>
      <c r="H83" s="243" t="inlineStr">
        <is>
          <t>Перепад давления газа на фильтре бустерной компрессорной установки</t>
        </is>
      </c>
      <c r="I83" s="243" t="inlineStr">
        <is>
          <t>ГПА 61</t>
        </is>
      </c>
      <c r="J83" s="243" t="inlineStr">
        <is>
          <t>АСУ,А и ТМ (КЦ № 6)</t>
        </is>
      </c>
      <c r="K83" s="243" t="inlineStr">
        <is>
          <t>2019</t>
        </is>
      </c>
      <c r="L83" s="248" t="inlineStr"/>
      <c r="M83" s="246" t="inlineStr"/>
      <c r="N83" s="245" t="inlineStr"/>
    </row>
    <row r="84" ht="22.5" customHeight="1" s="236">
      <c r="A84" s="243" t="n">
        <v>83</v>
      </c>
      <c r="B84" s="255" t="inlineStr">
        <is>
          <t>Преобразователь избыточного давления</t>
        </is>
      </c>
      <c r="C84" s="248" t="inlineStr">
        <is>
          <t>Honeywell STD-924</t>
        </is>
      </c>
      <c r="D84" s="248" t="inlineStr">
        <is>
          <t>11W20 C3316711002002</t>
        </is>
      </c>
      <c r="E84" s="243" t="inlineStr">
        <is>
          <t>2011</t>
        </is>
      </c>
      <c r="F84" s="254" t="inlineStr">
        <is>
          <t>0…25 кПa</t>
        </is>
      </c>
      <c r="G84" s="248" t="inlineStr">
        <is>
          <t>0.08%</t>
        </is>
      </c>
      <c r="H84" s="243" t="inlineStr">
        <is>
          <t>Перепад давления газ-газ</t>
        </is>
      </c>
      <c r="I84" s="243" t="inlineStr">
        <is>
          <t>ГПА 61</t>
        </is>
      </c>
      <c r="J84" s="243" t="inlineStr">
        <is>
          <t>АСУ,А и ТМ (КЦ № 6)</t>
        </is>
      </c>
      <c r="K84" s="243" t="inlineStr">
        <is>
          <t>2012</t>
        </is>
      </c>
      <c r="L84" s="248" t="inlineStr">
        <is>
          <t>60</t>
        </is>
      </c>
      <c r="M84" s="246" t="inlineStr"/>
      <c r="N84" s="245" t="inlineStr"/>
    </row>
    <row r="85" ht="22.5" customHeight="1" s="236">
      <c r="A85" s="243" t="n">
        <v>84</v>
      </c>
      <c r="B85" s="255" t="inlineStr">
        <is>
          <t>Преобразователь избыточного давления</t>
        </is>
      </c>
      <c r="C85" s="248" t="inlineStr">
        <is>
          <t>Метран 150 CD3</t>
        </is>
      </c>
      <c r="D85" s="248" t="inlineStr">
        <is>
          <t>1011861</t>
        </is>
      </c>
      <c r="E85" s="243" t="inlineStr">
        <is>
          <t>2011</t>
        </is>
      </c>
      <c r="F85" s="254" t="inlineStr">
        <is>
          <t>0…250 кПа</t>
        </is>
      </c>
      <c r="G85" s="248" t="inlineStr">
        <is>
          <t>0.20%</t>
        </is>
      </c>
      <c r="H85" s="243" t="inlineStr">
        <is>
          <t>Перепад давления газа на фильтрах панели ТГДУ</t>
        </is>
      </c>
      <c r="I85" s="243" t="inlineStr">
        <is>
          <t>ГПА 61</t>
        </is>
      </c>
      <c r="J85" s="243" t="inlineStr">
        <is>
          <t>АСУ,А и ТМ (КЦ № 6)</t>
        </is>
      </c>
      <c r="K85" s="243" t="inlineStr">
        <is>
          <t>2012</t>
        </is>
      </c>
      <c r="L85" s="248" t="inlineStr">
        <is>
          <t>48</t>
        </is>
      </c>
      <c r="M85" s="246" t="inlineStr"/>
      <c r="N85" s="245" t="inlineStr"/>
    </row>
    <row r="86" ht="22.5" customHeight="1" s="236">
      <c r="A86" s="243" t="n">
        <v>85</v>
      </c>
      <c r="B86" s="255" t="inlineStr">
        <is>
          <t>Преобразователь избыточного давления</t>
        </is>
      </c>
      <c r="C86" s="248" t="inlineStr">
        <is>
          <t>Метран 150 CD1</t>
        </is>
      </c>
      <c r="D86" s="248" t="inlineStr">
        <is>
          <t>1372832</t>
        </is>
      </c>
      <c r="E86" s="243" t="inlineStr">
        <is>
          <t>2011</t>
        </is>
      </c>
      <c r="F86" s="254" t="inlineStr">
        <is>
          <t>0…0,63 кПа</t>
        </is>
      </c>
      <c r="G86" s="248" t="inlineStr">
        <is>
          <t>0.10%</t>
        </is>
      </c>
      <c r="H86" s="243" t="inlineStr">
        <is>
          <t>Перепад давления воздуха на мультициклонных блоках (фильтрах)</t>
        </is>
      </c>
      <c r="I86" s="243" t="inlineStr">
        <is>
          <t>ГПА 61</t>
        </is>
      </c>
      <c r="J86" s="243" t="inlineStr">
        <is>
          <t>АСУ,А и ТМ (КЦ № 6)</t>
        </is>
      </c>
      <c r="K86" s="243" t="inlineStr">
        <is>
          <t>2012</t>
        </is>
      </c>
      <c r="L86" s="248" t="inlineStr">
        <is>
          <t>60</t>
        </is>
      </c>
      <c r="M86" s="246" t="inlineStr"/>
      <c r="N86" s="245" t="inlineStr"/>
    </row>
    <row r="87" ht="22.5" customHeight="1" s="236">
      <c r="A87" s="243" t="n">
        <v>86</v>
      </c>
      <c r="B87" s="255" t="inlineStr">
        <is>
          <t>Преобразователь избыточного давления</t>
        </is>
      </c>
      <c r="C87" s="248" t="inlineStr">
        <is>
          <t>Метран 150 CD1</t>
        </is>
      </c>
      <c r="D87" s="248" t="inlineStr">
        <is>
          <t>1372833</t>
        </is>
      </c>
      <c r="E87" s="243" t="inlineStr">
        <is>
          <t>2011</t>
        </is>
      </c>
      <c r="F87" s="254" t="inlineStr">
        <is>
          <t>0…1,6 кПа</t>
        </is>
      </c>
      <c r="G87" s="248" t="inlineStr">
        <is>
          <t>0.10%</t>
        </is>
      </c>
      <c r="H87" s="243" t="inlineStr">
        <is>
          <t>Перепад давления воздуха на кассетных фильтрах</t>
        </is>
      </c>
      <c r="I87" s="243" t="inlineStr">
        <is>
          <t>ГПА 61</t>
        </is>
      </c>
      <c r="J87" s="243" t="inlineStr">
        <is>
          <t>АСУ,А и ТМ (КЦ № 6)</t>
        </is>
      </c>
      <c r="K87" s="243" t="inlineStr">
        <is>
          <t>2012</t>
        </is>
      </c>
      <c r="L87" s="248" t="inlineStr">
        <is>
          <t>60</t>
        </is>
      </c>
      <c r="M87" s="246" t="inlineStr"/>
      <c r="N87" s="245" t="inlineStr"/>
    </row>
    <row r="88" ht="22.5" customHeight="1" s="236">
      <c r="A88" s="243" t="n">
        <v>87</v>
      </c>
      <c r="B88" s="255" t="inlineStr">
        <is>
          <t>Преобразователь избыточного давления</t>
        </is>
      </c>
      <c r="C88" s="248" t="inlineStr">
        <is>
          <t>YOKOGAVA EJX530А-EDS9N-019DL/KF21/QR</t>
        </is>
      </c>
      <c r="D88" s="248" t="inlineStr">
        <is>
          <t>91М439734.217</t>
        </is>
      </c>
      <c r="E88" s="243" t="inlineStr">
        <is>
          <t>2012</t>
        </is>
      </c>
      <c r="F88" s="254" t="inlineStr">
        <is>
          <t>0…16 МПа</t>
        </is>
      </c>
      <c r="G88" s="248" t="inlineStr">
        <is>
          <t>0.10%</t>
        </is>
      </c>
      <c r="H88" s="243" t="inlineStr">
        <is>
          <t>Давление газа на выходе АВО (после крана №2)</t>
        </is>
      </c>
      <c r="I88" s="243" t="inlineStr">
        <is>
          <t>ГПА 61</t>
        </is>
      </c>
      <c r="J88" s="243" t="inlineStr">
        <is>
          <t>АСУ,А и ТМ (КЦ № 6)</t>
        </is>
      </c>
      <c r="K88" s="243" t="inlineStr">
        <is>
          <t>2012</t>
        </is>
      </c>
      <c r="L88" s="248" t="inlineStr">
        <is>
          <t>60</t>
        </is>
      </c>
      <c r="M88" s="246" t="inlineStr"/>
      <c r="N88" s="245" t="inlineStr"/>
    </row>
    <row r="89" ht="22.5" customHeight="1" s="236">
      <c r="A89" s="243" t="n">
        <v>88</v>
      </c>
      <c r="B89" s="255" t="inlineStr">
        <is>
          <t>Преобразователь избыточного давления</t>
        </is>
      </c>
      <c r="C89" s="248" t="inlineStr">
        <is>
          <t>YOKOGAVA EJX110А-EНS5J-B19DM/KF21/QR</t>
        </is>
      </c>
      <c r="D89" s="248" t="inlineStr">
        <is>
          <t>91М439690.217</t>
        </is>
      </c>
      <c r="E89" s="243" t="inlineStr">
        <is>
          <t>2012</t>
        </is>
      </c>
      <c r="F89" s="254" t="inlineStr">
        <is>
          <t>0…0,16 МПа</t>
        </is>
      </c>
      <c r="G89" s="248" t="inlineStr">
        <is>
          <t>0.04%</t>
        </is>
      </c>
      <c r="H89" s="243" t="inlineStr">
        <is>
          <t>Перепад давлений газа на сетке перед компрессором (защитная решетка)</t>
        </is>
      </c>
      <c r="I89" s="243" t="inlineStr">
        <is>
          <t>ГПА 61</t>
        </is>
      </c>
      <c r="J89" s="243" t="inlineStr">
        <is>
          <t>АСУ,А и ТМ (КЦ № 6)</t>
        </is>
      </c>
      <c r="K89" s="243" t="inlineStr">
        <is>
          <t>2012</t>
        </is>
      </c>
      <c r="L89" s="248" t="inlineStr">
        <is>
          <t>60</t>
        </is>
      </c>
      <c r="M89" s="246" t="inlineStr"/>
      <c r="N89" s="245" t="inlineStr"/>
    </row>
    <row r="90" ht="22.5" customHeight="1" s="236">
      <c r="A90" s="243" t="n">
        <v>89</v>
      </c>
      <c r="B90" s="255" t="inlineStr">
        <is>
          <t>Преобразователь избыточного давления</t>
        </is>
      </c>
      <c r="C90" s="248" t="inlineStr">
        <is>
          <t>YOKOGAVA EJX110А-EНS5J-B19DM/KF21/QR</t>
        </is>
      </c>
      <c r="D90" s="248" t="inlineStr">
        <is>
          <t>91М439689.217</t>
        </is>
      </c>
      <c r="E90" s="243" t="inlineStr">
        <is>
          <t>2012</t>
        </is>
      </c>
      <c r="F90" s="254" t="inlineStr">
        <is>
          <t>0…400 кПа</t>
        </is>
      </c>
      <c r="G90" s="248" t="inlineStr">
        <is>
          <t>0.04%</t>
        </is>
      </c>
      <c r="H90" s="243" t="inlineStr">
        <is>
          <t>Перепад давления газа на кране №1</t>
        </is>
      </c>
      <c r="I90" s="243" t="inlineStr">
        <is>
          <t>ГПА 61</t>
        </is>
      </c>
      <c r="J90" s="243" t="inlineStr">
        <is>
          <t>АСУ,А и ТМ (КЦ № 6)</t>
        </is>
      </c>
      <c r="K90" s="243" t="inlineStr">
        <is>
          <t>2012</t>
        </is>
      </c>
      <c r="L90" s="248" t="inlineStr">
        <is>
          <t>60</t>
        </is>
      </c>
      <c r="M90" s="246" t="inlineStr"/>
      <c r="N90" s="245" t="inlineStr"/>
    </row>
    <row r="91" ht="22.5" customHeight="1" s="236">
      <c r="A91" s="243" t="n">
        <v>90</v>
      </c>
      <c r="B91" s="255" t="inlineStr">
        <is>
          <t>Преобразователь избыточного давления</t>
        </is>
      </c>
      <c r="C91" s="248" t="inlineStr">
        <is>
          <t>Honeywell STG-97L</t>
        </is>
      </c>
      <c r="D91" s="248" t="inlineStr">
        <is>
          <t>10W44 C3273987003003</t>
        </is>
      </c>
      <c r="E91" s="243" t="inlineStr">
        <is>
          <t>2010</t>
        </is>
      </c>
      <c r="F91" s="254" t="inlineStr">
        <is>
          <t>0…4 МПа</t>
        </is>
      </c>
      <c r="G91" s="248" t="inlineStr">
        <is>
          <t>0.075</t>
        </is>
      </c>
      <c r="H91" s="243" t="inlineStr">
        <is>
          <t>Давление воздуха за КВД</t>
        </is>
      </c>
      <c r="I91" s="243" t="inlineStr">
        <is>
          <t>ГПА 61</t>
        </is>
      </c>
      <c r="J91" s="243" t="inlineStr">
        <is>
          <t>АСУ,А и ТМ (КЦ № 6)</t>
        </is>
      </c>
      <c r="K91" s="243" t="inlineStr">
        <is>
          <t>2012</t>
        </is>
      </c>
      <c r="L91" s="248" t="inlineStr">
        <is>
          <t>36</t>
        </is>
      </c>
      <c r="M91" s="246" t="inlineStr"/>
      <c r="N91" s="245" t="inlineStr"/>
    </row>
    <row r="92" ht="22.5" customHeight="1" s="236">
      <c r="A92" s="243" t="n">
        <v>91</v>
      </c>
      <c r="B92" s="255" t="inlineStr">
        <is>
          <t>Преобразователь избыточного давления</t>
        </is>
      </c>
      <c r="C92" s="248" t="inlineStr">
        <is>
          <t>Honeywell STG-97L</t>
        </is>
      </c>
      <c r="D92" s="248" t="inlineStr">
        <is>
          <t>10W44 C3273987003053</t>
        </is>
      </c>
      <c r="E92" s="243" t="inlineStr">
        <is>
          <t>2011</t>
        </is>
      </c>
      <c r="F92" s="254" t="inlineStr">
        <is>
          <t>0…10 МПа</t>
        </is>
      </c>
      <c r="G92" s="248" t="inlineStr">
        <is>
          <t>0.075</t>
        </is>
      </c>
      <c r="H92" s="243" t="inlineStr">
        <is>
          <t>Давление газа на входе компрессора</t>
        </is>
      </c>
      <c r="I92" s="243" t="inlineStr">
        <is>
          <t>ГПА 61</t>
        </is>
      </c>
      <c r="J92" s="243" t="inlineStr">
        <is>
          <t>АСУ,А и ТМ (КЦ № 6)</t>
        </is>
      </c>
      <c r="K92" s="243" t="inlineStr">
        <is>
          <t>2012</t>
        </is>
      </c>
      <c r="L92" s="248" t="inlineStr">
        <is>
          <t>36</t>
        </is>
      </c>
      <c r="M92" s="246" t="inlineStr"/>
      <c r="N92" s="245" t="inlineStr"/>
    </row>
    <row r="93" ht="22.5" customHeight="1" s="236">
      <c r="A93" s="243" t="n">
        <v>92</v>
      </c>
      <c r="B93" s="255" t="inlineStr">
        <is>
          <t>Преобразователь избыточного давления</t>
        </is>
      </c>
      <c r="C93" s="248" t="inlineStr">
        <is>
          <t>Honeywell STG-97L</t>
        </is>
      </c>
      <c r="D93" s="248" t="inlineStr">
        <is>
          <t>11W18 C3313690003009</t>
        </is>
      </c>
      <c r="E93" s="243" t="inlineStr">
        <is>
          <t>2011</t>
        </is>
      </c>
      <c r="F93" s="254" t="inlineStr">
        <is>
          <t>0…16 МПа</t>
        </is>
      </c>
      <c r="G93" s="248" t="inlineStr">
        <is>
          <t>0.075</t>
        </is>
      </c>
      <c r="H93" s="243" t="inlineStr">
        <is>
          <t>Давление газа на выходе компрессора</t>
        </is>
      </c>
      <c r="I93" s="243" t="inlineStr">
        <is>
          <t>ГПА 61</t>
        </is>
      </c>
      <c r="J93" s="243" t="inlineStr">
        <is>
          <t>АСУ,А и ТМ (КЦ № 6)</t>
        </is>
      </c>
      <c r="K93" s="243" t="inlineStr">
        <is>
          <t>2012</t>
        </is>
      </c>
      <c r="L93" s="248" t="inlineStr">
        <is>
          <t>36</t>
        </is>
      </c>
      <c r="M93" s="246" t="inlineStr"/>
      <c r="N93" s="245" t="inlineStr"/>
    </row>
    <row r="94" ht="22.5" customHeight="1" s="236">
      <c r="A94" s="243" t="n">
        <v>93</v>
      </c>
      <c r="B94" s="255" t="inlineStr">
        <is>
          <t>Преобразователь избыточного давления</t>
        </is>
      </c>
      <c r="C94" s="248" t="inlineStr">
        <is>
          <t>Honeywell STG-97L</t>
        </is>
      </c>
      <c r="D94" s="248" t="inlineStr">
        <is>
          <t>11W18 C331369000305</t>
        </is>
      </c>
      <c r="E94" s="243" t="inlineStr">
        <is>
          <t>2010</t>
        </is>
      </c>
      <c r="F94" s="254" t="inlineStr">
        <is>
          <t>0…10 МПа</t>
        </is>
      </c>
      <c r="G94" s="248" t="inlineStr">
        <is>
          <t>0.075</t>
        </is>
      </c>
      <c r="H94" s="243" t="inlineStr">
        <is>
          <t>Давление топливного газа после отсечного клапана</t>
        </is>
      </c>
      <c r="I94" s="243" t="inlineStr">
        <is>
          <t>ГПА 61</t>
        </is>
      </c>
      <c r="J94" s="243" t="inlineStr">
        <is>
          <t>АСУ,А и ТМ (КЦ № 6)</t>
        </is>
      </c>
      <c r="K94" s="243" t="inlineStr">
        <is>
          <t>2012</t>
        </is>
      </c>
      <c r="L94" s="248" t="inlineStr">
        <is>
          <t>36</t>
        </is>
      </c>
      <c r="M94" s="246" t="inlineStr"/>
      <c r="N94" s="245" t="inlineStr"/>
    </row>
    <row r="95" ht="22.5" customHeight="1" s="236">
      <c r="A95" s="243" t="n">
        <v>94</v>
      </c>
      <c r="B95" s="255" t="inlineStr">
        <is>
          <t>Преобразователь избыточного давления</t>
        </is>
      </c>
      <c r="C95" s="248" t="inlineStr">
        <is>
          <t>Honeywell STG-97L</t>
        </is>
      </c>
      <c r="D95" s="248" t="inlineStr">
        <is>
          <t>11W03 C3287149003044</t>
        </is>
      </c>
      <c r="E95" s="243" t="inlineStr">
        <is>
          <t>2011</t>
        </is>
      </c>
      <c r="F95" s="254" t="inlineStr">
        <is>
          <t>0…10 МПа</t>
        </is>
      </c>
      <c r="G95" s="248" t="inlineStr">
        <is>
          <t>0.075</t>
        </is>
      </c>
      <c r="H95" s="243" t="inlineStr">
        <is>
          <t>Давление топливного газа перед расходомерным устройством</t>
        </is>
      </c>
      <c r="I95" s="243" t="inlineStr">
        <is>
          <t>ГПА 61</t>
        </is>
      </c>
      <c r="J95" s="243" t="inlineStr">
        <is>
          <t>АСУ,А и ТМ (КЦ № 6)</t>
        </is>
      </c>
      <c r="K95" s="243" t="inlineStr">
        <is>
          <t>2012</t>
        </is>
      </c>
      <c r="L95" s="248" t="inlineStr">
        <is>
          <t>36</t>
        </is>
      </c>
      <c r="M95" s="246" t="inlineStr"/>
      <c r="N95" s="245" t="inlineStr"/>
    </row>
    <row r="96" ht="33.75" customHeight="1" s="236">
      <c r="A96" s="243" t="n">
        <v>95</v>
      </c>
      <c r="B96" s="255" t="inlineStr">
        <is>
          <t>Преобразователь избыточного давления</t>
        </is>
      </c>
      <c r="C96" s="248" t="inlineStr">
        <is>
          <t>Honeywell STG-97L</t>
        </is>
      </c>
      <c r="D96" s="248" t="inlineStr">
        <is>
          <t>10W20 C3236732009011</t>
        </is>
      </c>
      <c r="E96" s="243" t="inlineStr">
        <is>
          <t>2011</t>
        </is>
      </c>
      <c r="F96" s="254" t="inlineStr">
        <is>
          <t>0…10 МПа</t>
        </is>
      </c>
      <c r="G96" s="248" t="inlineStr">
        <is>
          <t>0.075</t>
        </is>
      </c>
      <c r="H96" s="243" t="inlineStr">
        <is>
          <t>Давление топливного газа перед форсунками камеры сгорания (после СК)</t>
        </is>
      </c>
      <c r="I96" s="243" t="inlineStr">
        <is>
          <t>ГПА 61</t>
        </is>
      </c>
      <c r="J96" s="243" t="inlineStr">
        <is>
          <t>АСУ,А и ТМ (КЦ № 6)</t>
        </is>
      </c>
      <c r="K96" s="243" t="inlineStr">
        <is>
          <t>2012</t>
        </is>
      </c>
      <c r="L96" s="248" t="inlineStr">
        <is>
          <t>36</t>
        </is>
      </c>
      <c r="M96" s="246" t="inlineStr"/>
      <c r="N96" s="245" t="inlineStr"/>
    </row>
    <row r="97" ht="22.5" customHeight="1" s="236">
      <c r="A97" s="243" t="n">
        <v>96</v>
      </c>
      <c r="B97" s="255" t="inlineStr">
        <is>
          <t>Преобразователь избыточного давления</t>
        </is>
      </c>
      <c r="C97" s="248" t="inlineStr">
        <is>
          <t>Honeywell STG-97L</t>
        </is>
      </c>
      <c r="D97" s="248" t="inlineStr">
        <is>
          <t>10W44 C3273987003051</t>
        </is>
      </c>
      <c r="E97" s="243" t="inlineStr">
        <is>
          <t>2010</t>
        </is>
      </c>
      <c r="F97" s="254" t="inlineStr">
        <is>
          <t>0…2 МПа</t>
        </is>
      </c>
      <c r="G97" s="248" t="inlineStr">
        <is>
          <t>0.075</t>
        </is>
      </c>
      <c r="H97" s="243" t="inlineStr">
        <is>
          <t>Давление воздуха в разгрузочной полости</t>
        </is>
      </c>
      <c r="I97" s="243" t="inlineStr">
        <is>
          <t>ГПА 61</t>
        </is>
      </c>
      <c r="J97" s="243" t="inlineStr">
        <is>
          <t>АСУ,А и ТМ (КЦ № 6)</t>
        </is>
      </c>
      <c r="K97" s="243" t="inlineStr">
        <is>
          <t>2012</t>
        </is>
      </c>
      <c r="L97" s="248" t="inlineStr">
        <is>
          <t>36</t>
        </is>
      </c>
      <c r="M97" s="246" t="inlineStr"/>
      <c r="N97" s="245" t="inlineStr"/>
    </row>
    <row r="98" ht="22.5" customHeight="1" s="236">
      <c r="A98" s="243" t="n">
        <v>97</v>
      </c>
      <c r="B98" s="255" t="inlineStr">
        <is>
          <t>Преобразователь избыточного давления</t>
        </is>
      </c>
      <c r="C98" s="248" t="inlineStr">
        <is>
          <t>Honeywell STG-94L</t>
        </is>
      </c>
      <c r="D98" s="248" t="inlineStr">
        <is>
          <t>11W17 C3313690002010</t>
        </is>
      </c>
      <c r="E98" s="243" t="inlineStr">
        <is>
          <t>2011</t>
        </is>
      </c>
      <c r="F98" s="254" t="inlineStr">
        <is>
          <t>0…0,63 МПа</t>
        </is>
      </c>
      <c r="G98" s="248" t="inlineStr">
        <is>
          <t>0.075</t>
        </is>
      </c>
      <c r="H98" s="243" t="inlineStr">
        <is>
          <t>Давление масла на выходе из двигателя</t>
        </is>
      </c>
      <c r="I98" s="243" t="inlineStr">
        <is>
          <t>ГПА 61</t>
        </is>
      </c>
      <c r="J98" s="243" t="inlineStr">
        <is>
          <t>АСУ,А и ТМ (КЦ № 6)</t>
        </is>
      </c>
      <c r="K98" s="243" t="inlineStr">
        <is>
          <t>2012</t>
        </is>
      </c>
      <c r="L98" s="248" t="inlineStr">
        <is>
          <t>36</t>
        </is>
      </c>
      <c r="M98" s="246" t="inlineStr"/>
      <c r="N98" s="245" t="inlineStr"/>
    </row>
    <row r="99" ht="22.5" customHeight="1" s="236">
      <c r="A99" s="243" t="n">
        <v>98</v>
      </c>
      <c r="B99" s="255" t="inlineStr">
        <is>
          <t>Преобразователь избыточного давления</t>
        </is>
      </c>
      <c r="C99" s="248" t="inlineStr">
        <is>
          <t>Honeywell STG-94L</t>
        </is>
      </c>
      <c r="D99" s="248" t="inlineStr">
        <is>
          <t>11W13 C3303059004004</t>
        </is>
      </c>
      <c r="E99" s="243" t="inlineStr">
        <is>
          <t>2011</t>
        </is>
      </c>
      <c r="F99" s="254" t="inlineStr">
        <is>
          <t>0…0,63 МПа</t>
        </is>
      </c>
      <c r="G99" s="248" t="inlineStr">
        <is>
          <t>0.075</t>
        </is>
      </c>
      <c r="H99" s="243" t="inlineStr">
        <is>
          <t>Давление масла на входе двигателя</t>
        </is>
      </c>
      <c r="I99" s="243" t="inlineStr">
        <is>
          <t>ГПА 61</t>
        </is>
      </c>
      <c r="J99" s="243" t="inlineStr">
        <is>
          <t>АСУ,А и ТМ (КЦ № 6)</t>
        </is>
      </c>
      <c r="K99" s="243" t="inlineStr">
        <is>
          <t>2012</t>
        </is>
      </c>
      <c r="L99" s="248" t="inlineStr">
        <is>
          <t>36</t>
        </is>
      </c>
      <c r="M99" s="246" t="inlineStr"/>
      <c r="N99" s="245" t="inlineStr"/>
    </row>
    <row r="100" ht="22.5" customHeight="1" s="236">
      <c r="A100" s="243" t="n">
        <v>99</v>
      </c>
      <c r="B100" s="255" t="inlineStr">
        <is>
          <t>Преобразователь избыточного давления</t>
        </is>
      </c>
      <c r="C100" s="248" t="inlineStr">
        <is>
          <t>Honeywell STG-94L</t>
        </is>
      </c>
      <c r="D100" s="248" t="inlineStr">
        <is>
          <t>11W17 C3313690002012</t>
        </is>
      </c>
      <c r="E100" s="243" t="inlineStr">
        <is>
          <t>2011</t>
        </is>
      </c>
      <c r="F100" s="254" t="inlineStr">
        <is>
          <t>-100…530 кПа</t>
        </is>
      </c>
      <c r="G100" s="248" t="inlineStr">
        <is>
          <t>0.075</t>
        </is>
      </c>
      <c r="H100" s="243" t="inlineStr">
        <is>
          <t>Давление воздуха в средней опоре</t>
        </is>
      </c>
      <c r="I100" s="243" t="inlineStr">
        <is>
          <t>ГПА 61</t>
        </is>
      </c>
      <c r="J100" s="243" t="inlineStr">
        <is>
          <t>АСУ,А и ТМ (КЦ № 6)</t>
        </is>
      </c>
      <c r="K100" s="243" t="inlineStr">
        <is>
          <t>2012</t>
        </is>
      </c>
      <c r="L100" s="248" t="inlineStr">
        <is>
          <t>36</t>
        </is>
      </c>
      <c r="M100" s="246" t="inlineStr"/>
      <c r="N100" s="245" t="inlineStr"/>
    </row>
    <row r="101" ht="33.75" customHeight="1" s="236">
      <c r="A101" s="243" t="n">
        <v>100</v>
      </c>
      <c r="B101" s="255" t="inlineStr">
        <is>
          <t>Преобразователь избыточного давления</t>
        </is>
      </c>
      <c r="C101" s="248" t="inlineStr">
        <is>
          <t>Honeywell STG-94L</t>
        </is>
      </c>
      <c r="D101" s="248" t="inlineStr">
        <is>
          <t>11W13 C3303059004026</t>
        </is>
      </c>
      <c r="E101" s="243" t="inlineStr">
        <is>
          <t>2011</t>
        </is>
      </c>
      <c r="F101" s="254" t="inlineStr">
        <is>
          <t>0…1 МПа</t>
        </is>
      </c>
      <c r="G101" s="248" t="inlineStr">
        <is>
          <t>0.075</t>
        </is>
      </c>
      <c r="H101" s="243" t="inlineStr">
        <is>
          <t>Давление защиного воздуха на выходе ресивера Р1 (после воздушного компрессора)</t>
        </is>
      </c>
      <c r="I101" s="243" t="inlineStr">
        <is>
          <t>ГПА 61</t>
        </is>
      </c>
      <c r="J101" s="243" t="inlineStr">
        <is>
          <t>АСУ,А и ТМ (КЦ № 6)</t>
        </is>
      </c>
      <c r="K101" s="243" t="inlineStr">
        <is>
          <t>2012</t>
        </is>
      </c>
      <c r="L101" s="248" t="inlineStr">
        <is>
          <t>36</t>
        </is>
      </c>
      <c r="M101" s="246" t="inlineStr"/>
      <c r="N101" s="245" t="inlineStr"/>
    </row>
    <row r="102" ht="22.5" customHeight="1" s="236">
      <c r="A102" s="243" t="n">
        <v>101</v>
      </c>
      <c r="B102" s="255" t="inlineStr">
        <is>
          <t>Преобразователь избыточного давления</t>
        </is>
      </c>
      <c r="C102" s="248" t="inlineStr">
        <is>
          <t>Honeywell STD-930</t>
        </is>
      </c>
      <c r="D102" s="248" t="inlineStr">
        <is>
          <t>11W04 C3287149005007</t>
        </is>
      </c>
      <c r="E102" s="243" t="inlineStr">
        <is>
          <t>2011</t>
        </is>
      </c>
      <c r="F102" s="254" t="inlineStr">
        <is>
          <t>-34…689 кПа</t>
        </is>
      </c>
      <c r="G102" s="248" t="inlineStr">
        <is>
          <t>0.075</t>
        </is>
      </c>
      <c r="H102" s="243" t="inlineStr">
        <is>
          <t>Перепад воздуха на шайбе</t>
        </is>
      </c>
      <c r="I102" s="243" t="inlineStr">
        <is>
          <t>ГПА 61</t>
        </is>
      </c>
      <c r="J102" s="243" t="inlineStr">
        <is>
          <t>АСУ,А и ТМ (КЦ № 6)</t>
        </is>
      </c>
      <c r="K102" s="243" t="inlineStr">
        <is>
          <t>2012</t>
        </is>
      </c>
      <c r="L102" s="248" t="inlineStr">
        <is>
          <t>36</t>
        </is>
      </c>
      <c r="M102" s="246" t="inlineStr"/>
      <c r="N102" s="245" t="inlineStr"/>
    </row>
    <row r="103" ht="22.5" customHeight="1" s="236">
      <c r="A103" s="243" t="n">
        <v>102</v>
      </c>
      <c r="B103" s="255" t="inlineStr">
        <is>
          <t>Преобразователь избыточного давления</t>
        </is>
      </c>
      <c r="C103" s="248" t="inlineStr">
        <is>
          <t>Honeywell STD-924</t>
        </is>
      </c>
      <c r="D103" s="248" t="inlineStr">
        <is>
          <t>11W16 C3310520005004</t>
        </is>
      </c>
      <c r="E103" s="243" t="inlineStr">
        <is>
          <t>2011</t>
        </is>
      </c>
      <c r="F103" s="254" t="inlineStr">
        <is>
          <t>0…63 кПа</t>
        </is>
      </c>
      <c r="G103" s="248" t="inlineStr">
        <is>
          <t>0.075</t>
        </is>
      </c>
      <c r="H103" s="243" t="inlineStr">
        <is>
          <t>Перепад давления газа на всасывающем патрубке (конфузоре)</t>
        </is>
      </c>
      <c r="I103" s="243" t="inlineStr">
        <is>
          <t>ГПА 61</t>
        </is>
      </c>
      <c r="J103" s="243" t="inlineStr">
        <is>
          <t>АСУ,А и ТМ (КЦ № 6)</t>
        </is>
      </c>
      <c r="K103" s="243" t="inlineStr">
        <is>
          <t>2012</t>
        </is>
      </c>
      <c r="L103" s="248" t="inlineStr">
        <is>
          <t>36</t>
        </is>
      </c>
      <c r="M103" s="246" t="inlineStr"/>
      <c r="N103" s="245" t="inlineStr"/>
    </row>
    <row r="104" ht="33.75" customHeight="1" s="236">
      <c r="A104" s="243" t="n">
        <v>103</v>
      </c>
      <c r="B104" s="255" t="inlineStr">
        <is>
          <t>Преобразователь избыточного давления</t>
        </is>
      </c>
      <c r="C104" s="248" t="inlineStr">
        <is>
          <t>Honeywell STD-924</t>
        </is>
      </c>
      <c r="D104" s="248" t="inlineStr">
        <is>
          <t>11W16 C3310520005001</t>
        </is>
      </c>
      <c r="E104" s="243" t="inlineStr">
        <is>
          <t>2011</t>
        </is>
      </c>
      <c r="F104" s="254" t="inlineStr">
        <is>
          <t>0…4 кПа</t>
        </is>
      </c>
      <c r="G104" s="248" t="inlineStr">
        <is>
          <t>0.075</t>
        </is>
      </c>
      <c r="H104" s="243" t="inlineStr">
        <is>
          <t>Перепад давления между оболочкой опорного подшипника и 2-ой супенью ТУ</t>
        </is>
      </c>
      <c r="I104" s="243" t="inlineStr">
        <is>
          <t>ГПА 61</t>
        </is>
      </c>
      <c r="J104" s="243" t="inlineStr">
        <is>
          <t>АСУ,А и ТМ (КЦ № 6)</t>
        </is>
      </c>
      <c r="K104" s="243" t="inlineStr">
        <is>
          <t>2012</t>
        </is>
      </c>
      <c r="L104" s="248" t="inlineStr">
        <is>
          <t>36</t>
        </is>
      </c>
      <c r="M104" s="246" t="inlineStr"/>
      <c r="N104" s="245" t="inlineStr"/>
    </row>
    <row r="105" ht="33.75" customHeight="1" s="236">
      <c r="A105" s="243" t="n">
        <v>104</v>
      </c>
      <c r="B105" s="255" t="inlineStr">
        <is>
          <t>Преобразователь избыточного давления</t>
        </is>
      </c>
      <c r="C105" s="248" t="inlineStr">
        <is>
          <t>Honeywell STD-924</t>
        </is>
      </c>
      <c r="D105" s="248" t="inlineStr">
        <is>
          <t>11W17 C3313690001027</t>
        </is>
      </c>
      <c r="E105" s="243" t="inlineStr">
        <is>
          <t>2011</t>
        </is>
      </c>
      <c r="F105" s="254" t="inlineStr">
        <is>
          <t>0…4 кПа</t>
        </is>
      </c>
      <c r="G105" s="248" t="inlineStr">
        <is>
          <t>0.075</t>
        </is>
      </c>
      <c r="H105" s="243" t="inlineStr">
        <is>
          <t>Перепад давления между оболочкой опорно-упорного подшипника и 2-ой супенью ТУ</t>
        </is>
      </c>
      <c r="I105" s="243" t="inlineStr">
        <is>
          <t>ГПА 61</t>
        </is>
      </c>
      <c r="J105" s="243" t="inlineStr">
        <is>
          <t>АСУ,А и ТМ (КЦ № 6)</t>
        </is>
      </c>
      <c r="K105" s="243" t="inlineStr">
        <is>
          <t>2012</t>
        </is>
      </c>
      <c r="L105" s="248" t="inlineStr">
        <is>
          <t>36</t>
        </is>
      </c>
      <c r="M105" s="246" t="inlineStr"/>
      <c r="N105" s="245" t="inlineStr"/>
    </row>
    <row r="106" ht="22.5" customHeight="1" s="236">
      <c r="A106" s="243" t="n">
        <v>105</v>
      </c>
      <c r="B106" s="255" t="inlineStr">
        <is>
          <t>Преобразователь избыточного давления</t>
        </is>
      </c>
      <c r="C106" s="248" t="inlineStr">
        <is>
          <t>Honeywell STD-924</t>
        </is>
      </c>
      <c r="D106" s="248" t="inlineStr">
        <is>
          <t>11W18 C3313690001031</t>
        </is>
      </c>
      <c r="E106" s="243" t="inlineStr">
        <is>
          <t>2011</t>
        </is>
      </c>
      <c r="F106" s="254" t="inlineStr">
        <is>
          <t>0…1,6 кПа</t>
        </is>
      </c>
      <c r="G106" s="248" t="inlineStr">
        <is>
          <t>0.075</t>
        </is>
      </c>
      <c r="H106" s="243" t="inlineStr">
        <is>
          <t>Давление во входном сечении лемнискаты ГТД</t>
        </is>
      </c>
      <c r="I106" s="243" t="inlineStr">
        <is>
          <t>ГПА 61</t>
        </is>
      </c>
      <c r="J106" s="243" t="inlineStr">
        <is>
          <t>АСУ,А и ТМ (КЦ № 6)</t>
        </is>
      </c>
      <c r="K106" s="243" t="inlineStr">
        <is>
          <t>2012</t>
        </is>
      </c>
      <c r="L106" s="248" t="inlineStr">
        <is>
          <t>36</t>
        </is>
      </c>
      <c r="M106" s="246" t="inlineStr"/>
      <c r="N106" s="245" t="inlineStr"/>
    </row>
    <row r="107" ht="22.5" customHeight="1" s="236">
      <c r="A107" s="243" t="n">
        <v>106</v>
      </c>
      <c r="B107" s="255" t="inlineStr">
        <is>
          <t>Преобразователь избыточного давления</t>
        </is>
      </c>
      <c r="C107" s="248" t="inlineStr">
        <is>
          <t>Honeywell STD-924</t>
        </is>
      </c>
      <c r="D107" s="248" t="inlineStr">
        <is>
          <t>11W17 C3313690001018</t>
        </is>
      </c>
      <c r="E107" s="243" t="inlineStr">
        <is>
          <t>2011</t>
        </is>
      </c>
      <c r="F107" s="254" t="inlineStr">
        <is>
          <t>-5…100 кПа</t>
        </is>
      </c>
      <c r="G107" s="248" t="inlineStr">
        <is>
          <t>0.075</t>
        </is>
      </c>
      <c r="H107" s="243" t="inlineStr">
        <is>
          <t>Давление на срезе улитки ГТД</t>
        </is>
      </c>
      <c r="I107" s="243" t="inlineStr">
        <is>
          <t>ГПА 61</t>
        </is>
      </c>
      <c r="J107" s="243" t="inlineStr">
        <is>
          <t>АСУ,А и ТМ (КЦ № 6)</t>
        </is>
      </c>
      <c r="K107" s="243" t="inlineStr">
        <is>
          <t>2012</t>
        </is>
      </c>
      <c r="L107" s="248" t="inlineStr">
        <is>
          <t>36</t>
        </is>
      </c>
      <c r="M107" s="246" t="inlineStr"/>
      <c r="N107" s="245" t="inlineStr"/>
    </row>
    <row r="108" ht="22.5" customHeight="1" s="236">
      <c r="A108" s="243" t="n">
        <v>107</v>
      </c>
      <c r="B108" s="255" t="inlineStr">
        <is>
          <t>Преобразователь избыточного давления</t>
        </is>
      </c>
      <c r="C108" s="248" t="inlineStr">
        <is>
          <t>Honeywell STD-924</t>
        </is>
      </c>
      <c r="D108" s="248" t="inlineStr">
        <is>
          <t>11W18 C3313690001032</t>
        </is>
      </c>
      <c r="E108" s="243" t="inlineStr">
        <is>
          <t>2011</t>
        </is>
      </c>
      <c r="F108" s="254" t="inlineStr">
        <is>
          <t>0…1158,4 мм</t>
        </is>
      </c>
      <c r="G108" s="248" t="inlineStr">
        <is>
          <t>0.075</t>
        </is>
      </c>
      <c r="H108" s="243" t="inlineStr">
        <is>
          <t>Уровень масла в маслобаке двигателя</t>
        </is>
      </c>
      <c r="I108" s="243" t="inlineStr">
        <is>
          <t>ГПА 61</t>
        </is>
      </c>
      <c r="J108" s="243" t="inlineStr">
        <is>
          <t>АСУ,А и ТМ (КЦ № 6)</t>
        </is>
      </c>
      <c r="K108" s="243" t="inlineStr">
        <is>
          <t>2012</t>
        </is>
      </c>
      <c r="L108" s="248" t="inlineStr">
        <is>
          <t>36</t>
        </is>
      </c>
      <c r="M108" s="246" t="inlineStr"/>
      <c r="N108" s="245" t="inlineStr"/>
    </row>
    <row r="109" ht="22.5" customHeight="1" s="236">
      <c r="A109" s="243" t="n">
        <v>108</v>
      </c>
      <c r="B109" s="255" t="inlineStr">
        <is>
          <t>Преобразователь избыточного давления</t>
        </is>
      </c>
      <c r="C109" s="248" t="inlineStr">
        <is>
          <t>Honeywell STD-924</t>
        </is>
      </c>
      <c r="D109" s="248" t="inlineStr">
        <is>
          <t>11W18 C3313690001044</t>
        </is>
      </c>
      <c r="E109" s="243" t="inlineStr">
        <is>
          <t>2011</t>
        </is>
      </c>
      <c r="F109" s="254" t="inlineStr">
        <is>
          <t>0…2000 мм</t>
        </is>
      </c>
      <c r="G109" s="248" t="inlineStr">
        <is>
          <t>0.075</t>
        </is>
      </c>
      <c r="H109" s="243" t="inlineStr">
        <is>
          <t>Уровеь масла в расходном баке</t>
        </is>
      </c>
      <c r="I109" s="243" t="inlineStr">
        <is>
          <t>ГПА 61</t>
        </is>
      </c>
      <c r="J109" s="243" t="inlineStr">
        <is>
          <t>АСУ,А и ТМ (КЦ № 6)</t>
        </is>
      </c>
      <c r="K109" s="243" t="inlineStr">
        <is>
          <t>2012</t>
        </is>
      </c>
      <c r="L109" s="248" t="inlineStr">
        <is>
          <t>36</t>
        </is>
      </c>
      <c r="M109" s="246" t="inlineStr"/>
      <c r="N109" s="245" t="inlineStr"/>
    </row>
    <row r="110" ht="22.5" customHeight="1" s="236">
      <c r="A110" s="243" t="n">
        <v>109</v>
      </c>
      <c r="B110" s="255" t="inlineStr">
        <is>
          <t>Преобразователь избыточного давления</t>
        </is>
      </c>
      <c r="C110" s="248" t="inlineStr">
        <is>
          <t>Honeywell STD-924</t>
        </is>
      </c>
      <c r="D110" s="248" t="inlineStr">
        <is>
          <t>11W17 C3313690001010</t>
        </is>
      </c>
      <c r="E110" s="243" t="inlineStr">
        <is>
          <t>2011</t>
        </is>
      </c>
      <c r="F110" s="254" t="inlineStr">
        <is>
          <t>0…100 кПа</t>
        </is>
      </c>
      <c r="G110" s="248" t="inlineStr">
        <is>
          <t>0.075</t>
        </is>
      </c>
      <c r="H110" s="243" t="inlineStr">
        <is>
          <t>Перепад давлений между входной и выходной камерами Ф1</t>
        </is>
      </c>
      <c r="I110" s="243" t="inlineStr">
        <is>
          <t>ГПА 61</t>
        </is>
      </c>
      <c r="J110" s="243" t="inlineStr">
        <is>
          <t>АСУ,А и ТМ (КЦ № 6)</t>
        </is>
      </c>
      <c r="K110" s="243" t="inlineStr">
        <is>
          <t>2012</t>
        </is>
      </c>
      <c r="L110" s="248" t="inlineStr">
        <is>
          <t>36</t>
        </is>
      </c>
      <c r="M110" s="246" t="inlineStr"/>
      <c r="N110" s="245" t="inlineStr"/>
    </row>
    <row r="111" ht="22.5" customHeight="1" s="236">
      <c r="A111" s="243" t="n">
        <v>110</v>
      </c>
      <c r="B111" s="255" t="inlineStr">
        <is>
          <t>Преобразователь избыточного давления</t>
        </is>
      </c>
      <c r="C111" s="248" t="inlineStr">
        <is>
          <t>Honeywell STD-924</t>
        </is>
      </c>
      <c r="D111" s="248" t="inlineStr">
        <is>
          <t>11W18 C3313690001048</t>
        </is>
      </c>
      <c r="E111" s="243" t="inlineStr">
        <is>
          <t>2011</t>
        </is>
      </c>
      <c r="F111" s="254" t="inlineStr">
        <is>
          <t>0…100 кПа</t>
        </is>
      </c>
      <c r="G111" s="248" t="inlineStr">
        <is>
          <t>0.075</t>
        </is>
      </c>
      <c r="H111" s="243" t="inlineStr">
        <is>
          <t>Перепад давлений между входной и выходной камерами Ф2</t>
        </is>
      </c>
      <c r="I111" s="243" t="inlineStr">
        <is>
          <t>ГПА 61</t>
        </is>
      </c>
      <c r="J111" s="243" t="inlineStr">
        <is>
          <t>АСУ,А и ТМ (КЦ № 6)</t>
        </is>
      </c>
      <c r="K111" s="243" t="inlineStr">
        <is>
          <t>2012</t>
        </is>
      </c>
      <c r="L111" s="248" t="inlineStr">
        <is>
          <t>36</t>
        </is>
      </c>
      <c r="M111" s="246" t="inlineStr"/>
      <c r="N111" s="245" t="inlineStr"/>
    </row>
    <row r="112" ht="22.5" customHeight="1" s="236">
      <c r="A112" s="243" t="n">
        <v>111</v>
      </c>
      <c r="B112" s="255" t="inlineStr">
        <is>
          <t>Преобразователь избыточного давления</t>
        </is>
      </c>
      <c r="C112" s="248" t="inlineStr">
        <is>
          <t>Honeywell STD-120</t>
        </is>
      </c>
      <c r="D112" s="248" t="inlineStr">
        <is>
          <t>10W45 C3273987001085</t>
        </is>
      </c>
      <c r="E112" s="243" t="inlineStr">
        <is>
          <t>2010</t>
        </is>
      </c>
      <c r="F112" s="254" t="inlineStr">
        <is>
          <t>-1000…2500 Па</t>
        </is>
      </c>
      <c r="G112" s="248" t="inlineStr">
        <is>
          <t>0.075</t>
        </is>
      </c>
      <c r="H112" s="243" t="inlineStr">
        <is>
          <t>Давление инжектируемого потока перед сепаратором С1</t>
        </is>
      </c>
      <c r="I112" s="243" t="inlineStr">
        <is>
          <t>ГПА 61</t>
        </is>
      </c>
      <c r="J112" s="243" t="inlineStr">
        <is>
          <t>АСУ,А и ТМ (КЦ № 6)</t>
        </is>
      </c>
      <c r="K112" s="243" t="inlineStr">
        <is>
          <t>2012</t>
        </is>
      </c>
      <c r="L112" s="248" t="inlineStr">
        <is>
          <t>36</t>
        </is>
      </c>
      <c r="M112" s="246" t="inlineStr"/>
      <c r="N112" s="245" t="inlineStr"/>
    </row>
    <row r="113" ht="22.5" customHeight="1" s="236">
      <c r="A113" s="243" t="n">
        <v>112</v>
      </c>
      <c r="B113" s="255" t="inlineStr">
        <is>
          <t>Преобразователь избыточного давления</t>
        </is>
      </c>
      <c r="C113" s="248" t="inlineStr">
        <is>
          <t>Honeywell STD-120</t>
        </is>
      </c>
      <c r="D113" s="248" t="inlineStr">
        <is>
          <t>10W45 C3273987001071</t>
        </is>
      </c>
      <c r="E113" s="243" t="inlineStr">
        <is>
          <t>2010</t>
        </is>
      </c>
      <c r="F113" s="254" t="inlineStr">
        <is>
          <t>0…400 Па</t>
        </is>
      </c>
      <c r="G113" s="248" t="inlineStr">
        <is>
          <t>0.075</t>
        </is>
      </c>
      <c r="H113" s="243" t="inlineStr">
        <is>
          <t>Избыточное давление воздуха под кожухом двигателя</t>
        </is>
      </c>
      <c r="I113" s="243" t="inlineStr">
        <is>
          <t>ГПА 61</t>
        </is>
      </c>
      <c r="J113" s="243" t="inlineStr">
        <is>
          <t>АСУ,А и ТМ (КЦ № 6)</t>
        </is>
      </c>
      <c r="K113" s="243" t="inlineStr">
        <is>
          <t>2012</t>
        </is>
      </c>
      <c r="L113" s="248" t="inlineStr">
        <is>
          <t>36</t>
        </is>
      </c>
      <c r="M113" s="246" t="inlineStr"/>
      <c r="N113" s="245" t="inlineStr"/>
    </row>
    <row r="114" ht="22.5" customHeight="1" s="236">
      <c r="A114" s="243" t="n">
        <v>113</v>
      </c>
      <c r="B114" s="255" t="inlineStr">
        <is>
          <t>Преобразователь избыточного давления</t>
        </is>
      </c>
      <c r="C114" s="248" t="inlineStr">
        <is>
          <t>Honeywell STD-120</t>
        </is>
      </c>
      <c r="D114" s="248" t="inlineStr">
        <is>
          <t>10W45 C3273987001054</t>
        </is>
      </c>
      <c r="E114" s="243" t="inlineStr">
        <is>
          <t>2010</t>
        </is>
      </c>
      <c r="F114" s="254" t="inlineStr">
        <is>
          <t>0…10 кПа</t>
        </is>
      </c>
      <c r="G114" s="248" t="inlineStr">
        <is>
          <t>0.075</t>
        </is>
      </c>
      <c r="H114" s="243" t="inlineStr">
        <is>
          <t>Давление защитного воздуха на входе опорного подшипника</t>
        </is>
      </c>
      <c r="I114" s="243" t="inlineStr">
        <is>
          <t>ГПА 61</t>
        </is>
      </c>
      <c r="J114" s="243" t="inlineStr">
        <is>
          <t>АСУ,А и ТМ (КЦ № 6)</t>
        </is>
      </c>
      <c r="K114" s="243" t="inlineStr">
        <is>
          <t>2012</t>
        </is>
      </c>
      <c r="L114" s="248" t="inlineStr">
        <is>
          <t>36</t>
        </is>
      </c>
      <c r="M114" s="246" t="inlineStr"/>
      <c r="N114" s="245" t="inlineStr"/>
    </row>
    <row r="115" ht="22.5" customHeight="1" s="236">
      <c r="A115" s="243" t="n">
        <v>114</v>
      </c>
      <c r="B115" s="255" t="inlineStr">
        <is>
          <t>Преобразователь избыточного давления</t>
        </is>
      </c>
      <c r="C115" s="248" t="inlineStr">
        <is>
          <t>Honeywell STD-120</t>
        </is>
      </c>
      <c r="D115" s="248" t="inlineStr">
        <is>
          <t>11W03 C3287149001020</t>
        </is>
      </c>
      <c r="E115" s="243" t="inlineStr">
        <is>
          <t>2011</t>
        </is>
      </c>
      <c r="F115" s="254" t="inlineStr">
        <is>
          <t>0…4 кПа</t>
        </is>
      </c>
      <c r="G115" s="248" t="inlineStr">
        <is>
          <t>0.075</t>
        </is>
      </c>
      <c r="H115" s="243" t="inlineStr">
        <is>
          <t>Давление защитного воздуха на входе опорно-упорного подшипника</t>
        </is>
      </c>
      <c r="I115" s="243" t="inlineStr">
        <is>
          <t>ГПА 61</t>
        </is>
      </c>
      <c r="J115" s="243" t="inlineStr">
        <is>
          <t>АСУ,А и ТМ (КЦ № 6)</t>
        </is>
      </c>
      <c r="K115" s="243" t="inlineStr">
        <is>
          <t>2012</t>
        </is>
      </c>
      <c r="L115" s="248" t="inlineStr">
        <is>
          <t>36</t>
        </is>
      </c>
      <c r="M115" s="246" t="inlineStr"/>
      <c r="N115" s="245" t="inlineStr"/>
    </row>
    <row r="116" ht="33.75" customHeight="1" s="236">
      <c r="A116" s="243" t="n">
        <v>115</v>
      </c>
      <c r="B116" s="255" t="inlineStr">
        <is>
          <t>Преобразователь избыточного давления</t>
        </is>
      </c>
      <c r="C116" s="248" t="inlineStr">
        <is>
          <t>Honeywell STD-120</t>
        </is>
      </c>
      <c r="D116" s="248" t="inlineStr">
        <is>
          <t>10W45 C3273987001121</t>
        </is>
      </c>
      <c r="E116" s="243" t="inlineStr">
        <is>
          <t>2010</t>
        </is>
      </c>
      <c r="F116" s="254" t="inlineStr">
        <is>
          <t>0…10 кПа</t>
        </is>
      </c>
      <c r="G116" s="248" t="inlineStr">
        <is>
          <t>0.075</t>
        </is>
      </c>
      <c r="H116" s="243" t="inlineStr">
        <is>
          <t>Давление защитного воздуха на выходе оболочки опорного подшипника</t>
        </is>
      </c>
      <c r="I116" s="243" t="inlineStr">
        <is>
          <t>ГПА 61</t>
        </is>
      </c>
      <c r="J116" s="243" t="inlineStr">
        <is>
          <t>АСУ,А и ТМ (КЦ № 6)</t>
        </is>
      </c>
      <c r="K116" s="243" t="inlineStr">
        <is>
          <t>2012</t>
        </is>
      </c>
      <c r="L116" s="248" t="inlineStr">
        <is>
          <t>36</t>
        </is>
      </c>
      <c r="M116" s="246" t="inlineStr"/>
      <c r="N116" s="245" t="inlineStr"/>
    </row>
    <row r="117" ht="33.75" customHeight="1" s="236">
      <c r="A117" s="243" t="n">
        <v>116</v>
      </c>
      <c r="B117" s="255" t="inlineStr">
        <is>
          <t>Преобразователь избыточного давления</t>
        </is>
      </c>
      <c r="C117" s="248" t="inlineStr">
        <is>
          <t>Honeywell STD-120</t>
        </is>
      </c>
      <c r="D117" s="248" t="inlineStr">
        <is>
          <t>10W45 C3273987001130</t>
        </is>
      </c>
      <c r="E117" s="243" t="inlineStr">
        <is>
          <t>2010</t>
        </is>
      </c>
      <c r="F117" s="254" t="inlineStr">
        <is>
          <t>0…4 кПа</t>
        </is>
      </c>
      <c r="G117" s="248" t="inlineStr">
        <is>
          <t>0.075</t>
        </is>
      </c>
      <c r="H117" s="243" t="inlineStr">
        <is>
          <t>Давление защитного воздуха на выходе оболочки опорно-упорного подшипника</t>
        </is>
      </c>
      <c r="I117" s="243" t="inlineStr">
        <is>
          <t>ГПА 61</t>
        </is>
      </c>
      <c r="J117" s="243" t="inlineStr">
        <is>
          <t>АСУ,А и ТМ (КЦ № 6)</t>
        </is>
      </c>
      <c r="K117" s="243" t="inlineStr">
        <is>
          <t>2012</t>
        </is>
      </c>
      <c r="L117" s="248" t="inlineStr">
        <is>
          <t>36</t>
        </is>
      </c>
      <c r="M117" s="246" t="inlineStr"/>
      <c r="N117" s="245" t="inlineStr"/>
    </row>
    <row r="118" ht="22.5" customHeight="1" s="236">
      <c r="A118" s="243" t="n">
        <v>117</v>
      </c>
      <c r="B118" s="255" t="inlineStr">
        <is>
          <t>Преобразователь избыточного давления</t>
        </is>
      </c>
      <c r="C118" s="248" t="inlineStr">
        <is>
          <t>Honeywell STD-120</t>
        </is>
      </c>
      <c r="D118" s="248" t="inlineStr">
        <is>
          <t>10W45 C3273987001037</t>
        </is>
      </c>
      <c r="E118" s="243" t="inlineStr">
        <is>
          <t>2010</t>
        </is>
      </c>
      <c r="F118" s="254" t="inlineStr">
        <is>
          <t>0…1 кПа</t>
        </is>
      </c>
      <c r="G118" s="248" t="inlineStr">
        <is>
          <t>0.075</t>
        </is>
      </c>
      <c r="H118" s="243" t="inlineStr">
        <is>
          <t>Давление воздуха на входе Д (разрежение во всас. камере)</t>
        </is>
      </c>
      <c r="I118" s="243" t="inlineStr">
        <is>
          <t>ГПА 61</t>
        </is>
      </c>
      <c r="J118" s="243" t="inlineStr">
        <is>
          <t>АСУ,А и ТМ (КЦ № 6)</t>
        </is>
      </c>
      <c r="K118" s="243" t="inlineStr">
        <is>
          <t>2012</t>
        </is>
      </c>
      <c r="L118" s="248" t="inlineStr">
        <is>
          <t>36</t>
        </is>
      </c>
      <c r="M118" s="246" t="inlineStr"/>
      <c r="N118" s="245" t="inlineStr"/>
    </row>
    <row r="119" ht="22.5" customHeight="1" s="236">
      <c r="A119" s="243" t="n">
        <v>118</v>
      </c>
      <c r="B119" s="246" t="inlineStr">
        <is>
          <t>Расходомер</t>
        </is>
      </c>
      <c r="C119" s="248" t="inlineStr">
        <is>
          <t>KROHNE OPTISWIRL 4070/C</t>
        </is>
      </c>
      <c r="D119" s="248" t="inlineStr">
        <is>
          <t>D110000000199396</t>
        </is>
      </c>
      <c r="E119" s="243" t="inlineStr">
        <is>
          <t>2011</t>
        </is>
      </c>
      <c r="F119" s="254" t="inlineStr">
        <is>
          <t>1,5…15 Нм3/мин</t>
        </is>
      </c>
      <c r="G119" s="248" t="inlineStr">
        <is>
          <t>1</t>
        </is>
      </c>
      <c r="H119" s="243" t="inlineStr">
        <is>
          <t>Расход воздуха на выходе из оболочки опорно-упорного подшипника</t>
        </is>
      </c>
      <c r="I119" s="243" t="inlineStr">
        <is>
          <t>ГПА 61</t>
        </is>
      </c>
      <c r="J119" s="243" t="inlineStr">
        <is>
          <t>АСУ,А и ТМ (КЦ № 6)</t>
        </is>
      </c>
      <c r="K119" s="243" t="inlineStr">
        <is>
          <t>2012</t>
        </is>
      </c>
      <c r="L119" s="248" t="inlineStr">
        <is>
          <t>36</t>
        </is>
      </c>
      <c r="M119" s="246" t="inlineStr"/>
      <c r="N119" s="245" t="inlineStr"/>
      <c r="O119" s="235" t="inlineStr">
        <is>
          <t>не соответствуют единицы расхода в АРМ</t>
        </is>
      </c>
    </row>
    <row r="120" ht="22.5" customHeight="1" s="236">
      <c r="A120" s="243" t="n">
        <v>119</v>
      </c>
      <c r="B120" s="246" t="inlineStr">
        <is>
          <t>Расходомер</t>
        </is>
      </c>
      <c r="C120" s="248" t="inlineStr">
        <is>
          <t>KROHNE OPTISWIRL 4070/C</t>
        </is>
      </c>
      <c r="D120" s="248" t="inlineStr">
        <is>
          <t>D110000000199390</t>
        </is>
      </c>
      <c r="E120" s="243" t="inlineStr">
        <is>
          <t>2011</t>
        </is>
      </c>
      <c r="F120" s="254" t="inlineStr">
        <is>
          <t>1,5…15 Нм3/мин</t>
        </is>
      </c>
      <c r="G120" s="248" t="inlineStr">
        <is>
          <t>1</t>
        </is>
      </c>
      <c r="H120" s="243" t="inlineStr">
        <is>
          <t>Расход воздуха на выходе из оболочки опорного подшипника</t>
        </is>
      </c>
      <c r="I120" s="243" t="inlineStr">
        <is>
          <t>ГПА 61</t>
        </is>
      </c>
      <c r="J120" s="243" t="inlineStr">
        <is>
          <t>АСУ,А и ТМ (КЦ № 6)</t>
        </is>
      </c>
      <c r="K120" s="243" t="inlineStr">
        <is>
          <t>2012</t>
        </is>
      </c>
      <c r="L120" s="248" t="inlineStr">
        <is>
          <t>36</t>
        </is>
      </c>
      <c r="M120" s="246" t="inlineStr"/>
      <c r="N120" s="245" t="inlineStr"/>
      <c r="O120" s="235" t="inlineStr">
        <is>
          <t>не соответствуют единицы расхода в АРМ</t>
        </is>
      </c>
    </row>
    <row r="121" ht="22.5" customHeight="1" s="236">
      <c r="A121" s="243" t="n">
        <v>120</v>
      </c>
      <c r="B121" s="246" t="inlineStr">
        <is>
          <t>Расходомер</t>
        </is>
      </c>
      <c r="C121" s="248" t="inlineStr">
        <is>
          <t>KROHNE/H250</t>
        </is>
      </c>
      <c r="D121" s="248" t="inlineStr">
        <is>
          <t>D110000000182275</t>
        </is>
      </c>
      <c r="E121" s="243" t="inlineStr">
        <is>
          <t>2011</t>
        </is>
      </c>
      <c r="F121" s="254" t="inlineStr">
        <is>
          <t>6…60 Нм3/час</t>
        </is>
      </c>
      <c r="G121" s="248" t="inlineStr">
        <is>
          <t>1,6</t>
        </is>
      </c>
      <c r="H121" s="243" t="inlineStr">
        <is>
          <t>Расход газа на выходе первой ступени ЗКВ</t>
        </is>
      </c>
      <c r="I121" s="243" t="inlineStr">
        <is>
          <t>ГПА 61</t>
        </is>
      </c>
      <c r="J121" s="243" t="inlineStr">
        <is>
          <t>АСУ,А и ТМ (КЦ № 6)</t>
        </is>
      </c>
      <c r="K121" s="243" t="inlineStr">
        <is>
          <t>2012</t>
        </is>
      </c>
      <c r="L121" s="248" t="inlineStr">
        <is>
          <t>36</t>
        </is>
      </c>
      <c r="M121" s="246" t="inlineStr"/>
      <c r="N121" s="245" t="inlineStr"/>
    </row>
    <row r="122" ht="22.5" customHeight="1" s="236">
      <c r="A122" s="243" t="n">
        <v>121</v>
      </c>
      <c r="B122" s="246" t="inlineStr">
        <is>
          <t>Расходомер</t>
        </is>
      </c>
      <c r="C122" s="248" t="inlineStr">
        <is>
          <t>KROHNE/H250</t>
        </is>
      </c>
      <c r="D122" s="248" t="inlineStr">
        <is>
          <t>D110000000182271</t>
        </is>
      </c>
      <c r="E122" s="243" t="inlineStr">
        <is>
          <t>2011</t>
        </is>
      </c>
      <c r="F122" s="254" t="inlineStr">
        <is>
          <t>6…60 Нм3/час</t>
        </is>
      </c>
      <c r="G122" s="248" t="inlineStr">
        <is>
          <t>1.6</t>
        </is>
      </c>
      <c r="H122" s="243" t="inlineStr">
        <is>
          <t>Расход газа на выходе первой ступени ПКВ</t>
        </is>
      </c>
      <c r="I122" s="243" t="inlineStr">
        <is>
          <t>ГПА 61</t>
        </is>
      </c>
      <c r="J122" s="243" t="inlineStr">
        <is>
          <t>АСУ,А и ТМ (КЦ № 6)</t>
        </is>
      </c>
      <c r="K122" s="243" t="inlineStr">
        <is>
          <t>2012</t>
        </is>
      </c>
      <c r="L122" s="248" t="inlineStr">
        <is>
          <t>36</t>
        </is>
      </c>
      <c r="M122" s="246" t="inlineStr"/>
      <c r="N122" s="245" t="inlineStr"/>
    </row>
    <row r="123" ht="22.5" customHeight="1" s="236">
      <c r="A123" s="243" t="n">
        <v>122</v>
      </c>
      <c r="B123" s="246" t="inlineStr">
        <is>
          <t>Уровнемер</t>
        </is>
      </c>
      <c r="C123" s="248" t="inlineStr">
        <is>
          <t>KROHNE BM-26A</t>
        </is>
      </c>
      <c r="D123" s="248" t="inlineStr">
        <is>
          <t>447006647/10.07</t>
        </is>
      </c>
      <c r="E123" s="243" t="inlineStr">
        <is>
          <t>2011</t>
        </is>
      </c>
      <c r="F123" s="254" t="inlineStr">
        <is>
          <t>0…100 %</t>
        </is>
      </c>
      <c r="G123" s="248" t="inlineStr">
        <is>
          <t>±10 мм</t>
        </is>
      </c>
      <c r="H123" s="243" t="inlineStr">
        <is>
          <t>Уровень жидкости во входной камере Ф1/1</t>
        </is>
      </c>
      <c r="I123" s="243" t="inlineStr">
        <is>
          <t>ГПА 61</t>
        </is>
      </c>
      <c r="J123" s="243" t="inlineStr">
        <is>
          <t>АСУ,А и ТМ (КЦ № 6)</t>
        </is>
      </c>
      <c r="K123" s="243" t="inlineStr">
        <is>
          <t>2012</t>
        </is>
      </c>
      <c r="L123" s="248" t="inlineStr">
        <is>
          <t>48</t>
        </is>
      </c>
      <c r="M123" s="246" t="inlineStr"/>
      <c r="N123" s="245" t="inlineStr"/>
    </row>
    <row r="124" ht="15" customHeight="1" s="236">
      <c r="A124" s="243" t="n">
        <v>123</v>
      </c>
      <c r="B124" s="246" t="inlineStr">
        <is>
          <t>Уровнемер</t>
        </is>
      </c>
      <c r="C124" s="248" t="inlineStr">
        <is>
          <t>KROHNE MS15</t>
        </is>
      </c>
      <c r="D124" s="248" t="inlineStr">
        <is>
          <t>447006647.10.25</t>
        </is>
      </c>
      <c r="E124" s="243" t="inlineStr">
        <is>
          <t>2011</t>
        </is>
      </c>
      <c r="F124" s="254" t="inlineStr"/>
      <c r="G124" s="248" t="inlineStr"/>
      <c r="H124" s="243" t="inlineStr">
        <is>
          <t>Нижний уровень SQ2 (Ф1/1)</t>
        </is>
      </c>
      <c r="I124" s="243" t="inlineStr">
        <is>
          <t>ГПА 61</t>
        </is>
      </c>
      <c r="J124" s="243" t="inlineStr">
        <is>
          <t>АСУ,А и ТМ (КЦ № 6)</t>
        </is>
      </c>
      <c r="K124" s="243" t="inlineStr">
        <is>
          <t>2012</t>
        </is>
      </c>
      <c r="L124" s="248" t="inlineStr"/>
      <c r="M124" s="246" t="inlineStr"/>
      <c r="N124" s="245" t="inlineStr"/>
    </row>
    <row r="125" ht="15" customHeight="1" s="236">
      <c r="A125" s="243" t="n">
        <v>124</v>
      </c>
      <c r="B125" s="246" t="inlineStr">
        <is>
          <t>Уровнемер</t>
        </is>
      </c>
      <c r="C125" s="248" t="inlineStr">
        <is>
          <t>KROHNE MS15</t>
        </is>
      </c>
      <c r="D125" s="248" t="inlineStr">
        <is>
          <t>447006647.10.29</t>
        </is>
      </c>
      <c r="E125" s="243" t="inlineStr">
        <is>
          <t>2011</t>
        </is>
      </c>
      <c r="F125" s="254" t="inlineStr"/>
      <c r="G125" s="248" t="inlineStr"/>
      <c r="H125" s="243" t="inlineStr">
        <is>
          <t>Верхний уровень SQ1 (Ф1/1)</t>
        </is>
      </c>
      <c r="I125" s="243" t="inlineStr">
        <is>
          <t>ГПА 61</t>
        </is>
      </c>
      <c r="J125" s="243" t="inlineStr">
        <is>
          <t>АСУ,А и ТМ (КЦ № 6)</t>
        </is>
      </c>
      <c r="K125" s="243" t="inlineStr">
        <is>
          <t>2012</t>
        </is>
      </c>
      <c r="L125" s="248" t="inlineStr"/>
      <c r="M125" s="246" t="inlineStr"/>
      <c r="N125" s="245" t="inlineStr"/>
    </row>
    <row r="126" ht="15" customHeight="1" s="236">
      <c r="A126" s="243" t="n">
        <v>125</v>
      </c>
      <c r="B126" s="246" t="inlineStr">
        <is>
          <t>Уровнемер</t>
        </is>
      </c>
      <c r="C126" s="248" t="inlineStr">
        <is>
          <t>KROHNE ER/EXD/AL/D</t>
        </is>
      </c>
      <c r="D126" s="248" t="inlineStr">
        <is>
          <t>447006647.10.07</t>
        </is>
      </c>
      <c r="E126" s="243" t="inlineStr">
        <is>
          <t>2011</t>
        </is>
      </c>
      <c r="F126" s="254" t="inlineStr"/>
      <c r="G126" s="248" t="inlineStr"/>
      <c r="H126" s="243" t="inlineStr">
        <is>
          <t>Уровень конденсата BL710 (Ф1/1)</t>
        </is>
      </c>
      <c r="I126" s="243" t="inlineStr">
        <is>
          <t>ГПА 61</t>
        </is>
      </c>
      <c r="J126" s="243" t="inlineStr">
        <is>
          <t>АСУ,А и ТМ (КЦ № 6)</t>
        </is>
      </c>
      <c r="K126" s="243" t="inlineStr">
        <is>
          <t>2012</t>
        </is>
      </c>
      <c r="L126" s="248" t="inlineStr"/>
      <c r="M126" s="246" t="inlineStr"/>
      <c r="N126" s="245" t="inlineStr"/>
    </row>
    <row r="127" ht="22.5" customHeight="1" s="236">
      <c r="A127" s="243" t="n">
        <v>126</v>
      </c>
      <c r="B127" s="246" t="inlineStr">
        <is>
          <t>Уровнемер</t>
        </is>
      </c>
      <c r="C127" s="248" t="inlineStr">
        <is>
          <t>KROHNE BM-26A</t>
        </is>
      </c>
      <c r="D127" s="248" t="inlineStr">
        <is>
          <t>447006647/10.05</t>
        </is>
      </c>
      <c r="E127" s="243" t="inlineStr">
        <is>
          <t>2011</t>
        </is>
      </c>
      <c r="F127" s="254" t="inlineStr">
        <is>
          <t>0…100 %</t>
        </is>
      </c>
      <c r="G127" s="248" t="inlineStr">
        <is>
          <t>±10 мм</t>
        </is>
      </c>
      <c r="H127" s="243" t="inlineStr">
        <is>
          <t>Уровень жидкости в выходной камере Ф1/2</t>
        </is>
      </c>
      <c r="I127" s="243" t="inlineStr">
        <is>
          <t>ГПА 61</t>
        </is>
      </c>
      <c r="J127" s="243" t="inlineStr">
        <is>
          <t>АСУ,А и ТМ (КЦ № 6)</t>
        </is>
      </c>
      <c r="K127" s="243" t="inlineStr">
        <is>
          <t>2012</t>
        </is>
      </c>
      <c r="L127" s="248" t="inlineStr">
        <is>
          <t>48</t>
        </is>
      </c>
      <c r="M127" s="246" t="inlineStr"/>
      <c r="N127" s="245" t="inlineStr"/>
    </row>
    <row r="128" ht="15" customHeight="1" s="236">
      <c r="A128" s="243" t="n">
        <v>127</v>
      </c>
      <c r="B128" s="246" t="inlineStr">
        <is>
          <t>Уровнемер</t>
        </is>
      </c>
      <c r="C128" s="248" t="inlineStr">
        <is>
          <t>KROHNE MS15</t>
        </is>
      </c>
      <c r="D128" s="248" t="inlineStr">
        <is>
          <t>447006647.10.28</t>
        </is>
      </c>
      <c r="E128" s="243" t="inlineStr">
        <is>
          <t>2011</t>
        </is>
      </c>
      <c r="F128" s="254" t="inlineStr"/>
      <c r="G128" s="248" t="inlineStr"/>
      <c r="H128" s="243" t="inlineStr">
        <is>
          <t>Нижний уровень SQ2 (Ф1/2)</t>
        </is>
      </c>
      <c r="I128" s="243" t="inlineStr">
        <is>
          <t>ГПА 61</t>
        </is>
      </c>
      <c r="J128" s="243" t="inlineStr">
        <is>
          <t>АСУ,А и ТМ (КЦ № 6)</t>
        </is>
      </c>
      <c r="K128" s="243" t="inlineStr">
        <is>
          <t>2012</t>
        </is>
      </c>
      <c r="L128" s="248" t="inlineStr"/>
      <c r="M128" s="246" t="inlineStr"/>
      <c r="N128" s="245" t="inlineStr"/>
    </row>
    <row r="129" ht="15" customHeight="1" s="236">
      <c r="A129" s="243" t="n">
        <v>128</v>
      </c>
      <c r="B129" s="246" t="inlineStr">
        <is>
          <t>Уровнемер</t>
        </is>
      </c>
      <c r="C129" s="248" t="inlineStr">
        <is>
          <t>KROHNE MS15</t>
        </is>
      </c>
      <c r="D129" s="248" t="inlineStr">
        <is>
          <t>447006647.10.31</t>
        </is>
      </c>
      <c r="E129" s="243" t="inlineStr">
        <is>
          <t>2011</t>
        </is>
      </c>
      <c r="F129" s="254" t="inlineStr"/>
      <c r="G129" s="248" t="inlineStr"/>
      <c r="H129" s="243" t="inlineStr">
        <is>
          <t>Верхний уровень SQ1 (Ф1/2)</t>
        </is>
      </c>
      <c r="I129" s="243" t="inlineStr">
        <is>
          <t>ГПА 61</t>
        </is>
      </c>
      <c r="J129" s="243" t="inlineStr">
        <is>
          <t>АСУ,А и ТМ (КЦ № 6)</t>
        </is>
      </c>
      <c r="K129" s="243" t="inlineStr">
        <is>
          <t>2012</t>
        </is>
      </c>
      <c r="L129" s="248" t="inlineStr"/>
      <c r="M129" s="246" t="inlineStr"/>
      <c r="N129" s="245" t="inlineStr"/>
    </row>
    <row r="130" ht="15" customHeight="1" s="236">
      <c r="A130" s="243" t="n">
        <v>129</v>
      </c>
      <c r="B130" s="246" t="inlineStr">
        <is>
          <t>Уровнемер</t>
        </is>
      </c>
      <c r="C130" s="248" t="inlineStr">
        <is>
          <t>KROHNE ER/EXD/AL/D</t>
        </is>
      </c>
      <c r="D130" s="248" t="inlineStr">
        <is>
          <t>447006647.10.05</t>
        </is>
      </c>
      <c r="E130" s="243" t="inlineStr">
        <is>
          <t>2011</t>
        </is>
      </c>
      <c r="F130" s="254" t="inlineStr"/>
      <c r="G130" s="248" t="inlineStr"/>
      <c r="H130" s="243" t="inlineStr">
        <is>
          <t>Уровень конденсата BL711 (Ф1/2)</t>
        </is>
      </c>
      <c r="I130" s="243" t="inlineStr">
        <is>
          <t>ГПА 61</t>
        </is>
      </c>
      <c r="J130" s="243" t="inlineStr">
        <is>
          <t>АСУ,А и ТМ (КЦ № 6)</t>
        </is>
      </c>
      <c r="K130" s="243" t="inlineStr">
        <is>
          <t>2012</t>
        </is>
      </c>
      <c r="L130" s="248" t="inlineStr"/>
      <c r="M130" s="246" t="inlineStr"/>
      <c r="N130" s="245" t="inlineStr"/>
    </row>
    <row r="131" ht="22.5" customHeight="1" s="236">
      <c r="A131" s="243" t="n">
        <v>130</v>
      </c>
      <c r="B131" s="246" t="inlineStr">
        <is>
          <t>Уровнемер</t>
        </is>
      </c>
      <c r="C131" s="248" t="inlineStr">
        <is>
          <t>KROHNE BM-26A</t>
        </is>
      </c>
      <c r="D131" s="248" t="inlineStr">
        <is>
          <t>447006647/10.03</t>
        </is>
      </c>
      <c r="E131" s="243" t="inlineStr">
        <is>
          <t>2011</t>
        </is>
      </c>
      <c r="F131" s="254" t="inlineStr">
        <is>
          <t>0…100 %</t>
        </is>
      </c>
      <c r="G131" s="248" t="inlineStr">
        <is>
          <t>±10 мм</t>
        </is>
      </c>
      <c r="H131" s="243" t="inlineStr">
        <is>
          <t>Уровень жидкости во входной камере Ф2/1</t>
        </is>
      </c>
      <c r="I131" s="243" t="inlineStr">
        <is>
          <t>ГПА 61</t>
        </is>
      </c>
      <c r="J131" s="243" t="inlineStr">
        <is>
          <t>АСУ,А и ТМ (КЦ № 6)</t>
        </is>
      </c>
      <c r="K131" s="243" t="inlineStr">
        <is>
          <t>2012</t>
        </is>
      </c>
      <c r="L131" s="248" t="inlineStr">
        <is>
          <t>48</t>
        </is>
      </c>
      <c r="M131" s="246" t="inlineStr"/>
      <c r="N131" s="245" t="inlineStr"/>
    </row>
    <row r="132" ht="15" customHeight="1" s="236">
      <c r="A132" s="243" t="n">
        <v>131</v>
      </c>
      <c r="B132" s="246" t="inlineStr">
        <is>
          <t>Уровнемер</t>
        </is>
      </c>
      <c r="C132" s="248" t="inlineStr">
        <is>
          <t>KROHNE MS15</t>
        </is>
      </c>
      <c r="D132" s="248" t="inlineStr">
        <is>
          <t>447006647.10.32</t>
        </is>
      </c>
      <c r="E132" s="243" t="inlineStr">
        <is>
          <t>2011</t>
        </is>
      </c>
      <c r="F132" s="254" t="inlineStr"/>
      <c r="G132" s="248" t="inlineStr"/>
      <c r="H132" s="243" t="inlineStr">
        <is>
          <t>Нижний уровень SQ2 (Ф2/1)</t>
        </is>
      </c>
      <c r="I132" s="243" t="inlineStr">
        <is>
          <t>ГПА 61</t>
        </is>
      </c>
      <c r="J132" s="243" t="inlineStr">
        <is>
          <t>АСУ,А и ТМ (КЦ № 6)</t>
        </is>
      </c>
      <c r="K132" s="243" t="inlineStr">
        <is>
          <t>2012</t>
        </is>
      </c>
      <c r="L132" s="248" t="inlineStr"/>
      <c r="M132" s="246" t="inlineStr"/>
      <c r="N132" s="245" t="inlineStr"/>
    </row>
    <row r="133" ht="15" customHeight="1" s="236">
      <c r="A133" s="243" t="n">
        <v>132</v>
      </c>
      <c r="B133" s="246" t="inlineStr">
        <is>
          <t>Уровнемер</t>
        </is>
      </c>
      <c r="C133" s="248" t="inlineStr">
        <is>
          <t>KROHNE MS15</t>
        </is>
      </c>
      <c r="D133" s="248" t="inlineStr">
        <is>
          <t>447006647.10.26</t>
        </is>
      </c>
      <c r="E133" s="243" t="inlineStr">
        <is>
          <t>2011</t>
        </is>
      </c>
      <c r="F133" s="254" t="inlineStr"/>
      <c r="G133" s="248" t="inlineStr"/>
      <c r="H133" s="243" t="inlineStr">
        <is>
          <t>Верхний уровень SQ1 (Ф2/1)</t>
        </is>
      </c>
      <c r="I133" s="243" t="inlineStr">
        <is>
          <t>ГПА 61</t>
        </is>
      </c>
      <c r="J133" s="243" t="inlineStr">
        <is>
          <t>АСУ,А и ТМ (КЦ № 6)</t>
        </is>
      </c>
      <c r="K133" s="243" t="inlineStr">
        <is>
          <t>2012</t>
        </is>
      </c>
      <c r="L133" s="248" t="inlineStr"/>
      <c r="M133" s="246" t="inlineStr"/>
      <c r="N133" s="245" t="inlineStr"/>
    </row>
    <row r="134" ht="15" customHeight="1" s="236">
      <c r="A134" s="243" t="n">
        <v>133</v>
      </c>
      <c r="B134" s="246" t="inlineStr">
        <is>
          <t>Уровнемер</t>
        </is>
      </c>
      <c r="C134" s="248" t="inlineStr">
        <is>
          <t>KROHNE ER/EXD/AL/D</t>
        </is>
      </c>
      <c r="D134" s="248" t="inlineStr">
        <is>
          <t>447006647.10.03</t>
        </is>
      </c>
      <c r="E134" s="243" t="inlineStr">
        <is>
          <t>2011</t>
        </is>
      </c>
      <c r="F134" s="254" t="inlineStr"/>
      <c r="G134" s="248" t="inlineStr"/>
      <c r="H134" s="243" t="inlineStr">
        <is>
          <t>Уровень конденсата BL712 (Ф2/1)</t>
        </is>
      </c>
      <c r="I134" s="243" t="inlineStr">
        <is>
          <t>ГПА 61</t>
        </is>
      </c>
      <c r="J134" s="243" t="inlineStr">
        <is>
          <t>АСУ,А и ТМ (КЦ № 6)</t>
        </is>
      </c>
      <c r="K134" s="243" t="inlineStr">
        <is>
          <t>2012</t>
        </is>
      </c>
      <c r="L134" s="248" t="inlineStr"/>
      <c r="M134" s="246" t="inlineStr"/>
      <c r="N134" s="245" t="inlineStr"/>
    </row>
    <row r="135" ht="22.5" customHeight="1" s="236">
      <c r="A135" s="243" t="n">
        <v>134</v>
      </c>
      <c r="B135" s="246" t="inlineStr">
        <is>
          <t>Уровнемер</t>
        </is>
      </c>
      <c r="C135" s="248" t="inlineStr">
        <is>
          <t>KROHNE BM-26A</t>
        </is>
      </c>
      <c r="D135" s="248" t="inlineStr">
        <is>
          <t>447006647/10.11</t>
        </is>
      </c>
      <c r="E135" s="243" t="inlineStr">
        <is>
          <t>2011</t>
        </is>
      </c>
      <c r="F135" s="254" t="inlineStr">
        <is>
          <t>0…100 %</t>
        </is>
      </c>
      <c r="G135" s="248" t="inlineStr">
        <is>
          <t>±10 мм</t>
        </is>
      </c>
      <c r="H135" s="243" t="inlineStr">
        <is>
          <t>Уровень жидкости в выходной камере Ф2/2</t>
        </is>
      </c>
      <c r="I135" s="243" t="inlineStr">
        <is>
          <t>ГПА 61</t>
        </is>
      </c>
      <c r="J135" s="243" t="inlineStr">
        <is>
          <t>АСУ,А и ТМ (КЦ № 6)</t>
        </is>
      </c>
      <c r="K135" s="243" t="inlineStr">
        <is>
          <t>2012</t>
        </is>
      </c>
      <c r="L135" s="248" t="inlineStr">
        <is>
          <t>48</t>
        </is>
      </c>
      <c r="M135" s="246" t="inlineStr"/>
      <c r="N135" s="245" t="inlineStr"/>
    </row>
    <row r="136" ht="15" customHeight="1" s="236">
      <c r="A136" s="243" t="n">
        <v>135</v>
      </c>
      <c r="B136" s="246" t="inlineStr">
        <is>
          <t>Уровнемер</t>
        </is>
      </c>
      <c r="C136" s="248" t="inlineStr">
        <is>
          <t>KROHNE MS15</t>
        </is>
      </c>
      <c r="D136" s="248" t="inlineStr">
        <is>
          <t>447006647.10.30</t>
        </is>
      </c>
      <c r="E136" s="243" t="inlineStr">
        <is>
          <t>2011</t>
        </is>
      </c>
      <c r="F136" s="254" t="inlineStr"/>
      <c r="G136" s="248" t="inlineStr"/>
      <c r="H136" s="243" t="inlineStr">
        <is>
          <t>Нижний уровень SQ2 (Ф2/2)</t>
        </is>
      </c>
      <c r="I136" s="243" t="inlineStr">
        <is>
          <t>ГПА 61</t>
        </is>
      </c>
      <c r="J136" s="243" t="inlineStr">
        <is>
          <t>АСУ,А и ТМ (КЦ № 6)</t>
        </is>
      </c>
      <c r="K136" s="243" t="inlineStr">
        <is>
          <t>2012</t>
        </is>
      </c>
      <c r="L136" s="248" t="inlineStr"/>
      <c r="M136" s="246" t="inlineStr"/>
      <c r="N136" s="245" t="inlineStr"/>
    </row>
    <row r="137" ht="15" customHeight="1" s="236">
      <c r="A137" s="243" t="n">
        <v>136</v>
      </c>
      <c r="B137" s="246" t="inlineStr">
        <is>
          <t>Уровнемер</t>
        </is>
      </c>
      <c r="C137" s="248" t="inlineStr">
        <is>
          <t>KROHNE MS15</t>
        </is>
      </c>
      <c r="D137" s="248" t="inlineStr">
        <is>
          <t>447006647.10.27</t>
        </is>
      </c>
      <c r="E137" s="243" t="inlineStr">
        <is>
          <t>2011</t>
        </is>
      </c>
      <c r="F137" s="254" t="inlineStr"/>
      <c r="G137" s="248" t="inlineStr"/>
      <c r="H137" s="243" t="inlineStr">
        <is>
          <t>Верхний уровень SQ1 (Ф2/2)</t>
        </is>
      </c>
      <c r="I137" s="243" t="inlineStr">
        <is>
          <t>ГПА 61</t>
        </is>
      </c>
      <c r="J137" s="243" t="inlineStr">
        <is>
          <t>АСУ,А и ТМ (КЦ № 6)</t>
        </is>
      </c>
      <c r="K137" s="243" t="inlineStr">
        <is>
          <t>2012</t>
        </is>
      </c>
      <c r="L137" s="248" t="inlineStr"/>
      <c r="M137" s="246" t="inlineStr"/>
      <c r="N137" s="245" t="inlineStr"/>
    </row>
    <row r="138" ht="15" customHeight="1" s="236">
      <c r="A138" s="243" t="n">
        <v>137</v>
      </c>
      <c r="B138" s="246" t="inlineStr">
        <is>
          <t>Уровнемер</t>
        </is>
      </c>
      <c r="C138" s="248" t="inlineStr">
        <is>
          <t>KROHNE ER/EXD/AL/D</t>
        </is>
      </c>
      <c r="D138" s="248" t="inlineStr">
        <is>
          <t>447006647.10.11</t>
        </is>
      </c>
      <c r="E138" s="243" t="inlineStr">
        <is>
          <t>2011</t>
        </is>
      </c>
      <c r="F138" s="254" t="inlineStr"/>
      <c r="G138" s="248" t="inlineStr"/>
      <c r="H138" s="243" t="inlineStr">
        <is>
          <t>Уровень конденсата BL713 (Ф2/2)</t>
        </is>
      </c>
      <c r="I138" s="243" t="inlineStr">
        <is>
          <t>ГПА 61</t>
        </is>
      </c>
      <c r="J138" s="243" t="inlineStr">
        <is>
          <t>АСУ,А и ТМ (КЦ № 6)</t>
        </is>
      </c>
      <c r="K138" s="243" t="inlineStr">
        <is>
          <t>2012</t>
        </is>
      </c>
      <c r="L138" s="248" t="inlineStr"/>
      <c r="M138" s="246" t="inlineStr"/>
      <c r="N138" s="245" t="inlineStr"/>
    </row>
    <row r="139" ht="22.5" customHeight="1" s="236">
      <c r="A139" s="243" t="n">
        <v>138</v>
      </c>
      <c r="B139" s="246" t="inlineStr">
        <is>
          <t>Уровнемер</t>
        </is>
      </c>
      <c r="C139" s="248" t="inlineStr">
        <is>
          <t>KROHNE optiswitch 5200C</t>
        </is>
      </c>
      <c r="D139" s="248" t="inlineStr">
        <is>
          <t>20408761</t>
        </is>
      </c>
      <c r="E139" s="243" t="inlineStr">
        <is>
          <t>2011</t>
        </is>
      </c>
      <c r="F139" s="254" t="inlineStr">
        <is>
          <t>0…400 мм</t>
        </is>
      </c>
      <c r="G139" s="248" t="inlineStr"/>
      <c r="H139" s="243" t="inlineStr">
        <is>
          <t>Уровень теплоносителя в подогревателе BL1</t>
        </is>
      </c>
      <c r="I139" s="243" t="inlineStr">
        <is>
          <t>ГПА 61</t>
        </is>
      </c>
      <c r="J139" s="243" t="inlineStr">
        <is>
          <t>АСУ,А и ТМ (КЦ № 6)</t>
        </is>
      </c>
      <c r="K139" s="243" t="inlineStr">
        <is>
          <t>2012</t>
        </is>
      </c>
      <c r="L139" s="248" t="inlineStr"/>
      <c r="M139" s="246" t="inlineStr"/>
      <c r="N139" s="245" t="inlineStr"/>
    </row>
    <row r="140" ht="33.75" customHeight="1" s="236">
      <c r="A140" s="239">
        <f>IF(B140&lt;&gt;"", COUNTA($B$2:B140), "")</f>
        <v/>
      </c>
      <c r="B140" s="240" t="inlineStr">
        <is>
          <t xml:space="preserve">Расходомер                 </t>
        </is>
      </c>
      <c r="C140" s="251" t="inlineStr">
        <is>
          <t>Micrp Motion F200S-366-C-C-A-Z-E-ZZZ-Z (170011AFFEZZZ)</t>
        </is>
      </c>
      <c r="D140" s="251" t="inlineStr">
        <is>
          <t>sensor       14232611     (голова       3812871)</t>
        </is>
      </c>
      <c r="E140" s="239" t="n">
        <v>2011</v>
      </c>
      <c r="F140" s="251" t="inlineStr">
        <is>
          <t xml:space="preserve">0…6300 кг/час </t>
        </is>
      </c>
      <c r="G140" s="251" t="inlineStr">
        <is>
          <t>±0,5 (для газа)</t>
        </is>
      </c>
      <c r="H140" s="251" t="inlineStr">
        <is>
          <t>Расход топливного газа (коммерческий учет)</t>
        </is>
      </c>
      <c r="I140" s="239" t="inlineStr">
        <is>
          <t>ГПА 61</t>
        </is>
      </c>
      <c r="J140" s="239" t="inlineStr">
        <is>
          <t>АСУ,А и ТМ (КЦ № 6)</t>
        </is>
      </c>
      <c r="K140" s="239" t="n">
        <v>2012</v>
      </c>
      <c r="L140" s="251" t="n">
        <v>48</v>
      </c>
      <c r="M140" s="240" t="n"/>
      <c r="N140" s="242" t="n"/>
    </row>
    <row r="141" ht="33.75" customHeight="1" s="236">
      <c r="A141" s="239">
        <f>IF(B141&lt;&gt;"", COUNTA($B$2:B141), "")</f>
        <v/>
      </c>
      <c r="B141" s="251" t="inlineStr">
        <is>
          <t>Датчик вибрации</t>
        </is>
      </c>
      <c r="C141" s="242" t="inlineStr">
        <is>
          <t>ВПД 10-1,0/8,0</t>
        </is>
      </c>
      <c r="D141" s="251" t="inlineStr">
        <is>
          <t>Отсутствует доступ к датчику</t>
        </is>
      </c>
      <c r="E141" s="251" t="n">
        <v>2010</v>
      </c>
      <c r="F141" s="251" t="inlineStr">
        <is>
          <t>0…500 мкм (канал)</t>
        </is>
      </c>
      <c r="G141" s="251" t="inlineStr">
        <is>
          <t>нормируется для канала измерения</t>
        </is>
      </c>
      <c r="H141" s="239" t="inlineStr">
        <is>
          <t>Размах виброперемещения со стороны привода (горизонтальная составляющая)</t>
        </is>
      </c>
      <c r="I141" s="239" t="inlineStr">
        <is>
          <t>ГПА 61</t>
        </is>
      </c>
      <c r="J141" s="239" t="inlineStr">
        <is>
          <t>АСУ,А и ТМ (КЦ № 6)</t>
        </is>
      </c>
      <c r="K141" s="239" t="n">
        <v>2012</v>
      </c>
      <c r="L141" s="251" t="n">
        <v>24</v>
      </c>
      <c r="M141" s="240" t="n"/>
      <c r="N141" s="242" t="n"/>
    </row>
    <row r="142" ht="22.5" customHeight="1" s="236">
      <c r="A142" s="239">
        <f>IF(B142&lt;&gt;"", COUNTA($B$2:B142), "")</f>
        <v/>
      </c>
      <c r="B142" s="251" t="inlineStr">
        <is>
          <t>Датчик вибрации</t>
        </is>
      </c>
      <c r="C142" s="242" t="inlineStr">
        <is>
          <t>ВПД 10-1,0/8,0</t>
        </is>
      </c>
      <c r="D142" s="251" t="inlineStr">
        <is>
          <t>Отсутствует доступ к датчику</t>
        </is>
      </c>
      <c r="E142" s="251" t="n">
        <v>2010</v>
      </c>
      <c r="F142" s="251" t="inlineStr">
        <is>
          <t>0…500 мкм (канал)</t>
        </is>
      </c>
      <c r="G142" s="251" t="inlineStr">
        <is>
          <t>нормируется для канала измерения</t>
        </is>
      </c>
      <c r="H142" s="239" t="inlineStr">
        <is>
          <t>Размах виброперемещения со стороны привода (вертикальная составляющая)</t>
        </is>
      </c>
      <c r="I142" s="239" t="inlineStr">
        <is>
          <t>ГПА 61</t>
        </is>
      </c>
      <c r="J142" s="239" t="inlineStr">
        <is>
          <t>АСУ,А и ТМ (КЦ № 6)</t>
        </is>
      </c>
      <c r="K142" s="239" t="n">
        <v>2012</v>
      </c>
      <c r="L142" s="251" t="n">
        <v>24</v>
      </c>
      <c r="M142" s="240" t="n"/>
      <c r="N142" s="242" t="n"/>
    </row>
    <row r="143" ht="33.75" customHeight="1" s="236">
      <c r="A143" s="239">
        <f>IF(B143&lt;&gt;"", COUNTA($B$2:B143), "")</f>
        <v/>
      </c>
      <c r="B143" s="251" t="inlineStr">
        <is>
          <t>Датчик вибрации</t>
        </is>
      </c>
      <c r="C143" s="242" t="inlineStr">
        <is>
          <t>ВПД 10-1,0/8,0</t>
        </is>
      </c>
      <c r="D143" s="251" t="inlineStr">
        <is>
          <t>Отсутствует доступ к датчику</t>
        </is>
      </c>
      <c r="E143" s="251" t="n">
        <v>2010</v>
      </c>
      <c r="F143" s="251" t="inlineStr">
        <is>
          <t>0…500 мкм (канал)</t>
        </is>
      </c>
      <c r="G143" s="251" t="inlineStr">
        <is>
          <t>нормируется для канала измерения</t>
        </is>
      </c>
      <c r="H143" s="239" t="inlineStr">
        <is>
          <t>Размах виброперемещения со стороны свободного конца (горизонтальная составляющая)</t>
        </is>
      </c>
      <c r="I143" s="239" t="inlineStr">
        <is>
          <t>ГПА 61</t>
        </is>
      </c>
      <c r="J143" s="239" t="inlineStr">
        <is>
          <t>АСУ,А и ТМ (КЦ № 6)</t>
        </is>
      </c>
      <c r="K143" s="239" t="n">
        <v>2012</v>
      </c>
      <c r="L143" s="251" t="n">
        <v>24</v>
      </c>
      <c r="M143" s="240" t="n"/>
      <c r="N143" s="242" t="n"/>
    </row>
    <row r="144" ht="33.75" customHeight="1" s="236">
      <c r="A144" s="239">
        <f>IF(B144&lt;&gt;"", COUNTA($B$2:B144), "")</f>
        <v/>
      </c>
      <c r="B144" s="251" t="inlineStr">
        <is>
          <t>Датчик вибрации</t>
        </is>
      </c>
      <c r="C144" s="242" t="inlineStr">
        <is>
          <t>ВПД 10-1,0/8,0</t>
        </is>
      </c>
      <c r="D144" s="251" t="inlineStr">
        <is>
          <t>Отсутствует доступ к датчику</t>
        </is>
      </c>
      <c r="E144" s="251" t="n">
        <v>2010</v>
      </c>
      <c r="F144" s="251" t="inlineStr">
        <is>
          <t>0…500 мкм (канал)</t>
        </is>
      </c>
      <c r="G144" s="251" t="inlineStr">
        <is>
          <t>нормируется для канала измерения</t>
        </is>
      </c>
      <c r="H144" s="239" t="inlineStr">
        <is>
          <t>Размах виброперемещения со стороны свободного конца (вертикальная составляющая)</t>
        </is>
      </c>
      <c r="I144" s="239" t="inlineStr">
        <is>
          <t>ГПА 61</t>
        </is>
      </c>
      <c r="J144" s="239" t="inlineStr">
        <is>
          <t>АСУ,А и ТМ (КЦ № 6)</t>
        </is>
      </c>
      <c r="K144" s="239" t="n">
        <v>2012</v>
      </c>
      <c r="L144" s="251" t="n">
        <v>24</v>
      </c>
      <c r="M144" s="240" t="n"/>
      <c r="N144" s="242" t="n"/>
    </row>
    <row r="145" ht="22.5" customHeight="1" s="236">
      <c r="A145" s="239">
        <f>IF(B145&lt;&gt;"", COUNTA($B$2:B145), "")</f>
        <v/>
      </c>
      <c r="B145" s="251" t="inlineStr">
        <is>
          <t>Датчик вибрации</t>
        </is>
      </c>
      <c r="C145" s="242" t="inlineStr">
        <is>
          <t>ВПД 10-1,0/8,0</t>
        </is>
      </c>
      <c r="D145" s="251" t="inlineStr">
        <is>
          <t>Отсутствует доступ к датчику</t>
        </is>
      </c>
      <c r="E145" s="251" t="n">
        <v>2010</v>
      </c>
      <c r="F145" s="251" t="inlineStr">
        <is>
          <t>0…500 мкм (канал)</t>
        </is>
      </c>
      <c r="G145" s="251" t="inlineStr">
        <is>
          <t>нормируется для канала измерения</t>
        </is>
      </c>
      <c r="H145" s="239" t="inlineStr">
        <is>
          <t>Размах виброперемещения в осевом направлении</t>
        </is>
      </c>
      <c r="I145" s="239" t="inlineStr">
        <is>
          <t>ГПА 61</t>
        </is>
      </c>
      <c r="J145" s="239" t="inlineStr">
        <is>
          <t>АСУ,А и ТМ (КЦ № 6)</t>
        </is>
      </c>
      <c r="K145" s="239" t="n">
        <v>2012</v>
      </c>
      <c r="L145" s="251" t="n">
        <v>24</v>
      </c>
      <c r="M145" s="240" t="n"/>
      <c r="N145" s="242" t="n"/>
    </row>
    <row r="146" ht="22.5" customHeight="1" s="236">
      <c r="A146" s="243" t="n">
        <v>145</v>
      </c>
      <c r="B146" s="248" t="inlineStr">
        <is>
          <t>Датчик вибрации</t>
        </is>
      </c>
      <c r="C146" s="245" t="inlineStr">
        <is>
          <t>ВПД 10-1,0/7,0Р</t>
        </is>
      </c>
      <c r="D146" s="248" t="inlineStr">
        <is>
          <t>Отсутствует доступ к датчику</t>
        </is>
      </c>
      <c r="E146" s="248" t="inlineStr">
        <is>
          <t>2010</t>
        </is>
      </c>
      <c r="F146" s="248" t="inlineStr">
        <is>
          <t>0…1000 мкм (канал)</t>
        </is>
      </c>
      <c r="G146" s="248" t="inlineStr">
        <is>
          <t>нормируется для канала измерения</t>
        </is>
      </c>
      <c r="H146" s="243" t="inlineStr">
        <is>
          <t>Датчик оборотов ротора нагнетателя</t>
        </is>
      </c>
      <c r="I146" s="243" t="inlineStr">
        <is>
          <t>ГПА 61</t>
        </is>
      </c>
      <c r="J146" s="243" t="inlineStr">
        <is>
          <t>АСУ,А и ТМ (КЦ № 6)</t>
        </is>
      </c>
      <c r="K146" s="243" t="inlineStr">
        <is>
          <t>2012</t>
        </is>
      </c>
      <c r="L146" s="248" t="inlineStr">
        <is>
          <t>24</t>
        </is>
      </c>
      <c r="M146" s="246" t="inlineStr"/>
      <c r="N146" s="245" t="inlineStr"/>
    </row>
    <row r="147" ht="22.5" customHeight="1" s="236">
      <c r="A147" s="243" t="n">
        <v>146</v>
      </c>
      <c r="B147" s="248" t="inlineStr">
        <is>
          <t>Термометр сопротивления</t>
        </is>
      </c>
      <c r="C147" s="245" t="inlineStr">
        <is>
          <t>ТСП 012.60 Pt100/B/3</t>
        </is>
      </c>
      <c r="D147" s="248" t="inlineStr">
        <is>
          <t>395</t>
        </is>
      </c>
      <c r="E147" s="248" t="inlineStr">
        <is>
          <t>2011</t>
        </is>
      </c>
      <c r="F147" s="248" t="inlineStr">
        <is>
          <t>-60…200 °С</t>
        </is>
      </c>
      <c r="G147" s="248" t="inlineStr">
        <is>
          <t>B</t>
        </is>
      </c>
      <c r="H147" s="243" t="inlineStr">
        <is>
          <t>Температура масла после охладителя (на входе в двигатель)</t>
        </is>
      </c>
      <c r="I147" s="243" t="inlineStr">
        <is>
          <t>ГПА 61</t>
        </is>
      </c>
      <c r="J147" s="243" t="inlineStr">
        <is>
          <t>АСУ,А и ТМ (КЦ № 6)</t>
        </is>
      </c>
      <c r="K147" s="243" t="inlineStr">
        <is>
          <t>2012</t>
        </is>
      </c>
      <c r="L147" s="248" t="inlineStr">
        <is>
          <t>36</t>
        </is>
      </c>
      <c r="M147" s="246" t="inlineStr"/>
      <c r="N147" s="245" t="inlineStr"/>
    </row>
    <row r="148" ht="22.5" customHeight="1" s="236">
      <c r="A148" s="243" t="n">
        <v>147</v>
      </c>
      <c r="B148" s="248" t="inlineStr">
        <is>
          <t>Термометр сопротивления</t>
        </is>
      </c>
      <c r="C148" s="245" t="inlineStr">
        <is>
          <t>ТСП 012.60 Pt100/B/3</t>
        </is>
      </c>
      <c r="D148" s="248" t="inlineStr">
        <is>
          <t>194</t>
        </is>
      </c>
      <c r="E148" s="248" t="inlineStr">
        <is>
          <t>2011</t>
        </is>
      </c>
      <c r="F148" s="248" t="inlineStr">
        <is>
          <t>-60…200 °С</t>
        </is>
      </c>
      <c r="G148" s="248" t="inlineStr">
        <is>
          <t>B</t>
        </is>
      </c>
      <c r="H148" s="243" t="inlineStr">
        <is>
          <t>Температура масла на выходе двигателя (перед маслоохладителем)</t>
        </is>
      </c>
      <c r="I148" s="243" t="inlineStr">
        <is>
          <t>ГПА 61</t>
        </is>
      </c>
      <c r="J148" s="243" t="inlineStr">
        <is>
          <t>АСУ,А и ТМ (КЦ № 6)</t>
        </is>
      </c>
      <c r="K148" s="243" t="inlineStr">
        <is>
          <t>2012</t>
        </is>
      </c>
      <c r="L148" s="248" t="inlineStr">
        <is>
          <t>36</t>
        </is>
      </c>
      <c r="M148" s="246" t="inlineStr"/>
      <c r="N148" s="245" t="inlineStr"/>
    </row>
    <row r="149" ht="15" customHeight="1" s="236">
      <c r="A149" s="243" t="n">
        <v>148</v>
      </c>
      <c r="B149" s="248" t="inlineStr">
        <is>
          <t>Термометр сопротивления</t>
        </is>
      </c>
      <c r="C149" s="245" t="inlineStr">
        <is>
          <t>ТСП 012.60 Pt100/B/3</t>
        </is>
      </c>
      <c r="D149" s="248" t="inlineStr">
        <is>
          <t>324</t>
        </is>
      </c>
      <c r="E149" s="248" t="inlineStr">
        <is>
          <t>2011</t>
        </is>
      </c>
      <c r="F149" s="248" t="inlineStr">
        <is>
          <t>-60…200 °С</t>
        </is>
      </c>
      <c r="G149" s="248" t="inlineStr">
        <is>
          <t>B</t>
        </is>
      </c>
      <c r="H149" s="243" t="inlineStr">
        <is>
          <t>Температра масла в баке двигателя</t>
        </is>
      </c>
      <c r="I149" s="243" t="inlineStr">
        <is>
          <t>ГПА 61</t>
        </is>
      </c>
      <c r="J149" s="243" t="inlineStr">
        <is>
          <t>АСУ,А и ТМ (КЦ № 6)</t>
        </is>
      </c>
      <c r="K149" s="243" t="inlineStr">
        <is>
          <t>2012</t>
        </is>
      </c>
      <c r="L149" s="248" t="inlineStr">
        <is>
          <t>36</t>
        </is>
      </c>
      <c r="M149" s="246" t="inlineStr"/>
      <c r="N149" s="245" t="inlineStr"/>
    </row>
    <row r="150" ht="22.5" customHeight="1" s="236">
      <c r="A150" s="243" t="n">
        <v>149</v>
      </c>
      <c r="B150" s="248" t="inlineStr">
        <is>
          <t>Термометр сопротивления</t>
        </is>
      </c>
      <c r="C150" s="245" t="inlineStr">
        <is>
          <t>ТСП 012.60 Pt100/B/3</t>
        </is>
      </c>
      <c r="D150" s="248" t="inlineStr">
        <is>
          <t>321</t>
        </is>
      </c>
      <c r="E150" s="248" t="inlineStr">
        <is>
          <t>2011</t>
        </is>
      </c>
      <c r="F150" s="248" t="inlineStr">
        <is>
          <t>-60…200 °С</t>
        </is>
      </c>
      <c r="G150" s="248" t="inlineStr">
        <is>
          <t>B</t>
        </is>
      </c>
      <c r="H150" s="243" t="inlineStr">
        <is>
          <t>Температура топливного газа перед расходомерным устройством</t>
        </is>
      </c>
      <c r="I150" s="243" t="inlineStr">
        <is>
          <t>ГПА 61</t>
        </is>
      </c>
      <c r="J150" s="243" t="inlineStr">
        <is>
          <t>АСУ,А и ТМ (КЦ № 6)</t>
        </is>
      </c>
      <c r="K150" s="243" t="inlineStr">
        <is>
          <t>2012</t>
        </is>
      </c>
      <c r="L150" s="248" t="inlineStr">
        <is>
          <t>36</t>
        </is>
      </c>
      <c r="M150" s="246" t="inlineStr"/>
      <c r="N150" s="245" t="inlineStr"/>
    </row>
    <row r="151" ht="22.5" customHeight="1" s="236">
      <c r="A151" s="243" t="n">
        <v>150</v>
      </c>
      <c r="B151" s="248" t="inlineStr">
        <is>
          <t>Термометр сопротивления</t>
        </is>
      </c>
      <c r="C151" s="245" t="inlineStr">
        <is>
          <t>ТСП 012.60Сп Pt100/B/3</t>
        </is>
      </c>
      <c r="D151" s="248" t="inlineStr">
        <is>
          <t>347</t>
        </is>
      </c>
      <c r="E151" s="248" t="inlineStr">
        <is>
          <t>2011</t>
        </is>
      </c>
      <c r="F151" s="248" t="inlineStr">
        <is>
          <t>-60…200 °С</t>
        </is>
      </c>
      <c r="G151" s="248" t="inlineStr">
        <is>
          <t>B</t>
        </is>
      </c>
      <c r="H151" s="243" t="inlineStr">
        <is>
          <t>Температура воздуха под кожухом Д т.1</t>
        </is>
      </c>
      <c r="I151" s="243" t="inlineStr">
        <is>
          <t>ГПА 61</t>
        </is>
      </c>
      <c r="J151" s="243" t="inlineStr">
        <is>
          <t>АСУ,А и ТМ (КЦ № 6)</t>
        </is>
      </c>
      <c r="K151" s="243" t="inlineStr">
        <is>
          <t>2012</t>
        </is>
      </c>
      <c r="L151" s="248" t="inlineStr">
        <is>
          <t>36</t>
        </is>
      </c>
      <c r="M151" s="246" t="inlineStr"/>
      <c r="N151" s="245" t="inlineStr"/>
    </row>
    <row r="152" ht="22.5" customHeight="1" s="236">
      <c r="A152" s="243" t="n">
        <v>151</v>
      </c>
      <c r="B152" s="248" t="inlineStr">
        <is>
          <t>Термометр сопротивления</t>
        </is>
      </c>
      <c r="C152" s="245" t="inlineStr">
        <is>
          <t>ТСП 012.60Сп Pt100/B/3</t>
        </is>
      </c>
      <c r="D152" s="248" t="inlineStr">
        <is>
          <t>351</t>
        </is>
      </c>
      <c r="E152" s="248" t="inlineStr">
        <is>
          <t>2011</t>
        </is>
      </c>
      <c r="F152" s="248" t="inlineStr">
        <is>
          <t>-60…200 °С</t>
        </is>
      </c>
      <c r="G152" s="248" t="inlineStr">
        <is>
          <t>B</t>
        </is>
      </c>
      <c r="H152" s="243" t="inlineStr">
        <is>
          <t>Температура воздуха под кожухом Д т.2</t>
        </is>
      </c>
      <c r="I152" s="243" t="inlineStr">
        <is>
          <t>ГПА 61</t>
        </is>
      </c>
      <c r="J152" s="243" t="inlineStr">
        <is>
          <t>АСУ,А и ТМ (КЦ № 6)</t>
        </is>
      </c>
      <c r="K152" s="243" t="inlineStr">
        <is>
          <t>2012</t>
        </is>
      </c>
      <c r="L152" s="248" t="inlineStr">
        <is>
          <t>36</t>
        </is>
      </c>
      <c r="M152" s="246" t="inlineStr"/>
      <c r="N152" s="245" t="inlineStr"/>
    </row>
    <row r="153" ht="22.5" customHeight="1" s="236">
      <c r="A153" s="243" t="n">
        <v>152</v>
      </c>
      <c r="B153" s="248" t="inlineStr">
        <is>
          <t>Термометр сопротивления</t>
        </is>
      </c>
      <c r="C153" s="245" t="inlineStr">
        <is>
          <t>ТСП 012.60Сп Pt100/B/3</t>
        </is>
      </c>
      <c r="D153" s="248" t="inlineStr">
        <is>
          <t>353</t>
        </is>
      </c>
      <c r="E153" s="248" t="inlineStr">
        <is>
          <t>2011</t>
        </is>
      </c>
      <c r="F153" s="248" t="inlineStr">
        <is>
          <t>-60…200 °С</t>
        </is>
      </c>
      <c r="G153" s="248" t="inlineStr">
        <is>
          <t>B</t>
        </is>
      </c>
      <c r="H153" s="243" t="inlineStr">
        <is>
          <t>Температура воздуха под кожухом Д т.3</t>
        </is>
      </c>
      <c r="I153" s="243" t="inlineStr">
        <is>
          <t>ГПА 61</t>
        </is>
      </c>
      <c r="J153" s="243" t="inlineStr">
        <is>
          <t>АСУ,А и ТМ (КЦ № 6)</t>
        </is>
      </c>
      <c r="K153" s="243" t="inlineStr">
        <is>
          <t>2012</t>
        </is>
      </c>
      <c r="L153" s="248" t="inlineStr">
        <is>
          <t>36</t>
        </is>
      </c>
      <c r="M153" s="246" t="inlineStr"/>
      <c r="N153" s="245" t="inlineStr"/>
    </row>
    <row r="154" ht="22.5" customHeight="1" s="236">
      <c r="A154" s="243" t="n">
        <v>153</v>
      </c>
      <c r="B154" s="248" t="inlineStr">
        <is>
          <t>Термометр сопротивления</t>
        </is>
      </c>
      <c r="C154" s="245" t="inlineStr">
        <is>
          <t>ТСП 012.60Сп Pt100/B/3</t>
        </is>
      </c>
      <c r="D154" s="248" t="inlineStr">
        <is>
          <t>343</t>
        </is>
      </c>
      <c r="E154" s="248" t="inlineStr">
        <is>
          <t>2011</t>
        </is>
      </c>
      <c r="F154" s="248" t="inlineStr">
        <is>
          <t>-60…200 °С</t>
        </is>
      </c>
      <c r="G154" s="248" t="inlineStr">
        <is>
          <t>B</t>
        </is>
      </c>
      <c r="H154" s="243" t="inlineStr">
        <is>
          <t>Температура воздуха под кожухом Д т.4</t>
        </is>
      </c>
      <c r="I154" s="243" t="inlineStr">
        <is>
          <t>ГПА 61</t>
        </is>
      </c>
      <c r="J154" s="243" t="inlineStr">
        <is>
          <t>АСУ,А и ТМ (КЦ № 6)</t>
        </is>
      </c>
      <c r="K154" s="243" t="inlineStr">
        <is>
          <t>2012</t>
        </is>
      </c>
      <c r="L154" s="248" t="inlineStr">
        <is>
          <t>36</t>
        </is>
      </c>
      <c r="M154" s="246" t="inlineStr"/>
      <c r="N154" s="245" t="inlineStr"/>
    </row>
    <row r="155" ht="33.75" customHeight="1" s="236">
      <c r="A155" s="239">
        <f>IF(B155&lt;&gt;"", COUNTA($B$2:B155), "")</f>
        <v/>
      </c>
      <c r="B155" s="240" t="inlineStr">
        <is>
          <t>Термометр сопротивления</t>
        </is>
      </c>
      <c r="C155" s="252" t="inlineStr">
        <is>
          <t>ТСП 012.60 Pt100/B/3</t>
        </is>
      </c>
      <c r="D155" s="252" t="inlineStr">
        <is>
          <t>330</t>
        </is>
      </c>
      <c r="E155" s="239" t="n">
        <v>2011</v>
      </c>
      <c r="F155" s="252" t="inlineStr">
        <is>
          <t>-60…200 °С</t>
        </is>
      </c>
      <c r="G155" s="252" t="inlineStr">
        <is>
          <t>B</t>
        </is>
      </c>
      <c r="H155" s="240" t="inlineStr">
        <is>
          <t>Температура защитного воздуха на выходе оболочки опорного подшипника (передний)</t>
        </is>
      </c>
      <c r="I155" s="239" t="inlineStr">
        <is>
          <t>ГПА 61</t>
        </is>
      </c>
      <c r="J155" s="239" t="inlineStr">
        <is>
          <t>АСУ,А и ТМ (КЦ № 6)</t>
        </is>
      </c>
      <c r="K155" s="239" t="n">
        <v>2012</v>
      </c>
      <c r="L155" s="251" t="n">
        <v>36</v>
      </c>
      <c r="M155" s="240" t="n"/>
      <c r="N155" s="242" t="n"/>
    </row>
    <row r="156" ht="33.75" customFormat="1" customHeight="1" s="235">
      <c r="A156" s="243" t="n">
        <v>155</v>
      </c>
      <c r="B156" s="246" t="inlineStr">
        <is>
          <t>Термометр сопротивления</t>
        </is>
      </c>
      <c r="C156" s="254" t="inlineStr">
        <is>
          <t>ТСП 012.60 Pt100/B/3</t>
        </is>
      </c>
      <c r="D156" s="254" t="inlineStr">
        <is>
          <t>197</t>
        </is>
      </c>
      <c r="E156" s="243" t="inlineStr">
        <is>
          <t>2011</t>
        </is>
      </c>
      <c r="F156" s="254" t="inlineStr">
        <is>
          <t>-60…200 °С</t>
        </is>
      </c>
      <c r="G156" s="254" t="inlineStr">
        <is>
          <t>B</t>
        </is>
      </c>
      <c r="H156" s="246" t="inlineStr">
        <is>
          <t>Температура защитного воздуха на входе установки фильтров перед КЭП10 (на входе ТГДУ)</t>
        </is>
      </c>
      <c r="I156" s="243" t="inlineStr">
        <is>
          <t>ГПА 61</t>
        </is>
      </c>
      <c r="J156" s="243" t="inlineStr">
        <is>
          <t>АСУ,А и ТМ (КЦ № 6)</t>
        </is>
      </c>
      <c r="K156" s="243" t="inlineStr">
        <is>
          <t>2012</t>
        </is>
      </c>
      <c r="L156" s="248" t="inlineStr">
        <is>
          <t>36</t>
        </is>
      </c>
      <c r="M156" s="246" t="inlineStr"/>
      <c r="N156" s="245" t="inlineStr"/>
    </row>
    <row r="157" ht="22.5" customFormat="1" customHeight="1" s="235">
      <c r="A157" s="243" t="n">
        <v>156</v>
      </c>
      <c r="B157" s="246" t="inlineStr">
        <is>
          <t>Термометр сопротивления</t>
        </is>
      </c>
      <c r="C157" s="254" t="inlineStr">
        <is>
          <t>ТСП 012.60 Pt100/B/3</t>
        </is>
      </c>
      <c r="D157" s="254" t="inlineStr">
        <is>
          <t>311</t>
        </is>
      </c>
      <c r="E157" s="243" t="inlineStr">
        <is>
          <t>2011</t>
        </is>
      </c>
      <c r="F157" s="254" t="inlineStr">
        <is>
          <t>-60…200 °С</t>
        </is>
      </c>
      <c r="G157" s="254" t="inlineStr">
        <is>
          <t>B</t>
        </is>
      </c>
      <c r="H157" s="246" t="inlineStr">
        <is>
          <t>Температура газа на выходе из компрессора</t>
        </is>
      </c>
      <c r="I157" s="243" t="inlineStr">
        <is>
          <t>ГПА 61</t>
        </is>
      </c>
      <c r="J157" s="243" t="inlineStr">
        <is>
          <t>АСУ,А и ТМ (КЦ № 6)</t>
        </is>
      </c>
      <c r="K157" s="243" t="inlineStr">
        <is>
          <t>2012</t>
        </is>
      </c>
      <c r="L157" s="248" t="inlineStr">
        <is>
          <t>36</t>
        </is>
      </c>
      <c r="M157" s="246" t="inlineStr"/>
      <c r="N157" s="245" t="inlineStr"/>
    </row>
    <row r="158" ht="15" customFormat="1" customHeight="1" s="235">
      <c r="A158" s="243" t="n">
        <v>157</v>
      </c>
      <c r="B158" s="246" t="inlineStr">
        <is>
          <t>Термометр сопротивления</t>
        </is>
      </c>
      <c r="C158" s="254" t="inlineStr">
        <is>
          <t>ТСПУ-Л-22162</t>
        </is>
      </c>
      <c r="D158" s="254" t="inlineStr">
        <is>
          <t>65</t>
        </is>
      </c>
      <c r="E158" s="243" t="inlineStr">
        <is>
          <t>2012</t>
        </is>
      </c>
      <c r="F158" s="254" t="inlineStr">
        <is>
          <t>­50…100 °C</t>
        </is>
      </c>
      <c r="G158" s="254" t="inlineStr">
        <is>
          <t>0,5</t>
        </is>
      </c>
      <c r="H158" s="246" t="inlineStr">
        <is>
          <t>Температура воздуха в укрытии</t>
        </is>
      </c>
      <c r="I158" s="243" t="inlineStr">
        <is>
          <t>ГПА 61</t>
        </is>
      </c>
      <c r="J158" s="243" t="inlineStr">
        <is>
          <t>АСУ,А и ТМ (КЦ № 6)</t>
        </is>
      </c>
      <c r="K158" s="243" t="inlineStr">
        <is>
          <t>2012</t>
        </is>
      </c>
      <c r="L158" s="248" t="inlineStr">
        <is>
          <t>60</t>
        </is>
      </c>
      <c r="M158" s="246" t="inlineStr"/>
      <c r="N158" s="245" t="inlineStr"/>
    </row>
    <row r="159" ht="22.5" customFormat="1" customHeight="1" s="235">
      <c r="A159" s="243" t="n">
        <v>158</v>
      </c>
      <c r="B159" s="246" t="inlineStr">
        <is>
          <t>Термометр сопротивления</t>
        </is>
      </c>
      <c r="C159" s="254" t="inlineStr">
        <is>
          <t>ТСП 012.60 Pt100/B/3</t>
        </is>
      </c>
      <c r="D159" s="254" t="inlineStr">
        <is>
          <t>385</t>
        </is>
      </c>
      <c r="E159" s="243" t="inlineStr">
        <is>
          <t>2011</t>
        </is>
      </c>
      <c r="F159" s="254" t="inlineStr">
        <is>
          <t>-60…200 °С</t>
        </is>
      </c>
      <c r="G159" s="254" t="inlineStr">
        <is>
          <t>B</t>
        </is>
      </c>
      <c r="H159" s="246" t="inlineStr">
        <is>
          <t>Температура теплоносителя в подогревателе буферного газа</t>
        </is>
      </c>
      <c r="I159" s="243" t="inlineStr">
        <is>
          <t>ГПА 61</t>
        </is>
      </c>
      <c r="J159" s="243" t="inlineStr">
        <is>
          <t>АСУ,А и ТМ (КЦ № 6)</t>
        </is>
      </c>
      <c r="K159" s="243" t="inlineStr">
        <is>
          <t>2012</t>
        </is>
      </c>
      <c r="L159" s="248" t="inlineStr">
        <is>
          <t>36</t>
        </is>
      </c>
      <c r="M159" s="246" t="inlineStr"/>
      <c r="N159" s="245" t="inlineStr"/>
    </row>
    <row r="160" ht="22.5" customFormat="1" customHeight="1" s="235">
      <c r="A160" s="243" t="n">
        <v>159</v>
      </c>
      <c r="B160" s="246" t="inlineStr">
        <is>
          <t>Термометр сопротивления</t>
        </is>
      </c>
      <c r="C160" s="254" t="inlineStr">
        <is>
          <t>ТСП 012.60 Pt100/B/3</t>
        </is>
      </c>
      <c r="D160" s="254" t="inlineStr">
        <is>
          <t>203</t>
        </is>
      </c>
      <c r="E160" s="243" t="inlineStr">
        <is>
          <t>2011</t>
        </is>
      </c>
      <c r="F160" s="254" t="inlineStr">
        <is>
          <t>-60…200 °С</t>
        </is>
      </c>
      <c r="G160" s="254" t="inlineStr">
        <is>
          <t>B</t>
        </is>
      </c>
      <c r="H160" s="246" t="inlineStr">
        <is>
          <t>Температура буферного газа на выходе подогревателя</t>
        </is>
      </c>
      <c r="I160" s="243" t="inlineStr">
        <is>
          <t>ГПА 61</t>
        </is>
      </c>
      <c r="J160" s="243" t="inlineStr">
        <is>
          <t>АСУ,А и ТМ (КЦ № 6)</t>
        </is>
      </c>
      <c r="K160" s="243" t="inlineStr">
        <is>
          <t>2012</t>
        </is>
      </c>
      <c r="L160" s="248" t="inlineStr">
        <is>
          <t>36</t>
        </is>
      </c>
      <c r="M160" s="246" t="inlineStr"/>
      <c r="N160" s="245" t="inlineStr"/>
    </row>
    <row r="161" ht="22.5" customFormat="1" customHeight="1" s="235">
      <c r="A161" s="243" t="n">
        <v>160</v>
      </c>
      <c r="B161" s="246" t="inlineStr">
        <is>
          <t>Термометр сопротивления</t>
        </is>
      </c>
      <c r="C161" s="254" t="inlineStr">
        <is>
          <t>ТСП 012.60 Pt100/B/3</t>
        </is>
      </c>
      <c r="D161" s="254" t="inlineStr">
        <is>
          <t>350</t>
        </is>
      </c>
      <c r="E161" s="243" t="inlineStr">
        <is>
          <t>2011</t>
        </is>
      </c>
      <c r="F161" s="254" t="inlineStr">
        <is>
          <t>-60…200 °С</t>
        </is>
      </c>
      <c r="G161" s="254" t="inlineStr">
        <is>
          <t>B</t>
        </is>
      </c>
      <c r="H161" s="246" t="inlineStr">
        <is>
          <t>Температура газа на входе в компрессор</t>
        </is>
      </c>
      <c r="I161" s="243" t="inlineStr">
        <is>
          <t>ГПА 61</t>
        </is>
      </c>
      <c r="J161" s="243" t="inlineStr">
        <is>
          <t>АСУ,А и ТМ (КЦ № 6)</t>
        </is>
      </c>
      <c r="K161" s="243" t="inlineStr">
        <is>
          <t>2012</t>
        </is>
      </c>
      <c r="L161" s="248" t="inlineStr">
        <is>
          <t>36</t>
        </is>
      </c>
      <c r="M161" s="246" t="inlineStr"/>
      <c r="N161" s="245" t="inlineStr"/>
    </row>
    <row r="162" ht="33.75" customHeight="1" s="236">
      <c r="A162" s="239">
        <f>IF(B162&lt;&gt;"", COUNTA($B$2:B162), "")</f>
        <v/>
      </c>
      <c r="B162" s="240" t="inlineStr">
        <is>
          <t>Термометр сопротивления</t>
        </is>
      </c>
      <c r="C162" s="252" t="inlineStr">
        <is>
          <t>ТСП 319М.09 Pt100/B/3</t>
        </is>
      </c>
      <c r="D162" s="252" t="inlineStr">
        <is>
          <t>1167</t>
        </is>
      </c>
      <c r="E162" s="256" t="n"/>
      <c r="F162" s="256" t="inlineStr">
        <is>
          <t>-60…180 °С</t>
        </is>
      </c>
      <c r="G162" s="252" t="inlineStr">
        <is>
          <t>B</t>
        </is>
      </c>
      <c r="H162" s="252" t="inlineStr">
        <is>
          <t>Температура электромагнита опорного подшипника со стороны привода</t>
        </is>
      </c>
      <c r="I162" s="239" t="inlineStr">
        <is>
          <t>ГПА 61</t>
        </is>
      </c>
      <c r="J162" s="239" t="inlineStr">
        <is>
          <t>АСУ,А и ТМ (КЦ № 6)</t>
        </is>
      </c>
      <c r="K162" s="239" t="n"/>
      <c r="L162" s="239" t="n"/>
      <c r="M162" s="240" t="n"/>
      <c r="N162" s="242" t="n"/>
    </row>
    <row r="163" ht="33.75" customHeight="1" s="236">
      <c r="A163" s="243" t="n">
        <v>162</v>
      </c>
      <c r="B163" s="246" t="inlineStr">
        <is>
          <t>Термометр сопротивления</t>
        </is>
      </c>
      <c r="C163" s="254" t="inlineStr">
        <is>
          <t>ТСП 319М.09 Pt100/B/3</t>
        </is>
      </c>
      <c r="D163" s="254" t="inlineStr">
        <is>
          <t>Нет доступа</t>
        </is>
      </c>
      <c r="E163" s="257" t="inlineStr">
        <is>
          <t>2010</t>
        </is>
      </c>
      <c r="F163" s="257" t="inlineStr">
        <is>
          <t>-60…180 °С</t>
        </is>
      </c>
      <c r="G163" s="254" t="inlineStr">
        <is>
          <t>B</t>
        </is>
      </c>
      <c r="H163" s="254" t="inlineStr">
        <is>
          <t>Температура электромагнита опорного подшипника со стороны свободного конца</t>
        </is>
      </c>
      <c r="I163" s="243" t="inlineStr">
        <is>
          <t>ГПА 61</t>
        </is>
      </c>
      <c r="J163" s="243" t="inlineStr">
        <is>
          <t>АСУ,А и ТМ (КЦ № 6)</t>
        </is>
      </c>
      <c r="K163" s="243" t="inlineStr">
        <is>
          <t>2012</t>
        </is>
      </c>
      <c r="L163" s="243" t="inlineStr">
        <is>
          <t>24</t>
        </is>
      </c>
      <c r="M163" s="246" t="inlineStr"/>
      <c r="N163" s="245" t="inlineStr"/>
    </row>
    <row r="164" ht="22.5" customHeight="1" s="236">
      <c r="A164" s="243" t="n">
        <v>163</v>
      </c>
      <c r="B164" s="246" t="inlineStr">
        <is>
          <t>Термометр сопротивления</t>
        </is>
      </c>
      <c r="C164" s="254" t="inlineStr">
        <is>
          <t>ТСП 319М.09 Pt100/B/3</t>
        </is>
      </c>
      <c r="D164" s="254" t="inlineStr">
        <is>
          <t>1156</t>
        </is>
      </c>
      <c r="E164" s="257" t="inlineStr">
        <is>
          <t>2010</t>
        </is>
      </c>
      <c r="F164" s="257" t="inlineStr">
        <is>
          <t>-60…180 °С</t>
        </is>
      </c>
      <c r="G164" s="254" t="inlineStr">
        <is>
          <t>B</t>
        </is>
      </c>
      <c r="H164" s="254" t="inlineStr">
        <is>
          <t>Температура левого осевого электромагнита</t>
        </is>
      </c>
      <c r="I164" s="243" t="inlineStr">
        <is>
          <t>ГПА 61</t>
        </is>
      </c>
      <c r="J164" s="243" t="inlineStr">
        <is>
          <t>АСУ,А и ТМ (КЦ № 6)</t>
        </is>
      </c>
      <c r="K164" s="243" t="inlineStr">
        <is>
          <t>2012</t>
        </is>
      </c>
      <c r="L164" s="243" t="inlineStr">
        <is>
          <t>24</t>
        </is>
      </c>
      <c r="M164" s="246" t="inlineStr"/>
      <c r="N164" s="245" t="inlineStr"/>
    </row>
    <row r="165" ht="22.5" customHeight="1" s="236">
      <c r="A165" s="243" t="n">
        <v>164</v>
      </c>
      <c r="B165" s="246" t="inlineStr">
        <is>
          <t>Термометр сопротивления</t>
        </is>
      </c>
      <c r="C165" s="254" t="inlineStr">
        <is>
          <t>ТСП 319М.09 Pt100/B/3</t>
        </is>
      </c>
      <c r="D165" s="254" t="inlineStr">
        <is>
          <t>1187</t>
        </is>
      </c>
      <c r="E165" s="257" t="inlineStr"/>
      <c r="F165" s="257" t="inlineStr">
        <is>
          <t>-60…180 °С</t>
        </is>
      </c>
      <c r="G165" s="254" t="inlineStr">
        <is>
          <t>B</t>
        </is>
      </c>
      <c r="H165" s="254" t="inlineStr">
        <is>
          <t>Температура правого осевого электромагнита</t>
        </is>
      </c>
      <c r="I165" s="243" t="inlineStr">
        <is>
          <t>ГПА 61</t>
        </is>
      </c>
      <c r="J165" s="243" t="inlineStr">
        <is>
          <t>АСУ,А и ТМ (КЦ № 6)</t>
        </is>
      </c>
      <c r="K165" s="243" t="inlineStr"/>
      <c r="L165" s="243" t="inlineStr"/>
      <c r="M165" s="246" t="inlineStr"/>
      <c r="N165" s="245" t="inlineStr"/>
    </row>
    <row r="166" ht="15" customHeight="1" s="236">
      <c r="A166" s="243" t="n">
        <v>165</v>
      </c>
      <c r="B166" s="246" t="inlineStr">
        <is>
          <t>Термометр сопротивления</t>
        </is>
      </c>
      <c r="C166" s="254" t="inlineStr">
        <is>
          <t>ТСП 9204-06 100П/B/3</t>
        </is>
      </c>
      <c r="D166" s="254" t="inlineStr">
        <is>
          <t>4035</t>
        </is>
      </c>
      <c r="E166" s="257" t="inlineStr">
        <is>
          <t>2011</t>
        </is>
      </c>
      <c r="F166" s="257" t="inlineStr">
        <is>
          <t>-50…150 °С</t>
        </is>
      </c>
      <c r="G166" s="254" t="inlineStr">
        <is>
          <t>B</t>
        </is>
      </c>
      <c r="H166" s="254" t="inlineStr">
        <is>
          <t>Температура холодного спая в САУ</t>
        </is>
      </c>
      <c r="I166" s="243" t="inlineStr">
        <is>
          <t>ГПА 61</t>
        </is>
      </c>
      <c r="J166" s="243" t="inlineStr">
        <is>
          <t>АСУ,А и ТМ (КЦ № 6)</t>
        </is>
      </c>
      <c r="K166" s="243" t="inlineStr">
        <is>
          <t>2012</t>
        </is>
      </c>
      <c r="L166" s="243" t="inlineStr">
        <is>
          <t>24</t>
        </is>
      </c>
      <c r="M166" s="246" t="inlineStr"/>
      <c r="N166" s="245" t="inlineStr"/>
    </row>
    <row r="167" ht="22.5" customHeight="1" s="236">
      <c r="A167" s="243" t="n">
        <v>166</v>
      </c>
      <c r="B167" s="246" t="inlineStr">
        <is>
          <t>Термометр сопротивления</t>
        </is>
      </c>
      <c r="C167" s="254" t="inlineStr">
        <is>
          <t>ТСП 012.60 Pt100/B/3</t>
        </is>
      </c>
      <c r="D167" s="254" t="inlineStr">
        <is>
          <t>196</t>
        </is>
      </c>
      <c r="E167" s="257" t="inlineStr">
        <is>
          <t>2011</t>
        </is>
      </c>
      <c r="F167" s="257" t="inlineStr">
        <is>
          <t>-60…200 °С</t>
        </is>
      </c>
      <c r="G167" s="254" t="inlineStr">
        <is>
          <t>B</t>
        </is>
      </c>
      <c r="H167" s="254" t="inlineStr">
        <is>
          <t>Температура воздуха в отсеке пожаротушения</t>
        </is>
      </c>
      <c r="I167" s="243" t="inlineStr">
        <is>
          <t>ГПА 61</t>
        </is>
      </c>
      <c r="J167" s="243" t="inlineStr">
        <is>
          <t>АСУ,А и ТМ (КЦ № 6)</t>
        </is>
      </c>
      <c r="K167" s="243" t="inlineStr">
        <is>
          <t>2012</t>
        </is>
      </c>
      <c r="L167" s="243" t="inlineStr">
        <is>
          <t>36</t>
        </is>
      </c>
      <c r="M167" s="246" t="inlineStr"/>
      <c r="N167" s="245" t="inlineStr"/>
    </row>
    <row r="168" ht="22.5" customHeight="1" s="236">
      <c r="A168" s="243" t="n">
        <v>167</v>
      </c>
      <c r="B168" s="246" t="inlineStr">
        <is>
          <t>Термометр сопротивления</t>
        </is>
      </c>
      <c r="C168" s="254" t="inlineStr">
        <is>
          <t>ТСП 012.60 Pt100/B/3</t>
        </is>
      </c>
      <c r="D168" s="254" t="inlineStr">
        <is>
          <t>317</t>
        </is>
      </c>
      <c r="E168" s="257" t="inlineStr">
        <is>
          <t>2011</t>
        </is>
      </c>
      <c r="F168" s="257" t="inlineStr">
        <is>
          <t>-60…200 °С</t>
        </is>
      </c>
      <c r="G168" s="254" t="inlineStr">
        <is>
          <t>B</t>
        </is>
      </c>
      <c r="H168" s="254" t="inlineStr">
        <is>
          <t>Температура воздуха в отсеке пожаротушения</t>
        </is>
      </c>
      <c r="I168" s="243" t="inlineStr">
        <is>
          <t>ГПА 61</t>
        </is>
      </c>
      <c r="J168" s="243" t="inlineStr">
        <is>
          <t>АСУ,А и ТМ (КЦ № 6)</t>
        </is>
      </c>
      <c r="K168" s="243" t="inlineStr">
        <is>
          <t>2012</t>
        </is>
      </c>
      <c r="L168" s="243" t="inlineStr">
        <is>
          <t>36</t>
        </is>
      </c>
      <c r="M168" s="246" t="inlineStr"/>
      <c r="N168" s="245" t="inlineStr"/>
    </row>
    <row r="169" ht="22.5" customHeight="1" s="236">
      <c r="A169" s="243" t="n">
        <v>168</v>
      </c>
      <c r="B169" s="246" t="inlineStr">
        <is>
          <t>Термометр сопротивления</t>
        </is>
      </c>
      <c r="C169" s="254" t="inlineStr">
        <is>
          <t>ТСП 012.60 Pt100/B/3</t>
        </is>
      </c>
      <c r="D169" s="254" t="inlineStr">
        <is>
          <t>330</t>
        </is>
      </c>
      <c r="E169" s="257" t="inlineStr">
        <is>
          <t>2011</t>
        </is>
      </c>
      <c r="F169" s="257" t="inlineStr">
        <is>
          <t>-60…200 °С</t>
        </is>
      </c>
      <c r="G169" s="254" t="inlineStr">
        <is>
          <t>B</t>
        </is>
      </c>
      <c r="H169" s="254" t="inlineStr">
        <is>
          <t>Температура обогревателя в отсеке пожаротушения</t>
        </is>
      </c>
      <c r="I169" s="243" t="inlineStr">
        <is>
          <t>ГПА 61</t>
        </is>
      </c>
      <c r="J169" s="243" t="inlineStr">
        <is>
          <t>АСУ,А и ТМ (КЦ № 6)</t>
        </is>
      </c>
      <c r="K169" s="243" t="inlineStr">
        <is>
          <t>2012</t>
        </is>
      </c>
      <c r="L169" s="243" t="inlineStr">
        <is>
          <t>36</t>
        </is>
      </c>
      <c r="M169" s="246" t="inlineStr"/>
      <c r="N169" s="245" t="inlineStr"/>
    </row>
    <row r="170" ht="22.5" customHeight="1" s="236">
      <c r="A170" s="243" t="n">
        <v>169</v>
      </c>
      <c r="B170" s="246" t="inlineStr">
        <is>
          <t>Термометр сопротивления</t>
        </is>
      </c>
      <c r="C170" s="254" t="inlineStr">
        <is>
          <t>ТСП 319М.03 Pt100/B/3</t>
        </is>
      </c>
      <c r="D170" s="254" t="inlineStr">
        <is>
          <t>1167</t>
        </is>
      </c>
      <c r="E170" s="257" t="inlineStr">
        <is>
          <t>2011</t>
        </is>
      </c>
      <c r="F170" s="257" t="inlineStr">
        <is>
          <t>-60…180 °С</t>
        </is>
      </c>
      <c r="G170" s="254" t="inlineStr">
        <is>
          <t>B</t>
        </is>
      </c>
      <c r="H170" s="254" t="inlineStr">
        <is>
          <t>Температура воздуха в блоке автоматики</t>
        </is>
      </c>
      <c r="I170" s="243" t="inlineStr">
        <is>
          <t>ГПА 61</t>
        </is>
      </c>
      <c r="J170" s="243" t="inlineStr">
        <is>
          <t>АСУ,А и ТМ (КЦ № 6)</t>
        </is>
      </c>
      <c r="K170" s="243" t="inlineStr">
        <is>
          <t>2012</t>
        </is>
      </c>
      <c r="L170" s="243" t="inlineStr">
        <is>
          <t>36</t>
        </is>
      </c>
      <c r="M170" s="246" t="inlineStr"/>
      <c r="N170" s="245" t="inlineStr"/>
    </row>
    <row r="171" ht="15" customHeight="1" s="236">
      <c r="A171" s="243" t="n">
        <v>170</v>
      </c>
      <c r="B171" s="246" t="inlineStr">
        <is>
          <t>Термометр сопротивления</t>
        </is>
      </c>
      <c r="C171" s="254" t="inlineStr">
        <is>
          <t>ТСП 012.60Сп Pt100/B/3</t>
        </is>
      </c>
      <c r="D171" s="254" t="inlineStr">
        <is>
          <t>338</t>
        </is>
      </c>
      <c r="E171" s="257" t="inlineStr">
        <is>
          <t>2011</t>
        </is>
      </c>
      <c r="F171" s="257" t="inlineStr">
        <is>
          <t>-60…200 °С</t>
        </is>
      </c>
      <c r="G171" s="254" t="inlineStr">
        <is>
          <t>B</t>
        </is>
      </c>
      <c r="H171" s="254" t="inlineStr">
        <is>
          <t>Температура атмосферного воздуха</t>
        </is>
      </c>
      <c r="I171" s="243" t="inlineStr">
        <is>
          <t>ГПА 61</t>
        </is>
      </c>
      <c r="J171" s="243" t="inlineStr">
        <is>
          <t>АСУ,А и ТМ (КЦ № 6)</t>
        </is>
      </c>
      <c r="K171" s="243" t="inlineStr">
        <is>
          <t>2012</t>
        </is>
      </c>
      <c r="L171" s="243" t="inlineStr">
        <is>
          <t>24</t>
        </is>
      </c>
      <c r="M171" s="246" t="inlineStr"/>
      <c r="N171" s="245" t="inlineStr"/>
    </row>
    <row r="172" ht="22.5" customHeight="1" s="236">
      <c r="A172" s="243" t="n">
        <v>171</v>
      </c>
      <c r="B172" s="246" t="inlineStr">
        <is>
          <t>Термометр сопротивления</t>
        </is>
      </c>
      <c r="C172" s="254" t="inlineStr">
        <is>
          <t>ТСМ 319М-05.02 50М/B/3</t>
        </is>
      </c>
      <c r="D172" s="254" t="inlineStr">
        <is>
          <t>1369</t>
        </is>
      </c>
      <c r="E172" s="257" t="inlineStr">
        <is>
          <t>2011</t>
        </is>
      </c>
      <c r="F172" s="257" t="inlineStr">
        <is>
          <t>-60…180 °С</t>
        </is>
      </c>
      <c r="G172" s="254" t="inlineStr">
        <is>
          <t>B</t>
        </is>
      </c>
      <c r="H172" s="254" t="inlineStr">
        <is>
          <t>Температура в контейнере Atlas Copco</t>
        </is>
      </c>
      <c r="I172" s="243" t="inlineStr">
        <is>
          <t>ГПА 61</t>
        </is>
      </c>
      <c r="J172" s="243" t="inlineStr">
        <is>
          <t>АСУ,А и ТМ (КЦ № 6)</t>
        </is>
      </c>
      <c r="K172" s="243" t="inlineStr">
        <is>
          <t>2012</t>
        </is>
      </c>
      <c r="L172" s="243" t="inlineStr">
        <is>
          <t>24</t>
        </is>
      </c>
      <c r="M172" s="246" t="inlineStr"/>
      <c r="N172" s="245" t="inlineStr"/>
    </row>
    <row r="173" ht="22.5" customHeight="1" s="236">
      <c r="A173" s="243" t="n">
        <v>172</v>
      </c>
      <c r="B173" s="246" t="inlineStr">
        <is>
          <t>Датчик вибрации</t>
        </is>
      </c>
      <c r="C173" s="254" t="inlineStr">
        <is>
          <t>МВ-46Г</t>
        </is>
      </c>
      <c r="D173" s="254" t="inlineStr">
        <is>
          <t>112683</t>
        </is>
      </c>
      <c r="E173" s="257" t="inlineStr">
        <is>
          <t>2011</t>
        </is>
      </c>
      <c r="F173" s="257" t="inlineStr">
        <is>
          <t>0…100 мм/с</t>
        </is>
      </c>
      <c r="G173" s="254" t="inlineStr">
        <is>
          <t>2.5</t>
        </is>
      </c>
      <c r="H173" s="254" t="inlineStr">
        <is>
          <t>Виброскорость в зоне КНД (вертикаль)</t>
        </is>
      </c>
      <c r="I173" s="243" t="inlineStr">
        <is>
          <t>ГПА 61</t>
        </is>
      </c>
      <c r="J173" s="243" t="inlineStr">
        <is>
          <t>АСУ,А и ТМ (КЦ № 6)</t>
        </is>
      </c>
      <c r="K173" s="243" t="inlineStr">
        <is>
          <t>2012</t>
        </is>
      </c>
      <c r="L173" s="243" t="inlineStr">
        <is>
          <t>12</t>
        </is>
      </c>
      <c r="M173" s="246" t="inlineStr"/>
      <c r="N173" s="245" t="inlineStr"/>
    </row>
    <row r="174" ht="22.5" customHeight="1" s="236">
      <c r="A174" s="243" t="n">
        <v>173</v>
      </c>
      <c r="B174" s="246" t="inlineStr">
        <is>
          <t>Датчик вибрации</t>
        </is>
      </c>
      <c r="C174" s="254" t="inlineStr">
        <is>
          <t>МВ-46Г</t>
        </is>
      </c>
      <c r="D174" s="254" t="inlineStr">
        <is>
          <t>112701</t>
        </is>
      </c>
      <c r="E174" s="257" t="inlineStr">
        <is>
          <t>2011</t>
        </is>
      </c>
      <c r="F174" s="257" t="inlineStr">
        <is>
          <t>0…100 мм/с</t>
        </is>
      </c>
      <c r="G174" s="254" t="inlineStr">
        <is>
          <t>2.5</t>
        </is>
      </c>
      <c r="H174" s="254" t="inlineStr">
        <is>
          <t>Виброскорость в зоне КНД (горизонталь)</t>
        </is>
      </c>
      <c r="I174" s="243" t="inlineStr">
        <is>
          <t>ГПА 61</t>
        </is>
      </c>
      <c r="J174" s="243" t="inlineStr">
        <is>
          <t>АСУ,А и ТМ (КЦ № 6)</t>
        </is>
      </c>
      <c r="K174" s="243" t="inlineStr">
        <is>
          <t>2012</t>
        </is>
      </c>
      <c r="L174" s="243" t="inlineStr">
        <is>
          <t>12</t>
        </is>
      </c>
      <c r="M174" s="246" t="inlineStr"/>
      <c r="N174" s="245" t="inlineStr"/>
    </row>
    <row r="175" ht="22.5" customHeight="1" s="236">
      <c r="A175" s="243" t="n">
        <v>174</v>
      </c>
      <c r="B175" s="246" t="inlineStr">
        <is>
          <t>Датчик вибрации</t>
        </is>
      </c>
      <c r="C175" s="254" t="inlineStr">
        <is>
          <t>МВ-46Г</t>
        </is>
      </c>
      <c r="D175" s="254" t="inlineStr">
        <is>
          <t>111611</t>
        </is>
      </c>
      <c r="E175" s="257" t="inlineStr">
        <is>
          <t>2011</t>
        </is>
      </c>
      <c r="F175" s="257" t="inlineStr">
        <is>
          <t>0…100 мм/с</t>
        </is>
      </c>
      <c r="G175" s="254" t="inlineStr">
        <is>
          <t>2.5</t>
        </is>
      </c>
      <c r="H175" s="254" t="inlineStr">
        <is>
          <t>Виброскорость в зоне средней опоры (вертикаль)</t>
        </is>
      </c>
      <c r="I175" s="243" t="inlineStr">
        <is>
          <t>ГПА 61</t>
        </is>
      </c>
      <c r="J175" s="243" t="inlineStr">
        <is>
          <t>АСУ,А и ТМ (КЦ № 6)</t>
        </is>
      </c>
      <c r="K175" s="243" t="inlineStr">
        <is>
          <t>2012</t>
        </is>
      </c>
      <c r="L175" s="243" t="inlineStr">
        <is>
          <t>12</t>
        </is>
      </c>
      <c r="M175" s="246" t="inlineStr"/>
      <c r="N175" s="245" t="inlineStr"/>
    </row>
    <row r="176" ht="22.5" customHeight="1" s="236">
      <c r="A176" s="243" t="n">
        <v>175</v>
      </c>
      <c r="B176" s="246" t="inlineStr">
        <is>
          <t>Датчик вибрации</t>
        </is>
      </c>
      <c r="C176" s="254" t="inlineStr">
        <is>
          <t>МВ-46Г</t>
        </is>
      </c>
      <c r="D176" s="254" t="inlineStr">
        <is>
          <t>112687</t>
        </is>
      </c>
      <c r="E176" s="257" t="inlineStr">
        <is>
          <t>2011</t>
        </is>
      </c>
      <c r="F176" s="257" t="inlineStr">
        <is>
          <t>0…100 мм/с</t>
        </is>
      </c>
      <c r="G176" s="254" t="inlineStr">
        <is>
          <t>2.5</t>
        </is>
      </c>
      <c r="H176" s="254" t="inlineStr">
        <is>
          <t>Виброскорость в зоне средней опоры (горизонталь)</t>
        </is>
      </c>
      <c r="I176" s="243" t="inlineStr">
        <is>
          <t>ГПА 61</t>
        </is>
      </c>
      <c r="J176" s="243" t="inlineStr">
        <is>
          <t>АСУ,А и ТМ (КЦ № 6)</t>
        </is>
      </c>
      <c r="K176" s="243" t="inlineStr">
        <is>
          <t>2012</t>
        </is>
      </c>
      <c r="L176" s="243" t="inlineStr">
        <is>
          <t>12</t>
        </is>
      </c>
      <c r="M176" s="246" t="inlineStr"/>
      <c r="N176" s="245" t="inlineStr"/>
    </row>
    <row r="177" ht="22.5" customHeight="1" s="236">
      <c r="A177" s="243" t="n">
        <v>176</v>
      </c>
      <c r="B177" s="246" t="inlineStr">
        <is>
          <t>Датчик вибрации</t>
        </is>
      </c>
      <c r="C177" s="254" t="inlineStr">
        <is>
          <t>МВ-46Г</t>
        </is>
      </c>
      <c r="D177" s="254" t="inlineStr">
        <is>
          <t>84227</t>
        </is>
      </c>
      <c r="E177" s="257" t="inlineStr">
        <is>
          <t>2011</t>
        </is>
      </c>
      <c r="F177" s="257" t="inlineStr">
        <is>
          <t>0…100 мм/с</t>
        </is>
      </c>
      <c r="G177" s="254" t="inlineStr">
        <is>
          <t>2.5</t>
        </is>
      </c>
      <c r="H177" s="254" t="inlineStr">
        <is>
          <t>Виброскорость в зоне средней опоры (осевое направление)</t>
        </is>
      </c>
      <c r="I177" s="243" t="inlineStr">
        <is>
          <t>ГПА 61</t>
        </is>
      </c>
      <c r="J177" s="243" t="inlineStr">
        <is>
          <t>АСУ,А и ТМ (КЦ № 6)</t>
        </is>
      </c>
      <c r="K177" s="243" t="inlineStr">
        <is>
          <t>2012</t>
        </is>
      </c>
      <c r="L177" s="243" t="inlineStr">
        <is>
          <t>12</t>
        </is>
      </c>
      <c r="M177" s="246" t="inlineStr"/>
      <c r="N177" s="245" t="inlineStr"/>
    </row>
    <row r="178" ht="15" customHeight="1" s="236">
      <c r="A178" s="243" t="n">
        <v>177</v>
      </c>
      <c r="B178" s="246" t="inlineStr">
        <is>
          <t>Датчик вибрации</t>
        </is>
      </c>
      <c r="C178" s="254" t="inlineStr">
        <is>
          <t>МВ-44-1Г</t>
        </is>
      </c>
      <c r="D178" s="254" t="inlineStr">
        <is>
          <t>113218</t>
        </is>
      </c>
      <c r="E178" s="257" t="inlineStr">
        <is>
          <t>2011</t>
        </is>
      </c>
      <c r="F178" s="257" t="inlineStr">
        <is>
          <t>0…100 мм/с</t>
        </is>
      </c>
      <c r="G178" s="254" t="inlineStr">
        <is>
          <t>2.5</t>
        </is>
      </c>
      <c r="H178" s="254" t="inlineStr">
        <is>
          <t>Виброскорость в зоне СТ (вертикаль)</t>
        </is>
      </c>
      <c r="I178" s="243" t="inlineStr">
        <is>
          <t>ГПА 61</t>
        </is>
      </c>
      <c r="J178" s="243" t="inlineStr">
        <is>
          <t>АСУ,А и ТМ (КЦ № 6)</t>
        </is>
      </c>
      <c r="K178" s="243" t="inlineStr">
        <is>
          <t>2012</t>
        </is>
      </c>
      <c r="L178" s="243" t="inlineStr">
        <is>
          <t>12</t>
        </is>
      </c>
      <c r="M178" s="246" t="inlineStr"/>
      <c r="N178" s="245" t="inlineStr"/>
    </row>
    <row r="179" ht="22.5" customHeight="1" s="236">
      <c r="A179" s="243" t="n">
        <v>178</v>
      </c>
      <c r="B179" s="246" t="inlineStr">
        <is>
          <t>Датчик вибрации</t>
        </is>
      </c>
      <c r="C179" s="254" t="inlineStr">
        <is>
          <t>МВ-44-1Г</t>
        </is>
      </c>
      <c r="D179" s="254" t="inlineStr">
        <is>
          <t>120085</t>
        </is>
      </c>
      <c r="E179" s="257" t="inlineStr">
        <is>
          <t>2011</t>
        </is>
      </c>
      <c r="F179" s="257" t="inlineStr">
        <is>
          <t>0…100 мм/с</t>
        </is>
      </c>
      <c r="G179" s="254" t="inlineStr">
        <is>
          <t>2.5</t>
        </is>
      </c>
      <c r="H179" s="254" t="inlineStr">
        <is>
          <t>Виброскорость в зоне СТ (горизонталь)</t>
        </is>
      </c>
      <c r="I179" s="243" t="inlineStr">
        <is>
          <t>ГПА 61</t>
        </is>
      </c>
      <c r="J179" s="243" t="inlineStr">
        <is>
          <t>АСУ,А и ТМ (КЦ № 6)</t>
        </is>
      </c>
      <c r="K179" s="243" t="inlineStr">
        <is>
          <t>2012</t>
        </is>
      </c>
      <c r="L179" s="243" t="inlineStr">
        <is>
          <t>12</t>
        </is>
      </c>
      <c r="M179" s="246" t="inlineStr"/>
      <c r="N179" s="245" t="inlineStr"/>
    </row>
    <row r="180" ht="15" customHeight="1" s="236">
      <c r="A180" s="243" t="n">
        <v>179</v>
      </c>
      <c r="B180" s="253" t="inlineStr">
        <is>
          <t>Манометр технический</t>
        </is>
      </c>
      <c r="C180" s="254" t="inlineStr">
        <is>
          <t>МП4-УУ2</t>
        </is>
      </c>
      <c r="D180" s="254" t="inlineStr">
        <is>
          <t>15096</t>
        </is>
      </c>
      <c r="E180" s="257" t="inlineStr">
        <is>
          <t>2010</t>
        </is>
      </c>
      <c r="F180" s="257" t="inlineStr">
        <is>
          <t>0…160 кгс/см2</t>
        </is>
      </c>
      <c r="G180" s="254" t="inlineStr">
        <is>
          <t>1.5</t>
        </is>
      </c>
      <c r="H180" s="254" t="inlineStr">
        <is>
          <t>Р газа на входе компрессора</t>
        </is>
      </c>
      <c r="I180" s="243" t="inlineStr">
        <is>
          <t>ГПА 61</t>
        </is>
      </c>
      <c r="J180" s="243" t="inlineStr">
        <is>
          <t>АСУ,А и ТМ (КЦ № 6)</t>
        </is>
      </c>
      <c r="K180" s="243" t="inlineStr">
        <is>
          <t>2012</t>
        </is>
      </c>
      <c r="L180" s="243" t="inlineStr">
        <is>
          <t>12</t>
        </is>
      </c>
      <c r="M180" s="246" t="inlineStr">
        <is>
          <t>1К26</t>
        </is>
      </c>
      <c r="N180" s="245" t="inlineStr">
        <is>
          <t>К</t>
        </is>
      </c>
    </row>
    <row r="181" ht="15" customHeight="1" s="236">
      <c r="A181" s="243" t="n">
        <v>180</v>
      </c>
      <c r="B181" s="253" t="inlineStr">
        <is>
          <t>Манометр технический</t>
        </is>
      </c>
      <c r="C181" s="254" t="inlineStr">
        <is>
          <t>МП4-УУ2</t>
        </is>
      </c>
      <c r="D181" s="254" t="inlineStr">
        <is>
          <t>15385</t>
        </is>
      </c>
      <c r="E181" s="257" t="inlineStr">
        <is>
          <t>2010</t>
        </is>
      </c>
      <c r="F181" s="257" t="inlineStr">
        <is>
          <t>0…160 кгс/см2</t>
        </is>
      </c>
      <c r="G181" s="254" t="inlineStr">
        <is>
          <t>1.5</t>
        </is>
      </c>
      <c r="H181" s="254" t="inlineStr">
        <is>
          <t>Р газа на выходе компрессора</t>
        </is>
      </c>
      <c r="I181" s="243" t="inlineStr">
        <is>
          <t>ГПА 61</t>
        </is>
      </c>
      <c r="J181" s="243" t="inlineStr">
        <is>
          <t>АСУ,А и ТМ (КЦ № 6)</t>
        </is>
      </c>
      <c r="K181" s="243" t="inlineStr">
        <is>
          <t>2012</t>
        </is>
      </c>
      <c r="L181" s="243" t="inlineStr">
        <is>
          <t>12</t>
        </is>
      </c>
      <c r="M181" s="246" t="inlineStr">
        <is>
          <t>1К26</t>
        </is>
      </c>
      <c r="N181" s="245" t="inlineStr">
        <is>
          <t>К</t>
        </is>
      </c>
    </row>
    <row r="182" ht="15" customHeight="1" s="236">
      <c r="A182" s="243" t="n">
        <v>181</v>
      </c>
      <c r="B182" s="253" t="inlineStr">
        <is>
          <t>Манометр технический</t>
        </is>
      </c>
      <c r="C182" s="254" t="inlineStr">
        <is>
          <t>МП4-УУ2</t>
        </is>
      </c>
      <c r="D182" s="254" t="inlineStr">
        <is>
          <t>15100</t>
        </is>
      </c>
      <c r="E182" s="257" t="inlineStr">
        <is>
          <t>2010</t>
        </is>
      </c>
      <c r="F182" s="257" t="inlineStr">
        <is>
          <t>0…160 кгс/см2</t>
        </is>
      </c>
      <c r="G182" s="254" t="inlineStr">
        <is>
          <t>1.5</t>
        </is>
      </c>
      <c r="H182" s="254" t="inlineStr">
        <is>
          <t>Р газа в Ф1</t>
        </is>
      </c>
      <c r="I182" s="243" t="inlineStr">
        <is>
          <t>ГПА 61</t>
        </is>
      </c>
      <c r="J182" s="243" t="inlineStr">
        <is>
          <t>АСУ,А и ТМ (КЦ № 6)</t>
        </is>
      </c>
      <c r="K182" s="243" t="inlineStr">
        <is>
          <t>2012</t>
        </is>
      </c>
      <c r="L182" s="243" t="inlineStr">
        <is>
          <t>12</t>
        </is>
      </c>
      <c r="M182" s="246" t="inlineStr">
        <is>
          <t>26ДЯУ</t>
        </is>
      </c>
      <c r="N182" s="245" t="inlineStr">
        <is>
          <t>П</t>
        </is>
      </c>
      <c r="O182" s="247" t="n"/>
    </row>
    <row r="183" ht="15" customHeight="1" s="236">
      <c r="A183" s="243" t="n">
        <v>182</v>
      </c>
      <c r="B183" s="253" t="inlineStr">
        <is>
          <t>Манометр технический</t>
        </is>
      </c>
      <c r="C183" s="254" t="inlineStr">
        <is>
          <t>МП4-УУ2</t>
        </is>
      </c>
      <c r="D183" s="254" t="inlineStr">
        <is>
          <t>15410</t>
        </is>
      </c>
      <c r="E183" s="257" t="inlineStr">
        <is>
          <t>2010</t>
        </is>
      </c>
      <c r="F183" s="257" t="inlineStr">
        <is>
          <t>0…160 кгс/см2</t>
        </is>
      </c>
      <c r="G183" s="254" t="inlineStr">
        <is>
          <t>1</t>
        </is>
      </c>
      <c r="H183" s="254" t="inlineStr">
        <is>
          <t>Р газа в Ф2</t>
        </is>
      </c>
      <c r="I183" s="243" t="inlineStr">
        <is>
          <t>ГПА 61</t>
        </is>
      </c>
      <c r="J183" s="243" t="inlineStr">
        <is>
          <t>АСУ,А и ТМ (КЦ № 6)</t>
        </is>
      </c>
      <c r="K183" s="243" t="inlineStr">
        <is>
          <t>2012</t>
        </is>
      </c>
      <c r="L183" s="243" t="inlineStr">
        <is>
          <t>12</t>
        </is>
      </c>
      <c r="M183" s="246" t="inlineStr">
        <is>
          <t>26ДЯУ</t>
        </is>
      </c>
      <c r="N183" s="245" t="inlineStr">
        <is>
          <t>П</t>
        </is>
      </c>
      <c r="O183" s="247" t="n"/>
    </row>
    <row r="184" ht="15" customHeight="1" s="236">
      <c r="A184" s="243" t="n">
        <v>183</v>
      </c>
      <c r="B184" s="253" t="inlineStr">
        <is>
          <t>Манометр технический</t>
        </is>
      </c>
      <c r="C184" s="254" t="inlineStr">
        <is>
          <t>МП4-УУ2</t>
        </is>
      </c>
      <c r="D184" s="254" t="inlineStr">
        <is>
          <t>15575</t>
        </is>
      </c>
      <c r="E184" s="257" t="inlineStr">
        <is>
          <t>2010</t>
        </is>
      </c>
      <c r="F184" s="257" t="inlineStr">
        <is>
          <t>0…0,6 кгс/см2</t>
        </is>
      </c>
      <c r="G184" s="254" t="inlineStr">
        <is>
          <t>1.5</t>
        </is>
      </c>
      <c r="H184" s="254" t="inlineStr">
        <is>
          <t>Р воздуха после РДВ</t>
        </is>
      </c>
      <c r="I184" s="243" t="inlineStr">
        <is>
          <t>ГПА 61</t>
        </is>
      </c>
      <c r="J184" s="243" t="inlineStr">
        <is>
          <t>АСУ,А и ТМ (КЦ № 6)</t>
        </is>
      </c>
      <c r="K184" s="243" t="inlineStr">
        <is>
          <t>2012</t>
        </is>
      </c>
      <c r="L184" s="243" t="inlineStr">
        <is>
          <t>12</t>
        </is>
      </c>
      <c r="M184" s="246" t="inlineStr">
        <is>
          <t>1К26</t>
        </is>
      </c>
      <c r="N184" s="245" t="inlineStr">
        <is>
          <t>К</t>
        </is>
      </c>
    </row>
    <row r="185" ht="15" customHeight="1" s="236">
      <c r="A185" s="243" t="n">
        <v>184</v>
      </c>
      <c r="B185" s="253" t="inlineStr">
        <is>
          <t>Манометр технический</t>
        </is>
      </c>
      <c r="C185" s="254" t="inlineStr">
        <is>
          <t>МП4-УУ2</t>
        </is>
      </c>
      <c r="D185" s="254" t="inlineStr">
        <is>
          <t>15293</t>
        </is>
      </c>
      <c r="E185" s="257" t="inlineStr">
        <is>
          <t>2010</t>
        </is>
      </c>
      <c r="F185" s="257" t="inlineStr">
        <is>
          <t>0…16 кгс/см2</t>
        </is>
      </c>
      <c r="G185" s="254" t="inlineStr">
        <is>
          <t>1.5</t>
        </is>
      </c>
      <c r="H185" s="254" t="inlineStr">
        <is>
          <t>Р воздуха на входе фильтров</t>
        </is>
      </c>
      <c r="I185" s="243" t="inlineStr">
        <is>
          <t>ГПА 61</t>
        </is>
      </c>
      <c r="J185" s="243" t="inlineStr">
        <is>
          <t>АСУ,А и ТМ (КЦ № 6)</t>
        </is>
      </c>
      <c r="K185" s="243" t="inlineStr">
        <is>
          <t>2012</t>
        </is>
      </c>
      <c r="L185" s="243" t="inlineStr">
        <is>
          <t>12</t>
        </is>
      </c>
      <c r="M185" s="246" t="inlineStr">
        <is>
          <t>1К26</t>
        </is>
      </c>
      <c r="N185" s="245" t="inlineStr">
        <is>
          <t>К</t>
        </is>
      </c>
    </row>
    <row r="186" ht="15" customHeight="1" s="236">
      <c r="A186" s="243" t="n">
        <v>185</v>
      </c>
      <c r="B186" s="253" t="inlineStr">
        <is>
          <t>Манометр технический</t>
        </is>
      </c>
      <c r="C186" s="254" t="inlineStr">
        <is>
          <t>МП4-УУ2</t>
        </is>
      </c>
      <c r="D186" s="254" t="inlineStr">
        <is>
          <t>15113</t>
        </is>
      </c>
      <c r="E186" s="257" t="inlineStr">
        <is>
          <t>2010</t>
        </is>
      </c>
      <c r="F186" s="257" t="inlineStr">
        <is>
          <t>0…16 кгс/см2</t>
        </is>
      </c>
      <c r="G186" s="254" t="inlineStr">
        <is>
          <t>1.5</t>
        </is>
      </c>
      <c r="H186" s="254" t="inlineStr">
        <is>
          <t>Р воздуха на выходе фильтров</t>
        </is>
      </c>
      <c r="I186" s="243" t="inlineStr">
        <is>
          <t>ГПА 61</t>
        </is>
      </c>
      <c r="J186" s="243" t="inlineStr">
        <is>
          <t>АСУ,А и ТМ (КЦ № 6)</t>
        </is>
      </c>
      <c r="K186" s="243" t="inlineStr">
        <is>
          <t>2012</t>
        </is>
      </c>
      <c r="L186" s="243" t="inlineStr">
        <is>
          <t>12</t>
        </is>
      </c>
      <c r="M186" s="246" t="inlineStr">
        <is>
          <t>1К26</t>
        </is>
      </c>
      <c r="N186" s="245" t="inlineStr">
        <is>
          <t>К</t>
        </is>
      </c>
    </row>
    <row r="187" ht="22.5" customHeight="1" s="236">
      <c r="A187" s="243" t="n">
        <v>186</v>
      </c>
      <c r="B187" s="253" t="inlineStr">
        <is>
          <t>Манометр технический</t>
        </is>
      </c>
      <c r="C187" s="254" t="inlineStr">
        <is>
          <t>МП4-УУ2</t>
        </is>
      </c>
      <c r="D187" s="254" t="inlineStr">
        <is>
          <t>044</t>
        </is>
      </c>
      <c r="E187" s="257" t="inlineStr">
        <is>
          <t>2010</t>
        </is>
      </c>
      <c r="F187" s="257" t="inlineStr">
        <is>
          <t>0…6 кгс/см2</t>
        </is>
      </c>
      <c r="G187" s="254" t="inlineStr">
        <is>
          <t>1.5</t>
        </is>
      </c>
      <c r="H187" s="254" t="inlineStr">
        <is>
          <t>Р масла до фильтров подпитки двигателя</t>
        </is>
      </c>
      <c r="I187" s="243" t="inlineStr">
        <is>
          <t>ГПА 61</t>
        </is>
      </c>
      <c r="J187" s="243" t="inlineStr">
        <is>
          <t>АСУ,А и ТМ (КЦ № 6)</t>
        </is>
      </c>
      <c r="K187" s="243" t="inlineStr">
        <is>
          <t>2012</t>
        </is>
      </c>
      <c r="L187" s="243" t="inlineStr">
        <is>
          <t>12</t>
        </is>
      </c>
      <c r="M187" s="246" t="inlineStr">
        <is>
          <t>1К26</t>
        </is>
      </c>
      <c r="N187" s="245" t="inlineStr">
        <is>
          <t>К</t>
        </is>
      </c>
    </row>
    <row r="188" ht="22.5" customHeight="1" s="236">
      <c r="A188" s="243" t="n">
        <v>187</v>
      </c>
      <c r="B188" s="253" t="inlineStr">
        <is>
          <t>Манометр технический</t>
        </is>
      </c>
      <c r="C188" s="254" t="inlineStr">
        <is>
          <t>МП4-УУ2</t>
        </is>
      </c>
      <c r="D188" s="254" t="inlineStr">
        <is>
          <t>15306</t>
        </is>
      </c>
      <c r="E188" s="257" t="inlineStr">
        <is>
          <t>2010</t>
        </is>
      </c>
      <c r="F188" s="257" t="inlineStr">
        <is>
          <t>0…6 кгс/см2</t>
        </is>
      </c>
      <c r="G188" s="254" t="inlineStr">
        <is>
          <t>1.5</t>
        </is>
      </c>
      <c r="H188" s="254" t="inlineStr">
        <is>
          <t>Р масла после фильтров подпитки двигателя</t>
        </is>
      </c>
      <c r="I188" s="243" t="inlineStr">
        <is>
          <t>ГПА 61</t>
        </is>
      </c>
      <c r="J188" s="243" t="inlineStr">
        <is>
          <t>АСУ,А и ТМ (КЦ № 6)</t>
        </is>
      </c>
      <c r="K188" s="243" t="inlineStr">
        <is>
          <t>2012</t>
        </is>
      </c>
      <c r="L188" s="243" t="inlineStr">
        <is>
          <t>12</t>
        </is>
      </c>
      <c r="M188" s="246" t="inlineStr">
        <is>
          <t>1К26</t>
        </is>
      </c>
      <c r="N188" s="245" t="inlineStr">
        <is>
          <t>К</t>
        </is>
      </c>
    </row>
    <row r="189" ht="15" customHeight="1" s="236">
      <c r="A189" s="243" t="n">
        <v>188</v>
      </c>
      <c r="B189" s="253" t="inlineStr">
        <is>
          <t>Манометр технический</t>
        </is>
      </c>
      <c r="C189" s="254" t="inlineStr">
        <is>
          <t>МП4-УУ2</t>
        </is>
      </c>
      <c r="D189" s="254" t="inlineStr">
        <is>
          <t>40190</t>
        </is>
      </c>
      <c r="E189" s="257" t="inlineStr">
        <is>
          <t>2010</t>
        </is>
      </c>
      <c r="F189" s="257" t="inlineStr">
        <is>
          <t>0…6 кгс/см2</t>
        </is>
      </c>
      <c r="G189" s="254" t="inlineStr">
        <is>
          <t>1.5</t>
        </is>
      </c>
      <c r="H189" s="254" t="inlineStr">
        <is>
          <t>Р масла до фильтров смазки двигателя</t>
        </is>
      </c>
      <c r="I189" s="243" t="inlineStr">
        <is>
          <t>ГПА 61</t>
        </is>
      </c>
      <c r="J189" s="243" t="inlineStr">
        <is>
          <t>АСУ,А и ТМ (КЦ № 6)</t>
        </is>
      </c>
      <c r="K189" s="243" t="inlineStr">
        <is>
          <t>2012</t>
        </is>
      </c>
      <c r="L189" s="243" t="inlineStr">
        <is>
          <t>12</t>
        </is>
      </c>
      <c r="M189" s="246" t="inlineStr">
        <is>
          <t>1К26</t>
        </is>
      </c>
      <c r="N189" s="245" t="inlineStr">
        <is>
          <t>К</t>
        </is>
      </c>
    </row>
    <row r="190" ht="22.5" customHeight="1" s="236">
      <c r="A190" s="243" t="n">
        <v>189</v>
      </c>
      <c r="B190" s="253" t="inlineStr">
        <is>
          <t>Манометр технический</t>
        </is>
      </c>
      <c r="C190" s="254" t="inlineStr">
        <is>
          <t>МП4-УУ2</t>
        </is>
      </c>
      <c r="D190" s="254" t="inlineStr">
        <is>
          <t>15232</t>
        </is>
      </c>
      <c r="E190" s="257" t="inlineStr">
        <is>
          <t>2010</t>
        </is>
      </c>
      <c r="F190" s="257" t="inlineStr">
        <is>
          <t>0…6 кгс/см2</t>
        </is>
      </c>
      <c r="G190" s="254" t="inlineStr">
        <is>
          <t>1.5</t>
        </is>
      </c>
      <c r="H190" s="254" t="inlineStr">
        <is>
          <t>Р масла после фильтров смазки двигателя</t>
        </is>
      </c>
      <c r="I190" s="243" t="inlineStr">
        <is>
          <t>ГПА 61</t>
        </is>
      </c>
      <c r="J190" s="243" t="inlineStr">
        <is>
          <t>АСУ,А и ТМ (КЦ № 6)</t>
        </is>
      </c>
      <c r="K190" s="243" t="inlineStr">
        <is>
          <t>2012</t>
        </is>
      </c>
      <c r="L190" s="243" t="inlineStr">
        <is>
          <t>12</t>
        </is>
      </c>
      <c r="M190" s="246" t="inlineStr">
        <is>
          <t>1К26</t>
        </is>
      </c>
      <c r="N190" s="245" t="inlineStr">
        <is>
          <t>К</t>
        </is>
      </c>
    </row>
    <row r="191" ht="22.5" customHeight="1" s="236">
      <c r="A191" s="243" t="n">
        <v>190</v>
      </c>
      <c r="B191" s="253" t="inlineStr">
        <is>
          <t>Манометр технический</t>
        </is>
      </c>
      <c r="C191" s="254" t="inlineStr">
        <is>
          <t>МП4-УУ2</t>
        </is>
      </c>
      <c r="D191" s="254" t="inlineStr">
        <is>
          <t>15188</t>
        </is>
      </c>
      <c r="E191" s="257" t="inlineStr">
        <is>
          <t>2010</t>
        </is>
      </c>
      <c r="F191" s="257" t="inlineStr">
        <is>
          <t>0…0,6 кгс/см2</t>
        </is>
      </c>
      <c r="G191" s="254" t="inlineStr">
        <is>
          <t>1.5</t>
        </is>
      </c>
      <c r="H191" s="254" t="inlineStr">
        <is>
          <t>Р воздуха смешанного потока после эжектора С1</t>
        </is>
      </c>
      <c r="I191" s="243" t="inlineStr">
        <is>
          <t>ГПА 61</t>
        </is>
      </c>
      <c r="J191" s="243" t="inlineStr">
        <is>
          <t>АСУ,А и ТМ (КЦ № 6)</t>
        </is>
      </c>
      <c r="K191" s="243" t="inlineStr">
        <is>
          <t>2012</t>
        </is>
      </c>
      <c r="L191" s="243" t="inlineStr">
        <is>
          <t>12</t>
        </is>
      </c>
      <c r="M191" s="246" t="inlineStr">
        <is>
          <t>1К26</t>
        </is>
      </c>
      <c r="N191" s="245" t="inlineStr">
        <is>
          <t>К</t>
        </is>
      </c>
    </row>
    <row r="192" ht="22.5" customHeight="1" s="236">
      <c r="A192" s="243" t="n">
        <v>191</v>
      </c>
      <c r="B192" s="253" t="inlineStr">
        <is>
          <t>Манометр технический</t>
        </is>
      </c>
      <c r="C192" s="254" t="inlineStr">
        <is>
          <t>МВП4-УУ2</t>
        </is>
      </c>
      <c r="D192" s="254" t="inlineStr">
        <is>
          <t>15285</t>
        </is>
      </c>
      <c r="E192" s="257" t="inlineStr">
        <is>
          <t>2010</t>
        </is>
      </c>
      <c r="F192" s="257" t="inlineStr">
        <is>
          <t>-1…1,5 кгс/см2</t>
        </is>
      </c>
      <c r="G192" s="254" t="inlineStr">
        <is>
          <t>1.5</t>
        </is>
      </c>
      <c r="H192" s="254" t="inlineStr">
        <is>
          <t>Р воздуха инжектируемого потока перед фильтром Ф1</t>
        </is>
      </c>
      <c r="I192" s="243" t="inlineStr">
        <is>
          <t>ГПА 61</t>
        </is>
      </c>
      <c r="J192" s="243" t="inlineStr">
        <is>
          <t>АСУ,А и ТМ (КЦ № 6)</t>
        </is>
      </c>
      <c r="K192" s="243" t="inlineStr">
        <is>
          <t>2012</t>
        </is>
      </c>
      <c r="L192" s="243" t="inlineStr">
        <is>
          <t>12</t>
        </is>
      </c>
      <c r="M192" s="246" t="inlineStr">
        <is>
          <t>1К26</t>
        </is>
      </c>
      <c r="N192" s="245" t="inlineStr">
        <is>
          <t>К</t>
        </is>
      </c>
    </row>
    <row r="193" ht="15" customHeight="1" s="236">
      <c r="A193" s="243" t="n">
        <v>192</v>
      </c>
      <c r="B193" s="253" t="inlineStr">
        <is>
          <t>Манометр технический</t>
        </is>
      </c>
      <c r="C193" s="254" t="inlineStr">
        <is>
          <t>МП4-УУ2</t>
        </is>
      </c>
      <c r="D193" s="254" t="inlineStr">
        <is>
          <t>15303</t>
        </is>
      </c>
      <c r="E193" s="257" t="inlineStr">
        <is>
          <t>2010</t>
        </is>
      </c>
      <c r="F193" s="257" t="inlineStr">
        <is>
          <t>0…16 кгс/см2</t>
        </is>
      </c>
      <c r="G193" s="254" t="inlineStr">
        <is>
          <t>1.5</t>
        </is>
      </c>
      <c r="H193" s="254" t="inlineStr">
        <is>
          <t>Р воздуха активного потока перед Др1</t>
        </is>
      </c>
      <c r="I193" s="243" t="inlineStr">
        <is>
          <t>ГПА 61</t>
        </is>
      </c>
      <c r="J193" s="243" t="inlineStr">
        <is>
          <t>АСУ,А и ТМ (КЦ № 6)</t>
        </is>
      </c>
      <c r="K193" s="243" t="inlineStr">
        <is>
          <t>2012</t>
        </is>
      </c>
      <c r="L193" s="243" t="inlineStr">
        <is>
          <t>12</t>
        </is>
      </c>
      <c r="M193" s="246" t="inlineStr">
        <is>
          <t>1К26</t>
        </is>
      </c>
      <c r="N193" s="245" t="inlineStr">
        <is>
          <t>К</t>
        </is>
      </c>
    </row>
    <row r="194" ht="15" customHeight="1" s="236">
      <c r="A194" s="243" t="n">
        <v>193</v>
      </c>
      <c r="B194" s="253" t="inlineStr">
        <is>
          <t>Манометр технический</t>
        </is>
      </c>
      <c r="C194" s="254" t="inlineStr">
        <is>
          <t>МП4-УУ2</t>
        </is>
      </c>
      <c r="D194" s="254" t="inlineStr">
        <is>
          <t>50184</t>
        </is>
      </c>
      <c r="E194" s="257" t="inlineStr">
        <is>
          <t>2010</t>
        </is>
      </c>
      <c r="F194" s="257" t="inlineStr">
        <is>
          <t>0…10 кгс/см2</t>
        </is>
      </c>
      <c r="G194" s="254" t="inlineStr">
        <is>
          <t>1.5</t>
        </is>
      </c>
      <c r="H194" s="254" t="inlineStr">
        <is>
          <t>Р воздуха активного потока после Кр1</t>
        </is>
      </c>
      <c r="I194" s="243" t="inlineStr">
        <is>
          <t>ГПА 61</t>
        </is>
      </c>
      <c r="J194" s="243" t="inlineStr">
        <is>
          <t>АСУ,А и ТМ (КЦ № 6)</t>
        </is>
      </c>
      <c r="K194" s="243" t="inlineStr">
        <is>
          <t>2012</t>
        </is>
      </c>
      <c r="L194" s="243" t="inlineStr">
        <is>
          <t>12</t>
        </is>
      </c>
      <c r="M194" s="246" t="inlineStr">
        <is>
          <t>1К26</t>
        </is>
      </c>
      <c r="N194" s="245" t="inlineStr">
        <is>
          <t>К</t>
        </is>
      </c>
    </row>
    <row r="195" ht="22.5" customHeight="1" s="236">
      <c r="A195" s="243" t="n">
        <v>194</v>
      </c>
      <c r="B195" s="253" t="inlineStr">
        <is>
          <t>Манометр технический</t>
        </is>
      </c>
      <c r="C195" s="254" t="inlineStr">
        <is>
          <t>МВП4-УУ2</t>
        </is>
      </c>
      <c r="D195" s="254" t="inlineStr">
        <is>
          <t>15443</t>
        </is>
      </c>
      <c r="E195" s="257" t="inlineStr">
        <is>
          <t>2010</t>
        </is>
      </c>
      <c r="F195" s="257" t="inlineStr">
        <is>
          <t>-1…1,5 кгс/см2</t>
        </is>
      </c>
      <c r="G195" s="254" t="inlineStr">
        <is>
          <t>1.5</t>
        </is>
      </c>
      <c r="H195" s="254" t="inlineStr">
        <is>
          <t>Р воздуха инжектируемого потока после фильтра Ф1</t>
        </is>
      </c>
      <c r="I195" s="243" t="inlineStr">
        <is>
          <t>ГПА 61</t>
        </is>
      </c>
      <c r="J195" s="243" t="inlineStr">
        <is>
          <t>АСУ,А и ТМ (КЦ № 6)</t>
        </is>
      </c>
      <c r="K195" s="243" t="inlineStr">
        <is>
          <t>2012</t>
        </is>
      </c>
      <c r="L195" s="243" t="inlineStr">
        <is>
          <t>12</t>
        </is>
      </c>
      <c r="M195" s="246" t="inlineStr">
        <is>
          <t>1К26</t>
        </is>
      </c>
      <c r="N195" s="245" t="inlineStr">
        <is>
          <t>К</t>
        </is>
      </c>
    </row>
    <row r="196" ht="15" customFormat="1" customHeight="1" s="235">
      <c r="A196" s="243" t="n">
        <v>195</v>
      </c>
      <c r="B196" s="253" t="inlineStr">
        <is>
          <t>Манометр технический</t>
        </is>
      </c>
      <c r="C196" s="254" t="inlineStr">
        <is>
          <t>МП3-УУ2</t>
        </is>
      </c>
      <c r="D196" s="254" t="inlineStr">
        <is>
          <t>211222500</t>
        </is>
      </c>
      <c r="E196" s="257" t="inlineStr"/>
      <c r="F196" s="257" t="inlineStr">
        <is>
          <t>0…1,6 МПа</t>
        </is>
      </c>
      <c r="G196" s="254" t="inlineStr">
        <is>
          <t>1.5</t>
        </is>
      </c>
      <c r="H196" s="254" t="inlineStr">
        <is>
          <t>Р воздуха в ресивере</t>
        </is>
      </c>
      <c r="I196" s="243" t="inlineStr">
        <is>
          <t>ГПА 61</t>
        </is>
      </c>
      <c r="J196" s="243" t="inlineStr">
        <is>
          <t>АСУ,А и ТМ (КЦ № 6)</t>
        </is>
      </c>
      <c r="K196" s="243" t="inlineStr">
        <is>
          <t>2012</t>
        </is>
      </c>
      <c r="L196" s="243" t="inlineStr">
        <is>
          <t>12</t>
        </is>
      </c>
      <c r="M196" s="246" t="inlineStr">
        <is>
          <t>26ДЯУ</t>
        </is>
      </c>
      <c r="N196" s="245" t="inlineStr">
        <is>
          <t>П</t>
        </is>
      </c>
      <c r="O196" s="247" t="n"/>
    </row>
    <row r="197" ht="22.5" customHeight="1" s="236">
      <c r="A197" s="243" t="n">
        <v>196</v>
      </c>
      <c r="B197" s="253" t="inlineStr">
        <is>
          <t>Термометр манометрический</t>
        </is>
      </c>
      <c r="C197" s="254" t="inlineStr">
        <is>
          <t>manotherm</t>
        </is>
      </c>
      <c r="D197" s="254" t="inlineStr">
        <is>
          <t>111502127</t>
        </is>
      </c>
      <c r="E197" s="257" t="inlineStr">
        <is>
          <t>2010</t>
        </is>
      </c>
      <c r="F197" s="257" t="inlineStr">
        <is>
          <t>­20…80°С</t>
        </is>
      </c>
      <c r="G197" s="254" t="inlineStr">
        <is>
          <t>1</t>
        </is>
      </c>
      <c r="H197" s="254" t="inlineStr">
        <is>
          <t>Тг на входе в нагнетатель</t>
        </is>
      </c>
      <c r="I197" s="243" t="inlineStr">
        <is>
          <t>ГПА 61</t>
        </is>
      </c>
      <c r="J197" s="243" t="inlineStr">
        <is>
          <t>АСУ,А и ТМ (КЦ № 6)</t>
        </is>
      </c>
      <c r="K197" s="243" t="inlineStr">
        <is>
          <t>2012</t>
        </is>
      </c>
      <c r="L197" s="243" t="inlineStr">
        <is>
          <t>24</t>
        </is>
      </c>
      <c r="M197" s="246" t="inlineStr">
        <is>
          <t>3К25</t>
        </is>
      </c>
      <c r="N197" s="245" t="inlineStr">
        <is>
          <t>К</t>
        </is>
      </c>
      <c r="O197" s="258" t="n"/>
    </row>
    <row r="198" ht="22.5" customHeight="1" s="236">
      <c r="A198" s="243" t="n">
        <v>197</v>
      </c>
      <c r="B198" s="253" t="inlineStr">
        <is>
          <t>Термометр манометрический</t>
        </is>
      </c>
      <c r="C198" s="254" t="inlineStr">
        <is>
          <t>manotherm</t>
        </is>
      </c>
      <c r="D198" s="254" t="inlineStr">
        <is>
          <t>111502124</t>
        </is>
      </c>
      <c r="E198" s="257" t="inlineStr">
        <is>
          <t>2010</t>
        </is>
      </c>
      <c r="F198" s="257" t="inlineStr">
        <is>
          <t>0…100°С</t>
        </is>
      </c>
      <c r="G198" s="254" t="inlineStr">
        <is>
          <t>1</t>
        </is>
      </c>
      <c r="H198" s="254" t="inlineStr">
        <is>
          <t>Тг на выходе нагнетателя</t>
        </is>
      </c>
      <c r="I198" s="243" t="inlineStr">
        <is>
          <t>ГПА 61</t>
        </is>
      </c>
      <c r="J198" s="243" t="inlineStr">
        <is>
          <t>АСУ,А и ТМ (КЦ № 6)</t>
        </is>
      </c>
      <c r="K198" s="243" t="inlineStr">
        <is>
          <t>2012</t>
        </is>
      </c>
      <c r="L198" s="243" t="inlineStr">
        <is>
          <t>24</t>
        </is>
      </c>
      <c r="M198" s="246" t="inlineStr">
        <is>
          <t>3К25</t>
        </is>
      </c>
      <c r="N198" s="245" t="inlineStr">
        <is>
          <t>К</t>
        </is>
      </c>
      <c r="O198" s="258" t="n"/>
    </row>
    <row r="199" ht="15" customHeight="1" s="236">
      <c r="A199" s="243" t="n">
        <v>198</v>
      </c>
      <c r="B199" s="246" t="inlineStr">
        <is>
          <t>Термометр сопротивления</t>
        </is>
      </c>
      <c r="C199" s="254" t="inlineStr">
        <is>
          <t>ТСП 012.60 Pt100/B/3</t>
        </is>
      </c>
      <c r="D199" s="254" t="inlineStr">
        <is>
          <t>312</t>
        </is>
      </c>
      <c r="E199" s="257" t="inlineStr">
        <is>
          <t>2011</t>
        </is>
      </c>
      <c r="F199" s="257" t="inlineStr">
        <is>
          <t>-60…200 °С</t>
        </is>
      </c>
      <c r="G199" s="254" t="inlineStr">
        <is>
          <t>B</t>
        </is>
      </c>
      <c r="H199" s="254" t="inlineStr">
        <is>
          <t>Температура воздуха продувки</t>
        </is>
      </c>
      <c r="I199" s="243" t="inlineStr">
        <is>
          <t>ГПА 61</t>
        </is>
      </c>
      <c r="J199" s="243" t="inlineStr">
        <is>
          <t>АСУ,А и ТМ (КЦ № 6)</t>
        </is>
      </c>
      <c r="K199" s="243" t="inlineStr">
        <is>
          <t>2012</t>
        </is>
      </c>
      <c r="L199" s="243" t="inlineStr">
        <is>
          <t>36</t>
        </is>
      </c>
      <c r="M199" s="246" t="inlineStr"/>
      <c r="N199" s="245" t="inlineStr"/>
    </row>
    <row r="200" ht="15" customHeight="1" s="236">
      <c r="A200" s="243" t="n">
        <v>199</v>
      </c>
      <c r="B200" s="253" t="inlineStr">
        <is>
          <t>Контроль загазованности</t>
        </is>
      </c>
      <c r="C200" s="254" t="inlineStr">
        <is>
          <t>Det-Tronics (PIRECL 21M)</t>
        </is>
      </c>
      <c r="D200" s="254" t="inlineStr">
        <is>
          <t>1105078</t>
        </is>
      </c>
      <c r="E200" s="257" t="inlineStr">
        <is>
          <t>2011</t>
        </is>
      </c>
      <c r="F200" s="257" t="inlineStr"/>
      <c r="G200" s="254" t="inlineStr"/>
      <c r="H200" s="254" t="inlineStr">
        <is>
          <t>Над нагнетателем (QT 201)</t>
        </is>
      </c>
      <c r="I200" s="243" t="inlineStr">
        <is>
          <t>ГПА 61</t>
        </is>
      </c>
      <c r="J200" s="243" t="inlineStr">
        <is>
          <t>АСУ,А и ТМ (КЦ № 6)</t>
        </is>
      </c>
      <c r="K200" s="243" t="inlineStr">
        <is>
          <t>2012</t>
        </is>
      </c>
      <c r="L200" s="243" t="inlineStr"/>
      <c r="M200" s="246" t="inlineStr"/>
      <c r="N200" s="245" t="inlineStr"/>
    </row>
    <row r="201" ht="15" customHeight="1" s="236">
      <c r="A201" s="243" t="n">
        <v>200</v>
      </c>
      <c r="B201" s="253" t="inlineStr">
        <is>
          <t>Контроль загазованности</t>
        </is>
      </c>
      <c r="C201" s="254" t="inlineStr">
        <is>
          <t>Det-Tronics (PIRECL 21M)</t>
        </is>
      </c>
      <c r="D201" s="254" t="inlineStr">
        <is>
          <t>1105095</t>
        </is>
      </c>
      <c r="E201" s="257" t="inlineStr">
        <is>
          <t>2011</t>
        </is>
      </c>
      <c r="F201" s="257" t="inlineStr"/>
      <c r="G201" s="254" t="inlineStr"/>
      <c r="H201" s="254" t="inlineStr">
        <is>
          <t>Над подогревателем буф.газа (QT 202)</t>
        </is>
      </c>
      <c r="I201" s="243" t="inlineStr">
        <is>
          <t>ГПА 61</t>
        </is>
      </c>
      <c r="J201" s="243" t="inlineStr">
        <is>
          <t>АСУ,А и ТМ (КЦ № 6)</t>
        </is>
      </c>
      <c r="K201" s="243" t="inlineStr">
        <is>
          <t>2012</t>
        </is>
      </c>
      <c r="L201" s="243" t="inlineStr"/>
      <c r="M201" s="246" t="inlineStr"/>
      <c r="N201" s="245" t="inlineStr"/>
    </row>
    <row r="202" ht="15" customHeight="1" s="236">
      <c r="A202" s="243" t="n">
        <v>201</v>
      </c>
      <c r="B202" s="253" t="inlineStr">
        <is>
          <t>Контроль загазованности</t>
        </is>
      </c>
      <c r="C202" s="254" t="inlineStr">
        <is>
          <t>Det-Tronics (PIRECL 21M)</t>
        </is>
      </c>
      <c r="D202" s="254" t="inlineStr">
        <is>
          <t>1105072</t>
        </is>
      </c>
      <c r="E202" s="257" t="inlineStr">
        <is>
          <t>2011</t>
        </is>
      </c>
      <c r="F202" s="257" t="inlineStr"/>
      <c r="G202" s="254" t="inlineStr"/>
      <c r="H202" s="254" t="inlineStr">
        <is>
          <t>Напротив масляной консоли (QT 203)</t>
        </is>
      </c>
      <c r="I202" s="243" t="inlineStr">
        <is>
          <t>ГПА 61</t>
        </is>
      </c>
      <c r="J202" s="243" t="inlineStr">
        <is>
          <t>АСУ,А и ТМ (КЦ № 6)</t>
        </is>
      </c>
      <c r="K202" s="243" t="inlineStr">
        <is>
          <t>2012</t>
        </is>
      </c>
      <c r="L202" s="243" t="inlineStr"/>
      <c r="M202" s="246" t="inlineStr"/>
      <c r="N202" s="245" t="inlineStr"/>
    </row>
    <row r="203" ht="15" customHeight="1" s="236">
      <c r="A203" s="243" t="n">
        <v>202</v>
      </c>
      <c r="B203" s="253" t="inlineStr">
        <is>
          <t>Контроль загазованности</t>
        </is>
      </c>
      <c r="C203" s="254" t="inlineStr">
        <is>
          <t>Det-Tronics (PIRECL 21M)</t>
        </is>
      </c>
      <c r="D203" s="254" t="inlineStr">
        <is>
          <t>1105080</t>
        </is>
      </c>
      <c r="E203" s="257" t="inlineStr">
        <is>
          <t>2011</t>
        </is>
      </c>
      <c r="F203" s="257" t="inlineStr"/>
      <c r="G203" s="254" t="inlineStr"/>
      <c r="H203" s="254" t="inlineStr">
        <is>
          <t>Под КШТ (QT100)</t>
        </is>
      </c>
      <c r="I203" s="243" t="inlineStr">
        <is>
          <t>ГПА 61</t>
        </is>
      </c>
      <c r="J203" s="243" t="inlineStr">
        <is>
          <t>АСУ,А и ТМ (КЦ № 6)</t>
        </is>
      </c>
      <c r="K203" s="243" t="inlineStr">
        <is>
          <t>10/6/2021</t>
        </is>
      </c>
      <c r="L203" s="243" t="inlineStr"/>
      <c r="M203" s="246" t="inlineStr"/>
      <c r="N203" s="245" t="inlineStr"/>
    </row>
    <row r="204" ht="22.5" customHeight="1" s="236">
      <c r="A204" s="243" t="n">
        <v>203</v>
      </c>
      <c r="B204" s="253" t="inlineStr">
        <is>
          <t>Извещатель тепловой пожарный</t>
        </is>
      </c>
      <c r="C204" s="254" t="inlineStr">
        <is>
          <t>12-х27/21-000</t>
        </is>
      </c>
      <c r="D204" s="254" t="inlineStr">
        <is>
          <t>1023</t>
        </is>
      </c>
      <c r="E204" s="257" t="inlineStr">
        <is>
          <t>2011</t>
        </is>
      </c>
      <c r="F204" s="257" t="inlineStr">
        <is>
          <t>-60…200 °С</t>
        </is>
      </c>
      <c r="G204" s="254" t="inlineStr"/>
      <c r="H204" s="254" t="inlineStr">
        <is>
          <t>Под КШТ (ВТК 101)</t>
        </is>
      </c>
      <c r="I204" s="243" t="inlineStr">
        <is>
          <t>ГПА 61</t>
        </is>
      </c>
      <c r="J204" s="243" t="inlineStr">
        <is>
          <t>АСУ,А и ТМ (КЦ № 6)</t>
        </is>
      </c>
      <c r="K204" s="243" t="inlineStr">
        <is>
          <t>2012</t>
        </is>
      </c>
      <c r="L204" s="243" t="inlineStr"/>
      <c r="M204" s="246" t="inlineStr"/>
      <c r="N204" s="245" t="inlineStr"/>
    </row>
    <row r="205" ht="22.5" customHeight="1" s="236">
      <c r="A205" s="243" t="n">
        <v>204</v>
      </c>
      <c r="B205" s="253" t="inlineStr">
        <is>
          <t>Извещатель тепловой пожарный</t>
        </is>
      </c>
      <c r="C205" s="254" t="inlineStr">
        <is>
          <t>12-х27/21-000</t>
        </is>
      </c>
      <c r="D205" s="254" t="inlineStr">
        <is>
          <t>1024</t>
        </is>
      </c>
      <c r="E205" s="257" t="inlineStr">
        <is>
          <t>2011</t>
        </is>
      </c>
      <c r="F205" s="257" t="inlineStr">
        <is>
          <t>-60…200 °С</t>
        </is>
      </c>
      <c r="G205" s="254" t="inlineStr"/>
      <c r="H205" s="254" t="inlineStr">
        <is>
          <t>Под КШТ (ВТК 102)</t>
        </is>
      </c>
      <c r="I205" s="243" t="inlineStr">
        <is>
          <t>ГПА 61</t>
        </is>
      </c>
      <c r="J205" s="243" t="inlineStr">
        <is>
          <t>АСУ,А и ТМ (КЦ № 6)</t>
        </is>
      </c>
      <c r="K205" s="243" t="inlineStr">
        <is>
          <t>2012</t>
        </is>
      </c>
      <c r="L205" s="243" t="inlineStr"/>
      <c r="M205" s="246" t="inlineStr"/>
      <c r="N205" s="245" t="inlineStr"/>
    </row>
    <row r="206" ht="22.5" customHeight="1" s="236">
      <c r="A206" s="243" t="n">
        <v>205</v>
      </c>
      <c r="B206" s="253" t="inlineStr">
        <is>
          <t>Извещатель тепловой пожарный</t>
        </is>
      </c>
      <c r="C206" s="254" t="inlineStr">
        <is>
          <t>12-х27/21-000</t>
        </is>
      </c>
      <c r="D206" s="254" t="inlineStr">
        <is>
          <t>1026</t>
        </is>
      </c>
      <c r="E206" s="257" t="inlineStr">
        <is>
          <t>2011</t>
        </is>
      </c>
      <c r="F206" s="257" t="inlineStr">
        <is>
          <t>-60…200 °С</t>
        </is>
      </c>
      <c r="G206" s="254" t="inlineStr"/>
      <c r="H206" s="254" t="inlineStr">
        <is>
          <t>Под КШТ (ВТК 103)</t>
        </is>
      </c>
      <c r="I206" s="243" t="inlineStr">
        <is>
          <t>ГПА 61</t>
        </is>
      </c>
      <c r="J206" s="243" t="inlineStr">
        <is>
          <t>АСУ,А и ТМ (КЦ № 6)</t>
        </is>
      </c>
      <c r="K206" s="243" t="inlineStr">
        <is>
          <t>2012</t>
        </is>
      </c>
      <c r="L206" s="243" t="inlineStr"/>
      <c r="M206" s="246" t="inlineStr"/>
      <c r="N206" s="245" t="inlineStr"/>
    </row>
    <row r="207" ht="22.5" customHeight="1" s="236">
      <c r="A207" s="243" t="n">
        <v>206</v>
      </c>
      <c r="B207" s="253" t="inlineStr">
        <is>
          <t>Извещатель тепловой пожарный</t>
        </is>
      </c>
      <c r="C207" s="254" t="inlineStr">
        <is>
          <t>12-х27/21-000</t>
        </is>
      </c>
      <c r="D207" s="254" t="inlineStr">
        <is>
          <t>1053</t>
        </is>
      </c>
      <c r="E207" s="257" t="inlineStr">
        <is>
          <t>2011</t>
        </is>
      </c>
      <c r="F207" s="257" t="inlineStr">
        <is>
          <t>-60…200 °С</t>
        </is>
      </c>
      <c r="G207" s="254" t="inlineStr"/>
      <c r="H207" s="254" t="inlineStr">
        <is>
          <t>Под КШТ (ВТК 104)</t>
        </is>
      </c>
      <c r="I207" s="243" t="inlineStr">
        <is>
          <t>ГПА 61</t>
        </is>
      </c>
      <c r="J207" s="243" t="inlineStr">
        <is>
          <t>АСУ,А и ТМ (КЦ № 6)</t>
        </is>
      </c>
      <c r="K207" s="243" t="inlineStr">
        <is>
          <t>2012</t>
        </is>
      </c>
      <c r="L207" s="243" t="inlineStr"/>
      <c r="M207" s="246" t="inlineStr"/>
      <c r="N207" s="245" t="inlineStr"/>
    </row>
    <row r="208" ht="15" customHeight="1" s="236">
      <c r="A208" s="243" t="n">
        <v>207</v>
      </c>
      <c r="B208" s="253" t="inlineStr">
        <is>
          <t>Датчик пламени</t>
        </is>
      </c>
      <c r="C208" s="254" t="inlineStr">
        <is>
          <t>ИП330/3-20-А1</t>
        </is>
      </c>
      <c r="D208" s="254" t="inlineStr">
        <is>
          <t>000957</t>
        </is>
      </c>
      <c r="E208" s="257" t="inlineStr">
        <is>
          <t>2011</t>
        </is>
      </c>
      <c r="F208" s="257" t="inlineStr"/>
      <c r="G208" s="254" t="inlineStr"/>
      <c r="H208" s="254" t="inlineStr">
        <is>
          <t>Над входом слева (BTF201)</t>
        </is>
      </c>
      <c r="I208" s="243" t="inlineStr">
        <is>
          <t>ГПА 61</t>
        </is>
      </c>
      <c r="J208" s="243" t="inlineStr">
        <is>
          <t>АСУ,А и ТМ (КЦ № 6)</t>
        </is>
      </c>
      <c r="K208" s="243" t="inlineStr">
        <is>
          <t>2012</t>
        </is>
      </c>
      <c r="L208" s="243" t="inlineStr"/>
      <c r="M208" s="246" t="inlineStr"/>
      <c r="N208" s="245" t="inlineStr"/>
    </row>
    <row r="209" ht="15" customHeight="1" s="236">
      <c r="A209" s="243" t="n">
        <v>208</v>
      </c>
      <c r="B209" s="253" t="inlineStr">
        <is>
          <t>Датчик пламени</t>
        </is>
      </c>
      <c r="C209" s="254" t="inlineStr">
        <is>
          <t>ИП330/3-20-А1</t>
        </is>
      </c>
      <c r="D209" s="254" t="inlineStr">
        <is>
          <t>000958</t>
        </is>
      </c>
      <c r="E209" s="257" t="inlineStr">
        <is>
          <t>2011</t>
        </is>
      </c>
      <c r="F209" s="257" t="inlineStr"/>
      <c r="G209" s="254" t="inlineStr"/>
      <c r="H209" s="254" t="inlineStr">
        <is>
          <t>Над входом с АВОг (BTF204)</t>
        </is>
      </c>
      <c r="I209" s="243" t="inlineStr">
        <is>
          <t>ГПА 61</t>
        </is>
      </c>
      <c r="J209" s="243" t="inlineStr">
        <is>
          <t>АСУ,А и ТМ (КЦ № 6)</t>
        </is>
      </c>
      <c r="K209" s="243" t="inlineStr">
        <is>
          <t>2012</t>
        </is>
      </c>
      <c r="L209" s="243" t="inlineStr"/>
      <c r="M209" s="246" t="inlineStr"/>
      <c r="N209" s="245" t="inlineStr"/>
    </row>
    <row r="210" ht="15" customHeight="1" s="236">
      <c r="A210" s="243" t="n">
        <v>209</v>
      </c>
      <c r="B210" s="253" t="inlineStr">
        <is>
          <t>Датчик пламени</t>
        </is>
      </c>
      <c r="C210" s="254" t="inlineStr">
        <is>
          <t>ИП330/3-20-А1</t>
        </is>
      </c>
      <c r="D210" s="254" t="inlineStr">
        <is>
          <t>001020</t>
        </is>
      </c>
      <c r="E210" s="257" t="inlineStr">
        <is>
          <t>2011</t>
        </is>
      </c>
      <c r="F210" s="257" t="inlineStr"/>
      <c r="G210" s="254" t="inlineStr"/>
      <c r="H210" s="254" t="inlineStr">
        <is>
          <t>На леснице слева (BTF202)</t>
        </is>
      </c>
      <c r="I210" s="243" t="inlineStr">
        <is>
          <t>ГПА 61</t>
        </is>
      </c>
      <c r="J210" s="243" t="inlineStr">
        <is>
          <t>АСУ,А и ТМ (КЦ № 6)</t>
        </is>
      </c>
      <c r="K210" s="243" t="inlineStr">
        <is>
          <t>2012</t>
        </is>
      </c>
      <c r="L210" s="243" t="inlineStr"/>
      <c r="M210" s="246" t="inlineStr"/>
      <c r="N210" s="245" t="inlineStr"/>
    </row>
    <row r="211" ht="15" customHeight="1" s="236">
      <c r="A211" s="243" t="n">
        <v>210</v>
      </c>
      <c r="B211" s="253" t="inlineStr">
        <is>
          <t>Датчик пламени</t>
        </is>
      </c>
      <c r="C211" s="254" t="inlineStr">
        <is>
          <t>ИП330/3-20-А1</t>
        </is>
      </c>
      <c r="D211" s="254" t="inlineStr">
        <is>
          <t>000997</t>
        </is>
      </c>
      <c r="E211" s="257" t="inlineStr">
        <is>
          <t>2011</t>
        </is>
      </c>
      <c r="F211" s="257" t="inlineStr"/>
      <c r="G211" s="254" t="inlineStr"/>
      <c r="H211" s="254" t="inlineStr">
        <is>
          <t>На леснице справа (BTF203)</t>
        </is>
      </c>
      <c r="I211" s="243" t="inlineStr">
        <is>
          <t>ГПА 61</t>
        </is>
      </c>
      <c r="J211" s="243" t="inlineStr">
        <is>
          <t>АСУ,А и ТМ (КЦ № 6)</t>
        </is>
      </c>
      <c r="K211" s="243" t="inlineStr">
        <is>
          <t>2012</t>
        </is>
      </c>
      <c r="L211" s="243" t="inlineStr"/>
      <c r="M211" s="246" t="inlineStr"/>
      <c r="N211" s="245" t="inlineStr"/>
    </row>
    <row r="212" ht="15" customHeight="1" s="236">
      <c r="A212" s="243" t="n">
        <v>211</v>
      </c>
      <c r="B212" s="253" t="inlineStr">
        <is>
          <t>Датчик пламени</t>
        </is>
      </c>
      <c r="C212" s="254" t="inlineStr">
        <is>
          <t>ИП330/3-20-А1</t>
        </is>
      </c>
      <c r="D212" s="254" t="inlineStr">
        <is>
          <t>000948</t>
        </is>
      </c>
      <c r="E212" s="257" t="inlineStr">
        <is>
          <t>2011</t>
        </is>
      </c>
      <c r="F212" s="257" t="inlineStr"/>
      <c r="G212" s="254" t="inlineStr"/>
      <c r="H212" s="254" t="inlineStr">
        <is>
          <t>Над т.г. (BTF207)</t>
        </is>
      </c>
      <c r="I212" s="243" t="inlineStr">
        <is>
          <t>ГПА 61</t>
        </is>
      </c>
      <c r="J212" s="243" t="inlineStr">
        <is>
          <t>АСУ,А и ТМ (КЦ № 6)</t>
        </is>
      </c>
      <c r="K212" s="243" t="inlineStr">
        <is>
          <t>2012</t>
        </is>
      </c>
      <c r="L212" s="243" t="inlineStr"/>
      <c r="M212" s="246" t="inlineStr"/>
      <c r="N212" s="245" t="inlineStr"/>
    </row>
    <row r="213" ht="15" customHeight="1" s="236">
      <c r="A213" s="243" t="n">
        <v>212</v>
      </c>
      <c r="B213" s="253" t="inlineStr">
        <is>
          <t>Датчик пламени</t>
        </is>
      </c>
      <c r="C213" s="254" t="inlineStr">
        <is>
          <t>ИП330/1-20-А1</t>
        </is>
      </c>
      <c r="D213" s="254" t="inlineStr">
        <is>
          <t>001345</t>
        </is>
      </c>
      <c r="E213" s="257" t="inlineStr">
        <is>
          <t>2011</t>
        </is>
      </c>
      <c r="F213" s="257" t="inlineStr"/>
      <c r="G213" s="254" t="inlineStr"/>
      <c r="H213" s="254" t="inlineStr">
        <is>
          <t>Под КШТ (BTF102)</t>
        </is>
      </c>
      <c r="I213" s="243" t="inlineStr">
        <is>
          <t>ГПА 61</t>
        </is>
      </c>
      <c r="J213" s="243" t="inlineStr">
        <is>
          <t>АСУ,А и ТМ (КЦ № 6)</t>
        </is>
      </c>
      <c r="K213" s="243" t="inlineStr">
        <is>
          <t>2012</t>
        </is>
      </c>
      <c r="L213" s="243" t="inlineStr"/>
      <c r="M213" s="246" t="inlineStr"/>
      <c r="N213" s="245" t="inlineStr"/>
    </row>
    <row r="214" ht="15" customHeight="1" s="236">
      <c r="A214" s="243" t="n">
        <v>213</v>
      </c>
      <c r="B214" s="253" t="inlineStr">
        <is>
          <t>Датчик пламени</t>
        </is>
      </c>
      <c r="C214" s="254" t="inlineStr">
        <is>
          <t>ИП330/1-20-А1</t>
        </is>
      </c>
      <c r="D214" s="254" t="inlineStr">
        <is>
          <t>001171</t>
        </is>
      </c>
      <c r="E214" s="257" t="inlineStr">
        <is>
          <t>2011</t>
        </is>
      </c>
      <c r="F214" s="257" t="inlineStr"/>
      <c r="G214" s="254" t="inlineStr"/>
      <c r="H214" s="254" t="inlineStr">
        <is>
          <t>Под КШТ (BTF101)</t>
        </is>
      </c>
      <c r="I214" s="243" t="inlineStr">
        <is>
          <t>ГПА 61</t>
        </is>
      </c>
      <c r="J214" s="243" t="inlineStr">
        <is>
          <t>АСУ,А и ТМ (КЦ № 6)</t>
        </is>
      </c>
      <c r="K214" s="243" t="inlineStr">
        <is>
          <t>2012</t>
        </is>
      </c>
      <c r="L214" s="243" t="inlineStr"/>
      <c r="M214" s="246" t="inlineStr"/>
      <c r="N214" s="245" t="inlineStr"/>
    </row>
    <row r="215" ht="15" customHeight="1" s="236">
      <c r="A215" s="243" t="n">
        <v>214</v>
      </c>
      <c r="B215" s="253" t="inlineStr">
        <is>
          <t>Датчик пламени</t>
        </is>
      </c>
      <c r="C215" s="254" t="inlineStr">
        <is>
          <t>ИП330/3-20-А1</t>
        </is>
      </c>
      <c r="D215" s="254" t="inlineStr">
        <is>
          <t>000987</t>
        </is>
      </c>
      <c r="E215" s="257" t="inlineStr">
        <is>
          <t>2011</t>
        </is>
      </c>
      <c r="F215" s="257" t="inlineStr"/>
      <c r="G215" s="254" t="inlineStr"/>
      <c r="H215" s="254" t="inlineStr">
        <is>
          <t>Масл.консоль (BTF211)</t>
        </is>
      </c>
      <c r="I215" s="243" t="inlineStr">
        <is>
          <t>ГПА 61</t>
        </is>
      </c>
      <c r="J215" s="243" t="inlineStr">
        <is>
          <t>АСУ,А и ТМ (КЦ № 6)</t>
        </is>
      </c>
      <c r="K215" s="243" t="inlineStr">
        <is>
          <t>2012</t>
        </is>
      </c>
      <c r="L215" s="243" t="inlineStr"/>
      <c r="M215" s="246" t="inlineStr"/>
      <c r="N215" s="245" t="inlineStr"/>
    </row>
    <row r="216" ht="15" customHeight="1" s="236">
      <c r="A216" s="243" t="n">
        <v>215</v>
      </c>
      <c r="B216" s="253" t="inlineStr">
        <is>
          <t>Датчик пламени</t>
        </is>
      </c>
      <c r="C216" s="254" t="inlineStr">
        <is>
          <t>ИП330/3-20-А1</t>
        </is>
      </c>
      <c r="D216" s="254" t="inlineStr">
        <is>
          <t>000947</t>
        </is>
      </c>
      <c r="E216" s="257" t="inlineStr">
        <is>
          <t>2011</t>
        </is>
      </c>
      <c r="F216" s="257" t="inlineStr"/>
      <c r="G216" s="254" t="inlineStr"/>
      <c r="H216" s="254" t="inlineStr">
        <is>
          <t>(BTF210)</t>
        </is>
      </c>
      <c r="I216" s="243" t="inlineStr">
        <is>
          <t>ГПА 61</t>
        </is>
      </c>
      <c r="J216" s="243" t="inlineStr">
        <is>
          <t>АСУ,А и ТМ (КЦ № 6)</t>
        </is>
      </c>
      <c r="K216" s="243" t="inlineStr">
        <is>
          <t>2012</t>
        </is>
      </c>
      <c r="L216" s="243" t="inlineStr"/>
      <c r="M216" s="246" t="inlineStr"/>
      <c r="N216" s="245" t="inlineStr"/>
    </row>
    <row r="217" ht="15" customHeight="1" s="236">
      <c r="A217" s="243" t="n">
        <v>216</v>
      </c>
      <c r="B217" s="253" t="inlineStr">
        <is>
          <t>Датчик пламени</t>
        </is>
      </c>
      <c r="C217" s="254" t="inlineStr">
        <is>
          <t>ИП330/3-20-А1</t>
        </is>
      </c>
      <c r="D217" s="254" t="inlineStr">
        <is>
          <t>000979</t>
        </is>
      </c>
      <c r="E217" s="257" t="inlineStr">
        <is>
          <t>2011</t>
        </is>
      </c>
      <c r="F217" s="257" t="inlineStr"/>
      <c r="G217" s="254" t="inlineStr"/>
      <c r="H217" s="254" t="inlineStr">
        <is>
          <t>(BTF208)</t>
        </is>
      </c>
      <c r="I217" s="243" t="inlineStr">
        <is>
          <t>ГПА 61</t>
        </is>
      </c>
      <c r="J217" s="243" t="inlineStr">
        <is>
          <t>АСУ,А и ТМ (КЦ № 6)</t>
        </is>
      </c>
      <c r="K217" s="243" t="inlineStr">
        <is>
          <t>2012</t>
        </is>
      </c>
      <c r="L217" s="243" t="inlineStr"/>
      <c r="M217" s="246" t="inlineStr"/>
      <c r="N217" s="245" t="inlineStr"/>
    </row>
    <row r="218" ht="15" customHeight="1" s="236">
      <c r="A218" s="243" t="n">
        <v>217</v>
      </c>
      <c r="B218" s="253" t="inlineStr">
        <is>
          <t>Датчик пламени</t>
        </is>
      </c>
      <c r="C218" s="254" t="inlineStr">
        <is>
          <t>ИП330/3-20-А1</t>
        </is>
      </c>
      <c r="D218" s="254" t="inlineStr">
        <is>
          <t>000978</t>
        </is>
      </c>
      <c r="E218" s="257" t="inlineStr">
        <is>
          <t>2011</t>
        </is>
      </c>
      <c r="F218" s="257" t="inlineStr"/>
      <c r="G218" s="254" t="inlineStr"/>
      <c r="H218" s="254" t="inlineStr">
        <is>
          <t>(BTF206)</t>
        </is>
      </c>
      <c r="I218" s="243" t="inlineStr">
        <is>
          <t>ГПА 61</t>
        </is>
      </c>
      <c r="J218" s="243" t="inlineStr">
        <is>
          <t>АСУ,А и ТМ (КЦ № 6)</t>
        </is>
      </c>
      <c r="K218" s="243" t="inlineStr">
        <is>
          <t>2012</t>
        </is>
      </c>
      <c r="L218" s="243" t="inlineStr"/>
      <c r="M218" s="246" t="inlineStr"/>
      <c r="N218" s="245" t="inlineStr"/>
    </row>
    <row r="219" ht="15" customHeight="1" s="236">
      <c r="A219" s="243" t="n">
        <v>218</v>
      </c>
      <c r="B219" s="253" t="inlineStr">
        <is>
          <t>Датчик пламени</t>
        </is>
      </c>
      <c r="C219" s="254" t="inlineStr">
        <is>
          <t>ИП330/3-20-А1</t>
        </is>
      </c>
      <c r="D219" s="254" t="inlineStr">
        <is>
          <t>000917</t>
        </is>
      </c>
      <c r="E219" s="257" t="inlineStr">
        <is>
          <t>2011</t>
        </is>
      </c>
      <c r="F219" s="257" t="inlineStr"/>
      <c r="G219" s="254" t="inlineStr"/>
      <c r="H219" s="254" t="inlineStr">
        <is>
          <t>(BTF205)</t>
        </is>
      </c>
      <c r="I219" s="243" t="inlineStr">
        <is>
          <t>ГПА 61</t>
        </is>
      </c>
      <c r="J219" s="243" t="inlineStr">
        <is>
          <t>АСУ,А и ТМ (КЦ № 6)</t>
        </is>
      </c>
      <c r="K219" s="243" t="inlineStr">
        <is>
          <t>2012</t>
        </is>
      </c>
      <c r="L219" s="243" t="inlineStr"/>
      <c r="M219" s="246" t="inlineStr"/>
      <c r="N219" s="245" t="inlineStr"/>
    </row>
    <row r="220" ht="15" customHeight="1" s="236">
      <c r="A220" s="243" t="n">
        <v>219</v>
      </c>
      <c r="B220" s="253" t="inlineStr">
        <is>
          <t>Датчик пламени</t>
        </is>
      </c>
      <c r="C220" s="254" t="inlineStr">
        <is>
          <t>ИП330/3-20-А1</t>
        </is>
      </c>
      <c r="D220" s="254" t="inlineStr">
        <is>
          <t>000907</t>
        </is>
      </c>
      <c r="E220" s="257" t="inlineStr">
        <is>
          <t>2011</t>
        </is>
      </c>
      <c r="F220" s="257" t="inlineStr"/>
      <c r="G220" s="254" t="inlineStr"/>
      <c r="H220" s="254" t="inlineStr">
        <is>
          <t>(BTF209)</t>
        </is>
      </c>
      <c r="I220" s="243" t="inlineStr">
        <is>
          <t>ГПА 61</t>
        </is>
      </c>
      <c r="J220" s="243" t="inlineStr">
        <is>
          <t>АСУ,А и ТМ (КЦ № 6)</t>
        </is>
      </c>
      <c r="K220" s="243" t="inlineStr">
        <is>
          <t>2012</t>
        </is>
      </c>
      <c r="L220" s="243" t="inlineStr"/>
      <c r="M220" s="246" t="inlineStr"/>
      <c r="N220" s="245" t="inlineStr"/>
    </row>
    <row r="221" ht="22.5" customHeight="1" s="236">
      <c r="A221" s="243" t="n">
        <v>220</v>
      </c>
      <c r="B221" s="246" t="inlineStr">
        <is>
          <t>Термометр сопротивления</t>
        </is>
      </c>
      <c r="C221" s="254" t="inlineStr">
        <is>
          <t>ТСП 012.60 Pt100/В/3</t>
        </is>
      </c>
      <c r="D221" s="254" t="inlineStr">
        <is>
          <t>191</t>
        </is>
      </c>
      <c r="E221" s="257" t="inlineStr">
        <is>
          <t>2011</t>
        </is>
      </c>
      <c r="F221" s="257" t="inlineStr">
        <is>
          <t>-60…200 °С</t>
        </is>
      </c>
      <c r="G221" s="254" t="inlineStr">
        <is>
          <t>B</t>
        </is>
      </c>
      <c r="H221" s="254" t="inlineStr">
        <is>
          <t>Температура воздуха во всасывающей камере</t>
        </is>
      </c>
      <c r="I221" s="243" t="inlineStr">
        <is>
          <t>ГПА 61</t>
        </is>
      </c>
      <c r="J221" s="243" t="inlineStr">
        <is>
          <t>АСУ,А и ТМ (КЦ № 6)</t>
        </is>
      </c>
      <c r="K221" s="243" t="inlineStr">
        <is>
          <t>2012</t>
        </is>
      </c>
      <c r="L221" s="243" t="inlineStr">
        <is>
          <t>36</t>
        </is>
      </c>
      <c r="M221" s="246" t="inlineStr"/>
      <c r="N221" s="245" t="inlineStr"/>
    </row>
    <row r="222" ht="22.5" customHeight="1" s="236">
      <c r="A222" s="243" t="n">
        <v>221</v>
      </c>
      <c r="B222" s="255" t="inlineStr">
        <is>
          <t>Преобразователь влажности и температуры</t>
        </is>
      </c>
      <c r="C222" s="254" t="inlineStr">
        <is>
          <t>ИПТВ-206/М3-03</t>
        </is>
      </c>
      <c r="D222" s="254" t="inlineStr">
        <is>
          <t>09-2063</t>
        </is>
      </c>
      <c r="E222" s="257" t="inlineStr">
        <is>
          <t>2011</t>
        </is>
      </c>
      <c r="F222" s="257" t="inlineStr">
        <is>
          <t>-40…110 °С 0…100%</t>
        </is>
      </c>
      <c r="G222" s="254" t="inlineStr">
        <is>
          <t>0,4% (температура) 2% (влажность)</t>
        </is>
      </c>
      <c r="H222" s="254" t="inlineStr">
        <is>
          <t>Температура ВОУ</t>
        </is>
      </c>
      <c r="I222" s="243" t="inlineStr">
        <is>
          <t>ГПА 61</t>
        </is>
      </c>
      <c r="J222" s="243" t="inlineStr">
        <is>
          <t>АСУ,А и ТМ (КЦ № 6)</t>
        </is>
      </c>
      <c r="K222" s="243" t="inlineStr">
        <is>
          <t>2012</t>
        </is>
      </c>
      <c r="L222" s="243" t="inlineStr">
        <is>
          <t>24</t>
        </is>
      </c>
      <c r="M222" s="246" t="inlineStr"/>
      <c r="N222" s="245" t="inlineStr"/>
    </row>
    <row r="223" ht="15" customHeight="1" s="236">
      <c r="A223" s="243" t="n">
        <v>222</v>
      </c>
      <c r="B223" s="255" t="inlineStr">
        <is>
          <t>Газоанализатор</t>
        </is>
      </c>
      <c r="C223" s="254" t="inlineStr">
        <is>
          <t>Даг - 510</t>
        </is>
      </c>
      <c r="D223" s="254" t="inlineStr">
        <is>
          <t>11091424</t>
        </is>
      </c>
      <c r="E223" s="257" t="inlineStr">
        <is>
          <t>2011</t>
        </is>
      </c>
      <c r="F223" s="257" t="inlineStr">
        <is>
          <t>10…400 ppm</t>
        </is>
      </c>
      <c r="G223" s="254" t="inlineStr">
        <is>
          <t>10%</t>
        </is>
      </c>
      <c r="H223" s="254" t="inlineStr">
        <is>
          <t>выхлопные газы</t>
        </is>
      </c>
      <c r="I223" s="243" t="inlineStr">
        <is>
          <t>ГПА 61</t>
        </is>
      </c>
      <c r="J223" s="243" t="inlineStr">
        <is>
          <t>АСУ,А и ТМ (КЦ № 6)</t>
        </is>
      </c>
      <c r="K223" s="243" t="inlineStr">
        <is>
          <t>2020</t>
        </is>
      </c>
      <c r="L223" s="243" t="inlineStr">
        <is>
          <t>12</t>
        </is>
      </c>
      <c r="M223" s="246" t="inlineStr">
        <is>
          <t>15.09.23</t>
        </is>
      </c>
      <c r="N223" s="245" t="inlineStr">
        <is>
          <t>П</t>
        </is>
      </c>
    </row>
    <row r="224" ht="15" customHeight="1" s="236">
      <c r="A224" s="243" t="n">
        <v>223</v>
      </c>
      <c r="B224" s="253" t="inlineStr">
        <is>
          <t>Манометр технический</t>
        </is>
      </c>
      <c r="C224" s="254" t="inlineStr">
        <is>
          <t>М-3ВУКсУХЛ1</t>
        </is>
      </c>
      <c r="D224" s="254" t="inlineStr">
        <is>
          <t>15609</t>
        </is>
      </c>
      <c r="E224" s="257" t="inlineStr">
        <is>
          <t>2011</t>
        </is>
      </c>
      <c r="F224" s="257" t="inlineStr">
        <is>
          <t>0…160 кгс/см2</t>
        </is>
      </c>
      <c r="G224" s="254" t="inlineStr">
        <is>
          <t>1</t>
        </is>
      </c>
      <c r="H224" s="254" t="inlineStr">
        <is>
          <t>Бустерная установка</t>
        </is>
      </c>
      <c r="I224" s="243" t="inlineStr">
        <is>
          <t>ГПА 61</t>
        </is>
      </c>
      <c r="J224" s="243" t="inlineStr">
        <is>
          <t>АСУ,А и ТМ (КЦ № 6)</t>
        </is>
      </c>
      <c r="K224" s="243" t="inlineStr">
        <is>
          <t>2019</t>
        </is>
      </c>
      <c r="L224" s="243" t="inlineStr">
        <is>
          <t>12</t>
        </is>
      </c>
      <c r="M224" s="246" t="inlineStr">
        <is>
          <t>1К26</t>
        </is>
      </c>
      <c r="N224" s="245" t="inlineStr">
        <is>
          <t>К</t>
        </is>
      </c>
    </row>
    <row r="225" ht="15" customHeight="1" s="236">
      <c r="B225" s="259" t="n"/>
      <c r="C225" s="260" t="n"/>
      <c r="D225" s="261" t="n"/>
      <c r="E225" s="260" t="n"/>
      <c r="F225" s="262" t="n"/>
      <c r="G225" s="260" t="n"/>
      <c r="H225" s="258" t="n"/>
      <c r="I225" s="260" t="n"/>
      <c r="J225" s="258" t="n"/>
      <c r="K225" s="258" t="n"/>
      <c r="L225" s="258" t="n"/>
      <c r="M225" s="263" t="n"/>
      <c r="N225" s="260" t="n"/>
    </row>
    <row r="226" ht="15" customHeight="1" s="236">
      <c r="B226" s="259" t="n"/>
      <c r="C226" s="260" t="n"/>
      <c r="D226" s="261" t="n"/>
      <c r="E226" s="260" t="n"/>
      <c r="F226" s="262" t="n"/>
      <c r="G226" s="260" t="n"/>
      <c r="H226" s="258" t="n"/>
      <c r="I226" s="260" t="n"/>
      <c r="J226" s="258" t="n"/>
      <c r="K226" s="258" t="n"/>
      <c r="L226" s="258" t="n"/>
      <c r="M226" s="263" t="n"/>
      <c r="N226" s="260" t="n"/>
    </row>
    <row r="227">
      <c r="A227" t="n">
        <v>139</v>
      </c>
      <c r="B227" s="264" t="inlineStr">
        <is>
          <t>Расходомер</t>
        </is>
      </c>
      <c r="C227" s="265" t="inlineStr">
        <is>
          <t>Micrp Motion F200S-366-C-C-A-Z-E-ZZZ-Z (170011AFFEZZZ)</t>
        </is>
      </c>
      <c r="D227" s="266" t="inlineStr">
        <is>
          <t>sensor 14232611 (голова 3812871)</t>
        </is>
      </c>
      <c r="E227" s="265" t="inlineStr">
        <is>
          <t>2011</t>
        </is>
      </c>
      <c r="F227" s="264" t="inlineStr">
        <is>
          <t>0…6300 кг/час</t>
        </is>
      </c>
      <c r="G227" s="265" t="inlineStr">
        <is>
          <t>±0,5 (для газа)</t>
        </is>
      </c>
      <c r="H227" s="267" t="inlineStr">
        <is>
          <t>Расход топливного газа (коммерческий учет)</t>
        </is>
      </c>
      <c r="I227" s="265" t="inlineStr">
        <is>
          <t>ГПА 61</t>
        </is>
      </c>
      <c r="J227" s="267" t="inlineStr">
        <is>
          <t>АСУ,А и ТМ (КЦ № 6)</t>
        </is>
      </c>
      <c r="K227" s="267" t="inlineStr">
        <is>
          <t>2012</t>
        </is>
      </c>
      <c r="L227" s="267" t="inlineStr">
        <is>
          <t>48</t>
        </is>
      </c>
      <c r="M227" s="268" t="inlineStr"/>
      <c r="N227" s="265" t="inlineStr"/>
    </row>
  </sheetData>
  <conditionalFormatting sqref="M1:M1048576">
    <cfRule type="expression" rank="0" priority="2" equalAverage="0" aboveAverage="0" dxfId="1" text="" percent="0" bottom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orizontalCentered="0" verticalCentered="0" headings="0" gridLines="0" gridLinesSet="1"/>
  <pageMargins left="0.7" right="0.7" top="0.75" bottom="0.75" header="0.511805555555555" footer="0.511805555555555"/>
  <pageSetup orientation="landscape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228"/>
  <sheetViews>
    <sheetView showFormulas="0" showGridLines="1" showRowColHeaders="1" showZeros="1" rightToLeft="0" tabSelected="0" showOutlineSymbols="1" defaultGridColor="1" view="normal" topLeftCell="E223" colorId="64" zoomScale="112" zoomScaleNormal="112" zoomScalePageLayoutView="100" workbookViewId="0">
      <selection pane="topLeft" activeCell="J11" activeCellId="0" sqref="J11"/>
    </sheetView>
  </sheetViews>
  <sheetFormatPr baseColWidth="8" defaultColWidth="9.15625" defaultRowHeight="15" zeroHeight="0" outlineLevelRow="0"/>
  <cols>
    <col width="3.57" customWidth="1" style="235" min="1" max="1"/>
    <col width="21.43" customWidth="1" style="235" min="2" max="2"/>
    <col width="26.42" customWidth="1" style="235" min="3" max="3"/>
    <col width="15.29" customWidth="1" style="235" min="4" max="4"/>
    <col width="7" customWidth="1" style="235" min="5" max="5"/>
    <col width="15.42" customWidth="1" style="235" min="6" max="7"/>
    <col width="28.57" customWidth="1" style="235" min="8" max="8"/>
    <col width="12.57" customWidth="1" style="235" min="9" max="9"/>
    <col width="17.58" customWidth="1" style="235" min="10" max="10"/>
    <col width="8.710000000000001" customWidth="1" style="235" min="11" max="11"/>
    <col width="7.57" customWidth="1" style="235" min="12" max="12"/>
    <col width="8" customWidth="1" style="235" min="13" max="13"/>
    <col width="6.01" customWidth="1" style="235" min="14" max="14"/>
    <col width="40.28" customWidth="1" style="235" min="15" max="15"/>
    <col width="9.140000000000001" customWidth="1" style="235" min="16" max="1024"/>
  </cols>
  <sheetData>
    <row r="1" ht="56.25" customHeight="1" s="236">
      <c r="A1" s="239" t="inlineStr">
        <is>
          <t>№ п/п</t>
        </is>
      </c>
      <c r="B1" s="239" t="inlineStr">
        <is>
          <t>Наименование</t>
        </is>
      </c>
      <c r="C1" s="239" t="inlineStr">
        <is>
          <t>Тип</t>
        </is>
      </c>
      <c r="D1" s="239" t="inlineStr">
        <is>
          <t>Заводской номер</t>
        </is>
      </c>
      <c r="E1" s="240" t="inlineStr">
        <is>
          <t>Год выпуска</t>
        </is>
      </c>
      <c r="F1" s="239" t="inlineStr">
        <is>
          <t>Диапазон измерений</t>
        </is>
      </c>
      <c r="G1" s="239" t="inlineStr">
        <is>
          <t>Класс точности</t>
        </is>
      </c>
      <c r="H1" s="239" t="inlineStr">
        <is>
          <t>Место установки СИ</t>
        </is>
      </c>
      <c r="I1" s="239" t="inlineStr">
        <is>
          <t>Объект установки</t>
        </is>
      </c>
      <c r="J1" s="239" t="inlineStr">
        <is>
          <t>Подразделение</t>
        </is>
      </c>
      <c r="K1" s="239" t="inlineStr">
        <is>
          <t>Дата установки</t>
        </is>
      </c>
      <c r="L1" s="239" t="inlineStr">
        <is>
          <t>Межповерочный интервал, мес.</t>
        </is>
      </c>
      <c r="M1" s="240" t="inlineStr">
        <is>
          <t>Дата последней поверки / калибровки</t>
        </is>
      </c>
      <c r="N1" s="239" t="inlineStr">
        <is>
          <t>Поверка (П)/ Калибровка (К)</t>
        </is>
      </c>
    </row>
    <row r="2" ht="15" customHeight="1" s="236">
      <c r="A2" s="239" t="n">
        <v>1</v>
      </c>
      <c r="B2" s="241" t="inlineStr">
        <is>
          <t>Манометр технический</t>
        </is>
      </c>
      <c r="C2" s="242" t="inlineStr">
        <is>
          <t>МП4-УУ2</t>
        </is>
      </c>
      <c r="D2" s="242" t="inlineStr">
        <is>
          <t>6202</t>
        </is>
      </c>
      <c r="E2" s="242" t="inlineStr">
        <is>
          <t>2010</t>
        </is>
      </c>
      <c r="F2" s="242" t="inlineStr">
        <is>
          <t>0…160 кгс/см2</t>
        </is>
      </c>
      <c r="G2" s="242" t="inlineStr">
        <is>
          <t>1.5</t>
        </is>
      </c>
      <c r="H2" s="239" t="inlineStr">
        <is>
          <t>P газа перед КШ 731/1,2</t>
        </is>
      </c>
      <c r="I2" s="242" t="inlineStr">
        <is>
          <t>ГПА 62 БПТГ</t>
        </is>
      </c>
      <c r="J2" s="239" t="inlineStr">
        <is>
          <t>АСУ,А и ТМ (КЦ № 6)</t>
        </is>
      </c>
      <c r="K2" s="239" t="inlineStr">
        <is>
          <t>2012</t>
        </is>
      </c>
      <c r="L2" s="239" t="inlineStr">
        <is>
          <t>12</t>
        </is>
      </c>
      <c r="M2" s="240" t="inlineStr">
        <is>
          <t>1К26</t>
        </is>
      </c>
      <c r="N2" s="242" t="inlineStr">
        <is>
          <t>К</t>
        </is>
      </c>
    </row>
    <row r="3" ht="15" customHeight="1" s="236">
      <c r="A3" s="243" t="n">
        <v>2</v>
      </c>
      <c r="B3" s="244" t="inlineStr">
        <is>
          <t>Манометр технический</t>
        </is>
      </c>
      <c r="C3" s="245" t="inlineStr">
        <is>
          <t>МП4-УУ2</t>
        </is>
      </c>
      <c r="D3" s="245" t="inlineStr">
        <is>
          <t>15272</t>
        </is>
      </c>
      <c r="E3" s="245" t="inlineStr">
        <is>
          <t>2010</t>
        </is>
      </c>
      <c r="F3" s="245" t="inlineStr">
        <is>
          <t>0…100 кгс/см2</t>
        </is>
      </c>
      <c r="G3" s="245" t="inlineStr">
        <is>
          <t>1.5</t>
        </is>
      </c>
      <c r="H3" s="243" t="inlineStr">
        <is>
          <t>P газа после КРД 730/1</t>
        </is>
      </c>
      <c r="I3" s="245" t="inlineStr">
        <is>
          <t>ГПА 62 БПТГ</t>
        </is>
      </c>
      <c r="J3" s="243" t="inlineStr">
        <is>
          <t>АСУ,А и ТМ (КЦ № 6)</t>
        </is>
      </c>
      <c r="K3" s="243" t="inlineStr">
        <is>
          <t>2012</t>
        </is>
      </c>
      <c r="L3" s="243" t="inlineStr">
        <is>
          <t>12</t>
        </is>
      </c>
      <c r="M3" s="246" t="inlineStr">
        <is>
          <t>1К26</t>
        </is>
      </c>
      <c r="N3" s="245" t="inlineStr">
        <is>
          <t>К</t>
        </is>
      </c>
    </row>
    <row r="4" ht="15" customHeight="1" s="236">
      <c r="A4" s="243" t="n">
        <v>3</v>
      </c>
      <c r="B4" s="244" t="inlineStr">
        <is>
          <t>Манометр технический</t>
        </is>
      </c>
      <c r="C4" s="245" t="inlineStr">
        <is>
          <t>МП4-УУ2</t>
        </is>
      </c>
      <c r="D4" s="245" t="inlineStr">
        <is>
          <t>15391</t>
        </is>
      </c>
      <c r="E4" s="245" t="inlineStr">
        <is>
          <t>2010</t>
        </is>
      </c>
      <c r="F4" s="245" t="inlineStr">
        <is>
          <t>0…160 кгс/см2</t>
        </is>
      </c>
      <c r="G4" s="245" t="inlineStr">
        <is>
          <t>1</t>
        </is>
      </c>
      <c r="H4" s="243" t="inlineStr">
        <is>
          <t>P газа в C 701</t>
        </is>
      </c>
      <c r="I4" s="245" t="inlineStr">
        <is>
          <t>ГПА 62 БПТГ</t>
        </is>
      </c>
      <c r="J4" s="243" t="inlineStr">
        <is>
          <t>АСУ,А и ТМ (КЦ № 6)</t>
        </is>
      </c>
      <c r="K4" s="243" t="inlineStr">
        <is>
          <t>2012</t>
        </is>
      </c>
      <c r="L4" s="243" t="inlineStr">
        <is>
          <t>12</t>
        </is>
      </c>
      <c r="M4" s="246" t="inlineStr">
        <is>
          <t>26ДЯУ</t>
        </is>
      </c>
      <c r="N4" s="245" t="inlineStr">
        <is>
          <t>П</t>
        </is>
      </c>
      <c r="O4" s="247" t="n"/>
    </row>
    <row r="5" ht="15" customHeight="1" s="236">
      <c r="A5" s="243" t="n">
        <v>4</v>
      </c>
      <c r="B5" s="244" t="inlineStr">
        <is>
          <t>Манометр технический</t>
        </is>
      </c>
      <c r="C5" s="245" t="inlineStr">
        <is>
          <t>МП4-УУ2</t>
        </is>
      </c>
      <c r="D5" s="245" t="inlineStr">
        <is>
          <t>15648</t>
        </is>
      </c>
      <c r="E5" s="245" t="inlineStr">
        <is>
          <t>2010</t>
        </is>
      </c>
      <c r="F5" s="245" t="inlineStr">
        <is>
          <t>0…160 кгс/см2</t>
        </is>
      </c>
      <c r="G5" s="245" t="inlineStr">
        <is>
          <t>1.5</t>
        </is>
      </c>
      <c r="H5" s="243" t="inlineStr">
        <is>
          <t>P газа на выходе ЭПГ 700/1</t>
        </is>
      </c>
      <c r="I5" s="245" t="inlineStr">
        <is>
          <t>ГПА 62 БПТГ</t>
        </is>
      </c>
      <c r="J5" s="243" t="inlineStr">
        <is>
          <t>АСУ,А и ТМ (КЦ № 6)</t>
        </is>
      </c>
      <c r="K5" s="243" t="inlineStr">
        <is>
          <t>2012</t>
        </is>
      </c>
      <c r="L5" s="243" t="inlineStr">
        <is>
          <t>12</t>
        </is>
      </c>
      <c r="M5" s="246" t="inlineStr">
        <is>
          <t>1К26</t>
        </is>
      </c>
      <c r="N5" s="245" t="inlineStr">
        <is>
          <t>К</t>
        </is>
      </c>
    </row>
    <row r="6" ht="15" customHeight="1" s="236">
      <c r="A6" s="243" t="n">
        <v>5</v>
      </c>
      <c r="B6" s="244" t="inlineStr">
        <is>
          <t>Манометр технический</t>
        </is>
      </c>
      <c r="C6" s="245" t="inlineStr">
        <is>
          <t>МП4-УУ2</t>
        </is>
      </c>
      <c r="D6" s="245" t="inlineStr">
        <is>
          <t>15104</t>
        </is>
      </c>
      <c r="E6" s="245" t="inlineStr">
        <is>
          <t>2010</t>
        </is>
      </c>
      <c r="F6" s="245" t="inlineStr">
        <is>
          <t>0…100 кгс/см2</t>
        </is>
      </c>
      <c r="G6" s="245" t="inlineStr">
        <is>
          <t>1.5</t>
        </is>
      </c>
      <c r="H6" s="243" t="inlineStr">
        <is>
          <t>P газа после КРД 730/2</t>
        </is>
      </c>
      <c r="I6" s="245" t="inlineStr">
        <is>
          <t>ГПА 62 БПТГ</t>
        </is>
      </c>
      <c r="J6" s="243" t="inlineStr">
        <is>
          <t>АСУ,А и ТМ (КЦ № 6)</t>
        </is>
      </c>
      <c r="K6" s="243" t="inlineStr">
        <is>
          <t>2012</t>
        </is>
      </c>
      <c r="L6" s="243" t="inlineStr">
        <is>
          <t>12</t>
        </is>
      </c>
      <c r="M6" s="246" t="inlineStr">
        <is>
          <t>1К26</t>
        </is>
      </c>
      <c r="N6" s="245" t="inlineStr">
        <is>
          <t>К</t>
        </is>
      </c>
    </row>
    <row r="7" ht="15" customHeight="1" s="236">
      <c r="A7" s="243" t="n">
        <v>6</v>
      </c>
      <c r="B7" s="244" t="inlineStr">
        <is>
          <t>Манометр технический</t>
        </is>
      </c>
      <c r="C7" s="245" t="inlineStr">
        <is>
          <t>МП4-УУ2</t>
        </is>
      </c>
      <c r="D7" s="245" t="inlineStr">
        <is>
          <t>15245</t>
        </is>
      </c>
      <c r="E7" s="245" t="inlineStr">
        <is>
          <t>2010</t>
        </is>
      </c>
      <c r="F7" s="245" t="inlineStr">
        <is>
          <t>0…160 кгс/см2</t>
        </is>
      </c>
      <c r="G7" s="245" t="inlineStr">
        <is>
          <t>1.5</t>
        </is>
      </c>
      <c r="H7" s="243" t="inlineStr">
        <is>
          <t>P газа на выходе ЭПГ 700/2</t>
        </is>
      </c>
      <c r="I7" s="245" t="inlineStr">
        <is>
          <t>ГПА 62 БПТГ</t>
        </is>
      </c>
      <c r="J7" s="243" t="inlineStr">
        <is>
          <t>АСУ,А и ТМ (КЦ № 6)</t>
        </is>
      </c>
      <c r="K7" s="243" t="inlineStr">
        <is>
          <t>2012</t>
        </is>
      </c>
      <c r="L7" s="243" t="inlineStr">
        <is>
          <t>12</t>
        </is>
      </c>
      <c r="M7" s="246" t="inlineStr">
        <is>
          <t>1К26</t>
        </is>
      </c>
      <c r="N7" s="245" t="inlineStr">
        <is>
          <t>К</t>
        </is>
      </c>
    </row>
    <row r="8" ht="22.5" customHeight="1" s="236">
      <c r="A8" s="243" t="n">
        <v>7</v>
      </c>
      <c r="B8" s="248" t="inlineStr">
        <is>
          <t>Термометр биметаллический</t>
        </is>
      </c>
      <c r="C8" s="245" t="inlineStr">
        <is>
          <t>ТБ-2</t>
        </is>
      </c>
      <c r="D8" s="245" t="inlineStr">
        <is>
          <t>5050</t>
        </is>
      </c>
      <c r="E8" s="245" t="inlineStr">
        <is>
          <t>2010</t>
        </is>
      </c>
      <c r="F8" s="245" t="inlineStr">
        <is>
          <t>0…100 °С</t>
        </is>
      </c>
      <c r="G8" s="245" t="inlineStr">
        <is>
          <t>1.5</t>
        </is>
      </c>
      <c r="H8" s="243" t="inlineStr">
        <is>
          <t>Тг на выходе ЭПГ 700/1</t>
        </is>
      </c>
      <c r="I8" s="245" t="inlineStr">
        <is>
          <t>ГПА 62 БПТГ</t>
        </is>
      </c>
      <c r="J8" s="243" t="inlineStr">
        <is>
          <t>АСУ,А и ТМ (КЦ № 6)</t>
        </is>
      </c>
      <c r="K8" s="243" t="inlineStr">
        <is>
          <t>2012</t>
        </is>
      </c>
      <c r="L8" s="243" t="inlineStr">
        <is>
          <t>24</t>
        </is>
      </c>
      <c r="M8" s="246" t="inlineStr">
        <is>
          <t>2К26</t>
        </is>
      </c>
      <c r="N8" s="245" t="inlineStr">
        <is>
          <t>К</t>
        </is>
      </c>
    </row>
    <row r="9" ht="22.5" customHeight="1" s="236">
      <c r="A9" s="243" t="n">
        <v>8</v>
      </c>
      <c r="B9" s="248" t="inlineStr">
        <is>
          <t>Термометр биметаллический</t>
        </is>
      </c>
      <c r="C9" s="245" t="inlineStr">
        <is>
          <t>ТБ-2</t>
        </is>
      </c>
      <c r="D9" s="245" t="inlineStr">
        <is>
          <t>2472</t>
        </is>
      </c>
      <c r="E9" s="245" t="inlineStr">
        <is>
          <t>2010</t>
        </is>
      </c>
      <c r="F9" s="245" t="inlineStr">
        <is>
          <t>0…100 °С</t>
        </is>
      </c>
      <c r="G9" s="245" t="inlineStr">
        <is>
          <t>1.5</t>
        </is>
      </c>
      <c r="H9" s="243" t="inlineStr">
        <is>
          <t>Тг на выходе ЭПГ 700/2</t>
        </is>
      </c>
      <c r="I9" s="245" t="inlineStr">
        <is>
          <t>ГПА 62 БПТГ</t>
        </is>
      </c>
      <c r="J9" s="243" t="inlineStr">
        <is>
          <t>АСУ,А и ТМ (КЦ № 6)</t>
        </is>
      </c>
      <c r="K9" s="243" t="inlineStr">
        <is>
          <t>2012</t>
        </is>
      </c>
      <c r="L9" s="243" t="inlineStr">
        <is>
          <t>24</t>
        </is>
      </c>
      <c r="M9" s="246" t="inlineStr">
        <is>
          <t>2К26</t>
        </is>
      </c>
      <c r="N9" s="245" t="inlineStr">
        <is>
          <t>К</t>
        </is>
      </c>
    </row>
    <row r="10" ht="15" customHeight="1" s="236">
      <c r="A10" s="243" t="n">
        <v>9</v>
      </c>
      <c r="B10" s="248" t="inlineStr">
        <is>
          <t>Уравнемер</t>
        </is>
      </c>
      <c r="C10" s="245" t="inlineStr">
        <is>
          <t>KROHNE BM-26A/C/RR</t>
        </is>
      </c>
      <c r="D10" s="245" t="inlineStr">
        <is>
          <t>447006647.20.02</t>
        </is>
      </c>
      <c r="E10" s="245" t="inlineStr">
        <is>
          <t>2011</t>
        </is>
      </c>
      <c r="F10" s="245" t="inlineStr">
        <is>
          <t>0…100 %</t>
        </is>
      </c>
      <c r="G10" s="245" t="inlineStr">
        <is>
          <t>±10 мм</t>
        </is>
      </c>
      <c r="H10" s="243" t="inlineStr">
        <is>
          <t>Уровень жидкости в сепараторе С701</t>
        </is>
      </c>
      <c r="I10" s="245" t="inlineStr">
        <is>
          <t>ГПА 62 БПТГ</t>
        </is>
      </c>
      <c r="J10" s="243" t="inlineStr">
        <is>
          <t>АСУ,А и ТМ (КЦ № 6)</t>
        </is>
      </c>
      <c r="K10" s="243" t="inlineStr">
        <is>
          <t>2012</t>
        </is>
      </c>
      <c r="L10" s="243" t="inlineStr">
        <is>
          <t>48</t>
        </is>
      </c>
      <c r="M10" s="246" t="inlineStr"/>
      <c r="N10" s="245" t="inlineStr"/>
    </row>
    <row r="11" ht="22.5" customHeight="1" s="236">
      <c r="A11" s="243" t="n">
        <v>10</v>
      </c>
      <c r="B11" s="249" t="inlineStr">
        <is>
          <t>Преобразователь избыточного давления</t>
        </is>
      </c>
      <c r="C11" s="245" t="inlineStr">
        <is>
          <t>Honeywell STG-97L</t>
        </is>
      </c>
      <c r="D11" s="245" t="inlineStr">
        <is>
          <t>11W03 C3287149003036</t>
        </is>
      </c>
      <c r="E11" s="245" t="inlineStr">
        <is>
          <t>2011</t>
        </is>
      </c>
      <c r="F11" s="245" t="inlineStr">
        <is>
          <t>0…10 MПa</t>
        </is>
      </c>
      <c r="G11" s="245" t="inlineStr">
        <is>
          <t>0.075</t>
        </is>
      </c>
      <c r="H11" s="243" t="inlineStr">
        <is>
          <t>Давление газа перед С701 (на входе в блок БПТГ)</t>
        </is>
      </c>
      <c r="I11" s="245" t="inlineStr">
        <is>
          <t>ГПА 62 БПТГ</t>
        </is>
      </c>
      <c r="J11" s="243" t="inlineStr">
        <is>
          <t>АСУ,А и ТМ (КЦ № 6)</t>
        </is>
      </c>
      <c r="K11" s="243" t="inlineStr">
        <is>
          <t>2012</t>
        </is>
      </c>
      <c r="L11" s="243" t="inlineStr">
        <is>
          <t>36</t>
        </is>
      </c>
      <c r="M11" s="246" t="inlineStr"/>
      <c r="N11" s="245" t="inlineStr"/>
    </row>
    <row r="12" ht="22.5" customHeight="1" s="236">
      <c r="A12" s="243" t="n">
        <v>11</v>
      </c>
      <c r="B12" s="249" t="inlineStr">
        <is>
          <t>Преобразователь избыточного давления</t>
        </is>
      </c>
      <c r="C12" s="245" t="inlineStr">
        <is>
          <t>Honeywell STG-97L</t>
        </is>
      </c>
      <c r="D12" s="245" t="inlineStr">
        <is>
          <t>11W03 C3287149003004</t>
        </is>
      </c>
      <c r="E12" s="245" t="inlineStr">
        <is>
          <t>2011</t>
        </is>
      </c>
      <c r="F12" s="245" t="inlineStr">
        <is>
          <t>0…10 MПa</t>
        </is>
      </c>
      <c r="G12" s="245" t="inlineStr">
        <is>
          <t>0.075</t>
        </is>
      </c>
      <c r="H12" s="243" t="inlineStr">
        <is>
          <t>Давление газа на выходе блока БПТГ перед КШ12</t>
        </is>
      </c>
      <c r="I12" s="245" t="inlineStr">
        <is>
          <t>ГПА 62 БПТГ</t>
        </is>
      </c>
      <c r="J12" s="243" t="inlineStr">
        <is>
          <t>АСУ,А и ТМ (КЦ № 6)</t>
        </is>
      </c>
      <c r="K12" s="243" t="inlineStr">
        <is>
          <t>2012</t>
        </is>
      </c>
      <c r="L12" s="243" t="inlineStr">
        <is>
          <t>36</t>
        </is>
      </c>
      <c r="M12" s="246" t="inlineStr"/>
      <c r="N12" s="245" t="inlineStr"/>
    </row>
    <row r="13" ht="22.5" customHeight="1" s="236">
      <c r="A13" s="243" t="n">
        <v>12</v>
      </c>
      <c r="B13" s="248" t="inlineStr">
        <is>
          <t>Термометр сопротивления</t>
        </is>
      </c>
      <c r="C13" s="245" t="inlineStr">
        <is>
          <t>ТСП 012.60 Pt100/В/3</t>
        </is>
      </c>
      <c r="D13" s="245" t="inlineStr">
        <is>
          <t>364</t>
        </is>
      </c>
      <c r="E13" s="245" t="inlineStr">
        <is>
          <t>2011</t>
        </is>
      </c>
      <c r="F13" s="245" t="inlineStr">
        <is>
          <t>-60…200 °С</t>
        </is>
      </c>
      <c r="G13" s="245" t="inlineStr">
        <is>
          <t>B</t>
        </is>
      </c>
      <c r="H13" s="243" t="inlineStr">
        <is>
          <t>Температура газа перед С701</t>
        </is>
      </c>
      <c r="I13" s="245" t="inlineStr">
        <is>
          <t>ГПА 62 БПТГ</t>
        </is>
      </c>
      <c r="J13" s="243" t="inlineStr">
        <is>
          <t>АСУ,А и ТМ (КЦ № 6)</t>
        </is>
      </c>
      <c r="K13" s="243" t="inlineStr">
        <is>
          <t>2012</t>
        </is>
      </c>
      <c r="L13" s="243" t="inlineStr">
        <is>
          <t>24</t>
        </is>
      </c>
      <c r="M13" s="246" t="inlineStr">
        <is>
          <t>10.02.2016</t>
        </is>
      </c>
      <c r="N13" s="245" t="inlineStr"/>
    </row>
    <row r="14" ht="22.5" customHeight="1" s="236">
      <c r="A14" s="243" t="n">
        <v>13</v>
      </c>
      <c r="B14" s="248" t="inlineStr">
        <is>
          <t>Термометр сопротивления</t>
        </is>
      </c>
      <c r="C14" s="245" t="inlineStr">
        <is>
          <t>ТСП 012.60 Pt100/В/3</t>
        </is>
      </c>
      <c r="D14" s="245" t="inlineStr">
        <is>
          <t>389</t>
        </is>
      </c>
      <c r="E14" s="245" t="inlineStr">
        <is>
          <t>2011</t>
        </is>
      </c>
      <c r="F14" s="245" t="inlineStr">
        <is>
          <t>-60…200 °С</t>
        </is>
      </c>
      <c r="G14" s="245" t="inlineStr">
        <is>
          <t>B</t>
        </is>
      </c>
      <c r="H14" s="243" t="inlineStr">
        <is>
          <t>Температура антифриза в подогревателе ЭПГ700/2</t>
        </is>
      </c>
      <c r="I14" s="245" t="inlineStr">
        <is>
          <t>ГПА 62 БПТГ</t>
        </is>
      </c>
      <c r="J14" s="243" t="inlineStr">
        <is>
          <t>АСУ,А и ТМ (КЦ № 6)</t>
        </is>
      </c>
      <c r="K14" s="243" t="inlineStr">
        <is>
          <t>2012</t>
        </is>
      </c>
      <c r="L14" s="243" t="inlineStr">
        <is>
          <t>24</t>
        </is>
      </c>
      <c r="M14" s="246" t="inlineStr">
        <is>
          <t>10.02.2016</t>
        </is>
      </c>
      <c r="N14" s="245" t="inlineStr"/>
    </row>
    <row r="15" ht="22.5" customHeight="1" s="236">
      <c r="A15" s="243" t="n">
        <v>14</v>
      </c>
      <c r="B15" s="248" t="inlineStr">
        <is>
          <t>Термометр сопротивления</t>
        </is>
      </c>
      <c r="C15" s="245" t="inlineStr">
        <is>
          <t>ТСП 012.60 Pt100/В/3</t>
        </is>
      </c>
      <c r="D15" s="245" t="inlineStr">
        <is>
          <t>361</t>
        </is>
      </c>
      <c r="E15" s="245" t="inlineStr">
        <is>
          <t>2011</t>
        </is>
      </c>
      <c r="F15" s="245" t="inlineStr">
        <is>
          <t>-60…200 °С</t>
        </is>
      </c>
      <c r="G15" s="245" t="inlineStr">
        <is>
          <t>B</t>
        </is>
      </c>
      <c r="H15" s="243" t="inlineStr">
        <is>
          <t>Температура газа после ЭПГ700/2</t>
        </is>
      </c>
      <c r="I15" s="245" t="inlineStr">
        <is>
          <t>ГПА 62 БПТГ</t>
        </is>
      </c>
      <c r="J15" s="243" t="inlineStr">
        <is>
          <t>АСУ,А и ТМ (КЦ № 6)</t>
        </is>
      </c>
      <c r="K15" s="243" t="inlineStr">
        <is>
          <t>2012</t>
        </is>
      </c>
      <c r="L15" s="243" t="inlineStr">
        <is>
          <t>24</t>
        </is>
      </c>
      <c r="M15" s="246" t="inlineStr">
        <is>
          <t>10.02.2016</t>
        </is>
      </c>
      <c r="N15" s="245" t="inlineStr"/>
    </row>
    <row r="16" ht="22.5" customHeight="1" s="236">
      <c r="A16" s="243" t="n">
        <v>15</v>
      </c>
      <c r="B16" s="248" t="inlineStr">
        <is>
          <t>Термометр сопротивления</t>
        </is>
      </c>
      <c r="C16" s="245" t="inlineStr">
        <is>
          <t>ТСП 012.60 Pt100/В/3</t>
        </is>
      </c>
      <c r="D16" s="245" t="inlineStr">
        <is>
          <t>382</t>
        </is>
      </c>
      <c r="E16" s="245" t="inlineStr">
        <is>
          <t>2011</t>
        </is>
      </c>
      <c r="F16" s="245" t="inlineStr">
        <is>
          <t>-60…200 °С</t>
        </is>
      </c>
      <c r="G16" s="245" t="inlineStr">
        <is>
          <t>B</t>
        </is>
      </c>
      <c r="H16" s="243" t="inlineStr">
        <is>
          <t>Температура антифриза в подогревателе ЭПГ700/1</t>
        </is>
      </c>
      <c r="I16" s="245" t="inlineStr">
        <is>
          <t>ГПА 62 БПТГ</t>
        </is>
      </c>
      <c r="J16" s="243" t="inlineStr">
        <is>
          <t>АСУ,А и ТМ (КЦ № 6)</t>
        </is>
      </c>
      <c r="K16" s="243" t="inlineStr">
        <is>
          <t>2012</t>
        </is>
      </c>
      <c r="L16" s="243" t="inlineStr">
        <is>
          <t>24</t>
        </is>
      </c>
      <c r="M16" s="246" t="inlineStr">
        <is>
          <t>10.02.2016</t>
        </is>
      </c>
      <c r="N16" s="245" t="inlineStr"/>
    </row>
    <row r="17" ht="22.5" customHeight="1" s="236">
      <c r="A17" s="243" t="n">
        <v>16</v>
      </c>
      <c r="B17" s="248" t="inlineStr">
        <is>
          <t>Термометр сопротивления</t>
        </is>
      </c>
      <c r="C17" s="245" t="inlineStr">
        <is>
          <t>ТСП 012.60 Pt100/В/3</t>
        </is>
      </c>
      <c r="D17" s="245" t="inlineStr">
        <is>
          <t>450</t>
        </is>
      </c>
      <c r="E17" s="245" t="inlineStr">
        <is>
          <t>2011</t>
        </is>
      </c>
      <c r="F17" s="245" t="inlineStr">
        <is>
          <t>-60…200 °С</t>
        </is>
      </c>
      <c r="G17" s="245" t="inlineStr">
        <is>
          <t>B</t>
        </is>
      </c>
      <c r="H17" s="243" t="inlineStr">
        <is>
          <t>Температура газа после ЭПГ700/1</t>
        </is>
      </c>
      <c r="I17" s="245" t="inlineStr">
        <is>
          <t>ГПА 62 БПТГ</t>
        </is>
      </c>
      <c r="J17" s="243" t="inlineStr">
        <is>
          <t>АСУ,А и ТМ (КЦ № 6)</t>
        </is>
      </c>
      <c r="K17" s="243" t="inlineStr">
        <is>
          <t>2012</t>
        </is>
      </c>
      <c r="L17" s="243" t="inlineStr">
        <is>
          <t>24</t>
        </is>
      </c>
      <c r="M17" s="246" t="inlineStr">
        <is>
          <t>10.02.2016</t>
        </is>
      </c>
      <c r="N17" s="245" t="inlineStr"/>
    </row>
    <row r="18" ht="22.5" customHeight="1" s="236">
      <c r="A18" s="243" t="n">
        <v>17</v>
      </c>
      <c r="B18" s="248" t="inlineStr">
        <is>
          <t>Термометр сопротивления</t>
        </is>
      </c>
      <c r="C18" s="245" t="inlineStr">
        <is>
          <t>ТСП 012.60 Pt100/В/3</t>
        </is>
      </c>
      <c r="D18" s="245" t="inlineStr">
        <is>
          <t>375</t>
        </is>
      </c>
      <c r="E18" s="245" t="inlineStr">
        <is>
          <t>2011</t>
        </is>
      </c>
      <c r="F18" s="245" t="inlineStr">
        <is>
          <t>-60…200 °С</t>
        </is>
      </c>
      <c r="G18" s="245" t="inlineStr">
        <is>
          <t>B</t>
        </is>
      </c>
      <c r="H18" s="243" t="inlineStr">
        <is>
          <t>Температура воздуха в контейнере блока БПТГ т.1</t>
        </is>
      </c>
      <c r="I18" s="245" t="inlineStr">
        <is>
          <t>ГПА 62 БПТГ</t>
        </is>
      </c>
      <c r="J18" s="243" t="inlineStr">
        <is>
          <t>АСУ,А и ТМ (КЦ № 6)</t>
        </is>
      </c>
      <c r="K18" s="243" t="inlineStr">
        <is>
          <t>2012</t>
        </is>
      </c>
      <c r="L18" s="243" t="inlineStr">
        <is>
          <t>24</t>
        </is>
      </c>
      <c r="M18" s="246" t="inlineStr">
        <is>
          <t>10.02.2016</t>
        </is>
      </c>
      <c r="N18" s="245" t="inlineStr"/>
    </row>
    <row r="19" ht="22.5" customHeight="1" s="236">
      <c r="A19" s="243" t="n">
        <v>18</v>
      </c>
      <c r="B19" s="248" t="inlineStr">
        <is>
          <t>Термометр сопротивления</t>
        </is>
      </c>
      <c r="C19" s="245" t="inlineStr">
        <is>
          <t>ТСП 012.60 Pt100/В/3</t>
        </is>
      </c>
      <c r="D19" s="245" t="inlineStr">
        <is>
          <t>367</t>
        </is>
      </c>
      <c r="E19" s="245" t="inlineStr">
        <is>
          <t>2011</t>
        </is>
      </c>
      <c r="F19" s="245" t="inlineStr">
        <is>
          <t>-60…200 °С</t>
        </is>
      </c>
      <c r="G19" s="245" t="inlineStr">
        <is>
          <t>B</t>
        </is>
      </c>
      <c r="H19" s="243" t="inlineStr">
        <is>
          <t>Температура воздуха в контейнере блока БПТГ т.2</t>
        </is>
      </c>
      <c r="I19" s="245" t="inlineStr">
        <is>
          <t>ГПА 62 БПТГ</t>
        </is>
      </c>
      <c r="J19" s="243" t="inlineStr">
        <is>
          <t>АСУ,А и ТМ (КЦ № 6)</t>
        </is>
      </c>
      <c r="K19" s="243" t="inlineStr">
        <is>
          <t>2012</t>
        </is>
      </c>
      <c r="L19" s="243" t="inlineStr">
        <is>
          <t>24</t>
        </is>
      </c>
      <c r="M19" s="246" t="inlineStr">
        <is>
          <t>10.02.2016</t>
        </is>
      </c>
      <c r="N19" s="245" t="inlineStr"/>
    </row>
    <row r="20" ht="15" customHeight="1" s="236">
      <c r="A20" s="243" t="n">
        <v>19</v>
      </c>
      <c r="B20" s="248" t="inlineStr">
        <is>
          <t>Термометр сопротивления</t>
        </is>
      </c>
      <c r="C20" s="245" t="inlineStr">
        <is>
          <t>ТСП 012.60 Pt100/В/3</t>
        </is>
      </c>
      <c r="D20" s="245" t="inlineStr">
        <is>
          <t>368</t>
        </is>
      </c>
      <c r="E20" s="245" t="inlineStr">
        <is>
          <t>2011</t>
        </is>
      </c>
      <c r="F20" s="245" t="inlineStr">
        <is>
          <t>-60…200 °С</t>
        </is>
      </c>
      <c r="G20" s="245" t="inlineStr">
        <is>
          <t>B</t>
        </is>
      </c>
      <c r="H20" s="243" t="inlineStr">
        <is>
          <t>Температура масла EK225</t>
        </is>
      </c>
      <c r="I20" s="245" t="inlineStr">
        <is>
          <t>ГПА 62 БПТГ</t>
        </is>
      </c>
      <c r="J20" s="243" t="inlineStr">
        <is>
          <t>АСУ,А и ТМ (КЦ № 6)</t>
        </is>
      </c>
      <c r="K20" s="243" t="inlineStr">
        <is>
          <t>2012</t>
        </is>
      </c>
      <c r="L20" s="243" t="inlineStr">
        <is>
          <t>24</t>
        </is>
      </c>
      <c r="M20" s="246" t="inlineStr"/>
      <c r="N20" s="245" t="inlineStr"/>
    </row>
    <row r="21" ht="15" customHeight="1" s="236">
      <c r="A21" s="243" t="n">
        <v>20</v>
      </c>
      <c r="B21" s="248" t="inlineStr">
        <is>
          <t>Термометр сопротивления</t>
        </is>
      </c>
      <c r="C21" s="245" t="inlineStr">
        <is>
          <t>ТСП 012.60 Pt100/В/3</t>
        </is>
      </c>
      <c r="D21" s="245" t="inlineStr">
        <is>
          <t>372</t>
        </is>
      </c>
      <c r="E21" s="245" t="inlineStr">
        <is>
          <t>2011</t>
        </is>
      </c>
      <c r="F21" s="245" t="inlineStr">
        <is>
          <t>-60…200 °С</t>
        </is>
      </c>
      <c r="G21" s="245" t="inlineStr">
        <is>
          <t>B</t>
        </is>
      </c>
      <c r="H21" s="243" t="inlineStr">
        <is>
          <t>Температура масла EK226</t>
        </is>
      </c>
      <c r="I21" s="245" t="inlineStr">
        <is>
          <t>ГПА 62 БПТГ</t>
        </is>
      </c>
      <c r="J21" s="243" t="inlineStr">
        <is>
          <t>АСУ,А и ТМ (КЦ № 6)</t>
        </is>
      </c>
      <c r="K21" s="243" t="inlineStr">
        <is>
          <t>2012</t>
        </is>
      </c>
      <c r="L21" s="243" t="inlineStr">
        <is>
          <t>24</t>
        </is>
      </c>
      <c r="M21" s="246" t="inlineStr"/>
      <c r="N21" s="245" t="inlineStr"/>
    </row>
    <row r="22" ht="15" customHeight="1" s="236">
      <c r="A22" s="243" t="n">
        <v>21</v>
      </c>
      <c r="B22" s="248" t="inlineStr">
        <is>
          <t>Датчик уровня</t>
        </is>
      </c>
      <c r="C22" s="245" t="inlineStr">
        <is>
          <t>KROHNE Optiswitch 5200C</t>
        </is>
      </c>
      <c r="D22" s="245" t="inlineStr">
        <is>
          <t>20408765</t>
        </is>
      </c>
      <c r="E22" s="245" t="inlineStr">
        <is>
          <t>2011</t>
        </is>
      </c>
      <c r="F22" s="245" t="inlineStr">
        <is>
          <t>0…400 мм</t>
        </is>
      </c>
      <c r="G22" s="245" t="inlineStr"/>
      <c r="H22" s="243" t="inlineStr">
        <is>
          <t>Уровень антифриза в ЭПГ 700/1</t>
        </is>
      </c>
      <c r="I22" s="245" t="inlineStr">
        <is>
          <t>ГПА 62 БПТГ</t>
        </is>
      </c>
      <c r="J22" s="243" t="inlineStr">
        <is>
          <t>АСУ,А и ТМ (КЦ № 6)</t>
        </is>
      </c>
      <c r="K22" s="243" t="inlineStr"/>
      <c r="L22" s="243" t="inlineStr"/>
      <c r="M22" s="246" t="inlineStr"/>
      <c r="N22" s="245" t="inlineStr"/>
    </row>
    <row r="23" ht="15" customHeight="1" s="236">
      <c r="A23" s="243" t="n">
        <v>22</v>
      </c>
      <c r="B23" s="248" t="inlineStr">
        <is>
          <t>Датчик уровня</t>
        </is>
      </c>
      <c r="C23" s="245" t="inlineStr">
        <is>
          <t>KROHNE Optiswitch 5200C</t>
        </is>
      </c>
      <c r="D23" s="245" t="inlineStr">
        <is>
          <t>20408762</t>
        </is>
      </c>
      <c r="E23" s="245" t="inlineStr">
        <is>
          <t>2011</t>
        </is>
      </c>
      <c r="F23" s="245" t="inlineStr">
        <is>
          <t>0…400 мм</t>
        </is>
      </c>
      <c r="G23" s="245" t="inlineStr"/>
      <c r="H23" s="243" t="inlineStr">
        <is>
          <t>Уровень антифриза в ЭПГ 700/2</t>
        </is>
      </c>
      <c r="I23" s="245" t="inlineStr">
        <is>
          <t>ГПА 62 БПТГ</t>
        </is>
      </c>
      <c r="J23" s="243" t="inlineStr">
        <is>
          <t>АСУ,А и ТМ (КЦ № 6)</t>
        </is>
      </c>
      <c r="K23" s="243" t="inlineStr"/>
      <c r="L23" s="243" t="inlineStr"/>
      <c r="M23" s="246" t="inlineStr"/>
      <c r="N23" s="245" t="inlineStr"/>
    </row>
    <row r="24" ht="15" customHeight="1" s="236">
      <c r="A24" s="243" t="n">
        <v>23</v>
      </c>
      <c r="B24" s="244" t="inlineStr">
        <is>
          <t>Контроль загазованности</t>
        </is>
      </c>
      <c r="C24" s="245" t="inlineStr">
        <is>
          <t>ОГС-ПГП/М-СН4-А</t>
        </is>
      </c>
      <c r="D24" s="245" t="inlineStr">
        <is>
          <t>25239</t>
        </is>
      </c>
      <c r="E24" s="245" t="inlineStr">
        <is>
          <t>2025</t>
        </is>
      </c>
      <c r="F24" s="245" t="inlineStr"/>
      <c r="G24" s="245" t="inlineStr"/>
      <c r="H24" s="243" t="inlineStr">
        <is>
          <t>ЭП 700/2 (QT 502)</t>
        </is>
      </c>
      <c r="I24" s="245" t="inlineStr">
        <is>
          <t>ГПА 62 БПТГ</t>
        </is>
      </c>
      <c r="J24" s="243" t="inlineStr">
        <is>
          <t>АСУ,А и ТМ (КЦ № 6)</t>
        </is>
      </c>
      <c r="K24" s="243" t="inlineStr">
        <is>
          <t>2012</t>
        </is>
      </c>
      <c r="L24" s="243" t="inlineStr"/>
      <c r="M24" s="246" t="inlineStr"/>
      <c r="N24" s="245" t="inlineStr"/>
    </row>
    <row r="25" ht="15" customHeight="1" s="236">
      <c r="A25" s="243" t="n">
        <v>24</v>
      </c>
      <c r="B25" s="244" t="inlineStr">
        <is>
          <t>Контроль загазованности</t>
        </is>
      </c>
      <c r="C25" s="245" t="inlineStr">
        <is>
          <t>ОГС-ПГП/М-СН4-А</t>
        </is>
      </c>
      <c r="D25" s="245" t="inlineStr">
        <is>
          <t>25237</t>
        </is>
      </c>
      <c r="E25" s="245" t="inlineStr">
        <is>
          <t>2025</t>
        </is>
      </c>
      <c r="F25" s="245" t="inlineStr"/>
      <c r="G25" s="245" t="inlineStr"/>
      <c r="H25" s="243" t="inlineStr">
        <is>
          <t>ЭП 700/1 (QT 501)</t>
        </is>
      </c>
      <c r="I25" s="245" t="inlineStr">
        <is>
          <t>ГПА 62 БПТГ</t>
        </is>
      </c>
      <c r="J25" s="243" t="inlineStr">
        <is>
          <t>АСУ,А и ТМ (КЦ № 6)</t>
        </is>
      </c>
      <c r="K25" s="243" t="inlineStr">
        <is>
          <t>2012</t>
        </is>
      </c>
      <c r="L25" s="243" t="inlineStr"/>
      <c r="M25" s="246" t="inlineStr"/>
      <c r="N25" s="245" t="inlineStr"/>
    </row>
    <row r="26" ht="15" customHeight="1" s="236">
      <c r="A26" s="243" t="n">
        <v>25</v>
      </c>
      <c r="B26" s="244" t="inlineStr">
        <is>
          <t>Датчик пламени</t>
        </is>
      </c>
      <c r="C26" s="245" t="inlineStr">
        <is>
          <t>ИП330/3-20-А1</t>
        </is>
      </c>
      <c r="D26" s="245" t="inlineStr">
        <is>
          <t>000911</t>
        </is>
      </c>
      <c r="E26" s="245" t="inlineStr">
        <is>
          <t>2011</t>
        </is>
      </c>
      <c r="F26" s="245" t="inlineStr"/>
      <c r="G26" s="245" t="inlineStr"/>
      <c r="H26" s="243" t="inlineStr">
        <is>
          <t>(BTF501)</t>
        </is>
      </c>
      <c r="I26" s="245" t="inlineStr">
        <is>
          <t>ГПА 62 БПТГ</t>
        </is>
      </c>
      <c r="J26" s="243" t="inlineStr">
        <is>
          <t>АСУ,А и ТМ (КЦ № 6)</t>
        </is>
      </c>
      <c r="K26" s="243" t="inlineStr">
        <is>
          <t>2012</t>
        </is>
      </c>
      <c r="L26" s="243" t="inlineStr"/>
      <c r="M26" s="246" t="inlineStr"/>
      <c r="N26" s="245" t="inlineStr"/>
    </row>
    <row r="27" ht="15" customHeight="1" s="236">
      <c r="A27" s="243" t="n">
        <v>26</v>
      </c>
      <c r="B27" s="244" t="inlineStr">
        <is>
          <t>Датчик пламени</t>
        </is>
      </c>
      <c r="C27" s="245" t="inlineStr">
        <is>
          <t>ИП330/3-20-А1</t>
        </is>
      </c>
      <c r="D27" s="245" t="inlineStr">
        <is>
          <t>001003</t>
        </is>
      </c>
      <c r="E27" s="245" t="inlineStr">
        <is>
          <t>2011</t>
        </is>
      </c>
      <c r="F27" s="245" t="inlineStr"/>
      <c r="G27" s="245" t="inlineStr"/>
      <c r="H27" s="243" t="inlineStr">
        <is>
          <t>(BTF502)</t>
        </is>
      </c>
      <c r="I27" s="245" t="inlineStr">
        <is>
          <t>ГПА 62 БПТГ</t>
        </is>
      </c>
      <c r="J27" s="243" t="inlineStr">
        <is>
          <t>АСУ,А и ТМ (КЦ № 6)</t>
        </is>
      </c>
      <c r="K27" s="243" t="inlineStr">
        <is>
          <t>2012</t>
        </is>
      </c>
      <c r="L27" s="243" t="inlineStr"/>
      <c r="M27" s="246" t="inlineStr"/>
      <c r="N27" s="245" t="inlineStr"/>
    </row>
    <row r="28" ht="15" customHeight="1" s="236">
      <c r="A28" s="243" t="n">
        <v>27</v>
      </c>
      <c r="B28" s="244" t="inlineStr">
        <is>
          <t>Датчик пламени</t>
        </is>
      </c>
      <c r="C28" s="245" t="inlineStr">
        <is>
          <t>ИП330/3-20-А1</t>
        </is>
      </c>
      <c r="D28" s="245" t="inlineStr">
        <is>
          <t>000914</t>
        </is>
      </c>
      <c r="E28" s="245" t="inlineStr">
        <is>
          <t>2011</t>
        </is>
      </c>
      <c r="F28" s="245" t="inlineStr"/>
      <c r="G28" s="245" t="inlineStr"/>
      <c r="H28" s="243" t="inlineStr">
        <is>
          <t>(BTF503)</t>
        </is>
      </c>
      <c r="I28" s="245" t="inlineStr">
        <is>
          <t>ГПА 62 БПТГ</t>
        </is>
      </c>
      <c r="J28" s="243" t="inlineStr">
        <is>
          <t>АСУ,А и ТМ (КЦ № 6)</t>
        </is>
      </c>
      <c r="K28" s="243" t="inlineStr">
        <is>
          <t>2012</t>
        </is>
      </c>
      <c r="L28" s="243" t="inlineStr"/>
      <c r="M28" s="246" t="inlineStr"/>
      <c r="N28" s="245" t="inlineStr"/>
    </row>
    <row r="29" ht="15" customHeight="1" s="236">
      <c r="A29" s="243" t="n">
        <v>28</v>
      </c>
      <c r="B29" s="244" t="inlineStr">
        <is>
          <t>Датчик пламени</t>
        </is>
      </c>
      <c r="C29" s="245" t="inlineStr">
        <is>
          <t>ИП330/3-20-А1</t>
        </is>
      </c>
      <c r="D29" s="245" t="inlineStr">
        <is>
          <t>000903</t>
        </is>
      </c>
      <c r="E29" s="245" t="inlineStr">
        <is>
          <t>2011</t>
        </is>
      </c>
      <c r="F29" s="245" t="inlineStr"/>
      <c r="G29" s="245" t="inlineStr"/>
      <c r="H29" s="243" t="inlineStr">
        <is>
          <t>(BTF504)</t>
        </is>
      </c>
      <c r="I29" s="245" t="inlineStr">
        <is>
          <t>ГПА 62 БПТГ</t>
        </is>
      </c>
      <c r="J29" s="243" t="inlineStr">
        <is>
          <t>АСУ,А и ТМ (КЦ № 6)</t>
        </is>
      </c>
      <c r="K29" s="243" t="inlineStr">
        <is>
          <t>2012</t>
        </is>
      </c>
      <c r="L29" s="243" t="inlineStr"/>
      <c r="M29" s="246" t="inlineStr"/>
      <c r="N29" s="245" t="inlineStr"/>
    </row>
    <row r="30" ht="15" customHeight="1" s="236">
      <c r="A30" s="243" t="n">
        <v>29</v>
      </c>
      <c r="B30" s="248" t="inlineStr">
        <is>
          <t>Термометр сопротивления</t>
        </is>
      </c>
      <c r="C30" s="245" t="inlineStr">
        <is>
          <t>ТСПУ-Л 22322 УХЛ3.1</t>
        </is>
      </c>
      <c r="D30" s="245" t="inlineStr">
        <is>
          <t>4</t>
        </is>
      </c>
      <c r="E30" s="245" t="inlineStr">
        <is>
          <t>2011</t>
        </is>
      </c>
      <c r="F30" s="245" t="inlineStr">
        <is>
          <t>-60…100 °С</t>
        </is>
      </c>
      <c r="G30" s="245" t="inlineStr">
        <is>
          <t>±0,5 %</t>
        </is>
      </c>
      <c r="H30" s="243" t="inlineStr">
        <is>
          <t>Т нагретого воздуха</t>
        </is>
      </c>
      <c r="I30" s="245" t="inlineStr">
        <is>
          <t>ГПА 62 АВГМ</t>
        </is>
      </c>
      <c r="J30" s="243" t="inlineStr">
        <is>
          <t>АСУ,А и ТМ (КЦ № 6)</t>
        </is>
      </c>
      <c r="K30" s="243" t="inlineStr">
        <is>
          <t>2012</t>
        </is>
      </c>
      <c r="L30" s="243" t="inlineStr">
        <is>
          <t>24</t>
        </is>
      </c>
      <c r="M30" s="246" t="inlineStr"/>
      <c r="N30" s="245" t="inlineStr"/>
    </row>
    <row r="31" ht="15" customHeight="1" s="236">
      <c r="A31" s="243" t="n">
        <v>30</v>
      </c>
      <c r="B31" s="248" t="inlineStr">
        <is>
          <t>Термометр сопротивления</t>
        </is>
      </c>
      <c r="C31" s="245" t="inlineStr">
        <is>
          <t>ТСПУ-Л 22322 УХЛ3.1</t>
        </is>
      </c>
      <c r="D31" s="245" t="inlineStr">
        <is>
          <t>38</t>
        </is>
      </c>
      <c r="E31" s="245" t="inlineStr">
        <is>
          <t>2011</t>
        </is>
      </c>
      <c r="F31" s="245" t="inlineStr">
        <is>
          <t>-60…100 °С</t>
        </is>
      </c>
      <c r="G31" s="245" t="inlineStr">
        <is>
          <t>±0,5 %</t>
        </is>
      </c>
      <c r="H31" s="243" t="inlineStr">
        <is>
          <t>Тг на газовом счетчике</t>
        </is>
      </c>
      <c r="I31" s="245" t="inlineStr">
        <is>
          <t>ГПА 62 АВГМ</t>
        </is>
      </c>
      <c r="J31" s="243" t="inlineStr">
        <is>
          <t>АСУ,А и ТМ (КЦ № 6)</t>
        </is>
      </c>
      <c r="K31" s="243" t="inlineStr">
        <is>
          <t>2012</t>
        </is>
      </c>
      <c r="L31" s="243" t="inlineStr">
        <is>
          <t>24</t>
        </is>
      </c>
      <c r="M31" s="246" t="inlineStr"/>
      <c r="N31" s="245" t="inlineStr"/>
    </row>
    <row r="32" ht="15" customHeight="1" s="236">
      <c r="A32" s="239">
        <f>IF(B32&lt;&gt;"", COUNTA($B$2:B32), "")</f>
        <v/>
      </c>
      <c r="B32" s="240" t="inlineStr">
        <is>
          <t>Термометр сопротивления</t>
        </is>
      </c>
      <c r="C32" s="251" t="inlineStr">
        <is>
          <t>ТСПУ-Л  22322 УХЛ3.1</t>
        </is>
      </c>
      <c r="D32" s="251" t="n">
        <v>25</v>
      </c>
      <c r="E32" s="239" t="n">
        <v>2011</v>
      </c>
      <c r="F32" s="252" t="inlineStr">
        <is>
          <t>-60…350 °С</t>
        </is>
      </c>
      <c r="G32" s="251" t="inlineStr">
        <is>
          <t>±0,5 %</t>
        </is>
      </c>
      <c r="H32" s="239" t="inlineStr">
        <is>
          <t>Т теплообменника 1</t>
        </is>
      </c>
      <c r="I32" s="239" t="inlineStr">
        <is>
          <t>ГПА 62 АВГМ</t>
        </is>
      </c>
      <c r="J32" s="239" t="inlineStr">
        <is>
          <t>АСУ,А и ТМ (КЦ № 6)</t>
        </is>
      </c>
      <c r="K32" s="239" t="n">
        <v>2012</v>
      </c>
      <c r="L32" s="251" t="n">
        <v>24</v>
      </c>
      <c r="M32" s="240" t="n"/>
      <c r="N32" s="242" t="n"/>
    </row>
    <row r="33" ht="15" customHeight="1" s="236">
      <c r="A33" s="243" t="n">
        <v>32</v>
      </c>
      <c r="B33" s="246" t="inlineStr">
        <is>
          <t>Термометр сопротивления</t>
        </is>
      </c>
      <c r="C33" s="248" t="inlineStr">
        <is>
          <t>ТСПУ-Л 22322 УХЛ3.1</t>
        </is>
      </c>
      <c r="D33" s="248" t="inlineStr">
        <is>
          <t>29</t>
        </is>
      </c>
      <c r="E33" s="243" t="inlineStr">
        <is>
          <t>2011</t>
        </is>
      </c>
      <c r="F33" s="254" t="inlineStr">
        <is>
          <t>-60…350 °С</t>
        </is>
      </c>
      <c r="G33" s="248" t="inlineStr">
        <is>
          <t>±0,5 %</t>
        </is>
      </c>
      <c r="H33" s="243" t="inlineStr">
        <is>
          <t>Т теплообменника 2</t>
        </is>
      </c>
      <c r="I33" s="243" t="inlineStr">
        <is>
          <t>ГПА 62 АВГМ</t>
        </is>
      </c>
      <c r="J33" s="243" t="inlineStr">
        <is>
          <t>АСУ,А и ТМ (КЦ № 6)</t>
        </is>
      </c>
      <c r="K33" s="243" t="inlineStr">
        <is>
          <t>2012</t>
        </is>
      </c>
      <c r="L33" s="248" t="inlineStr">
        <is>
          <t>24</t>
        </is>
      </c>
      <c r="M33" s="246" t="inlineStr"/>
      <c r="N33" s="245" t="inlineStr"/>
    </row>
    <row r="34" ht="15" customHeight="1" s="236">
      <c r="A34" s="243" t="n">
        <v>33</v>
      </c>
      <c r="B34" s="246" t="inlineStr">
        <is>
          <t>Термометр сопротивления</t>
        </is>
      </c>
      <c r="C34" s="248" t="inlineStr">
        <is>
          <t>ТСПУ-Л 22322 УХЛ3.1</t>
        </is>
      </c>
      <c r="D34" s="248" t="inlineStr">
        <is>
          <t>13</t>
        </is>
      </c>
      <c r="E34" s="243" t="inlineStr">
        <is>
          <t>2011</t>
        </is>
      </c>
      <c r="F34" s="254" t="inlineStr">
        <is>
          <t>-60…100 °С</t>
        </is>
      </c>
      <c r="G34" s="248" t="inlineStr">
        <is>
          <t>±0,5 %</t>
        </is>
      </c>
      <c r="H34" s="243" t="inlineStr">
        <is>
          <t>Тг на входе</t>
        </is>
      </c>
      <c r="I34" s="243" t="inlineStr">
        <is>
          <t>ГПА 62 АВГМ</t>
        </is>
      </c>
      <c r="J34" s="243" t="inlineStr">
        <is>
          <t>АСУ,А и ТМ (КЦ № 6)</t>
        </is>
      </c>
      <c r="K34" s="243" t="inlineStr">
        <is>
          <t>2012</t>
        </is>
      </c>
      <c r="L34" s="248" t="inlineStr">
        <is>
          <t>24</t>
        </is>
      </c>
      <c r="M34" s="246" t="inlineStr"/>
      <c r="N34" s="245" t="inlineStr"/>
    </row>
    <row r="35" ht="15" customHeight="1" s="236">
      <c r="A35" s="243" t="n">
        <v>34</v>
      </c>
      <c r="B35" s="246" t="inlineStr">
        <is>
          <t>Термометр сопротивления</t>
        </is>
      </c>
      <c r="C35" s="248" t="inlineStr">
        <is>
          <t>ТСПУ-Л 22322 УХЛ3.1</t>
        </is>
      </c>
      <c r="D35" s="248" t="inlineStr">
        <is>
          <t>35</t>
        </is>
      </c>
      <c r="E35" s="243" t="inlineStr">
        <is>
          <t>2011</t>
        </is>
      </c>
      <c r="F35" s="254" t="inlineStr">
        <is>
          <t>-60…100 °С</t>
        </is>
      </c>
      <c r="G35" s="248" t="inlineStr">
        <is>
          <t>±0,5 %</t>
        </is>
      </c>
      <c r="H35" s="243" t="inlineStr">
        <is>
          <t>Тв в секции обслуживания</t>
        </is>
      </c>
      <c r="I35" s="243" t="inlineStr">
        <is>
          <t>ГПА 62 АВГМ</t>
        </is>
      </c>
      <c r="J35" s="243" t="inlineStr">
        <is>
          <t>АСУ,А и ТМ (КЦ № 6)</t>
        </is>
      </c>
      <c r="K35" s="243" t="inlineStr">
        <is>
          <t>2012</t>
        </is>
      </c>
      <c r="L35" s="248" t="inlineStr">
        <is>
          <t>24</t>
        </is>
      </c>
      <c r="M35" s="246" t="inlineStr"/>
      <c r="N35" s="245" t="inlineStr"/>
    </row>
    <row r="36" ht="15" customHeight="1" s="236">
      <c r="A36" s="243" t="n">
        <v>35</v>
      </c>
      <c r="B36" s="253" t="inlineStr">
        <is>
          <t>Манометр технический</t>
        </is>
      </c>
      <c r="C36" s="248" t="inlineStr">
        <is>
          <t>МП4-УУ2</t>
        </is>
      </c>
      <c r="D36" s="248" t="inlineStr">
        <is>
          <t>15578</t>
        </is>
      </c>
      <c r="E36" s="243" t="inlineStr">
        <is>
          <t>2010</t>
        </is>
      </c>
      <c r="F36" s="254" t="inlineStr">
        <is>
          <t>0…0,6 кгс/см2</t>
        </is>
      </c>
      <c r="G36" s="248" t="inlineStr">
        <is>
          <t>1.5</t>
        </is>
      </c>
      <c r="H36" s="243" t="inlineStr">
        <is>
          <t>Р газа после счетчика АВГМ</t>
        </is>
      </c>
      <c r="I36" s="243" t="inlineStr">
        <is>
          <t>ГПА 62 АВГМ</t>
        </is>
      </c>
      <c r="J36" s="243" t="inlineStr">
        <is>
          <t>АСУ,А и ТМ (КЦ № 6)</t>
        </is>
      </c>
      <c r="K36" s="243" t="inlineStr">
        <is>
          <t>2015</t>
        </is>
      </c>
      <c r="L36" s="248" t="inlineStr">
        <is>
          <t>12</t>
        </is>
      </c>
      <c r="M36" s="246" t="inlineStr">
        <is>
          <t>1К26</t>
        </is>
      </c>
      <c r="N36" s="245" t="inlineStr">
        <is>
          <t>К</t>
        </is>
      </c>
    </row>
    <row r="37" ht="15" customHeight="1" s="236">
      <c r="A37" s="243" t="n">
        <v>36</v>
      </c>
      <c r="B37" s="253" t="inlineStr">
        <is>
          <t>Манометр технический</t>
        </is>
      </c>
      <c r="C37" s="248" t="inlineStr">
        <is>
          <t>ДМ8008-ВУ-У2</t>
        </is>
      </c>
      <c r="D37" s="248" t="inlineStr">
        <is>
          <t>15158</t>
        </is>
      </c>
      <c r="E37" s="243" t="inlineStr">
        <is>
          <t>2010</t>
        </is>
      </c>
      <c r="F37" s="254" t="inlineStr">
        <is>
          <t>0…6 кгс/см2</t>
        </is>
      </c>
      <c r="G37" s="248" t="inlineStr">
        <is>
          <t>1.5</t>
        </is>
      </c>
      <c r="H37" s="243" t="inlineStr">
        <is>
          <t>Р газа на входе АВГМ</t>
        </is>
      </c>
      <c r="I37" s="243" t="inlineStr">
        <is>
          <t>ГПА 62 АВГМ</t>
        </is>
      </c>
      <c r="J37" s="243" t="inlineStr">
        <is>
          <t>АСУ,А и ТМ (КЦ № 6)</t>
        </is>
      </c>
      <c r="K37" s="243" t="inlineStr">
        <is>
          <t>2012</t>
        </is>
      </c>
      <c r="L37" s="248" t="inlineStr">
        <is>
          <t>12</t>
        </is>
      </c>
      <c r="M37" s="246" t="inlineStr">
        <is>
          <t>1К26</t>
        </is>
      </c>
      <c r="N37" s="245" t="inlineStr">
        <is>
          <t>К</t>
        </is>
      </c>
    </row>
    <row r="38" ht="15" customHeight="1" s="236">
      <c r="A38" s="243" t="n">
        <v>37</v>
      </c>
      <c r="B38" s="253" t="inlineStr">
        <is>
          <t>Контроль загазованности</t>
        </is>
      </c>
      <c r="C38" s="248" t="inlineStr">
        <is>
          <t>Det-Tronics (PIRECL 21M)</t>
        </is>
      </c>
      <c r="D38" s="248" t="inlineStr">
        <is>
          <t>1105087</t>
        </is>
      </c>
      <c r="E38" s="243" t="inlineStr">
        <is>
          <t>2011</t>
        </is>
      </c>
      <c r="F38" s="254" t="inlineStr"/>
      <c r="G38" s="248" t="inlineStr"/>
      <c r="H38" s="243" t="inlineStr">
        <is>
          <t>QT 701</t>
        </is>
      </c>
      <c r="I38" s="243" t="inlineStr">
        <is>
          <t>ГПА 62 АВГМ</t>
        </is>
      </c>
      <c r="J38" s="243" t="inlineStr">
        <is>
          <t>АСУ,А и ТМ (КЦ № 6)</t>
        </is>
      </c>
      <c r="K38" s="243" t="inlineStr">
        <is>
          <t>2012</t>
        </is>
      </c>
      <c r="L38" s="248" t="inlineStr"/>
      <c r="M38" s="246" t="inlineStr"/>
      <c r="N38" s="245" t="inlineStr"/>
    </row>
    <row r="39" ht="22.5" customHeight="1" s="236">
      <c r="A39" s="243" t="n">
        <v>38</v>
      </c>
      <c r="B39" s="253" t="inlineStr">
        <is>
          <t>Извещатель тепловой пожарный</t>
        </is>
      </c>
      <c r="C39" s="248" t="inlineStr">
        <is>
          <t>Fenwal 12-X27121-000</t>
        </is>
      </c>
      <c r="D39" s="248" t="inlineStr">
        <is>
          <t>1921</t>
        </is>
      </c>
      <c r="E39" s="243" t="inlineStr">
        <is>
          <t>2011</t>
        </is>
      </c>
      <c r="F39" s="254" t="inlineStr">
        <is>
          <t>-55…150 °С</t>
        </is>
      </c>
      <c r="G39" s="248" t="inlineStr"/>
      <c r="H39" s="243" t="inlineStr">
        <is>
          <t>BTK 501</t>
        </is>
      </c>
      <c r="I39" s="243" t="inlineStr">
        <is>
          <t>ГПА 62 АВГМ</t>
        </is>
      </c>
      <c r="J39" s="243" t="inlineStr">
        <is>
          <t>АСУ,А и ТМ (КЦ № 6)</t>
        </is>
      </c>
      <c r="K39" s="243" t="inlineStr">
        <is>
          <t>2012</t>
        </is>
      </c>
      <c r="L39" s="248" t="inlineStr"/>
      <c r="M39" s="246" t="inlineStr"/>
      <c r="N39" s="245" t="inlineStr"/>
    </row>
    <row r="40" ht="22.5" customHeight="1" s="236">
      <c r="A40" s="243" t="n">
        <v>39</v>
      </c>
      <c r="B40" s="253" t="inlineStr">
        <is>
          <t>Извещатель тепловой пожарный</t>
        </is>
      </c>
      <c r="C40" s="248" t="inlineStr">
        <is>
          <t>Fenwal 12-X27121-000</t>
        </is>
      </c>
      <c r="D40" s="248" t="inlineStr">
        <is>
          <t>1922</t>
        </is>
      </c>
      <c r="E40" s="243" t="inlineStr">
        <is>
          <t>2011</t>
        </is>
      </c>
      <c r="F40" s="254" t="inlineStr">
        <is>
          <t>-55…150 °С</t>
        </is>
      </c>
      <c r="G40" s="248" t="inlineStr"/>
      <c r="H40" s="243" t="inlineStr">
        <is>
          <t>BTK 502</t>
        </is>
      </c>
      <c r="I40" s="243" t="inlineStr">
        <is>
          <t>ГПА 62 АВГМ</t>
        </is>
      </c>
      <c r="J40" s="243" t="inlineStr">
        <is>
          <t>АСУ,А и ТМ (КЦ № 6)</t>
        </is>
      </c>
      <c r="K40" s="243" t="inlineStr">
        <is>
          <t>2012</t>
        </is>
      </c>
      <c r="L40" s="248" t="inlineStr"/>
      <c r="M40" s="246" t="inlineStr"/>
      <c r="N40" s="245" t="inlineStr"/>
    </row>
    <row r="41" ht="22.5" customHeight="1" s="236">
      <c r="A41" s="243" t="n">
        <v>40</v>
      </c>
      <c r="B41" s="253" t="inlineStr">
        <is>
          <t>Извещатель тепловой пожарный</t>
        </is>
      </c>
      <c r="C41" s="248" t="inlineStr">
        <is>
          <t>Fenwal 12-X27121-000</t>
        </is>
      </c>
      <c r="D41" s="248" t="inlineStr">
        <is>
          <t>1923</t>
        </is>
      </c>
      <c r="E41" s="243" t="inlineStr">
        <is>
          <t>2011</t>
        </is>
      </c>
      <c r="F41" s="254" t="inlineStr">
        <is>
          <t>-55…150 °С</t>
        </is>
      </c>
      <c r="G41" s="248" t="inlineStr"/>
      <c r="H41" s="243" t="inlineStr">
        <is>
          <t>BTK 503</t>
        </is>
      </c>
      <c r="I41" s="243" t="inlineStr">
        <is>
          <t>ГПА 62 АВГМ</t>
        </is>
      </c>
      <c r="J41" s="243" t="inlineStr">
        <is>
          <t>АСУ,А и ТМ (КЦ № 6)</t>
        </is>
      </c>
      <c r="K41" s="243" t="inlineStr">
        <is>
          <t>2012</t>
        </is>
      </c>
      <c r="L41" s="248" t="inlineStr"/>
      <c r="M41" s="246" t="inlineStr"/>
      <c r="N41" s="245" t="inlineStr"/>
    </row>
    <row r="42" ht="22.5" customHeight="1" s="236">
      <c r="A42" s="243" t="n">
        <v>41</v>
      </c>
      <c r="B42" s="255" t="inlineStr">
        <is>
          <t>Преобразователь избыточного давления</t>
        </is>
      </c>
      <c r="C42" s="248" t="inlineStr">
        <is>
          <t>Dunas LGW 3 A2</t>
        </is>
      </c>
      <c r="D42" s="248" t="inlineStr">
        <is>
          <t>CE-0085 AQ0673</t>
        </is>
      </c>
      <c r="E42" s="243" t="inlineStr">
        <is>
          <t>2011</t>
        </is>
      </c>
      <c r="F42" s="254" t="inlineStr">
        <is>
          <t>0…500 мбар</t>
        </is>
      </c>
      <c r="G42" s="248" t="inlineStr"/>
      <c r="H42" s="243" t="inlineStr">
        <is>
          <t>Перепад давления</t>
        </is>
      </c>
      <c r="I42" s="243" t="inlineStr">
        <is>
          <t>ГПА 62 АВГМ</t>
        </is>
      </c>
      <c r="J42" s="243" t="inlineStr">
        <is>
          <t>АСУ,А и ТМ (КЦ № 6)</t>
        </is>
      </c>
      <c r="K42" s="243" t="inlineStr">
        <is>
          <t>2012</t>
        </is>
      </c>
      <c r="L42" s="248" t="inlineStr"/>
      <c r="M42" s="246" t="inlineStr"/>
      <c r="N42" s="245" t="inlineStr"/>
    </row>
    <row r="43" ht="22.5" customHeight="1" s="236">
      <c r="A43" s="243" t="n">
        <v>42</v>
      </c>
      <c r="B43" s="255" t="inlineStr">
        <is>
          <t>Преобразователь избыточного давления</t>
        </is>
      </c>
      <c r="C43" s="248" t="inlineStr">
        <is>
          <t>ПРОМА-ИДМ-(В)</t>
        </is>
      </c>
      <c r="D43" s="248" t="inlineStr">
        <is>
          <t>03-742</t>
        </is>
      </c>
      <c r="E43" s="243" t="inlineStr">
        <is>
          <t>2011</t>
        </is>
      </c>
      <c r="F43" s="254" t="inlineStr">
        <is>
          <t>0…1 кПа</t>
        </is>
      </c>
      <c r="G43" s="248" t="inlineStr"/>
      <c r="H43" s="243" t="inlineStr">
        <is>
          <t>Р воздуха на входе (датчик и прибор)</t>
        </is>
      </c>
      <c r="I43" s="243" t="inlineStr">
        <is>
          <t>ГПА 62 АВГМ</t>
        </is>
      </c>
      <c r="J43" s="243" t="inlineStr">
        <is>
          <t>АСУ,А и ТМ (КЦ № 6)</t>
        </is>
      </c>
      <c r="K43" s="243" t="inlineStr">
        <is>
          <t>2012</t>
        </is>
      </c>
      <c r="L43" s="248" t="inlineStr"/>
      <c r="M43" s="246" t="inlineStr"/>
      <c r="N43" s="245" t="inlineStr"/>
    </row>
    <row r="44" ht="22.5" customHeight="1" s="236">
      <c r="A44" s="243" t="n">
        <v>43</v>
      </c>
      <c r="B44" s="255" t="inlineStr">
        <is>
          <t>Преобразователь избыточного давления</t>
        </is>
      </c>
      <c r="C44" s="248" t="inlineStr">
        <is>
          <t>ДДМ-03-ДИ</t>
        </is>
      </c>
      <c r="D44" s="248" t="inlineStr">
        <is>
          <t>303055</t>
        </is>
      </c>
      <c r="E44" s="243" t="inlineStr"/>
      <c r="F44" s="254" t="inlineStr">
        <is>
          <t>0…40 кПа</t>
        </is>
      </c>
      <c r="G44" s="248" t="inlineStr"/>
      <c r="H44" s="243" t="inlineStr">
        <is>
          <t>Р газа полсе РД</t>
        </is>
      </c>
      <c r="I44" s="243" t="inlineStr">
        <is>
          <t>ГПА 62 АВГМ</t>
        </is>
      </c>
      <c r="J44" s="243" t="inlineStr">
        <is>
          <t>АСУ,А и ТМ (КЦ № 6)</t>
        </is>
      </c>
      <c r="K44" s="243" t="inlineStr">
        <is>
          <t>2012</t>
        </is>
      </c>
      <c r="L44" s="248" t="inlineStr"/>
      <c r="M44" s="246" t="inlineStr"/>
      <c r="N44" s="245" t="inlineStr"/>
    </row>
    <row r="45" ht="15" customHeight="1" s="236">
      <c r="A45" s="243" t="n">
        <v>44</v>
      </c>
      <c r="B45" s="246" t="inlineStr">
        <is>
          <t>Счетчик газа</t>
        </is>
      </c>
      <c r="C45" s="248" t="inlineStr">
        <is>
          <t>Elster ПГТИ G65</t>
        </is>
      </c>
      <c r="D45" s="248" t="inlineStr">
        <is>
          <t>11024686</t>
        </is>
      </c>
      <c r="E45" s="243" t="inlineStr">
        <is>
          <t>2011</t>
        </is>
      </c>
      <c r="F45" s="254" t="inlineStr">
        <is>
          <t>3…100 м3/ч</t>
        </is>
      </c>
      <c r="G45" s="248" t="inlineStr"/>
      <c r="H45" s="243" t="inlineStr">
        <is>
          <t>Счетчик газа</t>
        </is>
      </c>
      <c r="I45" s="243" t="inlineStr">
        <is>
          <t>ГПА 62 АВГМ</t>
        </is>
      </c>
      <c r="J45" s="243" t="inlineStr">
        <is>
          <t>АСУ,А и ТМ (КЦ № 6)</t>
        </is>
      </c>
      <c r="K45" s="243" t="inlineStr">
        <is>
          <t>2012</t>
        </is>
      </c>
      <c r="L45" s="248" t="inlineStr"/>
      <c r="M45" s="246" t="inlineStr"/>
      <c r="N45" s="245" t="inlineStr"/>
    </row>
    <row r="46" ht="15" customHeight="1" s="236">
      <c r="A46" s="243" t="n">
        <v>45</v>
      </c>
      <c r="B46" s="253" t="inlineStr">
        <is>
          <t>Манометр технический</t>
        </is>
      </c>
      <c r="C46" s="248" t="inlineStr">
        <is>
          <t>МП3-УУХЛ1</t>
        </is>
      </c>
      <c r="D46" s="248" t="inlineStr">
        <is>
          <t>15509</t>
        </is>
      </c>
      <c r="E46" s="243" t="inlineStr">
        <is>
          <t>2010</t>
        </is>
      </c>
      <c r="F46" s="254" t="inlineStr">
        <is>
          <t>0…160 кгс/см2</t>
        </is>
      </c>
      <c r="G46" s="248" t="inlineStr">
        <is>
          <t>1.5</t>
        </is>
      </c>
      <c r="H46" s="243" t="inlineStr">
        <is>
          <t>Р газа 1 секции</t>
        </is>
      </c>
      <c r="I46" s="243" t="inlineStr">
        <is>
          <t>ГПА 62 АВОГ</t>
        </is>
      </c>
      <c r="J46" s="243" t="inlineStr">
        <is>
          <t>АСУ,А и ТМ (КЦ № 6)</t>
        </is>
      </c>
      <c r="K46" s="243" t="inlineStr">
        <is>
          <t>2012</t>
        </is>
      </c>
      <c r="L46" s="248" t="inlineStr">
        <is>
          <t>12</t>
        </is>
      </c>
      <c r="M46" s="246" t="inlineStr">
        <is>
          <t>1К26</t>
        </is>
      </c>
      <c r="N46" s="245" t="inlineStr">
        <is>
          <t>К</t>
        </is>
      </c>
    </row>
    <row r="47" ht="15" customHeight="1" s="236">
      <c r="A47" s="243" t="n">
        <v>46</v>
      </c>
      <c r="B47" s="253" t="inlineStr">
        <is>
          <t>Манометр технический</t>
        </is>
      </c>
      <c r="C47" s="248" t="inlineStr">
        <is>
          <t>МП3-УУХЛ1</t>
        </is>
      </c>
      <c r="D47" s="248" t="inlineStr">
        <is>
          <t>15227</t>
        </is>
      </c>
      <c r="E47" s="243" t="inlineStr">
        <is>
          <t>2010</t>
        </is>
      </c>
      <c r="F47" s="254" t="inlineStr">
        <is>
          <t>0…160 кгс/см3</t>
        </is>
      </c>
      <c r="G47" s="248" t="inlineStr">
        <is>
          <t>1.5</t>
        </is>
      </c>
      <c r="H47" s="243" t="inlineStr">
        <is>
          <t>Р газа 2 секции</t>
        </is>
      </c>
      <c r="I47" s="243" t="inlineStr">
        <is>
          <t>ГПА 62 АВОГ</t>
        </is>
      </c>
      <c r="J47" s="243" t="inlineStr">
        <is>
          <t>АСУ,А и ТМ (КЦ № 6)</t>
        </is>
      </c>
      <c r="K47" s="243" t="inlineStr">
        <is>
          <t>2012</t>
        </is>
      </c>
      <c r="L47" s="248" t="inlineStr">
        <is>
          <t>12</t>
        </is>
      </c>
      <c r="M47" s="246" t="inlineStr">
        <is>
          <t>1К26</t>
        </is>
      </c>
      <c r="N47" s="245" t="inlineStr">
        <is>
          <t>К</t>
        </is>
      </c>
    </row>
    <row r="48" ht="15" customHeight="1" s="236">
      <c r="A48" s="243" t="n">
        <v>47</v>
      </c>
      <c r="B48" s="253" t="inlineStr">
        <is>
          <t>Манометр технический</t>
        </is>
      </c>
      <c r="C48" s="248" t="inlineStr">
        <is>
          <t>МП3-УУХЛ1</t>
        </is>
      </c>
      <c r="D48" s="248" t="inlineStr">
        <is>
          <t>15663</t>
        </is>
      </c>
      <c r="E48" s="243" t="inlineStr">
        <is>
          <t>2010</t>
        </is>
      </c>
      <c r="F48" s="254" t="inlineStr">
        <is>
          <t>0…160 кгс/см4</t>
        </is>
      </c>
      <c r="G48" s="248" t="inlineStr">
        <is>
          <t>1.5</t>
        </is>
      </c>
      <c r="H48" s="243" t="inlineStr">
        <is>
          <t>Р газа 3 секции</t>
        </is>
      </c>
      <c r="I48" s="243" t="inlineStr">
        <is>
          <t>ГПА 62 АВОГ</t>
        </is>
      </c>
      <c r="J48" s="243" t="inlineStr">
        <is>
          <t>АСУ,А и ТМ (КЦ № 6)</t>
        </is>
      </c>
      <c r="K48" s="243" t="inlineStr">
        <is>
          <t>2012</t>
        </is>
      </c>
      <c r="L48" s="248" t="inlineStr">
        <is>
          <t>12</t>
        </is>
      </c>
      <c r="M48" s="246" t="inlineStr">
        <is>
          <t>1К26</t>
        </is>
      </c>
      <c r="N48" s="245" t="inlineStr">
        <is>
          <t>К</t>
        </is>
      </c>
    </row>
    <row r="49" ht="15" customHeight="1" s="236">
      <c r="A49" s="243" t="n">
        <v>48</v>
      </c>
      <c r="B49" s="253" t="inlineStr">
        <is>
          <t>Манометр технический</t>
        </is>
      </c>
      <c r="C49" s="248" t="inlineStr">
        <is>
          <t>МП3-УУХЛ1</t>
        </is>
      </c>
      <c r="D49" s="248" t="inlineStr">
        <is>
          <t>15664</t>
        </is>
      </c>
      <c r="E49" s="243" t="inlineStr">
        <is>
          <t>2010</t>
        </is>
      </c>
      <c r="F49" s="254" t="inlineStr">
        <is>
          <t>0…160 кгс/см5</t>
        </is>
      </c>
      <c r="G49" s="248" t="inlineStr">
        <is>
          <t>1.5</t>
        </is>
      </c>
      <c r="H49" s="243" t="inlineStr">
        <is>
          <t>Р газа 4 секции</t>
        </is>
      </c>
      <c r="I49" s="243" t="inlineStr">
        <is>
          <t>ГПА 62 АВОГ</t>
        </is>
      </c>
      <c r="J49" s="243" t="inlineStr">
        <is>
          <t>АСУ,А и ТМ (КЦ № 6)</t>
        </is>
      </c>
      <c r="K49" s="243" t="inlineStr">
        <is>
          <t>2012</t>
        </is>
      </c>
      <c r="L49" s="248" t="inlineStr">
        <is>
          <t>12</t>
        </is>
      </c>
      <c r="M49" s="246" t="inlineStr">
        <is>
          <t>1К26</t>
        </is>
      </c>
      <c r="N49" s="245" t="inlineStr">
        <is>
          <t>К</t>
        </is>
      </c>
    </row>
    <row r="50" ht="15" customHeight="1" s="236">
      <c r="A50" s="243" t="n">
        <v>49</v>
      </c>
      <c r="B50" s="253" t="inlineStr">
        <is>
          <t>Манометр технический</t>
        </is>
      </c>
      <c r="C50" s="248" t="inlineStr">
        <is>
          <t>МП3-УУХЛ1</t>
        </is>
      </c>
      <c r="D50" s="248" t="inlineStr">
        <is>
          <t>15257</t>
        </is>
      </c>
      <c r="E50" s="243" t="inlineStr">
        <is>
          <t>2010</t>
        </is>
      </c>
      <c r="F50" s="254" t="inlineStr">
        <is>
          <t>0…160 кгс/см6</t>
        </is>
      </c>
      <c r="G50" s="248" t="inlineStr">
        <is>
          <t>1.5</t>
        </is>
      </c>
      <c r="H50" s="243" t="inlineStr">
        <is>
          <t>Р газа 5 секции</t>
        </is>
      </c>
      <c r="I50" s="243" t="inlineStr">
        <is>
          <t>ГПА 62 АВОГ</t>
        </is>
      </c>
      <c r="J50" s="243" t="inlineStr">
        <is>
          <t>АСУ,А и ТМ (КЦ № 6)</t>
        </is>
      </c>
      <c r="K50" s="243" t="inlineStr">
        <is>
          <t>2012</t>
        </is>
      </c>
      <c r="L50" s="248" t="inlineStr">
        <is>
          <t>12</t>
        </is>
      </c>
      <c r="M50" s="246" t="inlineStr">
        <is>
          <t>1К26</t>
        </is>
      </c>
      <c r="N50" s="245" t="inlineStr">
        <is>
          <t>К</t>
        </is>
      </c>
    </row>
    <row r="51" ht="15" customHeight="1" s="236">
      <c r="A51" s="243" t="n">
        <v>50</v>
      </c>
      <c r="B51" s="253" t="inlineStr">
        <is>
          <t>Манометр технический</t>
        </is>
      </c>
      <c r="C51" s="248" t="inlineStr">
        <is>
          <t>МП3-УУХЛ1</t>
        </is>
      </c>
      <c r="D51" s="248" t="inlineStr">
        <is>
          <t>15266</t>
        </is>
      </c>
      <c r="E51" s="243" t="inlineStr">
        <is>
          <t>2010</t>
        </is>
      </c>
      <c r="F51" s="254" t="inlineStr">
        <is>
          <t>0…160 кгс/см7</t>
        </is>
      </c>
      <c r="G51" s="248" t="inlineStr">
        <is>
          <t>1.5</t>
        </is>
      </c>
      <c r="H51" s="243" t="inlineStr">
        <is>
          <t>Р газа 6 секции</t>
        </is>
      </c>
      <c r="I51" s="243" t="inlineStr">
        <is>
          <t>ГПА 62 АВОГ</t>
        </is>
      </c>
      <c r="J51" s="243" t="inlineStr">
        <is>
          <t>АСУ,А и ТМ (КЦ № 6)</t>
        </is>
      </c>
      <c r="K51" s="243" t="inlineStr">
        <is>
          <t>2012</t>
        </is>
      </c>
      <c r="L51" s="248" t="inlineStr">
        <is>
          <t>12</t>
        </is>
      </c>
      <c r="M51" s="246" t="inlineStr">
        <is>
          <t>1К26</t>
        </is>
      </c>
      <c r="N51" s="245" t="inlineStr">
        <is>
          <t>К</t>
        </is>
      </c>
    </row>
    <row r="52" ht="15" customHeight="1" s="236">
      <c r="A52" s="243" t="n">
        <v>51</v>
      </c>
      <c r="B52" s="253" t="inlineStr">
        <is>
          <t>Манометр технический</t>
        </is>
      </c>
      <c r="C52" s="248" t="inlineStr">
        <is>
          <t>МП3-УУХЛ1</t>
        </is>
      </c>
      <c r="D52" s="248" t="inlineStr">
        <is>
          <t>7000151</t>
        </is>
      </c>
      <c r="E52" s="243" t="inlineStr">
        <is>
          <t>2010</t>
        </is>
      </c>
      <c r="F52" s="254" t="inlineStr">
        <is>
          <t>0…160 кгс/см8</t>
        </is>
      </c>
      <c r="G52" s="248" t="inlineStr">
        <is>
          <t>1</t>
        </is>
      </c>
      <c r="H52" s="243" t="inlineStr">
        <is>
          <t>Р газа 7 секции</t>
        </is>
      </c>
      <c r="I52" s="243" t="inlineStr">
        <is>
          <t>ГПА 62 АВОГ</t>
        </is>
      </c>
      <c r="J52" s="243" t="inlineStr">
        <is>
          <t>АСУ,А и ТМ (КЦ № 6)</t>
        </is>
      </c>
      <c r="K52" s="243" t="inlineStr">
        <is>
          <t>2012</t>
        </is>
      </c>
      <c r="L52" s="248" t="inlineStr">
        <is>
          <t>12</t>
        </is>
      </c>
      <c r="M52" s="246" t="inlineStr">
        <is>
          <t>1К26</t>
        </is>
      </c>
      <c r="N52" s="245" t="inlineStr">
        <is>
          <t>К</t>
        </is>
      </c>
    </row>
    <row r="53" ht="15" customHeight="1" s="236">
      <c r="A53" s="243" t="n">
        <v>52</v>
      </c>
      <c r="B53" s="253" t="inlineStr">
        <is>
          <t>Манометр технический</t>
        </is>
      </c>
      <c r="C53" s="248" t="inlineStr">
        <is>
          <t>МП3-УУХЛ1</t>
        </is>
      </c>
      <c r="D53" s="248" t="inlineStr">
        <is>
          <t>7000155</t>
        </is>
      </c>
      <c r="E53" s="243" t="inlineStr">
        <is>
          <t>2010</t>
        </is>
      </c>
      <c r="F53" s="254" t="inlineStr">
        <is>
          <t>0…160 кгс/см9</t>
        </is>
      </c>
      <c r="G53" s="248" t="inlineStr">
        <is>
          <t>1</t>
        </is>
      </c>
      <c r="H53" s="243" t="inlineStr">
        <is>
          <t>Р газа 8 секции</t>
        </is>
      </c>
      <c r="I53" s="243" t="inlineStr">
        <is>
          <t>ГПА 62 АВОГ</t>
        </is>
      </c>
      <c r="J53" s="243" t="inlineStr">
        <is>
          <t>АСУ,А и ТМ (КЦ № 6)</t>
        </is>
      </c>
      <c r="K53" s="243" t="inlineStr">
        <is>
          <t>2012</t>
        </is>
      </c>
      <c r="L53" s="248" t="inlineStr">
        <is>
          <t>12</t>
        </is>
      </c>
      <c r="M53" s="246" t="inlineStr">
        <is>
          <t>1К26</t>
        </is>
      </c>
      <c r="N53" s="245" t="inlineStr">
        <is>
          <t>К</t>
        </is>
      </c>
    </row>
    <row r="54" ht="15" customHeight="1" s="236">
      <c r="A54" s="243" t="n">
        <v>53</v>
      </c>
      <c r="B54" s="246" t="inlineStr">
        <is>
          <t>Термометр биметаллический</t>
        </is>
      </c>
      <c r="C54" s="248" t="inlineStr">
        <is>
          <t>ТБф</t>
        </is>
      </c>
      <c r="D54" s="248" t="inlineStr">
        <is>
          <t>072185</t>
        </is>
      </c>
      <c r="E54" s="243" t="inlineStr">
        <is>
          <t>2018</t>
        </is>
      </c>
      <c r="F54" s="254" t="inlineStr">
        <is>
          <t>­50…100 °C</t>
        </is>
      </c>
      <c r="G54" s="248" t="inlineStr">
        <is>
          <t>1.5</t>
        </is>
      </c>
      <c r="H54" s="243" t="inlineStr">
        <is>
          <t>Тг на выходе 1 секции АВО</t>
        </is>
      </c>
      <c r="I54" s="243" t="inlineStr">
        <is>
          <t>ГПА 62 АВОГ</t>
        </is>
      </c>
      <c r="J54" s="243" t="inlineStr">
        <is>
          <t>АСУ,А и ТМ (КЦ № 6)</t>
        </is>
      </c>
      <c r="K54" s="243" t="inlineStr">
        <is>
          <t>2019</t>
        </is>
      </c>
      <c r="L54" s="248" t="inlineStr">
        <is>
          <t>24</t>
        </is>
      </c>
      <c r="M54" s="246" t="inlineStr">
        <is>
          <t>3К26</t>
        </is>
      </c>
      <c r="N54" s="245" t="inlineStr">
        <is>
          <t>К</t>
        </is>
      </c>
    </row>
    <row r="55" ht="15" customHeight="1" s="236">
      <c r="A55" s="243" t="n">
        <v>54</v>
      </c>
      <c r="B55" s="246" t="inlineStr">
        <is>
          <t>Термометр биметаллический</t>
        </is>
      </c>
      <c r="C55" s="248" t="inlineStr">
        <is>
          <t>ТБф</t>
        </is>
      </c>
      <c r="D55" s="248" t="inlineStr">
        <is>
          <t>072186</t>
        </is>
      </c>
      <c r="E55" s="243" t="inlineStr">
        <is>
          <t>2018</t>
        </is>
      </c>
      <c r="F55" s="254" t="inlineStr">
        <is>
          <t>­50…100 °C</t>
        </is>
      </c>
      <c r="G55" s="248" t="inlineStr">
        <is>
          <t>1.5</t>
        </is>
      </c>
      <c r="H55" s="243" t="inlineStr">
        <is>
          <t>Тг на выходе 2 секции АВО</t>
        </is>
      </c>
      <c r="I55" s="243" t="inlineStr">
        <is>
          <t>ГПА 62 АВОГ</t>
        </is>
      </c>
      <c r="J55" s="243" t="inlineStr">
        <is>
          <t>АСУ,А и ТМ (КЦ № 6)</t>
        </is>
      </c>
      <c r="K55" s="243" t="inlineStr">
        <is>
          <t>2019</t>
        </is>
      </c>
      <c r="L55" s="248" t="inlineStr">
        <is>
          <t>24</t>
        </is>
      </c>
      <c r="M55" s="246" t="inlineStr">
        <is>
          <t>3К26</t>
        </is>
      </c>
      <c r="N55" s="245" t="inlineStr">
        <is>
          <t>К</t>
        </is>
      </c>
    </row>
    <row r="56" ht="15" customHeight="1" s="236">
      <c r="A56" s="243" t="n">
        <v>55</v>
      </c>
      <c r="B56" s="246" t="inlineStr">
        <is>
          <t>Термометр биметаллический</t>
        </is>
      </c>
      <c r="C56" s="248" t="inlineStr">
        <is>
          <t>ТБ-2 УХЛ2</t>
        </is>
      </c>
      <c r="D56" s="248" t="inlineStr">
        <is>
          <t>738</t>
        </is>
      </c>
      <c r="E56" s="243" t="inlineStr">
        <is>
          <t>2018</t>
        </is>
      </c>
      <c r="F56" s="254" t="inlineStr">
        <is>
          <t>­50…150 °C</t>
        </is>
      </c>
      <c r="G56" s="248" t="inlineStr">
        <is>
          <t>1.5</t>
        </is>
      </c>
      <c r="H56" s="243" t="inlineStr">
        <is>
          <t>Тг на выходе 3 секции АВО</t>
        </is>
      </c>
      <c r="I56" s="243" t="inlineStr">
        <is>
          <t>ГПА 62 АВОГ</t>
        </is>
      </c>
      <c r="J56" s="243" t="inlineStr">
        <is>
          <t>АСУ,А и ТМ (КЦ № 6)</t>
        </is>
      </c>
      <c r="K56" s="243" t="inlineStr">
        <is>
          <t>2019</t>
        </is>
      </c>
      <c r="L56" s="248" t="inlineStr">
        <is>
          <t>24</t>
        </is>
      </c>
      <c r="M56" s="246" t="inlineStr">
        <is>
          <t>3К26</t>
        </is>
      </c>
      <c r="N56" s="245" t="inlineStr">
        <is>
          <t>К</t>
        </is>
      </c>
    </row>
    <row r="57" ht="15" customHeight="1" s="236">
      <c r="A57" s="243" t="n">
        <v>56</v>
      </c>
      <c r="B57" s="246" t="inlineStr">
        <is>
          <t>Термометр биметаллический</t>
        </is>
      </c>
      <c r="C57" s="248" t="inlineStr">
        <is>
          <t>ТБф</t>
        </is>
      </c>
      <c r="D57" s="248" t="inlineStr">
        <is>
          <t>072188</t>
        </is>
      </c>
      <c r="E57" s="243" t="inlineStr">
        <is>
          <t>2018</t>
        </is>
      </c>
      <c r="F57" s="254" t="inlineStr">
        <is>
          <t>­50…100 °C</t>
        </is>
      </c>
      <c r="G57" s="248" t="inlineStr">
        <is>
          <t>1.5</t>
        </is>
      </c>
      <c r="H57" s="243" t="inlineStr">
        <is>
          <t>Тг на выходе 4 секции АВО</t>
        </is>
      </c>
      <c r="I57" s="243" t="inlineStr">
        <is>
          <t>ГПА 62 АВОГ</t>
        </is>
      </c>
      <c r="J57" s="243" t="inlineStr">
        <is>
          <t>АСУ,А и ТМ (КЦ № 6)</t>
        </is>
      </c>
      <c r="K57" s="243" t="inlineStr">
        <is>
          <t>2019</t>
        </is>
      </c>
      <c r="L57" s="248" t="inlineStr">
        <is>
          <t>24</t>
        </is>
      </c>
      <c r="M57" s="246" t="inlineStr">
        <is>
          <t>3К26</t>
        </is>
      </c>
      <c r="N57" s="245" t="inlineStr">
        <is>
          <t>К</t>
        </is>
      </c>
    </row>
    <row r="58" ht="15" customHeight="1" s="236">
      <c r="A58" s="243" t="n">
        <v>57</v>
      </c>
      <c r="B58" s="246" t="inlineStr">
        <is>
          <t>Термометр биметаллический</t>
        </is>
      </c>
      <c r="C58" s="248" t="inlineStr">
        <is>
          <t>ТБф</t>
        </is>
      </c>
      <c r="D58" s="248" t="inlineStr">
        <is>
          <t>072189</t>
        </is>
      </c>
      <c r="E58" s="243" t="inlineStr">
        <is>
          <t>2018</t>
        </is>
      </c>
      <c r="F58" s="254" t="inlineStr">
        <is>
          <t>­50…100 °C</t>
        </is>
      </c>
      <c r="G58" s="248" t="inlineStr">
        <is>
          <t>1.5</t>
        </is>
      </c>
      <c r="H58" s="243" t="inlineStr">
        <is>
          <t>Тг на выходе 5 секции АВО</t>
        </is>
      </c>
      <c r="I58" s="243" t="inlineStr">
        <is>
          <t>ГПА 62 АВОГ</t>
        </is>
      </c>
      <c r="J58" s="243" t="inlineStr">
        <is>
          <t>АСУ,А и ТМ (КЦ № 6)</t>
        </is>
      </c>
      <c r="K58" s="243" t="inlineStr">
        <is>
          <t>2019</t>
        </is>
      </c>
      <c r="L58" s="248" t="inlineStr">
        <is>
          <t>24</t>
        </is>
      </c>
      <c r="M58" s="246" t="inlineStr">
        <is>
          <t>3К26</t>
        </is>
      </c>
      <c r="N58" s="245" t="inlineStr">
        <is>
          <t>К</t>
        </is>
      </c>
    </row>
    <row r="59" ht="15" customHeight="1" s="236">
      <c r="A59" s="243" t="n">
        <v>58</v>
      </c>
      <c r="B59" s="246" t="inlineStr">
        <is>
          <t>Термометр биметаллический</t>
        </is>
      </c>
      <c r="C59" s="248" t="inlineStr">
        <is>
          <t>ТБ-2</t>
        </is>
      </c>
      <c r="D59" s="248" t="inlineStr">
        <is>
          <t>5610</t>
        </is>
      </c>
      <c r="E59" s="243" t="inlineStr">
        <is>
          <t>2018</t>
        </is>
      </c>
      <c r="F59" s="254" t="inlineStr">
        <is>
          <t>­50…100 °C</t>
        </is>
      </c>
      <c r="G59" s="248" t="inlineStr">
        <is>
          <t>1.5</t>
        </is>
      </c>
      <c r="H59" s="243" t="inlineStr">
        <is>
          <t>Тг на выходе 6 секции АВО</t>
        </is>
      </c>
      <c r="I59" s="243" t="inlineStr">
        <is>
          <t>ГПА 62 АВОГ</t>
        </is>
      </c>
      <c r="J59" s="243" t="inlineStr">
        <is>
          <t>АСУ,А и ТМ (КЦ № 6)</t>
        </is>
      </c>
      <c r="K59" s="243" t="inlineStr">
        <is>
          <t>2019</t>
        </is>
      </c>
      <c r="L59" s="248" t="inlineStr">
        <is>
          <t>24</t>
        </is>
      </c>
      <c r="M59" s="246" t="inlineStr">
        <is>
          <t>3К26</t>
        </is>
      </c>
      <c r="N59" s="245" t="inlineStr">
        <is>
          <t>К</t>
        </is>
      </c>
    </row>
    <row r="60" ht="15" customHeight="1" s="236">
      <c r="A60" s="243" t="n">
        <v>59</v>
      </c>
      <c r="B60" s="246" t="inlineStr">
        <is>
          <t>Термометр биметаллический</t>
        </is>
      </c>
      <c r="C60" s="248" t="inlineStr">
        <is>
          <t>ТБф</t>
        </is>
      </c>
      <c r="D60" s="248" t="inlineStr">
        <is>
          <t>072191</t>
        </is>
      </c>
      <c r="E60" s="243" t="inlineStr">
        <is>
          <t>2018</t>
        </is>
      </c>
      <c r="F60" s="254" t="inlineStr">
        <is>
          <t>­50…100 °C</t>
        </is>
      </c>
      <c r="G60" s="248" t="inlineStr">
        <is>
          <t>1.5</t>
        </is>
      </c>
      <c r="H60" s="243" t="inlineStr">
        <is>
          <t>Тг на выходе 7 секции АВО</t>
        </is>
      </c>
      <c r="I60" s="243" t="inlineStr">
        <is>
          <t>ГПА 62 АВОГ</t>
        </is>
      </c>
      <c r="J60" s="243" t="inlineStr">
        <is>
          <t>АСУ,А и ТМ (КЦ № 6)</t>
        </is>
      </c>
      <c r="K60" s="243" t="inlineStr">
        <is>
          <t>2019</t>
        </is>
      </c>
      <c r="L60" s="248" t="inlineStr">
        <is>
          <t>24</t>
        </is>
      </c>
      <c r="M60" s="246" t="inlineStr">
        <is>
          <t>3К26</t>
        </is>
      </c>
      <c r="N60" s="245" t="inlineStr">
        <is>
          <t>К</t>
        </is>
      </c>
    </row>
    <row r="61" ht="15" customHeight="1" s="236">
      <c r="A61" s="243" t="n">
        <v>60</v>
      </c>
      <c r="B61" s="246" t="inlineStr">
        <is>
          <t>Термометр биметаллический</t>
        </is>
      </c>
      <c r="C61" s="248" t="inlineStr">
        <is>
          <t>ТБф</t>
        </is>
      </c>
      <c r="D61" s="248" t="inlineStr">
        <is>
          <t>072192</t>
        </is>
      </c>
      <c r="E61" s="243" t="inlineStr">
        <is>
          <t>2018</t>
        </is>
      </c>
      <c r="F61" s="254" t="inlineStr">
        <is>
          <t>­50…100 °C</t>
        </is>
      </c>
      <c r="G61" s="248" t="inlineStr">
        <is>
          <t>1.5</t>
        </is>
      </c>
      <c r="H61" s="243" t="inlineStr">
        <is>
          <t>Тг на выходе 8 секции АВО</t>
        </is>
      </c>
      <c r="I61" s="243" t="inlineStr">
        <is>
          <t>ГПА 62 АВОГ</t>
        </is>
      </c>
      <c r="J61" s="243" t="inlineStr">
        <is>
          <t>АСУ,А и ТМ (КЦ № 6)</t>
        </is>
      </c>
      <c r="K61" s="243" t="inlineStr">
        <is>
          <t>2019</t>
        </is>
      </c>
      <c r="L61" s="248" t="inlineStr">
        <is>
          <t>24</t>
        </is>
      </c>
      <c r="M61" s="246" t="inlineStr">
        <is>
          <t>3К26</t>
        </is>
      </c>
      <c r="N61" s="245" t="inlineStr">
        <is>
          <t>К</t>
        </is>
      </c>
    </row>
    <row r="62" ht="15" customHeight="1" s="236">
      <c r="A62" s="243" t="n">
        <v>61</v>
      </c>
      <c r="B62" s="253" t="inlineStr">
        <is>
          <t>Манометр технический</t>
        </is>
      </c>
      <c r="C62" s="248" t="inlineStr">
        <is>
          <t>МП4-УУ2</t>
        </is>
      </c>
      <c r="D62" s="248" t="inlineStr">
        <is>
          <t>15377</t>
        </is>
      </c>
      <c r="E62" s="243" t="inlineStr">
        <is>
          <t>2010</t>
        </is>
      </c>
      <c r="F62" s="254" t="inlineStr">
        <is>
          <t>0…160 кгс/см2</t>
        </is>
      </c>
      <c r="G62" s="248" t="inlineStr">
        <is>
          <t>1</t>
        </is>
      </c>
      <c r="H62" s="243" t="inlineStr">
        <is>
          <t>Р газа на входе АВО</t>
        </is>
      </c>
      <c r="I62" s="243" t="inlineStr">
        <is>
          <t>ГПА 62 АВОГ</t>
        </is>
      </c>
      <c r="J62" s="243" t="inlineStr">
        <is>
          <t>АСУ,А и ТМ (КЦ № 6)</t>
        </is>
      </c>
      <c r="K62" s="243" t="inlineStr">
        <is>
          <t>2012</t>
        </is>
      </c>
      <c r="L62" s="248" t="inlineStr">
        <is>
          <t>12</t>
        </is>
      </c>
      <c r="M62" s="246" t="inlineStr">
        <is>
          <t>1К26</t>
        </is>
      </c>
      <c r="N62" s="245" t="inlineStr">
        <is>
          <t>К</t>
        </is>
      </c>
    </row>
    <row r="63" ht="15" customHeight="1" s="236">
      <c r="A63" s="243" t="n">
        <v>62</v>
      </c>
      <c r="B63" s="253" t="inlineStr">
        <is>
          <t>Манометр технический</t>
        </is>
      </c>
      <c r="C63" s="248" t="inlineStr">
        <is>
          <t>МП4-УУ2</t>
        </is>
      </c>
      <c r="D63" s="248" t="inlineStr">
        <is>
          <t>61097</t>
        </is>
      </c>
      <c r="E63" s="243" t="inlineStr">
        <is>
          <t>2010</t>
        </is>
      </c>
      <c r="F63" s="254" t="inlineStr">
        <is>
          <t>0…160 кгс/см3</t>
        </is>
      </c>
      <c r="G63" s="248" t="inlineStr">
        <is>
          <t>1</t>
        </is>
      </c>
      <c r="H63" s="243" t="inlineStr">
        <is>
          <t>Р газа на выходе АВО</t>
        </is>
      </c>
      <c r="I63" s="243" t="inlineStr">
        <is>
          <t>ГПА 62 АВОГ</t>
        </is>
      </c>
      <c r="J63" s="243" t="inlineStr">
        <is>
          <t>АСУ,А и ТМ (КЦ № 6)</t>
        </is>
      </c>
      <c r="K63" s="243" t="inlineStr">
        <is>
          <t>2012</t>
        </is>
      </c>
      <c r="L63" s="248" t="inlineStr">
        <is>
          <t>12</t>
        </is>
      </c>
      <c r="M63" s="246" t="inlineStr">
        <is>
          <t>1К26</t>
        </is>
      </c>
      <c r="N63" s="245" t="inlineStr">
        <is>
          <t>К</t>
        </is>
      </c>
    </row>
    <row r="64" ht="15" customHeight="1" s="236">
      <c r="A64" s="243" t="n">
        <v>63</v>
      </c>
      <c r="B64" s="253" t="inlineStr">
        <is>
          <t>Манометр технический</t>
        </is>
      </c>
      <c r="C64" s="248" t="inlineStr">
        <is>
          <t>МП4-УУ2</t>
        </is>
      </c>
      <c r="D64" s="248" t="inlineStr">
        <is>
          <t>15302</t>
        </is>
      </c>
      <c r="E64" s="243" t="inlineStr">
        <is>
          <t>2010</t>
        </is>
      </c>
      <c r="F64" s="254" t="inlineStr">
        <is>
          <t>0…16 кгс/см2</t>
        </is>
      </c>
      <c r="G64" s="248" t="inlineStr">
        <is>
          <t>1.5</t>
        </is>
      </c>
      <c r="H64" s="243" t="inlineStr">
        <is>
          <t>Р имп. воздуха кр. 6к</t>
        </is>
      </c>
      <c r="I64" s="243" t="inlineStr">
        <is>
          <t>ГПА 62 АВОГ</t>
        </is>
      </c>
      <c r="J64" s="243" t="inlineStr">
        <is>
          <t>АСУ,А и ТМ (КЦ № 6)</t>
        </is>
      </c>
      <c r="K64" s="243" t="inlineStr">
        <is>
          <t>2012</t>
        </is>
      </c>
      <c r="L64" s="248" t="inlineStr">
        <is>
          <t>12</t>
        </is>
      </c>
      <c r="M64" s="246" t="inlineStr">
        <is>
          <t>1К26</t>
        </is>
      </c>
      <c r="N64" s="245" t="inlineStr">
        <is>
          <t>К</t>
        </is>
      </c>
    </row>
    <row r="65" ht="22.5" customHeight="1" s="236">
      <c r="A65" s="239">
        <f>IF(B65&lt;&gt;"", COUNTA($B$2:B65), "")</f>
        <v/>
      </c>
      <c r="B65" s="240" t="inlineStr">
        <is>
          <t>Термометр сопротивления</t>
        </is>
      </c>
      <c r="C65" s="252" t="inlineStr">
        <is>
          <t>ТСП 012.56ОВ 100П/А/4</t>
        </is>
      </c>
      <c r="D65" s="240" t="inlineStr">
        <is>
          <t>8</t>
        </is>
      </c>
      <c r="E65" s="239" t="n">
        <v>2011</v>
      </c>
      <c r="F65" s="252" t="inlineStr">
        <is>
          <t>-60…200 °С</t>
        </is>
      </c>
      <c r="G65" s="252" t="inlineStr">
        <is>
          <t>B</t>
        </is>
      </c>
      <c r="H65" s="240" t="inlineStr">
        <is>
          <t>Температура газа на выходе АВО перед краном 6к</t>
        </is>
      </c>
      <c r="I65" s="242" t="inlineStr">
        <is>
          <t>ГПА 62 АВОГ</t>
        </is>
      </c>
      <c r="J65" s="239" t="inlineStr">
        <is>
          <t>АСУ,А и ТМ (КЦ № 6)</t>
        </is>
      </c>
      <c r="K65" s="239" t="n">
        <v>2012</v>
      </c>
      <c r="L65" s="251" t="n">
        <v>24</v>
      </c>
      <c r="M65" s="240" t="n"/>
      <c r="N65" s="242" t="n"/>
    </row>
    <row r="66" ht="22.5" customHeight="1" s="236">
      <c r="A66" s="243" t="n">
        <v>65</v>
      </c>
      <c r="B66" s="246" t="inlineStr">
        <is>
          <t>Термометр сопротивления</t>
        </is>
      </c>
      <c r="C66" s="254" t="inlineStr">
        <is>
          <t>ТСП 012.56ОВ 100П/А/4</t>
        </is>
      </c>
      <c r="D66" s="246" t="inlineStr">
        <is>
          <t>2</t>
        </is>
      </c>
      <c r="E66" s="243" t="inlineStr">
        <is>
          <t>2011</t>
        </is>
      </c>
      <c r="F66" s="254" t="inlineStr">
        <is>
          <t>-60…200 °С</t>
        </is>
      </c>
      <c r="G66" s="254" t="inlineStr">
        <is>
          <t>B</t>
        </is>
      </c>
      <c r="H66" s="246" t="inlineStr">
        <is>
          <t>Температура газа на выходе АВО перед краном 2</t>
        </is>
      </c>
      <c r="I66" s="245" t="inlineStr">
        <is>
          <t>ГПА 62 АВОГ</t>
        </is>
      </c>
      <c r="J66" s="243" t="inlineStr">
        <is>
          <t>АСУ,А и ТМ (КЦ № 6)</t>
        </is>
      </c>
      <c r="K66" s="243" t="inlineStr">
        <is>
          <t>2012</t>
        </is>
      </c>
      <c r="L66" s="248" t="inlineStr">
        <is>
          <t>24</t>
        </is>
      </c>
      <c r="M66" s="246" t="inlineStr"/>
      <c r="N66" s="245" t="inlineStr"/>
    </row>
    <row r="67" ht="22.5" customHeight="1" s="236">
      <c r="A67" s="243" t="n">
        <v>66</v>
      </c>
      <c r="B67" s="255" t="inlineStr">
        <is>
          <t>Преобразователь избыточного давления</t>
        </is>
      </c>
      <c r="C67" s="254" t="inlineStr">
        <is>
          <t>YOKOGAVA EJX110А-EНS5J-B19DM/KF21/QR</t>
        </is>
      </c>
      <c r="D67" s="246" t="inlineStr">
        <is>
          <t>91M439686.217</t>
        </is>
      </c>
      <c r="E67" s="243" t="inlineStr">
        <is>
          <t>2012</t>
        </is>
      </c>
      <c r="F67" s="254" t="inlineStr">
        <is>
          <t>0…160 кПa</t>
        </is>
      </c>
      <c r="G67" s="254" t="inlineStr">
        <is>
          <t>0.04%</t>
        </is>
      </c>
      <c r="H67" s="246" t="inlineStr">
        <is>
          <t>Перепад давления на АВО газа</t>
        </is>
      </c>
      <c r="I67" s="245" t="inlineStr">
        <is>
          <t>ГПА 62 АВОГ</t>
        </is>
      </c>
      <c r="J67" s="243" t="inlineStr">
        <is>
          <t>АСУ,А и ТМ (КЦ № 6)</t>
        </is>
      </c>
      <c r="K67" s="243" t="inlineStr">
        <is>
          <t>2012</t>
        </is>
      </c>
      <c r="L67" s="248" t="inlineStr">
        <is>
          <t>60</t>
        </is>
      </c>
      <c r="M67" s="246" t="inlineStr"/>
      <c r="N67" s="245" t="inlineStr"/>
    </row>
    <row r="68" ht="22.5" customHeight="1" s="236">
      <c r="A68" s="243" t="n">
        <v>67</v>
      </c>
      <c r="B68" s="255" t="inlineStr">
        <is>
          <t>Преобразователь избыточного давления</t>
        </is>
      </c>
      <c r="C68" s="254" t="inlineStr">
        <is>
          <t>YOKOGAVA EJX530А-EDS9N-019DL/KF21/QR</t>
        </is>
      </c>
      <c r="D68" s="246" t="inlineStr">
        <is>
          <t>91M439733.217</t>
        </is>
      </c>
      <c r="E68" s="243" t="inlineStr">
        <is>
          <t>2012</t>
        </is>
      </c>
      <c r="F68" s="254" t="inlineStr">
        <is>
          <t>0…16 МПа</t>
        </is>
      </c>
      <c r="G68" s="254" t="inlineStr">
        <is>
          <t>0.10%</t>
        </is>
      </c>
      <c r="H68" s="246" t="inlineStr">
        <is>
          <t>Давление газа на выходе АВО (до крана №2)</t>
        </is>
      </c>
      <c r="I68" s="245" t="inlineStr">
        <is>
          <t>ГПА 62 АВОГ</t>
        </is>
      </c>
      <c r="J68" s="243" t="inlineStr">
        <is>
          <t>АСУ,А и ТМ (КЦ № 6)</t>
        </is>
      </c>
      <c r="K68" s="243" t="inlineStr">
        <is>
          <t>2012</t>
        </is>
      </c>
      <c r="L68" s="248" t="inlineStr">
        <is>
          <t>60</t>
        </is>
      </c>
      <c r="M68" s="246" t="inlineStr"/>
      <c r="N68" s="245" t="inlineStr"/>
    </row>
    <row r="69" ht="15" customHeight="1" s="236">
      <c r="A69" s="243" t="n">
        <v>68</v>
      </c>
      <c r="B69" s="246" t="inlineStr">
        <is>
          <t>Термометр сопротивления</t>
        </is>
      </c>
      <c r="C69" s="254" t="inlineStr">
        <is>
          <t>Метран 256-04 100П/В/3</t>
        </is>
      </c>
      <c r="D69" s="246" t="inlineStr">
        <is>
          <t>2023522</t>
        </is>
      </c>
      <c r="E69" s="243" t="inlineStr">
        <is>
          <t>2011</t>
        </is>
      </c>
      <c r="F69" s="254" t="inlineStr">
        <is>
          <t>-50…130 °С</t>
        </is>
      </c>
      <c r="G69" s="254" t="inlineStr">
        <is>
          <t>B</t>
        </is>
      </c>
      <c r="H69" s="246" t="inlineStr">
        <is>
          <t>Температура масла на выходе МОД</t>
        </is>
      </c>
      <c r="I69" s="245" t="inlineStr">
        <is>
          <t>ГПА 62</t>
        </is>
      </c>
      <c r="J69" s="243" t="inlineStr">
        <is>
          <t>АСУ,А и ТМ (КЦ № 6)</t>
        </is>
      </c>
      <c r="K69" s="243" t="inlineStr"/>
      <c r="L69" s="248" t="inlineStr"/>
      <c r="M69" s="246" t="inlineStr"/>
      <c r="N69" s="245" t="inlineStr"/>
    </row>
    <row r="70" ht="15" customHeight="1" s="236">
      <c r="A70" s="243" t="n">
        <v>69</v>
      </c>
      <c r="B70" s="246" t="inlineStr">
        <is>
          <t>Термометр сопротивления</t>
        </is>
      </c>
      <c r="C70" s="254" t="inlineStr">
        <is>
          <t>Метран 256-04 100П/В/3</t>
        </is>
      </c>
      <c r="D70" s="246" t="inlineStr">
        <is>
          <t>2023519</t>
        </is>
      </c>
      <c r="E70" s="243" t="inlineStr">
        <is>
          <t>2011</t>
        </is>
      </c>
      <c r="F70" s="254" t="inlineStr">
        <is>
          <t>-50…200 °С</t>
        </is>
      </c>
      <c r="G70" s="254" t="inlineStr">
        <is>
          <t>B</t>
        </is>
      </c>
      <c r="H70" s="246" t="inlineStr">
        <is>
          <t>Температура масла на входе в МОД</t>
        </is>
      </c>
      <c r="I70" s="245" t="inlineStr">
        <is>
          <t>ГПА 62</t>
        </is>
      </c>
      <c r="J70" s="243" t="inlineStr">
        <is>
          <t>АСУ,А и ТМ (КЦ № 6)</t>
        </is>
      </c>
      <c r="K70" s="243" t="inlineStr"/>
      <c r="L70" s="248" t="inlineStr"/>
      <c r="M70" s="246" t="inlineStr"/>
      <c r="N70" s="245" t="inlineStr"/>
    </row>
    <row r="71" ht="22.5" customHeight="1" s="236">
      <c r="A71" s="243" t="n">
        <v>70</v>
      </c>
      <c r="B71" s="246" t="inlineStr">
        <is>
          <t>Термометр сопротивления</t>
        </is>
      </c>
      <c r="C71" s="254" t="inlineStr">
        <is>
          <t>ТСП 011.101</t>
        </is>
      </c>
      <c r="D71" s="246" t="inlineStr">
        <is>
          <t>25</t>
        </is>
      </c>
      <c r="E71" s="243" t="inlineStr">
        <is>
          <t>2011</t>
        </is>
      </c>
      <c r="F71" s="254" t="inlineStr">
        <is>
          <t>-50…130 °С</t>
        </is>
      </c>
      <c r="G71" s="254" t="inlineStr">
        <is>
          <t>B</t>
        </is>
      </c>
      <c r="H71" s="246" t="inlineStr">
        <is>
          <t>Температура секции МОД</t>
        </is>
      </c>
      <c r="I71" s="245" t="inlineStr">
        <is>
          <t>ГПА 62</t>
        </is>
      </c>
      <c r="J71" s="243" t="inlineStr">
        <is>
          <t>АСУ,А и ТМ (КЦ № 6)</t>
        </is>
      </c>
      <c r="K71" s="243" t="inlineStr">
        <is>
          <t>2012</t>
        </is>
      </c>
      <c r="L71" s="248" t="inlineStr">
        <is>
          <t>24</t>
        </is>
      </c>
      <c r="M71" s="246" t="inlineStr">
        <is>
          <t>12.02.2016</t>
        </is>
      </c>
      <c r="N71" s="245" t="inlineStr"/>
    </row>
    <row r="72" ht="22.5" customHeight="1" s="236">
      <c r="A72" s="243" t="n">
        <v>71</v>
      </c>
      <c r="B72" s="246" t="inlineStr">
        <is>
          <t>Термометр сопротивления</t>
        </is>
      </c>
      <c r="C72" s="254" t="inlineStr">
        <is>
          <t>ТСП 012П 100П/В/4</t>
        </is>
      </c>
      <c r="D72" s="246" t="inlineStr">
        <is>
          <t>8</t>
        </is>
      </c>
      <c r="E72" s="243" t="inlineStr">
        <is>
          <t>2013</t>
        </is>
      </c>
      <c r="F72" s="254" t="inlineStr">
        <is>
          <t>-50…200 °С</t>
        </is>
      </c>
      <c r="G72" s="254" t="inlineStr">
        <is>
          <t>B</t>
        </is>
      </c>
      <c r="H72" s="246" t="inlineStr">
        <is>
          <t>Температура поверхности электронагревателей МОД</t>
        </is>
      </c>
      <c r="I72" s="245" t="inlineStr">
        <is>
          <t>ГПА 62</t>
        </is>
      </c>
      <c r="J72" s="243" t="inlineStr">
        <is>
          <t>АСУ,А и ТМ (КЦ № 6)</t>
        </is>
      </c>
      <c r="K72" s="243" t="inlineStr">
        <is>
          <t>2012</t>
        </is>
      </c>
      <c r="L72" s="248" t="inlineStr">
        <is>
          <t>24</t>
        </is>
      </c>
      <c r="M72" s="246" t="inlineStr"/>
      <c r="N72" s="245" t="inlineStr"/>
    </row>
    <row r="73" ht="22.5" customHeight="1" s="236">
      <c r="A73" s="243" t="n">
        <v>72</v>
      </c>
      <c r="B73" s="253" t="inlineStr">
        <is>
          <t>Выключатель давления</t>
        </is>
      </c>
      <c r="C73" s="254" t="inlineStr">
        <is>
          <t>Садко 44 ТЖИУ 406422.004</t>
        </is>
      </c>
      <c r="D73" s="246" t="inlineStr">
        <is>
          <t>нет шильды</t>
        </is>
      </c>
      <c r="E73" s="243" t="inlineStr">
        <is>
          <t>2011</t>
        </is>
      </c>
      <c r="F73" s="254" t="inlineStr">
        <is>
          <t>0,04…0,15 МПа</t>
        </is>
      </c>
      <c r="G73" s="254" t="inlineStr"/>
      <c r="H73" s="246" t="inlineStr">
        <is>
          <t>Перепад давления масла на фильтрах смазки после МОД</t>
        </is>
      </c>
      <c r="I73" s="245" t="inlineStr">
        <is>
          <t>ГПА 62</t>
        </is>
      </c>
      <c r="J73" s="243" t="inlineStr">
        <is>
          <t>АСУ,А и ТМ (КЦ № 6)</t>
        </is>
      </c>
      <c r="K73" s="243" t="inlineStr">
        <is>
          <t>2012</t>
        </is>
      </c>
      <c r="L73" s="248" t="inlineStr"/>
      <c r="M73" s="246" t="inlineStr"/>
      <c r="N73" s="245" t="inlineStr"/>
    </row>
    <row r="74" ht="22.5" customHeight="1" s="236">
      <c r="A74" s="243" t="n">
        <v>73</v>
      </c>
      <c r="B74" s="253" t="inlineStr">
        <is>
          <t>Выключатель давления</t>
        </is>
      </c>
      <c r="C74" s="254" t="inlineStr">
        <is>
          <t>Садко 44 ТЖИУ 406422.004</t>
        </is>
      </c>
      <c r="D74" s="246" t="inlineStr">
        <is>
          <t>124778</t>
        </is>
      </c>
      <c r="E74" s="243" t="inlineStr">
        <is>
          <t>2011</t>
        </is>
      </c>
      <c r="F74" s="254" t="inlineStr">
        <is>
          <t>0,01…0,04 МПа</t>
        </is>
      </c>
      <c r="G74" s="254" t="inlineStr"/>
      <c r="H74" s="246" t="inlineStr">
        <is>
          <t>Перепад давления масла на фильтрах двигателя</t>
        </is>
      </c>
      <c r="I74" s="245" t="inlineStr">
        <is>
          <t>ГПА 62</t>
        </is>
      </c>
      <c r="J74" s="243" t="inlineStr">
        <is>
          <t>АСУ,А и ТМ (КЦ № 6)</t>
        </is>
      </c>
      <c r="K74" s="243" t="inlineStr">
        <is>
          <t>2012</t>
        </is>
      </c>
      <c r="L74" s="248" t="inlineStr"/>
      <c r="M74" s="246" t="inlineStr"/>
      <c r="N74" s="245" t="inlineStr"/>
    </row>
    <row r="75" ht="22.5" customHeight="1" s="236">
      <c r="A75" s="243" t="n">
        <v>74</v>
      </c>
      <c r="B75" s="253" t="inlineStr">
        <is>
          <t>Выключатель давления</t>
        </is>
      </c>
      <c r="C75" s="254" t="inlineStr">
        <is>
          <t>Садко 107 ТЖИУ.406423.004</t>
        </is>
      </c>
      <c r="D75" s="246" t="inlineStr">
        <is>
          <t>125020</t>
        </is>
      </c>
      <c r="E75" s="243" t="inlineStr">
        <is>
          <t>2011</t>
        </is>
      </c>
      <c r="F75" s="254" t="inlineStr">
        <is>
          <t>0,09…0,5 МПа</t>
        </is>
      </c>
      <c r="G75" s="254" t="inlineStr"/>
      <c r="H75" s="246" t="inlineStr">
        <is>
          <t>Давление масла на входе в фильтр маслобака</t>
        </is>
      </c>
      <c r="I75" s="245" t="inlineStr">
        <is>
          <t>ГПА 62</t>
        </is>
      </c>
      <c r="J75" s="243" t="inlineStr">
        <is>
          <t>АСУ,А и ТМ (КЦ № 6)</t>
        </is>
      </c>
      <c r="K75" s="243" t="inlineStr">
        <is>
          <t>2012</t>
        </is>
      </c>
      <c r="L75" s="248" t="inlineStr"/>
      <c r="M75" s="246" t="inlineStr"/>
      <c r="N75" s="245" t="inlineStr"/>
    </row>
    <row r="76" ht="22.5" customHeight="1" s="236">
      <c r="A76" s="243" t="n">
        <v>75</v>
      </c>
      <c r="B76" s="253" t="inlineStr">
        <is>
          <t>Выключатель давления</t>
        </is>
      </c>
      <c r="C76" s="254" t="inlineStr">
        <is>
          <t>Садко 44 ТЖИУ 406422.004</t>
        </is>
      </c>
      <c r="D76" s="246" t="inlineStr">
        <is>
          <t>123243</t>
        </is>
      </c>
      <c r="E76" s="243" t="inlineStr">
        <is>
          <t>2011</t>
        </is>
      </c>
      <c r="F76" s="254" t="inlineStr">
        <is>
          <t>0,04…0,15 МПа</t>
        </is>
      </c>
      <c r="G76" s="254" t="inlineStr"/>
      <c r="H76" s="246" t="inlineStr">
        <is>
          <t>Перепад давления запирающего воздуха на фильтре</t>
        </is>
      </c>
      <c r="I76" s="245" t="inlineStr">
        <is>
          <t>ГПА 62</t>
        </is>
      </c>
      <c r="J76" s="243" t="inlineStr">
        <is>
          <t>АСУ,А и ТМ (КЦ № 6)</t>
        </is>
      </c>
      <c r="K76" s="243" t="inlineStr">
        <is>
          <t>2012</t>
        </is>
      </c>
      <c r="L76" s="248" t="inlineStr"/>
      <c r="M76" s="246" t="inlineStr"/>
      <c r="N76" s="245" t="inlineStr"/>
    </row>
    <row r="77" ht="15" customHeight="1" s="236">
      <c r="A77" s="243" t="n">
        <v>76</v>
      </c>
      <c r="B77" s="253" t="inlineStr">
        <is>
          <t>Выключатель давления</t>
        </is>
      </c>
      <c r="C77" s="254" t="inlineStr">
        <is>
          <t>Садко 107 ТЖИУ.406423.004</t>
        </is>
      </c>
      <c r="D77" s="246" t="inlineStr">
        <is>
          <t>122940</t>
        </is>
      </c>
      <c r="E77" s="243" t="inlineStr">
        <is>
          <t>2011</t>
        </is>
      </c>
      <c r="F77" s="254" t="inlineStr">
        <is>
          <t>3…6 МПа</t>
        </is>
      </c>
      <c r="G77" s="254" t="inlineStr"/>
      <c r="H77" s="246" t="inlineStr">
        <is>
          <t>Сигнализатор обрыва металлорукава</t>
        </is>
      </c>
      <c r="I77" s="245" t="inlineStr">
        <is>
          <t>ГПА 62</t>
        </is>
      </c>
      <c r="J77" s="243" t="inlineStr">
        <is>
          <t>АСУ,А и ТМ (КЦ № 6)</t>
        </is>
      </c>
      <c r="K77" s="243" t="inlineStr">
        <is>
          <t>2012</t>
        </is>
      </c>
      <c r="L77" s="248" t="inlineStr"/>
      <c r="M77" s="246" t="inlineStr"/>
      <c r="N77" s="245" t="inlineStr"/>
    </row>
    <row r="78" ht="33.75" customHeight="1" s="236">
      <c r="A78" s="243" t="n">
        <v>77</v>
      </c>
      <c r="B78" s="246" t="inlineStr">
        <is>
          <t>Термометр сопротивления</t>
        </is>
      </c>
      <c r="C78" s="254" t="inlineStr">
        <is>
          <t>ТСП 012.60 Pt100/В/3</t>
        </is>
      </c>
      <c r="D78" s="246" t="inlineStr">
        <is>
          <t>204</t>
        </is>
      </c>
      <c r="E78" s="243" t="inlineStr">
        <is>
          <t>2011</t>
        </is>
      </c>
      <c r="F78" s="254" t="inlineStr">
        <is>
          <t>-60…200 °С</t>
        </is>
      </c>
      <c r="G78" s="254" t="inlineStr">
        <is>
          <t>B</t>
        </is>
      </c>
      <c r="H78" s="246" t="inlineStr">
        <is>
          <t>Температура защитного воздуха на выходе оболочки опорно-упорного подшипника (задний)</t>
        </is>
      </c>
      <c r="I78" s="245" t="inlineStr">
        <is>
          <t>ГПА 62</t>
        </is>
      </c>
      <c r="J78" s="243" t="inlineStr">
        <is>
          <t>АСУ,А и ТМ (КЦ № 6)</t>
        </is>
      </c>
      <c r="K78" s="243" t="inlineStr">
        <is>
          <t>2012</t>
        </is>
      </c>
      <c r="L78" s="248" t="inlineStr">
        <is>
          <t>24</t>
        </is>
      </c>
      <c r="M78" s="246" t="inlineStr"/>
      <c r="N78" s="245" t="inlineStr"/>
    </row>
    <row r="79" ht="15" customHeight="1" s="236">
      <c r="A79" s="243" t="n">
        <v>78</v>
      </c>
      <c r="B79" s="246" t="inlineStr">
        <is>
          <t>Расходомер</t>
        </is>
      </c>
      <c r="C79" s="254" t="inlineStr">
        <is>
          <t>СУРГ 1.000</t>
        </is>
      </c>
      <c r="D79" s="246" t="inlineStr">
        <is>
          <t>01.1362</t>
        </is>
      </c>
      <c r="E79" s="243" t="inlineStr">
        <is>
          <t>2011</t>
        </is>
      </c>
      <c r="F79" s="254" t="inlineStr">
        <is>
          <t>0…100000 кг/час</t>
        </is>
      </c>
      <c r="G79" s="254" t="inlineStr">
        <is>
          <t>3%</t>
        </is>
      </c>
      <c r="H79" s="246" t="inlineStr">
        <is>
          <t>(Наддув) под кожухом двигателя</t>
        </is>
      </c>
      <c r="I79" s="245" t="inlineStr">
        <is>
          <t>ГПА 62</t>
        </is>
      </c>
      <c r="J79" s="243" t="inlineStr">
        <is>
          <t>АСУ,А и ТМ (КЦ № 6)</t>
        </is>
      </c>
      <c r="K79" s="243" t="inlineStr">
        <is>
          <t>2012</t>
        </is>
      </c>
      <c r="L79" s="248" t="inlineStr">
        <is>
          <t>36</t>
        </is>
      </c>
      <c r="M79" s="246" t="inlineStr"/>
      <c r="N79" s="245" t="inlineStr"/>
    </row>
    <row r="80" ht="22.5" customHeight="1" s="236">
      <c r="A80" s="243" t="n">
        <v>79</v>
      </c>
      <c r="B80" s="255" t="inlineStr">
        <is>
          <t>Преобразователь избыточного давления</t>
        </is>
      </c>
      <c r="C80" s="254" t="inlineStr">
        <is>
          <t>Метран 150 TG2</t>
        </is>
      </c>
      <c r="D80" s="246" t="inlineStr">
        <is>
          <t>1066253</t>
        </is>
      </c>
      <c r="E80" s="243" t="inlineStr">
        <is>
          <t>2011</t>
        </is>
      </c>
      <c r="F80" s="254" t="inlineStr">
        <is>
          <t>0…600 кПa</t>
        </is>
      </c>
      <c r="G80" s="254" t="inlineStr">
        <is>
          <t>0.20%</t>
        </is>
      </c>
      <c r="H80" s="246" t="inlineStr">
        <is>
          <t>Давление газа на выходе 1-ой ступени ТУ ПКВ</t>
        </is>
      </c>
      <c r="I80" s="245" t="inlineStr">
        <is>
          <t>ГПА 62</t>
        </is>
      </c>
      <c r="J80" s="243" t="inlineStr">
        <is>
          <t>АСУ,А и ТМ (КЦ № 6)</t>
        </is>
      </c>
      <c r="K80" s="243" t="inlineStr">
        <is>
          <t>2012</t>
        </is>
      </c>
      <c r="L80" s="248" t="inlineStr">
        <is>
          <t>48</t>
        </is>
      </c>
      <c r="M80" s="246" t="inlineStr"/>
      <c r="N80" s="245" t="inlineStr"/>
    </row>
    <row r="81" ht="22.5" customHeight="1" s="236">
      <c r="A81" s="243" t="n">
        <v>80</v>
      </c>
      <c r="B81" s="255" t="inlineStr">
        <is>
          <t>Преобразователь избыточного давления</t>
        </is>
      </c>
      <c r="C81" s="254" t="inlineStr">
        <is>
          <t>Метран 150 TG2</t>
        </is>
      </c>
      <c r="D81" s="246" t="inlineStr">
        <is>
          <t>1046015</t>
        </is>
      </c>
      <c r="E81" s="243" t="inlineStr">
        <is>
          <t>2011</t>
        </is>
      </c>
      <c r="F81" s="254" t="inlineStr">
        <is>
          <t>0…600 кПa</t>
        </is>
      </c>
      <c r="G81" s="254" t="inlineStr">
        <is>
          <t>0.20%</t>
        </is>
      </c>
      <c r="H81" s="246" t="inlineStr">
        <is>
          <t>Давление газа на выходе 1-ой ступени ТУ ЗКВ</t>
        </is>
      </c>
      <c r="I81" s="245" t="inlineStr">
        <is>
          <t>ГПА 62</t>
        </is>
      </c>
      <c r="J81" s="243" t="inlineStr">
        <is>
          <t>АСУ,А и ТМ (КЦ № 6)</t>
        </is>
      </c>
      <c r="K81" s="243" t="inlineStr">
        <is>
          <t>2012</t>
        </is>
      </c>
      <c r="L81" s="248" t="inlineStr">
        <is>
          <t>48</t>
        </is>
      </c>
      <c r="M81" s="246" t="inlineStr"/>
      <c r="N81" s="245" t="inlineStr"/>
    </row>
    <row r="82" ht="22.5" customHeight="1" s="236">
      <c r="A82" s="243" t="n">
        <v>81</v>
      </c>
      <c r="B82" s="255" t="inlineStr">
        <is>
          <t>Преобразователь избыточного давления</t>
        </is>
      </c>
      <c r="C82" s="254" t="inlineStr">
        <is>
          <t>Метран 150 TG4</t>
        </is>
      </c>
      <c r="D82" s="246" t="inlineStr">
        <is>
          <t>6128401</t>
        </is>
      </c>
      <c r="E82" s="243" t="inlineStr">
        <is>
          <t>2019</t>
        </is>
      </c>
      <c r="F82" s="254" t="inlineStr">
        <is>
          <t>0…16 МПа</t>
        </is>
      </c>
      <c r="G82" s="254" t="inlineStr">
        <is>
          <t>0,075%</t>
        </is>
      </c>
      <c r="H82" s="246" t="inlineStr">
        <is>
          <t>Давление газа на выходе бустерной компрессорной установки</t>
        </is>
      </c>
      <c r="I82" s="245" t="inlineStr">
        <is>
          <t>ГПА 62</t>
        </is>
      </c>
      <c r="J82" s="243" t="inlineStr">
        <is>
          <t>АСУ,А и ТМ (КЦ № 6)</t>
        </is>
      </c>
      <c r="K82" s="243" t="inlineStr">
        <is>
          <t>2019</t>
        </is>
      </c>
      <c r="L82" s="248" t="inlineStr"/>
      <c r="M82" s="246" t="inlineStr"/>
      <c r="N82" s="245" t="inlineStr"/>
    </row>
    <row r="83" ht="22.5" customHeight="1" s="236">
      <c r="A83" s="243" t="n">
        <v>82</v>
      </c>
      <c r="B83" s="255" t="inlineStr">
        <is>
          <t>Преобразователь избыточного давления</t>
        </is>
      </c>
      <c r="C83" s="254" t="inlineStr">
        <is>
          <t>Метран 150 CD4</t>
        </is>
      </c>
      <c r="D83" s="246" t="inlineStr">
        <is>
          <t>6128400</t>
        </is>
      </c>
      <c r="E83" s="243" t="inlineStr">
        <is>
          <t>2019</t>
        </is>
      </c>
      <c r="F83" s="254" t="inlineStr">
        <is>
          <t>0…500 кПа</t>
        </is>
      </c>
      <c r="G83" s="254" t="inlineStr">
        <is>
          <t>0,075%</t>
        </is>
      </c>
      <c r="H83" s="246" t="inlineStr">
        <is>
          <t>Перепад давления газа на фильтре бустерной компрессорной установки</t>
        </is>
      </c>
      <c r="I83" s="245" t="inlineStr">
        <is>
          <t>ГПА 62</t>
        </is>
      </c>
      <c r="J83" s="243" t="inlineStr">
        <is>
          <t>АСУ,А и ТМ (КЦ № 6)</t>
        </is>
      </c>
      <c r="K83" s="243" t="inlineStr">
        <is>
          <t>2019</t>
        </is>
      </c>
      <c r="L83" s="248" t="inlineStr"/>
      <c r="M83" s="246" t="inlineStr"/>
      <c r="N83" s="245" t="inlineStr"/>
    </row>
    <row r="84" ht="22.5" customHeight="1" s="236">
      <c r="A84" s="243" t="n">
        <v>83</v>
      </c>
      <c r="B84" s="255" t="inlineStr">
        <is>
          <t>Преобразователь избыточного давления</t>
        </is>
      </c>
      <c r="C84" s="254" t="inlineStr">
        <is>
          <t>Метран 150 CD2</t>
        </is>
      </c>
      <c r="D84" s="246" t="inlineStr">
        <is>
          <t>1372836</t>
        </is>
      </c>
      <c r="E84" s="243" t="inlineStr">
        <is>
          <t>2011</t>
        </is>
      </c>
      <c r="F84" s="254" t="inlineStr">
        <is>
          <t>0…25 кПa</t>
        </is>
      </c>
      <c r="G84" s="254" t="inlineStr">
        <is>
          <t>0.075%</t>
        </is>
      </c>
      <c r="H84" s="246" t="inlineStr">
        <is>
          <t>Перепад давления газ-газ</t>
        </is>
      </c>
      <c r="I84" s="245" t="inlineStr">
        <is>
          <t>ГПА 62</t>
        </is>
      </c>
      <c r="J84" s="243" t="inlineStr">
        <is>
          <t>АСУ,А и ТМ (КЦ № 6)</t>
        </is>
      </c>
      <c r="K84" s="243" t="inlineStr">
        <is>
          <t>2012</t>
        </is>
      </c>
      <c r="L84" s="248" t="inlineStr">
        <is>
          <t>60</t>
        </is>
      </c>
      <c r="M84" s="246" t="inlineStr"/>
      <c r="N84" s="245" t="inlineStr"/>
    </row>
    <row r="85" ht="22.5" customHeight="1" s="236">
      <c r="A85" s="243" t="n">
        <v>84</v>
      </c>
      <c r="B85" s="255" t="inlineStr">
        <is>
          <t>Преобразователь избыточного давления</t>
        </is>
      </c>
      <c r="C85" s="254" t="inlineStr">
        <is>
          <t>Метран 150 CD3</t>
        </is>
      </c>
      <c r="D85" s="246" t="inlineStr">
        <is>
          <t>1051198</t>
        </is>
      </c>
      <c r="E85" s="243" t="inlineStr">
        <is>
          <t>2011</t>
        </is>
      </c>
      <c r="F85" s="254" t="inlineStr">
        <is>
          <t>0…250 кПа</t>
        </is>
      </c>
      <c r="G85" s="254" t="inlineStr">
        <is>
          <t>0.20%</t>
        </is>
      </c>
      <c r="H85" s="246" t="inlineStr">
        <is>
          <t>Перепад давления газа на фильтрах панели ТГДУ</t>
        </is>
      </c>
      <c r="I85" s="245" t="inlineStr">
        <is>
          <t>ГПА 62</t>
        </is>
      </c>
      <c r="J85" s="243" t="inlineStr">
        <is>
          <t>АСУ,А и ТМ (КЦ № 6)</t>
        </is>
      </c>
      <c r="K85" s="243" t="inlineStr">
        <is>
          <t>2012</t>
        </is>
      </c>
      <c r="L85" s="248" t="inlineStr">
        <is>
          <t>48</t>
        </is>
      </c>
      <c r="M85" s="246" t="inlineStr"/>
      <c r="N85" s="245" t="inlineStr"/>
    </row>
    <row r="86" ht="22.5" customHeight="1" s="236">
      <c r="A86" s="243" t="n">
        <v>85</v>
      </c>
      <c r="B86" s="255" t="inlineStr">
        <is>
          <t>Преобразователь избыточного давления</t>
        </is>
      </c>
      <c r="C86" s="254" t="inlineStr">
        <is>
          <t>Метран 150 CD1</t>
        </is>
      </c>
      <c r="D86" s="246" t="inlineStr">
        <is>
          <t>1372831</t>
        </is>
      </c>
      <c r="E86" s="243" t="inlineStr">
        <is>
          <t>2011</t>
        </is>
      </c>
      <c r="F86" s="254" t="inlineStr">
        <is>
          <t>0…0,63 кПа</t>
        </is>
      </c>
      <c r="G86" s="254" t="inlineStr">
        <is>
          <t>0.10%</t>
        </is>
      </c>
      <c r="H86" s="246" t="inlineStr">
        <is>
          <t>Перепад давления воздуха на мультициклонных блоках (фильтрах)</t>
        </is>
      </c>
      <c r="I86" s="245" t="inlineStr">
        <is>
          <t>ГПА 62</t>
        </is>
      </c>
      <c r="J86" s="243" t="inlineStr">
        <is>
          <t>АСУ,А и ТМ (КЦ № 6)</t>
        </is>
      </c>
      <c r="K86" s="243" t="inlineStr">
        <is>
          <t>2012</t>
        </is>
      </c>
      <c r="L86" s="248" t="inlineStr">
        <is>
          <t>60</t>
        </is>
      </c>
      <c r="M86" s="246" t="inlineStr"/>
      <c r="N86" s="245" t="inlineStr"/>
    </row>
    <row r="87" ht="22.5" customHeight="1" s="236">
      <c r="A87" s="243" t="n">
        <v>86</v>
      </c>
      <c r="B87" s="255" t="inlineStr">
        <is>
          <t>Преобразователь избыточного давления</t>
        </is>
      </c>
      <c r="C87" s="254" t="inlineStr">
        <is>
          <t>Метран 150 CD1</t>
        </is>
      </c>
      <c r="D87" s="246" t="inlineStr">
        <is>
          <t>1372829</t>
        </is>
      </c>
      <c r="E87" s="243" t="inlineStr">
        <is>
          <t>2011</t>
        </is>
      </c>
      <c r="F87" s="254" t="inlineStr">
        <is>
          <t>0…1,6 кПа</t>
        </is>
      </c>
      <c r="G87" s="254" t="inlineStr">
        <is>
          <t>0.10%</t>
        </is>
      </c>
      <c r="H87" s="246" t="inlineStr">
        <is>
          <t>Перепад давления воздуха на кассетных фильтрах</t>
        </is>
      </c>
      <c r="I87" s="245" t="inlineStr">
        <is>
          <t>ГПА 62</t>
        </is>
      </c>
      <c r="J87" s="243" t="inlineStr">
        <is>
          <t>АСУ,А и ТМ (КЦ № 6)</t>
        </is>
      </c>
      <c r="K87" s="243" t="inlineStr">
        <is>
          <t>2012</t>
        </is>
      </c>
      <c r="L87" s="248" t="inlineStr">
        <is>
          <t>60</t>
        </is>
      </c>
      <c r="M87" s="246" t="inlineStr"/>
      <c r="N87" s="245" t="inlineStr"/>
    </row>
    <row r="88" ht="22.5" customHeight="1" s="236">
      <c r="A88" s="243" t="n">
        <v>87</v>
      </c>
      <c r="B88" s="255" t="inlineStr">
        <is>
          <t>Преобразователь избыточного давления</t>
        </is>
      </c>
      <c r="C88" s="254" t="inlineStr">
        <is>
          <t>YOKOGAVA EJX530А-EDS9N-019DL/KF21/QR</t>
        </is>
      </c>
      <c r="D88" s="246" t="inlineStr">
        <is>
          <t>91M439732.217</t>
        </is>
      </c>
      <c r="E88" s="243" t="inlineStr">
        <is>
          <t>2012</t>
        </is>
      </c>
      <c r="F88" s="254" t="inlineStr">
        <is>
          <t>0…16 МПа</t>
        </is>
      </c>
      <c r="G88" s="254" t="inlineStr">
        <is>
          <t>0.10%</t>
        </is>
      </c>
      <c r="H88" s="246" t="inlineStr">
        <is>
          <t>Давление газа на выходе АВО (после крана №2)</t>
        </is>
      </c>
      <c r="I88" s="245" t="inlineStr">
        <is>
          <t>ГПА 62</t>
        </is>
      </c>
      <c r="J88" s="243" t="inlineStr">
        <is>
          <t>АСУ,А и ТМ (КЦ № 6)</t>
        </is>
      </c>
      <c r="K88" s="243" t="inlineStr">
        <is>
          <t>2012</t>
        </is>
      </c>
      <c r="L88" s="248" t="inlineStr">
        <is>
          <t>60</t>
        </is>
      </c>
      <c r="M88" s="246" t="inlineStr"/>
      <c r="N88" s="245" t="inlineStr"/>
    </row>
    <row r="89" ht="22.5" customHeight="1" s="236">
      <c r="A89" s="243" t="n">
        <v>88</v>
      </c>
      <c r="B89" s="255" t="inlineStr">
        <is>
          <t>Преобразователь избыточного давления</t>
        </is>
      </c>
      <c r="C89" s="254" t="inlineStr">
        <is>
          <t>YOKOGAVA EJX110А-EНS5J-B19DM/KF21/QR</t>
        </is>
      </c>
      <c r="D89" s="246" t="inlineStr">
        <is>
          <t>91M439693.217</t>
        </is>
      </c>
      <c r="E89" s="243" t="inlineStr">
        <is>
          <t>2012</t>
        </is>
      </c>
      <c r="F89" s="254" t="inlineStr">
        <is>
          <t>0…0,16 МПа</t>
        </is>
      </c>
      <c r="G89" s="254" t="inlineStr">
        <is>
          <t>0.04%</t>
        </is>
      </c>
      <c r="H89" s="246" t="inlineStr">
        <is>
          <t>Перепад давлений газа на сетке перед компрессором (защитная решетка)</t>
        </is>
      </c>
      <c r="I89" s="245" t="inlineStr">
        <is>
          <t>ГПА 62</t>
        </is>
      </c>
      <c r="J89" s="243" t="inlineStr">
        <is>
          <t>АСУ,А и ТМ (КЦ № 6)</t>
        </is>
      </c>
      <c r="K89" s="243" t="inlineStr">
        <is>
          <t>2012</t>
        </is>
      </c>
      <c r="L89" s="248" t="inlineStr">
        <is>
          <t>60</t>
        </is>
      </c>
      <c r="M89" s="246" t="inlineStr"/>
      <c r="N89" s="245" t="inlineStr"/>
    </row>
    <row r="90" ht="22.5" customHeight="1" s="236">
      <c r="A90" s="243" t="n">
        <v>89</v>
      </c>
      <c r="B90" s="255" t="inlineStr">
        <is>
          <t>Преобразователь избыточного давления</t>
        </is>
      </c>
      <c r="C90" s="254" t="inlineStr">
        <is>
          <t>YOKOGAVA EJX110А-EНS5J-B19DM/KF21/QR</t>
        </is>
      </c>
      <c r="D90" s="246" t="inlineStr">
        <is>
          <t>91М439683.217</t>
        </is>
      </c>
      <c r="E90" s="243" t="inlineStr">
        <is>
          <t>2012</t>
        </is>
      </c>
      <c r="F90" s="254" t="inlineStr">
        <is>
          <t>0…400 кПа</t>
        </is>
      </c>
      <c r="G90" s="254" t="inlineStr">
        <is>
          <t>0.04%</t>
        </is>
      </c>
      <c r="H90" s="246" t="inlineStr">
        <is>
          <t>Перепад давления газа на кране №1</t>
        </is>
      </c>
      <c r="I90" s="245" t="inlineStr">
        <is>
          <t>ГПА 62</t>
        </is>
      </c>
      <c r="J90" s="243" t="inlineStr">
        <is>
          <t>АСУ,А и ТМ (КЦ № 6)</t>
        </is>
      </c>
      <c r="K90" s="243" t="inlineStr">
        <is>
          <t>2012</t>
        </is>
      </c>
      <c r="L90" s="248" t="inlineStr">
        <is>
          <t>60</t>
        </is>
      </c>
      <c r="M90" s="246" t="inlineStr"/>
      <c r="N90" s="245" t="inlineStr"/>
    </row>
    <row r="91" ht="22.5" customHeight="1" s="236">
      <c r="A91" s="243" t="n">
        <v>90</v>
      </c>
      <c r="B91" s="255" t="inlineStr">
        <is>
          <t>Преобразователь избыточного давления</t>
        </is>
      </c>
      <c r="C91" s="254" t="inlineStr">
        <is>
          <t>Honeywell STG-97L</t>
        </is>
      </c>
      <c r="D91" s="246" t="inlineStr">
        <is>
          <t>10W43 C3273987003055</t>
        </is>
      </c>
      <c r="E91" s="243" t="inlineStr">
        <is>
          <t>2010</t>
        </is>
      </c>
      <c r="F91" s="254" t="inlineStr">
        <is>
          <t>0…4 МПа</t>
        </is>
      </c>
      <c r="G91" s="254" t="inlineStr">
        <is>
          <t>0.075</t>
        </is>
      </c>
      <c r="H91" s="246" t="inlineStr">
        <is>
          <t>Давление воздуха за КВД</t>
        </is>
      </c>
      <c r="I91" s="245" t="inlineStr">
        <is>
          <t>ГПА 62</t>
        </is>
      </c>
      <c r="J91" s="243" t="inlineStr">
        <is>
          <t>АСУ,А и ТМ (КЦ № 6)</t>
        </is>
      </c>
      <c r="K91" s="243" t="inlineStr">
        <is>
          <t>2012</t>
        </is>
      </c>
      <c r="L91" s="248" t="inlineStr">
        <is>
          <t>36</t>
        </is>
      </c>
      <c r="M91" s="246" t="inlineStr"/>
      <c r="N91" s="245" t="inlineStr"/>
    </row>
    <row r="92" ht="22.5" customHeight="1" s="236">
      <c r="A92" s="243" t="n">
        <v>91</v>
      </c>
      <c r="B92" s="255" t="inlineStr">
        <is>
          <t>Преобразователь избыточного давления</t>
        </is>
      </c>
      <c r="C92" s="254" t="inlineStr">
        <is>
          <t>Honeywell STG-97L</t>
        </is>
      </c>
      <c r="D92" s="246" t="inlineStr">
        <is>
          <t>10W43 C3273987003062</t>
        </is>
      </c>
      <c r="E92" s="243" t="inlineStr">
        <is>
          <t>2011</t>
        </is>
      </c>
      <c r="F92" s="254" t="inlineStr">
        <is>
          <t>0…10 МПа</t>
        </is>
      </c>
      <c r="G92" s="254" t="inlineStr">
        <is>
          <t>0.075</t>
        </is>
      </c>
      <c r="H92" s="246" t="inlineStr">
        <is>
          <t>Давление газа на входе компрессора</t>
        </is>
      </c>
      <c r="I92" s="245" t="inlineStr">
        <is>
          <t>ГПА 62</t>
        </is>
      </c>
      <c r="J92" s="243" t="inlineStr">
        <is>
          <t>АСУ,А и ТМ (КЦ № 6)</t>
        </is>
      </c>
      <c r="K92" s="243" t="inlineStr">
        <is>
          <t>2012</t>
        </is>
      </c>
      <c r="L92" s="248" t="inlineStr">
        <is>
          <t>36</t>
        </is>
      </c>
      <c r="M92" s="246" t="inlineStr"/>
      <c r="N92" s="245" t="inlineStr"/>
    </row>
    <row r="93" ht="22.5" customHeight="1" s="236">
      <c r="A93" s="243" t="n">
        <v>92</v>
      </c>
      <c r="B93" s="255" t="inlineStr">
        <is>
          <t>Преобразователь избыточного давления</t>
        </is>
      </c>
      <c r="C93" s="254" t="inlineStr">
        <is>
          <t>Honeywell STG-97L</t>
        </is>
      </c>
      <c r="D93" s="246" t="inlineStr">
        <is>
          <t>10W46 C3278548003003</t>
        </is>
      </c>
      <c r="E93" s="243" t="inlineStr">
        <is>
          <t>2011</t>
        </is>
      </c>
      <c r="F93" s="254" t="inlineStr">
        <is>
          <t>0…16 МПа</t>
        </is>
      </c>
      <c r="G93" s="254" t="inlineStr">
        <is>
          <t>0.075</t>
        </is>
      </c>
      <c r="H93" s="246" t="inlineStr">
        <is>
          <t>Давление газа на выходе компрессора</t>
        </is>
      </c>
      <c r="I93" s="245" t="inlineStr">
        <is>
          <t>ГПА 62</t>
        </is>
      </c>
      <c r="J93" s="243" t="inlineStr">
        <is>
          <t>АСУ,А и ТМ (КЦ № 6)</t>
        </is>
      </c>
      <c r="K93" s="243" t="inlineStr">
        <is>
          <t>2012</t>
        </is>
      </c>
      <c r="L93" s="248" t="inlineStr">
        <is>
          <t>36</t>
        </is>
      </c>
      <c r="M93" s="246" t="inlineStr"/>
      <c r="N93" s="245" t="inlineStr"/>
    </row>
    <row r="94" ht="22.5" customHeight="1" s="236">
      <c r="A94" s="243" t="n">
        <v>93</v>
      </c>
      <c r="B94" s="255" t="inlineStr">
        <is>
          <t>Преобразователь избыточного давления</t>
        </is>
      </c>
      <c r="C94" s="254" t="inlineStr">
        <is>
          <t>Honeywell STG-97L</t>
        </is>
      </c>
      <c r="D94" s="246" t="inlineStr">
        <is>
          <t>10W43 C3273987003084</t>
        </is>
      </c>
      <c r="E94" s="243" t="inlineStr">
        <is>
          <t>2010</t>
        </is>
      </c>
      <c r="F94" s="254" t="inlineStr">
        <is>
          <t>0…10 МПа</t>
        </is>
      </c>
      <c r="G94" s="254" t="inlineStr">
        <is>
          <t>0.075</t>
        </is>
      </c>
      <c r="H94" s="246" t="inlineStr">
        <is>
          <t>Давление топливного газа после отсечного клапана</t>
        </is>
      </c>
      <c r="I94" s="245" t="inlineStr">
        <is>
          <t>ГПА 62</t>
        </is>
      </c>
      <c r="J94" s="243" t="inlineStr">
        <is>
          <t>АСУ,А и ТМ (КЦ № 6)</t>
        </is>
      </c>
      <c r="K94" s="243" t="inlineStr">
        <is>
          <t>2012</t>
        </is>
      </c>
      <c r="L94" s="248" t="inlineStr">
        <is>
          <t>36</t>
        </is>
      </c>
      <c r="M94" s="246" t="inlineStr"/>
      <c r="N94" s="245" t="inlineStr"/>
    </row>
    <row r="95" ht="22.5" customHeight="1" s="236">
      <c r="A95" s="243" t="n">
        <v>94</v>
      </c>
      <c r="B95" s="255" t="inlineStr">
        <is>
          <t>Преобразователь избыточного давления</t>
        </is>
      </c>
      <c r="C95" s="254" t="inlineStr">
        <is>
          <t>Honeywell STG-97L</t>
        </is>
      </c>
      <c r="D95" s="246" t="inlineStr">
        <is>
          <t>10W43 C3273987003056</t>
        </is>
      </c>
      <c r="E95" s="243" t="inlineStr">
        <is>
          <t>2011</t>
        </is>
      </c>
      <c r="F95" s="254" t="inlineStr">
        <is>
          <t>0…10 МПа</t>
        </is>
      </c>
      <c r="G95" s="254" t="inlineStr">
        <is>
          <t>0.075</t>
        </is>
      </c>
      <c r="H95" s="246" t="inlineStr">
        <is>
          <t>Давление топливного газа перед расходомерным устройством</t>
        </is>
      </c>
      <c r="I95" s="245" t="inlineStr">
        <is>
          <t>ГПА 62</t>
        </is>
      </c>
      <c r="J95" s="243" t="inlineStr">
        <is>
          <t>АСУ,А и ТМ (КЦ № 6)</t>
        </is>
      </c>
      <c r="K95" s="243" t="inlineStr">
        <is>
          <t>2012</t>
        </is>
      </c>
      <c r="L95" s="248" t="inlineStr">
        <is>
          <t>36</t>
        </is>
      </c>
      <c r="M95" s="246" t="inlineStr"/>
      <c r="N95" s="245" t="inlineStr"/>
    </row>
    <row r="96" ht="33.75" customHeight="1" s="236">
      <c r="A96" s="243" t="n">
        <v>95</v>
      </c>
      <c r="B96" s="255" t="inlineStr">
        <is>
          <t>Преобразователь избыточного давления</t>
        </is>
      </c>
      <c r="C96" s="254" t="inlineStr">
        <is>
          <t>Honeywell STG-97L</t>
        </is>
      </c>
      <c r="D96" s="246" t="inlineStr">
        <is>
          <t>10W46 С3278548003001</t>
        </is>
      </c>
      <c r="E96" s="243" t="inlineStr">
        <is>
          <t>2011</t>
        </is>
      </c>
      <c r="F96" s="254" t="inlineStr">
        <is>
          <t>0…10 МПа</t>
        </is>
      </c>
      <c r="G96" s="254" t="inlineStr">
        <is>
          <t>0.075</t>
        </is>
      </c>
      <c r="H96" s="246" t="inlineStr">
        <is>
          <t>Давление топливного газа перед форсунками камеры сгорания (после СК)</t>
        </is>
      </c>
      <c r="I96" s="245" t="inlineStr">
        <is>
          <t>ГПА 62</t>
        </is>
      </c>
      <c r="J96" s="243" t="inlineStr">
        <is>
          <t>АСУ,А и ТМ (КЦ № 6)</t>
        </is>
      </c>
      <c r="K96" s="243" t="inlineStr">
        <is>
          <t>2012</t>
        </is>
      </c>
      <c r="L96" s="248" t="inlineStr">
        <is>
          <t>36</t>
        </is>
      </c>
      <c r="M96" s="246" t="inlineStr"/>
      <c r="N96" s="245" t="inlineStr"/>
    </row>
    <row r="97" ht="22.5" customHeight="1" s="236">
      <c r="A97" s="243" t="n">
        <v>96</v>
      </c>
      <c r="B97" s="255" t="inlineStr">
        <is>
          <t>Преобразователь избыточного давления</t>
        </is>
      </c>
      <c r="C97" s="254" t="inlineStr">
        <is>
          <t>Honeywell STG-97L</t>
        </is>
      </c>
      <c r="D97" s="246" t="inlineStr">
        <is>
          <t>10W37 C3263312003007</t>
        </is>
      </c>
      <c r="E97" s="243" t="inlineStr">
        <is>
          <t>2010</t>
        </is>
      </c>
      <c r="F97" s="254" t="inlineStr">
        <is>
          <t>0…2 МПа</t>
        </is>
      </c>
      <c r="G97" s="254" t="inlineStr">
        <is>
          <t>0.075</t>
        </is>
      </c>
      <c r="H97" s="246" t="inlineStr">
        <is>
          <t>Давление воздуха в разгрузочной полости</t>
        </is>
      </c>
      <c r="I97" s="245" t="inlineStr">
        <is>
          <t>ГПА 62</t>
        </is>
      </c>
      <c r="J97" s="243" t="inlineStr">
        <is>
          <t>АСУ,А и ТМ (КЦ № 6)</t>
        </is>
      </c>
      <c r="K97" s="243" t="inlineStr">
        <is>
          <t>2012</t>
        </is>
      </c>
      <c r="L97" s="248" t="inlineStr">
        <is>
          <t>36</t>
        </is>
      </c>
      <c r="M97" s="246" t="inlineStr"/>
      <c r="N97" s="245" t="inlineStr"/>
    </row>
    <row r="98" ht="22.5" customHeight="1" s="236">
      <c r="A98" s="243" t="n">
        <v>97</v>
      </c>
      <c r="B98" s="255" t="inlineStr">
        <is>
          <t>Преобразователь избыточного давления</t>
        </is>
      </c>
      <c r="C98" s="254" t="inlineStr">
        <is>
          <t>Honeywell STG-94L</t>
        </is>
      </c>
      <c r="D98" s="246" t="inlineStr">
        <is>
          <t>11W13 C3303059004007</t>
        </is>
      </c>
      <c r="E98" s="243" t="inlineStr">
        <is>
          <t>2011</t>
        </is>
      </c>
      <c r="F98" s="254" t="inlineStr">
        <is>
          <t>0…0,63 МПа</t>
        </is>
      </c>
      <c r="G98" s="254" t="inlineStr">
        <is>
          <t>0.075</t>
        </is>
      </c>
      <c r="H98" s="246" t="inlineStr">
        <is>
          <t>Давление масла на выходе из двигателя</t>
        </is>
      </c>
      <c r="I98" s="245" t="inlineStr">
        <is>
          <t>ГПА 62</t>
        </is>
      </c>
      <c r="J98" s="243" t="inlineStr">
        <is>
          <t>АСУ,А и ТМ (КЦ № 6)</t>
        </is>
      </c>
      <c r="K98" s="243" t="inlineStr">
        <is>
          <t>2012</t>
        </is>
      </c>
      <c r="L98" s="248" t="inlineStr">
        <is>
          <t>36</t>
        </is>
      </c>
      <c r="M98" s="246" t="inlineStr"/>
      <c r="N98" s="245" t="inlineStr"/>
    </row>
    <row r="99" ht="22.5" customHeight="1" s="236">
      <c r="A99" s="243" t="n">
        <v>98</v>
      </c>
      <c r="B99" s="255" t="inlineStr">
        <is>
          <t>Преобразователь избыточного давления</t>
        </is>
      </c>
      <c r="C99" s="254" t="inlineStr">
        <is>
          <t>Honeywell STG-94L</t>
        </is>
      </c>
      <c r="D99" s="246" t="inlineStr">
        <is>
          <t>11W18 C3313690002046</t>
        </is>
      </c>
      <c r="E99" s="243" t="inlineStr">
        <is>
          <t>2011</t>
        </is>
      </c>
      <c r="F99" s="254" t="inlineStr">
        <is>
          <t>0…0,63 МПа</t>
        </is>
      </c>
      <c r="G99" s="254" t="inlineStr">
        <is>
          <t>0.075</t>
        </is>
      </c>
      <c r="H99" s="246" t="inlineStr">
        <is>
          <t>Давление масла на входе двигателя</t>
        </is>
      </c>
      <c r="I99" s="245" t="inlineStr">
        <is>
          <t>ГПА 62</t>
        </is>
      </c>
      <c r="J99" s="243" t="inlineStr">
        <is>
          <t>АСУ,А и ТМ (КЦ № 6)</t>
        </is>
      </c>
      <c r="K99" s="243" t="inlineStr">
        <is>
          <t>2012</t>
        </is>
      </c>
      <c r="L99" s="248" t="inlineStr">
        <is>
          <t>36</t>
        </is>
      </c>
      <c r="M99" s="246" t="inlineStr"/>
      <c r="N99" s="245" t="inlineStr"/>
    </row>
    <row r="100" ht="22.5" customHeight="1" s="236">
      <c r="A100" s="243" t="n">
        <v>99</v>
      </c>
      <c r="B100" s="255" t="inlineStr">
        <is>
          <t>Преобразователь избыточного давления</t>
        </is>
      </c>
      <c r="C100" s="254" t="inlineStr">
        <is>
          <t>Honeywell STG-94L</t>
        </is>
      </c>
      <c r="D100" s="246" t="inlineStr">
        <is>
          <t>11W18 C3313690002024</t>
        </is>
      </c>
      <c r="E100" s="243" t="inlineStr">
        <is>
          <t>2011</t>
        </is>
      </c>
      <c r="F100" s="254" t="inlineStr">
        <is>
          <t>-100…530 кПа</t>
        </is>
      </c>
      <c r="G100" s="254" t="inlineStr">
        <is>
          <t>0.075</t>
        </is>
      </c>
      <c r="H100" s="246" t="inlineStr">
        <is>
          <t>Давление воздуха в средней опоре</t>
        </is>
      </c>
      <c r="I100" s="245" t="inlineStr">
        <is>
          <t>ГПА 62</t>
        </is>
      </c>
      <c r="J100" s="243" t="inlineStr">
        <is>
          <t>АСУ,А и ТМ (КЦ № 6)</t>
        </is>
      </c>
      <c r="K100" s="243" t="inlineStr">
        <is>
          <t>2012</t>
        </is>
      </c>
      <c r="L100" s="248" t="inlineStr">
        <is>
          <t>36</t>
        </is>
      </c>
      <c r="M100" s="246" t="inlineStr"/>
      <c r="N100" s="245" t="inlineStr"/>
    </row>
    <row r="101" ht="33.75" customHeight="1" s="236">
      <c r="A101" s="243" t="n">
        <v>100</v>
      </c>
      <c r="B101" s="255" t="inlineStr">
        <is>
          <t>Преобразователь избыточного давления</t>
        </is>
      </c>
      <c r="C101" s="254" t="inlineStr">
        <is>
          <t>Honeywell STG-94L</t>
        </is>
      </c>
      <c r="D101" s="246" t="inlineStr">
        <is>
          <t>11W18 C3313690002038</t>
        </is>
      </c>
      <c r="E101" s="243" t="inlineStr">
        <is>
          <t>2011</t>
        </is>
      </c>
      <c r="F101" s="254" t="inlineStr">
        <is>
          <t>0…1 МПа</t>
        </is>
      </c>
      <c r="G101" s="254" t="inlineStr">
        <is>
          <t>0.075</t>
        </is>
      </c>
      <c r="H101" s="246" t="inlineStr">
        <is>
          <t>Давление защиного воздуха на выходе ресивера Р1 (после воздушного компрессора)</t>
        </is>
      </c>
      <c r="I101" s="245" t="inlineStr">
        <is>
          <t>ГПА 62</t>
        </is>
      </c>
      <c r="J101" s="243" t="inlineStr">
        <is>
          <t>АСУ,А и ТМ (КЦ № 6)</t>
        </is>
      </c>
      <c r="K101" s="243" t="inlineStr">
        <is>
          <t>2012</t>
        </is>
      </c>
      <c r="L101" s="248" t="inlineStr">
        <is>
          <t>36</t>
        </is>
      </c>
      <c r="M101" s="246" t="inlineStr"/>
      <c r="N101" s="245" t="inlineStr"/>
    </row>
    <row r="102" ht="22.5" customHeight="1" s="236">
      <c r="A102" s="243" t="n">
        <v>101</v>
      </c>
      <c r="B102" s="255" t="inlineStr">
        <is>
          <t>Преобразователь избыточного давления</t>
        </is>
      </c>
      <c r="C102" s="254" t="inlineStr">
        <is>
          <t>Honeywell STD-930</t>
        </is>
      </c>
      <c r="D102" s="246" t="inlineStr">
        <is>
          <t>11W17 C3313690005002</t>
        </is>
      </c>
      <c r="E102" s="243" t="inlineStr">
        <is>
          <t>2011</t>
        </is>
      </c>
      <c r="F102" s="254" t="inlineStr">
        <is>
          <t>-34…689 кПа</t>
        </is>
      </c>
      <c r="G102" s="254" t="inlineStr">
        <is>
          <t>0.075</t>
        </is>
      </c>
      <c r="H102" s="246" t="inlineStr">
        <is>
          <t>Перепад воздуха на шайбе</t>
        </is>
      </c>
      <c r="I102" s="245" t="inlineStr">
        <is>
          <t>ГПА 62</t>
        </is>
      </c>
      <c r="J102" s="243" t="inlineStr">
        <is>
          <t>АСУ,А и ТМ (КЦ № 6)</t>
        </is>
      </c>
      <c r="K102" s="243" t="inlineStr">
        <is>
          <t>2012</t>
        </is>
      </c>
      <c r="L102" s="248" t="inlineStr">
        <is>
          <t>36</t>
        </is>
      </c>
      <c r="M102" s="246" t="inlineStr"/>
      <c r="N102" s="245" t="inlineStr"/>
    </row>
    <row r="103" ht="22.5" customHeight="1" s="236">
      <c r="A103" s="243" t="n">
        <v>102</v>
      </c>
      <c r="B103" s="255" t="inlineStr">
        <is>
          <t>Преобразователь избыточного давления</t>
        </is>
      </c>
      <c r="C103" s="254" t="inlineStr">
        <is>
          <t>Honeywell STD-924</t>
        </is>
      </c>
      <c r="D103" s="246" t="inlineStr">
        <is>
          <t>11W17 C3313690001020</t>
        </is>
      </c>
      <c r="E103" s="243" t="inlineStr">
        <is>
          <t>2011</t>
        </is>
      </c>
      <c r="F103" s="254" t="inlineStr">
        <is>
          <t>0…63 кПа</t>
        </is>
      </c>
      <c r="G103" s="254" t="inlineStr">
        <is>
          <t>0.075</t>
        </is>
      </c>
      <c r="H103" s="246" t="inlineStr">
        <is>
          <t>Перепад давления газа на всасывающем патрубке (конфузоре)</t>
        </is>
      </c>
      <c r="I103" s="245" t="inlineStr">
        <is>
          <t>ГПА 62</t>
        </is>
      </c>
      <c r="J103" s="243" t="inlineStr">
        <is>
          <t>АСУ,А и ТМ (КЦ № 6)</t>
        </is>
      </c>
      <c r="K103" s="243" t="inlineStr">
        <is>
          <t>2012</t>
        </is>
      </c>
      <c r="L103" s="248" t="inlineStr">
        <is>
          <t>36</t>
        </is>
      </c>
      <c r="M103" s="246" t="inlineStr"/>
      <c r="N103" s="245" t="inlineStr"/>
    </row>
    <row r="104" ht="33.75" customHeight="1" s="236">
      <c r="A104" s="243" t="n">
        <v>103</v>
      </c>
      <c r="B104" s="255" t="inlineStr">
        <is>
          <t>Преобразователь избыточного давления</t>
        </is>
      </c>
      <c r="C104" s="254" t="inlineStr">
        <is>
          <t>Honeywell STD-924</t>
        </is>
      </c>
      <c r="D104" s="246" t="inlineStr">
        <is>
          <t>11W16 C3310520005006</t>
        </is>
      </c>
      <c r="E104" s="243" t="inlineStr">
        <is>
          <t>2011</t>
        </is>
      </c>
      <c r="F104" s="254" t="inlineStr">
        <is>
          <t>0…4 кПа</t>
        </is>
      </c>
      <c r="G104" s="254" t="inlineStr">
        <is>
          <t>0.075</t>
        </is>
      </c>
      <c r="H104" s="246" t="inlineStr">
        <is>
          <t>Перепад давления между оболочкой опорного подшипника и 2-ой супенью ТУ</t>
        </is>
      </c>
      <c r="I104" s="245" t="inlineStr">
        <is>
          <t>ГПА 62</t>
        </is>
      </c>
      <c r="J104" s="243" t="inlineStr">
        <is>
          <t>АСУ,А и ТМ (КЦ № 6)</t>
        </is>
      </c>
      <c r="K104" s="243" t="inlineStr">
        <is>
          <t>2012</t>
        </is>
      </c>
      <c r="L104" s="248" t="inlineStr">
        <is>
          <t>36</t>
        </is>
      </c>
      <c r="M104" s="246" t="inlineStr"/>
      <c r="N104" s="245" t="inlineStr"/>
    </row>
    <row r="105" ht="33.75" customHeight="1" s="236">
      <c r="A105" s="243" t="n">
        <v>104</v>
      </c>
      <c r="B105" s="255" t="inlineStr">
        <is>
          <t>Преобразователь избыточного давления</t>
        </is>
      </c>
      <c r="C105" s="254" t="inlineStr">
        <is>
          <t>Honeywell STD-924</t>
        </is>
      </c>
      <c r="D105" s="246" t="inlineStr">
        <is>
          <t>11W17 C3313690001004</t>
        </is>
      </c>
      <c r="E105" s="243" t="inlineStr">
        <is>
          <t>2011</t>
        </is>
      </c>
      <c r="F105" s="254" t="inlineStr">
        <is>
          <t>0…4 кПа</t>
        </is>
      </c>
      <c r="G105" s="254" t="inlineStr">
        <is>
          <t>0.075</t>
        </is>
      </c>
      <c r="H105" s="246" t="inlineStr">
        <is>
          <t>Перепад давления между оболочкой опорно-упорного подшипника и 2-ой супенью ТУ</t>
        </is>
      </c>
      <c r="I105" s="245" t="inlineStr">
        <is>
          <t>ГПА 62</t>
        </is>
      </c>
      <c r="J105" s="243" t="inlineStr">
        <is>
          <t>АСУ,А и ТМ (КЦ № 6)</t>
        </is>
      </c>
      <c r="K105" s="243" t="inlineStr">
        <is>
          <t>2012</t>
        </is>
      </c>
      <c r="L105" s="248" t="inlineStr">
        <is>
          <t>36</t>
        </is>
      </c>
      <c r="M105" s="246" t="inlineStr"/>
      <c r="N105" s="245" t="inlineStr"/>
    </row>
    <row r="106" ht="22.5" customHeight="1" s="236">
      <c r="A106" s="243" t="n">
        <v>105</v>
      </c>
      <c r="B106" s="255" t="inlineStr">
        <is>
          <t>Преобразователь избыточного давления</t>
        </is>
      </c>
      <c r="C106" s="254" t="inlineStr">
        <is>
          <t>Honeywell STD-924</t>
        </is>
      </c>
      <c r="D106" s="246" t="inlineStr">
        <is>
          <t>11W17 C3313690001021</t>
        </is>
      </c>
      <c r="E106" s="243" t="inlineStr">
        <is>
          <t>2011</t>
        </is>
      </c>
      <c r="F106" s="254" t="inlineStr">
        <is>
          <t>0…1,6 кПа</t>
        </is>
      </c>
      <c r="G106" s="254" t="inlineStr">
        <is>
          <t>0.075</t>
        </is>
      </c>
      <c r="H106" s="246" t="inlineStr">
        <is>
          <t>Давление во входном сечении лемнискаты ГТД</t>
        </is>
      </c>
      <c r="I106" s="245" t="inlineStr">
        <is>
          <t>ГПА 62</t>
        </is>
      </c>
      <c r="J106" s="243" t="inlineStr">
        <is>
          <t>АСУ,А и ТМ (КЦ № 6)</t>
        </is>
      </c>
      <c r="K106" s="243" t="inlineStr">
        <is>
          <t>2012</t>
        </is>
      </c>
      <c r="L106" s="248" t="inlineStr">
        <is>
          <t>36</t>
        </is>
      </c>
      <c r="M106" s="246" t="inlineStr"/>
      <c r="N106" s="245" t="inlineStr"/>
    </row>
    <row r="107" ht="22.5" customHeight="1" s="236">
      <c r="A107" s="243" t="n">
        <v>106</v>
      </c>
      <c r="B107" s="255" t="inlineStr">
        <is>
          <t>Преобразователь избыточного давления</t>
        </is>
      </c>
      <c r="C107" s="254" t="inlineStr">
        <is>
          <t>Honeywell STD-924</t>
        </is>
      </c>
      <c r="D107" s="246" t="inlineStr">
        <is>
          <t>11W16 C3310520005005</t>
        </is>
      </c>
      <c r="E107" s="243" t="inlineStr">
        <is>
          <t>2011</t>
        </is>
      </c>
      <c r="F107" s="254" t="inlineStr">
        <is>
          <t>-5…100 кПа</t>
        </is>
      </c>
      <c r="G107" s="254" t="inlineStr">
        <is>
          <t>0.075</t>
        </is>
      </c>
      <c r="H107" s="246" t="inlineStr">
        <is>
          <t>Давление на срезе улитки ГТД</t>
        </is>
      </c>
      <c r="I107" s="245" t="inlineStr">
        <is>
          <t>ГПА 62</t>
        </is>
      </c>
      <c r="J107" s="243" t="inlineStr">
        <is>
          <t>АСУ,А и ТМ (КЦ № 6)</t>
        </is>
      </c>
      <c r="K107" s="243" t="inlineStr">
        <is>
          <t>2012</t>
        </is>
      </c>
      <c r="L107" s="248" t="inlineStr">
        <is>
          <t>36</t>
        </is>
      </c>
      <c r="M107" s="246" t="inlineStr"/>
      <c r="N107" s="245" t="inlineStr"/>
    </row>
    <row r="108" ht="22.5" customHeight="1" s="236">
      <c r="A108" s="243" t="n">
        <v>107</v>
      </c>
      <c r="B108" s="255" t="inlineStr">
        <is>
          <t>Преобразователь избыточного давления</t>
        </is>
      </c>
      <c r="C108" s="254" t="inlineStr">
        <is>
          <t>Honeywell STD-924</t>
        </is>
      </c>
      <c r="D108" s="246" t="inlineStr">
        <is>
          <t>11W17 C3313690001012</t>
        </is>
      </c>
      <c r="E108" s="243" t="inlineStr">
        <is>
          <t>2011</t>
        </is>
      </c>
      <c r="F108" s="254" t="inlineStr">
        <is>
          <t>0…1158,4 мм</t>
        </is>
      </c>
      <c r="G108" s="254" t="inlineStr">
        <is>
          <t>0.075</t>
        </is>
      </c>
      <c r="H108" s="246" t="inlineStr">
        <is>
          <t>Уровень масла в маслобаке двигателя</t>
        </is>
      </c>
      <c r="I108" s="245" t="inlineStr">
        <is>
          <t>ГПА 62</t>
        </is>
      </c>
      <c r="J108" s="243" t="inlineStr">
        <is>
          <t>АСУ,А и ТМ (КЦ № 6)</t>
        </is>
      </c>
      <c r="K108" s="243" t="inlineStr">
        <is>
          <t>2012</t>
        </is>
      </c>
      <c r="L108" s="248" t="inlineStr">
        <is>
          <t>36</t>
        </is>
      </c>
      <c r="M108" s="246" t="inlineStr"/>
      <c r="N108" s="245" t="inlineStr"/>
    </row>
    <row r="109" ht="22.5" customHeight="1" s="236">
      <c r="A109" s="243" t="n">
        <v>108</v>
      </c>
      <c r="B109" s="255" t="inlineStr">
        <is>
          <t>Преобразователь избыточного давления</t>
        </is>
      </c>
      <c r="C109" s="254" t="inlineStr">
        <is>
          <t>Honeywell STD-924</t>
        </is>
      </c>
      <c r="D109" s="246" t="inlineStr">
        <is>
          <t>11W17 C3313690001024</t>
        </is>
      </c>
      <c r="E109" s="243" t="inlineStr">
        <is>
          <t>2011</t>
        </is>
      </c>
      <c r="F109" s="254" t="inlineStr">
        <is>
          <t>0…2000 мм</t>
        </is>
      </c>
      <c r="G109" s="254" t="inlineStr">
        <is>
          <t>0.075</t>
        </is>
      </c>
      <c r="H109" s="246" t="inlineStr">
        <is>
          <t>Уровеь масла в расходном баке</t>
        </is>
      </c>
      <c r="I109" s="245" t="inlineStr">
        <is>
          <t>ГПА 62</t>
        </is>
      </c>
      <c r="J109" s="243" t="inlineStr">
        <is>
          <t>АСУ,А и ТМ (КЦ № 6)</t>
        </is>
      </c>
      <c r="K109" s="243" t="inlineStr">
        <is>
          <t>2012</t>
        </is>
      </c>
      <c r="L109" s="248" t="inlineStr">
        <is>
          <t>36</t>
        </is>
      </c>
      <c r="M109" s="246" t="inlineStr"/>
      <c r="N109" s="245" t="inlineStr"/>
    </row>
    <row r="110" ht="22.5" customHeight="1" s="236">
      <c r="A110" s="243" t="n">
        <v>109</v>
      </c>
      <c r="B110" s="255" t="inlineStr">
        <is>
          <t>Преобразователь избыточного давления</t>
        </is>
      </c>
      <c r="C110" s="254" t="inlineStr">
        <is>
          <t>Honeywell STD-924</t>
        </is>
      </c>
      <c r="D110" s="246" t="inlineStr">
        <is>
          <t>11W18 C3313690001042</t>
        </is>
      </c>
      <c r="E110" s="243" t="inlineStr">
        <is>
          <t>2011</t>
        </is>
      </c>
      <c r="F110" s="254" t="inlineStr">
        <is>
          <t>0…100 кПа</t>
        </is>
      </c>
      <c r="G110" s="254" t="inlineStr">
        <is>
          <t>0.075</t>
        </is>
      </c>
      <c r="H110" s="246" t="inlineStr">
        <is>
          <t>Перепад давлений между входной и выходной камерами Ф1</t>
        </is>
      </c>
      <c r="I110" s="245" t="inlineStr">
        <is>
          <t>ГПА 62</t>
        </is>
      </c>
      <c r="J110" s="243" t="inlineStr">
        <is>
          <t>АСУ,А и ТМ (КЦ № 6)</t>
        </is>
      </c>
      <c r="K110" s="243" t="inlineStr">
        <is>
          <t>2012</t>
        </is>
      </c>
      <c r="L110" s="248" t="inlineStr">
        <is>
          <t>36</t>
        </is>
      </c>
      <c r="M110" s="246" t="inlineStr"/>
      <c r="N110" s="245" t="inlineStr"/>
    </row>
    <row r="111" ht="22.5" customHeight="1" s="236">
      <c r="A111" s="243" t="n">
        <v>110</v>
      </c>
      <c r="B111" s="255" t="inlineStr">
        <is>
          <t>Преобразователь избыточного давления</t>
        </is>
      </c>
      <c r="C111" s="254" t="inlineStr">
        <is>
          <t>Honeywell STD-924</t>
        </is>
      </c>
      <c r="D111" s="246" t="inlineStr">
        <is>
          <t>11W18 C331369001046</t>
        </is>
      </c>
      <c r="E111" s="243" t="inlineStr">
        <is>
          <t>2011</t>
        </is>
      </c>
      <c r="F111" s="254" t="inlineStr">
        <is>
          <t>0…100 кПа</t>
        </is>
      </c>
      <c r="G111" s="254" t="inlineStr">
        <is>
          <t>0.075</t>
        </is>
      </c>
      <c r="H111" s="246" t="inlineStr">
        <is>
          <t>Перепад давлений между входной и выходной камерами Ф2</t>
        </is>
      </c>
      <c r="I111" s="245" t="inlineStr">
        <is>
          <t>ГПА 62</t>
        </is>
      </c>
      <c r="J111" s="243" t="inlineStr">
        <is>
          <t>АСУ,А и ТМ (КЦ № 6)</t>
        </is>
      </c>
      <c r="K111" s="243" t="inlineStr">
        <is>
          <t>2012</t>
        </is>
      </c>
      <c r="L111" s="248" t="inlineStr">
        <is>
          <t>36</t>
        </is>
      </c>
      <c r="M111" s="246" t="inlineStr"/>
      <c r="N111" s="245" t="inlineStr"/>
    </row>
    <row r="112" ht="22.5" customHeight="1" s="236">
      <c r="A112" s="243" t="n">
        <v>111</v>
      </c>
      <c r="B112" s="255" t="inlineStr">
        <is>
          <t>Преобразователь избыточного давления</t>
        </is>
      </c>
      <c r="C112" s="254" t="inlineStr">
        <is>
          <t>Honeywell STD-120</t>
        </is>
      </c>
      <c r="D112" s="246" t="inlineStr">
        <is>
          <t>11W03 C3287149001019</t>
        </is>
      </c>
      <c r="E112" s="243" t="inlineStr">
        <is>
          <t>2010</t>
        </is>
      </c>
      <c r="F112" s="254" t="inlineStr">
        <is>
          <t>-1000…2500 Па</t>
        </is>
      </c>
      <c r="G112" s="254" t="inlineStr">
        <is>
          <t>0.075</t>
        </is>
      </c>
      <c r="H112" s="246" t="inlineStr">
        <is>
          <t>Давление инжектируемого потока перед сепаратором С1</t>
        </is>
      </c>
      <c r="I112" s="245" t="inlineStr">
        <is>
          <t>ГПА 62</t>
        </is>
      </c>
      <c r="J112" s="243" t="inlineStr">
        <is>
          <t>АСУ,А и ТМ (КЦ № 6)</t>
        </is>
      </c>
      <c r="K112" s="243" t="inlineStr">
        <is>
          <t>2012</t>
        </is>
      </c>
      <c r="L112" s="248" t="inlineStr">
        <is>
          <t>36</t>
        </is>
      </c>
      <c r="M112" s="246" t="inlineStr"/>
      <c r="N112" s="245" t="inlineStr"/>
    </row>
    <row r="113" ht="22.5" customHeight="1" s="236">
      <c r="A113" s="243" t="n">
        <v>112</v>
      </c>
      <c r="B113" s="255" t="inlineStr">
        <is>
          <t>Преобразователь избыточного давления</t>
        </is>
      </c>
      <c r="C113" s="254" t="inlineStr">
        <is>
          <t>Honeywell STD-120</t>
        </is>
      </c>
      <c r="D113" s="246" t="inlineStr">
        <is>
          <t>11W03 C3287149001008</t>
        </is>
      </c>
      <c r="E113" s="243" t="inlineStr">
        <is>
          <t>2010</t>
        </is>
      </c>
      <c r="F113" s="254" t="inlineStr">
        <is>
          <t>0…400 Па</t>
        </is>
      </c>
      <c r="G113" s="254" t="inlineStr">
        <is>
          <t>0.075</t>
        </is>
      </c>
      <c r="H113" s="246" t="inlineStr">
        <is>
          <t>Избыточное давление воздуха под кожухом двигателя</t>
        </is>
      </c>
      <c r="I113" s="245" t="inlineStr">
        <is>
          <t>ГПА 62</t>
        </is>
      </c>
      <c r="J113" s="243" t="inlineStr">
        <is>
          <t>АСУ,А и ТМ (КЦ № 6)</t>
        </is>
      </c>
      <c r="K113" s="243" t="inlineStr">
        <is>
          <t>2012</t>
        </is>
      </c>
      <c r="L113" s="248" t="inlineStr">
        <is>
          <t>36</t>
        </is>
      </c>
      <c r="M113" s="246" t="inlineStr"/>
      <c r="N113" s="245" t="inlineStr"/>
    </row>
    <row r="114" ht="22.5" customHeight="1" s="236">
      <c r="A114" s="243" t="n">
        <v>113</v>
      </c>
      <c r="B114" s="255" t="inlineStr">
        <is>
          <t>Преобразователь избыточного давления</t>
        </is>
      </c>
      <c r="C114" s="254" t="inlineStr">
        <is>
          <t>Honeywell STD-120</t>
        </is>
      </c>
      <c r="D114" s="246" t="inlineStr">
        <is>
          <t>10W45 C3273987001053</t>
        </is>
      </c>
      <c r="E114" s="243" t="inlineStr">
        <is>
          <t>2010</t>
        </is>
      </c>
      <c r="F114" s="254" t="inlineStr">
        <is>
          <t>0…10 кПа</t>
        </is>
      </c>
      <c r="G114" s="254" t="inlineStr">
        <is>
          <t>0.075</t>
        </is>
      </c>
      <c r="H114" s="246" t="inlineStr">
        <is>
          <t>Давление защитного воздуха на входе опорного подшипника</t>
        </is>
      </c>
      <c r="I114" s="245" t="inlineStr">
        <is>
          <t>ГПА 62</t>
        </is>
      </c>
      <c r="J114" s="243" t="inlineStr">
        <is>
          <t>АСУ,А и ТМ (КЦ № 6)</t>
        </is>
      </c>
      <c r="K114" s="243" t="inlineStr">
        <is>
          <t>2012</t>
        </is>
      </c>
      <c r="L114" s="248" t="inlineStr">
        <is>
          <t>36</t>
        </is>
      </c>
      <c r="M114" s="246" t="inlineStr"/>
      <c r="N114" s="245" t="inlineStr"/>
    </row>
    <row r="115" ht="22.5" customHeight="1" s="236">
      <c r="A115" s="243" t="n">
        <v>114</v>
      </c>
      <c r="B115" s="255" t="inlineStr">
        <is>
          <t>Преобразователь избыточного давления</t>
        </is>
      </c>
      <c r="C115" s="254" t="inlineStr">
        <is>
          <t>Honeywell STD-120</t>
        </is>
      </c>
      <c r="D115" s="246" t="inlineStr">
        <is>
          <t>10W45 C3273987001027</t>
        </is>
      </c>
      <c r="E115" s="243" t="inlineStr">
        <is>
          <t>2011</t>
        </is>
      </c>
      <c r="F115" s="254" t="inlineStr">
        <is>
          <t>0…4 кПа</t>
        </is>
      </c>
      <c r="G115" s="254" t="inlineStr">
        <is>
          <t>0.075</t>
        </is>
      </c>
      <c r="H115" s="246" t="inlineStr">
        <is>
          <t>Давление защитного воздуха на входе опорно-упорного подшипника</t>
        </is>
      </c>
      <c r="I115" s="245" t="inlineStr">
        <is>
          <t>ГПА 62</t>
        </is>
      </c>
      <c r="J115" s="243" t="inlineStr">
        <is>
          <t>АСУ,А и ТМ (КЦ № 6)</t>
        </is>
      </c>
      <c r="K115" s="243" t="inlineStr">
        <is>
          <t>2012</t>
        </is>
      </c>
      <c r="L115" s="248" t="inlineStr">
        <is>
          <t>36</t>
        </is>
      </c>
      <c r="M115" s="246" t="inlineStr"/>
      <c r="N115" s="245" t="inlineStr"/>
    </row>
    <row r="116" ht="22.5" customHeight="1" s="236">
      <c r="A116" s="243" t="n">
        <v>115</v>
      </c>
      <c r="B116" s="255" t="inlineStr">
        <is>
          <t>Преобразователь избыточного давления</t>
        </is>
      </c>
      <c r="C116" s="254" t="inlineStr">
        <is>
          <t>Honeywell STD-120</t>
        </is>
      </c>
      <c r="D116" s="246" t="inlineStr">
        <is>
          <t>11W03 C3287149001045</t>
        </is>
      </c>
      <c r="E116" s="243" t="inlineStr">
        <is>
          <t>2010</t>
        </is>
      </c>
      <c r="F116" s="254" t="inlineStr">
        <is>
          <t>0…10 кПа</t>
        </is>
      </c>
      <c r="G116" s="254" t="inlineStr">
        <is>
          <t>0.075</t>
        </is>
      </c>
      <c r="H116" s="246" t="inlineStr">
        <is>
          <t>Давление защитного воздуха на выходе оболочки опорного подшипника</t>
        </is>
      </c>
      <c r="I116" s="245" t="inlineStr">
        <is>
          <t>ГПА 62</t>
        </is>
      </c>
      <c r="J116" s="243" t="inlineStr">
        <is>
          <t>АСУ,А и ТМ (КЦ № 6)</t>
        </is>
      </c>
      <c r="K116" s="243" t="inlineStr">
        <is>
          <t>2012</t>
        </is>
      </c>
      <c r="L116" s="248" t="inlineStr">
        <is>
          <t>36</t>
        </is>
      </c>
      <c r="M116" s="246" t="inlineStr"/>
      <c r="N116" s="245" t="inlineStr"/>
    </row>
    <row r="117" ht="33.75" customHeight="1" s="236">
      <c r="A117" s="243" t="n">
        <v>116</v>
      </c>
      <c r="B117" s="255" t="inlineStr">
        <is>
          <t>Преобразователь избыточного давления</t>
        </is>
      </c>
      <c r="C117" s="254" t="inlineStr">
        <is>
          <t>Honeywell STD-120</t>
        </is>
      </c>
      <c r="D117" s="246" t="inlineStr">
        <is>
          <t>11W18 C3313690004003</t>
        </is>
      </c>
      <c r="E117" s="243" t="inlineStr">
        <is>
          <t>2010</t>
        </is>
      </c>
      <c r="F117" s="254" t="inlineStr">
        <is>
          <t>0…4 кПа</t>
        </is>
      </c>
      <c r="G117" s="254" t="inlineStr">
        <is>
          <t>0.075</t>
        </is>
      </c>
      <c r="H117" s="246" t="inlineStr">
        <is>
          <t>Давление защитного воздуха на выходе оболочки опорно-упорного подшипника</t>
        </is>
      </c>
      <c r="I117" s="245" t="inlineStr">
        <is>
          <t>ГПА 62</t>
        </is>
      </c>
      <c r="J117" s="243" t="inlineStr">
        <is>
          <t>АСУ,А и ТМ (КЦ № 6)</t>
        </is>
      </c>
      <c r="K117" s="243" t="inlineStr">
        <is>
          <t>2012</t>
        </is>
      </c>
      <c r="L117" s="248" t="inlineStr">
        <is>
          <t>36</t>
        </is>
      </c>
      <c r="M117" s="246" t="inlineStr"/>
      <c r="N117" s="245" t="inlineStr"/>
    </row>
    <row r="118" ht="22.5" customHeight="1" s="236">
      <c r="A118" s="243" t="n">
        <v>117</v>
      </c>
      <c r="B118" s="255" t="inlineStr">
        <is>
          <t>Преобразователь избыточного давления</t>
        </is>
      </c>
      <c r="C118" s="254" t="inlineStr">
        <is>
          <t>Honeywell STD-120</t>
        </is>
      </c>
      <c r="D118" s="246" t="inlineStr">
        <is>
          <t>11W03 C3287149001038</t>
        </is>
      </c>
      <c r="E118" s="243" t="inlineStr">
        <is>
          <t>2010</t>
        </is>
      </c>
      <c r="F118" s="254" t="inlineStr">
        <is>
          <t>0…1 кПа</t>
        </is>
      </c>
      <c r="G118" s="254" t="inlineStr">
        <is>
          <t>0.075</t>
        </is>
      </c>
      <c r="H118" s="246" t="inlineStr">
        <is>
          <t>Давление воздуха на входе Д (разрежение во всас. камере)</t>
        </is>
      </c>
      <c r="I118" s="245" t="inlineStr">
        <is>
          <t>ГПА 62</t>
        </is>
      </c>
      <c r="J118" s="243" t="inlineStr">
        <is>
          <t>АСУ,А и ТМ (КЦ № 6)</t>
        </is>
      </c>
      <c r="K118" s="243" t="inlineStr">
        <is>
          <t>2012</t>
        </is>
      </c>
      <c r="L118" s="248" t="inlineStr">
        <is>
          <t>36</t>
        </is>
      </c>
      <c r="M118" s="246" t="inlineStr"/>
      <c r="N118" s="245" t="inlineStr"/>
    </row>
    <row r="119" ht="22.5" customHeight="1" s="236">
      <c r="A119" s="243" t="n">
        <v>118</v>
      </c>
      <c r="B119" s="246" t="inlineStr">
        <is>
          <t>Расходомер</t>
        </is>
      </c>
      <c r="C119" s="254" t="inlineStr">
        <is>
          <t>KROHNE OPTISWIRL 4070/C</t>
        </is>
      </c>
      <c r="D119" s="246" t="inlineStr">
        <is>
          <t>D110000000199395</t>
        </is>
      </c>
      <c r="E119" s="243" t="inlineStr">
        <is>
          <t>2011</t>
        </is>
      </c>
      <c r="F119" s="254" t="inlineStr">
        <is>
          <t>1,5…15 Нм3/мин</t>
        </is>
      </c>
      <c r="G119" s="254" t="inlineStr">
        <is>
          <t>1</t>
        </is>
      </c>
      <c r="H119" s="246" t="inlineStr">
        <is>
          <t>Расход воздуха на выходе из оболочки опорно-упорного подшипника</t>
        </is>
      </c>
      <c r="I119" s="245" t="inlineStr">
        <is>
          <t>ГПА 62</t>
        </is>
      </c>
      <c r="J119" s="243" t="inlineStr">
        <is>
          <t>АСУ,А и ТМ (КЦ № 6)</t>
        </is>
      </c>
      <c r="K119" s="243" t="inlineStr">
        <is>
          <t>2012</t>
        </is>
      </c>
      <c r="L119" s="248" t="inlineStr">
        <is>
          <t>36</t>
        </is>
      </c>
      <c r="M119" s="246" t="inlineStr"/>
      <c r="N119" s="245" t="inlineStr"/>
      <c r="O119" s="235" t="inlineStr">
        <is>
          <t>не соответствуют единицы расхода в АРМ</t>
        </is>
      </c>
    </row>
    <row r="120" ht="22.5" customHeight="1" s="236">
      <c r="A120" s="243" t="n">
        <v>119</v>
      </c>
      <c r="B120" s="246" t="inlineStr">
        <is>
          <t>Расходомер</t>
        </is>
      </c>
      <c r="C120" s="254" t="inlineStr">
        <is>
          <t>KROHNE OPTISWIRL 4070/C</t>
        </is>
      </c>
      <c r="D120" s="246" t="inlineStr">
        <is>
          <t>D110000000199397</t>
        </is>
      </c>
      <c r="E120" s="243" t="inlineStr">
        <is>
          <t>2011</t>
        </is>
      </c>
      <c r="F120" s="254" t="inlineStr">
        <is>
          <t>1,5…15 Нм3/мин</t>
        </is>
      </c>
      <c r="G120" s="254" t="inlineStr">
        <is>
          <t>1</t>
        </is>
      </c>
      <c r="H120" s="246" t="inlineStr">
        <is>
          <t>Расход воздуха на выходе из оболочки опорного подшипника</t>
        </is>
      </c>
      <c r="I120" s="245" t="inlineStr">
        <is>
          <t>ГПА 62</t>
        </is>
      </c>
      <c r="J120" s="243" t="inlineStr">
        <is>
          <t>АСУ,А и ТМ (КЦ № 6)</t>
        </is>
      </c>
      <c r="K120" s="243" t="inlineStr">
        <is>
          <t>2012</t>
        </is>
      </c>
      <c r="L120" s="248" t="inlineStr">
        <is>
          <t>36</t>
        </is>
      </c>
      <c r="M120" s="246" t="inlineStr"/>
      <c r="N120" s="245" t="inlineStr"/>
      <c r="O120" s="235" t="inlineStr">
        <is>
          <t>не соответствуют единицы расхода в АРМ</t>
        </is>
      </c>
    </row>
    <row r="121" ht="22.5" customHeight="1" s="236">
      <c r="A121" s="243" t="n">
        <v>120</v>
      </c>
      <c r="B121" s="246" t="inlineStr">
        <is>
          <t>Расходомер</t>
        </is>
      </c>
      <c r="C121" s="254" t="inlineStr">
        <is>
          <t>KROHNE/H250</t>
        </is>
      </c>
      <c r="D121" s="246" t="inlineStr">
        <is>
          <t>D110000000182272</t>
        </is>
      </c>
      <c r="E121" s="243" t="inlineStr">
        <is>
          <t>2011</t>
        </is>
      </c>
      <c r="F121" s="254" t="inlineStr">
        <is>
          <t>6…60 Нм3/час</t>
        </is>
      </c>
      <c r="G121" s="254" t="inlineStr">
        <is>
          <t>1,6</t>
        </is>
      </c>
      <c r="H121" s="246" t="inlineStr">
        <is>
          <t>Расход газа на выходе первой ступени ЗКВ</t>
        </is>
      </c>
      <c r="I121" s="245" t="inlineStr">
        <is>
          <t>ГПА 62</t>
        </is>
      </c>
      <c r="J121" s="243" t="inlineStr">
        <is>
          <t>АСУ,А и ТМ (КЦ № 6)</t>
        </is>
      </c>
      <c r="K121" s="243" t="inlineStr">
        <is>
          <t>2012</t>
        </is>
      </c>
      <c r="L121" s="248" t="inlineStr">
        <is>
          <t>36</t>
        </is>
      </c>
      <c r="M121" s="246" t="inlineStr"/>
      <c r="N121" s="245" t="inlineStr"/>
    </row>
    <row r="122" ht="22.5" customHeight="1" s="236">
      <c r="A122" s="243" t="n">
        <v>121</v>
      </c>
      <c r="B122" s="246" t="inlineStr">
        <is>
          <t>Расходомер</t>
        </is>
      </c>
      <c r="C122" s="254" t="inlineStr">
        <is>
          <t>KROHNE/H250</t>
        </is>
      </c>
      <c r="D122" s="246" t="inlineStr">
        <is>
          <t>D110000000182276</t>
        </is>
      </c>
      <c r="E122" s="243" t="inlineStr">
        <is>
          <t>2011</t>
        </is>
      </c>
      <c r="F122" s="254" t="inlineStr">
        <is>
          <t>6…60 Нм3/час</t>
        </is>
      </c>
      <c r="G122" s="254" t="inlineStr">
        <is>
          <t>1.6</t>
        </is>
      </c>
      <c r="H122" s="246" t="inlineStr">
        <is>
          <t>Расход газа на выходе первой ступени ПКВ</t>
        </is>
      </c>
      <c r="I122" s="245" t="inlineStr">
        <is>
          <t>ГПА 62</t>
        </is>
      </c>
      <c r="J122" s="243" t="inlineStr">
        <is>
          <t>АСУ,А и ТМ (КЦ № 6)</t>
        </is>
      </c>
      <c r="K122" s="243" t="inlineStr">
        <is>
          <t>2012</t>
        </is>
      </c>
      <c r="L122" s="248" t="inlineStr">
        <is>
          <t>36</t>
        </is>
      </c>
      <c r="M122" s="246" t="inlineStr"/>
      <c r="N122" s="245" t="inlineStr"/>
    </row>
    <row r="123" ht="22.5" customHeight="1" s="236">
      <c r="A123" s="243" t="n">
        <v>122</v>
      </c>
      <c r="B123" s="246" t="inlineStr">
        <is>
          <t>Уравнемер</t>
        </is>
      </c>
      <c r="C123" s="254" t="inlineStr">
        <is>
          <t>KROHNE BM-26A</t>
        </is>
      </c>
      <c r="D123" s="246" t="inlineStr">
        <is>
          <t>447006647/10.01</t>
        </is>
      </c>
      <c r="E123" s="243" t="inlineStr">
        <is>
          <t>2011</t>
        </is>
      </c>
      <c r="F123" s="254" t="inlineStr">
        <is>
          <t>0…100 %</t>
        </is>
      </c>
      <c r="G123" s="254" t="inlineStr">
        <is>
          <t>±10 мм</t>
        </is>
      </c>
      <c r="H123" s="246" t="inlineStr">
        <is>
          <t>Уровень жидкости во входной камере Ф1/1</t>
        </is>
      </c>
      <c r="I123" s="245" t="inlineStr">
        <is>
          <t>ГПА 62</t>
        </is>
      </c>
      <c r="J123" s="243" t="inlineStr">
        <is>
          <t>АСУ,А и ТМ (КЦ № 6)</t>
        </is>
      </c>
      <c r="K123" s="243" t="inlineStr">
        <is>
          <t>2012</t>
        </is>
      </c>
      <c r="L123" s="248" t="inlineStr">
        <is>
          <t>48</t>
        </is>
      </c>
      <c r="M123" s="246" t="inlineStr"/>
      <c r="N123" s="245" t="inlineStr"/>
    </row>
    <row r="124" ht="15" customHeight="1" s="236">
      <c r="A124" s="239">
        <f>IF(B124&lt;&gt;"", COUNTA($B$2:B124), "")</f>
        <v/>
      </c>
      <c r="B124" s="239" t="inlineStr">
        <is>
          <t>Уравнемер</t>
        </is>
      </c>
      <c r="C124" s="251" t="inlineStr">
        <is>
          <t>KROHNE MS15</t>
        </is>
      </c>
      <c r="D124" s="239" t="inlineStr">
        <is>
          <t>447006647.10.01</t>
        </is>
      </c>
      <c r="E124" s="239" t="n">
        <v>2011</v>
      </c>
      <c r="F124" s="251" t="n"/>
      <c r="G124" s="251" t="n"/>
      <c r="H124" s="251" t="inlineStr">
        <is>
          <t>Нижний уровень SQ2 (Ф1/1)</t>
        </is>
      </c>
      <c r="I124" s="239" t="inlineStr">
        <is>
          <t>ГПА 62</t>
        </is>
      </c>
      <c r="J124" s="239" t="inlineStr">
        <is>
          <t>АСУ,А и ТМ (КЦ № 6)</t>
        </is>
      </c>
      <c r="K124" s="239" t="n">
        <v>2012</v>
      </c>
      <c r="L124" s="251" t="n"/>
      <c r="M124" s="240" t="n"/>
      <c r="N124" s="242" t="n"/>
    </row>
    <row r="125" ht="15" customHeight="1" s="236">
      <c r="A125" s="243" t="n">
        <v>124</v>
      </c>
      <c r="B125" s="243" t="inlineStr">
        <is>
          <t>Уравнемер</t>
        </is>
      </c>
      <c r="C125" s="248" t="inlineStr">
        <is>
          <t>KROHNE MS15</t>
        </is>
      </c>
      <c r="D125" s="243" t="inlineStr">
        <is>
          <t>447006647.10.06</t>
        </is>
      </c>
      <c r="E125" s="243" t="inlineStr">
        <is>
          <t>2011</t>
        </is>
      </c>
      <c r="F125" s="248" t="inlineStr"/>
      <c r="G125" s="248" t="inlineStr"/>
      <c r="H125" s="248" t="inlineStr">
        <is>
          <t>Верхний уровень SQ1 (Ф1/1)</t>
        </is>
      </c>
      <c r="I125" s="243" t="inlineStr">
        <is>
          <t>ГПА 62</t>
        </is>
      </c>
      <c r="J125" s="243" t="inlineStr">
        <is>
          <t>АСУ,А и ТМ (КЦ № 6)</t>
        </is>
      </c>
      <c r="K125" s="243" t="inlineStr">
        <is>
          <t>2012</t>
        </is>
      </c>
      <c r="L125" s="248" t="inlineStr"/>
      <c r="M125" s="246" t="inlineStr"/>
      <c r="N125" s="245" t="inlineStr"/>
    </row>
    <row r="126" ht="15" customHeight="1" s="236">
      <c r="A126" s="243" t="n">
        <v>125</v>
      </c>
      <c r="B126" s="243" t="inlineStr">
        <is>
          <t>Уравнемер</t>
        </is>
      </c>
      <c r="C126" s="248" t="inlineStr">
        <is>
          <t>KROHNE ER/EXD/AL/D</t>
        </is>
      </c>
      <c r="D126" s="243" t="inlineStr">
        <is>
          <t>447006647.10.01</t>
        </is>
      </c>
      <c r="E126" s="243" t="inlineStr">
        <is>
          <t>2011</t>
        </is>
      </c>
      <c r="F126" s="248" t="inlineStr"/>
      <c r="G126" s="248" t="inlineStr"/>
      <c r="H126" s="248" t="inlineStr">
        <is>
          <t>Уровень конденсата BL710 (Ф1/1)</t>
        </is>
      </c>
      <c r="I126" s="243" t="inlineStr">
        <is>
          <t>ГПА 62</t>
        </is>
      </c>
      <c r="J126" s="243" t="inlineStr">
        <is>
          <t>АСУ,А и ТМ (КЦ № 6)</t>
        </is>
      </c>
      <c r="K126" s="243" t="inlineStr">
        <is>
          <t>2012</t>
        </is>
      </c>
      <c r="L126" s="248" t="inlineStr"/>
      <c r="M126" s="246" t="inlineStr"/>
      <c r="N126" s="245" t="inlineStr"/>
    </row>
    <row r="127" ht="22.5" customHeight="1" s="236">
      <c r="A127" s="243" t="n">
        <v>126</v>
      </c>
      <c r="B127" s="243" t="inlineStr">
        <is>
          <t>Уравнемер</t>
        </is>
      </c>
      <c r="C127" s="248" t="inlineStr">
        <is>
          <t>KROHNE BM-26A</t>
        </is>
      </c>
      <c r="D127" s="243" t="inlineStr">
        <is>
          <t>447006647/10.04</t>
        </is>
      </c>
      <c r="E127" s="243" t="inlineStr">
        <is>
          <t>2011</t>
        </is>
      </c>
      <c r="F127" s="248" t="inlineStr">
        <is>
          <t>0…100 %</t>
        </is>
      </c>
      <c r="G127" s="248" t="inlineStr">
        <is>
          <t>±10 мм</t>
        </is>
      </c>
      <c r="H127" s="248" t="inlineStr">
        <is>
          <t>Уровень жидкости в выходной камере Ф1/2</t>
        </is>
      </c>
      <c r="I127" s="243" t="inlineStr">
        <is>
          <t>ГПА 62</t>
        </is>
      </c>
      <c r="J127" s="243" t="inlineStr">
        <is>
          <t>АСУ,А и ТМ (КЦ № 6)</t>
        </is>
      </c>
      <c r="K127" s="243" t="inlineStr">
        <is>
          <t>2012</t>
        </is>
      </c>
      <c r="L127" s="248" t="inlineStr">
        <is>
          <t>48</t>
        </is>
      </c>
      <c r="M127" s="246" t="inlineStr"/>
      <c r="N127" s="245" t="inlineStr"/>
    </row>
    <row r="128" ht="15" customHeight="1" s="236">
      <c r="A128" s="239">
        <f>IF(B128&lt;&gt;"", COUNTA($B$2:B128), "")</f>
        <v/>
      </c>
      <c r="B128" s="239" t="inlineStr">
        <is>
          <t>Уравнемер</t>
        </is>
      </c>
      <c r="C128" s="251" t="inlineStr">
        <is>
          <t>KROHNE MS15</t>
        </is>
      </c>
      <c r="D128" s="251" t="inlineStr">
        <is>
          <t>447006647.10.08</t>
        </is>
      </c>
      <c r="E128" s="239" t="n">
        <v>2011</v>
      </c>
      <c r="F128" s="251" t="n"/>
      <c r="G128" s="251" t="n"/>
      <c r="H128" s="251" t="inlineStr">
        <is>
          <t>Нижний уровень SQ2 (Ф1/2)</t>
        </is>
      </c>
      <c r="I128" s="239" t="inlineStr">
        <is>
          <t>ГПА 62</t>
        </is>
      </c>
      <c r="J128" s="239" t="inlineStr">
        <is>
          <t>АСУ,А и ТМ (КЦ № 6)</t>
        </is>
      </c>
      <c r="K128" s="239" t="n">
        <v>2012</v>
      </c>
      <c r="L128" s="251" t="n"/>
      <c r="M128" s="240" t="n"/>
      <c r="N128" s="242" t="n"/>
    </row>
    <row r="129" ht="15" customHeight="1" s="236">
      <c r="A129" s="243" t="n">
        <v>128</v>
      </c>
      <c r="B129" s="243" t="inlineStr">
        <is>
          <t>Уравнемер</t>
        </is>
      </c>
      <c r="C129" s="248" t="inlineStr">
        <is>
          <t>KROHNE MS15</t>
        </is>
      </c>
      <c r="D129" s="248" t="inlineStr">
        <is>
          <t>447006647.10.07</t>
        </is>
      </c>
      <c r="E129" s="243" t="inlineStr">
        <is>
          <t>2011</t>
        </is>
      </c>
      <c r="F129" s="248" t="inlineStr"/>
      <c r="G129" s="248" t="inlineStr"/>
      <c r="H129" s="248" t="inlineStr">
        <is>
          <t>Верхний уровень SQ1 (Ф1/2)</t>
        </is>
      </c>
      <c r="I129" s="243" t="inlineStr">
        <is>
          <t>ГПА 62</t>
        </is>
      </c>
      <c r="J129" s="243" t="inlineStr">
        <is>
          <t>АСУ,А и ТМ (КЦ № 6)</t>
        </is>
      </c>
      <c r="K129" s="243" t="inlineStr">
        <is>
          <t>2012</t>
        </is>
      </c>
      <c r="L129" s="248" t="inlineStr"/>
      <c r="M129" s="246" t="inlineStr"/>
      <c r="N129" s="245" t="inlineStr"/>
    </row>
    <row r="130" ht="15" customHeight="1" s="236">
      <c r="A130" s="243" t="n">
        <v>129</v>
      </c>
      <c r="B130" s="243" t="inlineStr">
        <is>
          <t>Уравнемер</t>
        </is>
      </c>
      <c r="C130" s="248" t="inlineStr">
        <is>
          <t>KROHNE ER/EXD/AL/D</t>
        </is>
      </c>
      <c r="D130" s="248" t="inlineStr">
        <is>
          <t>447006647.10.04</t>
        </is>
      </c>
      <c r="E130" s="243" t="inlineStr">
        <is>
          <t>2011</t>
        </is>
      </c>
      <c r="F130" s="248" t="inlineStr"/>
      <c r="G130" s="248" t="inlineStr"/>
      <c r="H130" s="248" t="inlineStr">
        <is>
          <t>Уровень конденсата BL711 (Ф1/2)</t>
        </is>
      </c>
      <c r="I130" s="243" t="inlineStr">
        <is>
          <t>ГПА 62</t>
        </is>
      </c>
      <c r="J130" s="243" t="inlineStr">
        <is>
          <t>АСУ,А и ТМ (КЦ № 6)</t>
        </is>
      </c>
      <c r="K130" s="243" t="inlineStr">
        <is>
          <t>2012</t>
        </is>
      </c>
      <c r="L130" s="248" t="inlineStr"/>
      <c r="M130" s="246" t="inlineStr"/>
      <c r="N130" s="245" t="inlineStr"/>
    </row>
    <row r="131" ht="22.5" customHeight="1" s="236">
      <c r="A131" s="243" t="n">
        <v>130</v>
      </c>
      <c r="B131" s="243" t="inlineStr">
        <is>
          <t>Уравнемер</t>
        </is>
      </c>
      <c r="C131" s="248" t="inlineStr">
        <is>
          <t>KROHNE BM-26A</t>
        </is>
      </c>
      <c r="D131" s="248" t="inlineStr">
        <is>
          <t>447006647/10.08</t>
        </is>
      </c>
      <c r="E131" s="243" t="inlineStr">
        <is>
          <t>2011</t>
        </is>
      </c>
      <c r="F131" s="248" t="inlineStr">
        <is>
          <t>0…100 %</t>
        </is>
      </c>
      <c r="G131" s="248" t="inlineStr">
        <is>
          <t>±10 мм</t>
        </is>
      </c>
      <c r="H131" s="248" t="inlineStr">
        <is>
          <t>Уровень жидкости во входной камере Ф2/1</t>
        </is>
      </c>
      <c r="I131" s="243" t="inlineStr">
        <is>
          <t>ГПА 62</t>
        </is>
      </c>
      <c r="J131" s="243" t="inlineStr">
        <is>
          <t>АСУ,А и ТМ (КЦ № 6)</t>
        </is>
      </c>
      <c r="K131" s="243" t="inlineStr">
        <is>
          <t>2012</t>
        </is>
      </c>
      <c r="L131" s="248" t="inlineStr">
        <is>
          <t>48</t>
        </is>
      </c>
      <c r="M131" s="246" t="inlineStr"/>
      <c r="N131" s="245" t="inlineStr"/>
    </row>
    <row r="132" ht="15" customHeight="1" s="236">
      <c r="A132" s="243" t="n">
        <v>131</v>
      </c>
      <c r="B132" s="243" t="inlineStr">
        <is>
          <t>Уравнемер</t>
        </is>
      </c>
      <c r="C132" s="248" t="inlineStr">
        <is>
          <t>KROHNE MS15</t>
        </is>
      </c>
      <c r="D132" s="248" t="inlineStr">
        <is>
          <t>447006647.10.11</t>
        </is>
      </c>
      <c r="E132" s="243" t="inlineStr">
        <is>
          <t>2011</t>
        </is>
      </c>
      <c r="F132" s="248" t="inlineStr"/>
      <c r="G132" s="248" t="inlineStr"/>
      <c r="H132" s="248" t="inlineStr">
        <is>
          <t>Нижний уровень SQ2 (Ф2/1)</t>
        </is>
      </c>
      <c r="I132" s="243" t="inlineStr">
        <is>
          <t>ГПА 62</t>
        </is>
      </c>
      <c r="J132" s="243" t="inlineStr">
        <is>
          <t>АСУ,А и ТМ (КЦ № 6)</t>
        </is>
      </c>
      <c r="K132" s="243" t="inlineStr">
        <is>
          <t>2012</t>
        </is>
      </c>
      <c r="L132" s="248" t="inlineStr"/>
      <c r="M132" s="246" t="inlineStr"/>
      <c r="N132" s="245" t="inlineStr"/>
    </row>
    <row r="133" ht="15" customHeight="1" s="236">
      <c r="A133" s="243" t="n">
        <v>132</v>
      </c>
      <c r="B133" s="243" t="inlineStr">
        <is>
          <t>Уравнемер</t>
        </is>
      </c>
      <c r="C133" s="248" t="inlineStr">
        <is>
          <t>KROHNE MS15</t>
        </is>
      </c>
      <c r="D133" s="248" t="inlineStr">
        <is>
          <t>447006647.10.09</t>
        </is>
      </c>
      <c r="E133" s="243" t="inlineStr">
        <is>
          <t>2011</t>
        </is>
      </c>
      <c r="F133" s="248" t="inlineStr"/>
      <c r="G133" s="248" t="inlineStr"/>
      <c r="H133" s="248" t="inlineStr">
        <is>
          <t>Верхний уровень SQ1 (Ф2/1)</t>
        </is>
      </c>
      <c r="I133" s="243" t="inlineStr">
        <is>
          <t>ГПА 62</t>
        </is>
      </c>
      <c r="J133" s="243" t="inlineStr">
        <is>
          <t>АСУ,А и ТМ (КЦ № 6)</t>
        </is>
      </c>
      <c r="K133" s="243" t="inlineStr">
        <is>
          <t>2012</t>
        </is>
      </c>
      <c r="L133" s="248" t="inlineStr"/>
      <c r="M133" s="246" t="inlineStr"/>
      <c r="N133" s="245" t="inlineStr"/>
    </row>
    <row r="134" ht="15" customHeight="1" s="236">
      <c r="A134" s="243" t="n">
        <v>133</v>
      </c>
      <c r="B134" s="243" t="inlineStr">
        <is>
          <t>Уравнемер</t>
        </is>
      </c>
      <c r="C134" s="248" t="inlineStr">
        <is>
          <t>KROHNE ER/EXD/AL/D</t>
        </is>
      </c>
      <c r="D134" s="248" t="inlineStr">
        <is>
          <t>447006647.10.08</t>
        </is>
      </c>
      <c r="E134" s="243" t="inlineStr">
        <is>
          <t>2011</t>
        </is>
      </c>
      <c r="F134" s="248" t="inlineStr"/>
      <c r="G134" s="248" t="inlineStr"/>
      <c r="H134" s="248" t="inlineStr">
        <is>
          <t>Уровень конденсата BL712 (Ф2/1)</t>
        </is>
      </c>
      <c r="I134" s="243" t="inlineStr">
        <is>
          <t>ГПА 62</t>
        </is>
      </c>
      <c r="J134" s="243" t="inlineStr">
        <is>
          <t>АСУ,А и ТМ (КЦ № 6)</t>
        </is>
      </c>
      <c r="K134" s="243" t="inlineStr">
        <is>
          <t>2012</t>
        </is>
      </c>
      <c r="L134" s="248" t="inlineStr"/>
      <c r="M134" s="246" t="inlineStr"/>
      <c r="N134" s="245" t="inlineStr"/>
    </row>
    <row r="135" ht="22.5" customHeight="1" s="236">
      <c r="A135" s="243" t="n">
        <v>134</v>
      </c>
      <c r="B135" s="243" t="inlineStr">
        <is>
          <t>Уравнемер</t>
        </is>
      </c>
      <c r="C135" s="248" t="inlineStr">
        <is>
          <t>KROHNE BM-26A</t>
        </is>
      </c>
      <c r="D135" s="248" t="inlineStr">
        <is>
          <t>447006647/10.15</t>
        </is>
      </c>
      <c r="E135" s="243" t="inlineStr">
        <is>
          <t>2011</t>
        </is>
      </c>
      <c r="F135" s="248" t="inlineStr">
        <is>
          <t>0…100 %</t>
        </is>
      </c>
      <c r="G135" s="248" t="inlineStr">
        <is>
          <t>±10 мм</t>
        </is>
      </c>
      <c r="H135" s="248" t="inlineStr">
        <is>
          <t>Уровень жидкости в выходной камере Ф2/2</t>
        </is>
      </c>
      <c r="I135" s="243" t="inlineStr">
        <is>
          <t>ГПА 62</t>
        </is>
      </c>
      <c r="J135" s="243" t="inlineStr">
        <is>
          <t>АСУ,А и ТМ (КЦ № 6)</t>
        </is>
      </c>
      <c r="K135" s="243" t="inlineStr">
        <is>
          <t>2012</t>
        </is>
      </c>
      <c r="L135" s="248" t="inlineStr">
        <is>
          <t>48</t>
        </is>
      </c>
      <c r="M135" s="246" t="inlineStr"/>
      <c r="N135" s="245" t="inlineStr"/>
    </row>
    <row r="136" ht="15" customHeight="1" s="236">
      <c r="A136" s="243" t="n">
        <v>135</v>
      </c>
      <c r="B136" s="243" t="inlineStr">
        <is>
          <t>Уравнемер</t>
        </is>
      </c>
      <c r="C136" s="248" t="inlineStr">
        <is>
          <t>KROHNE MS15</t>
        </is>
      </c>
      <c r="D136" s="248" t="inlineStr">
        <is>
          <t>447006647.10.16</t>
        </is>
      </c>
      <c r="E136" s="243" t="inlineStr">
        <is>
          <t>2011</t>
        </is>
      </c>
      <c r="F136" s="248" t="inlineStr"/>
      <c r="G136" s="248" t="inlineStr"/>
      <c r="H136" s="248" t="inlineStr">
        <is>
          <t>Нижний уровень SQ2 (Ф2/2)</t>
        </is>
      </c>
      <c r="I136" s="243" t="inlineStr">
        <is>
          <t>ГПА 62</t>
        </is>
      </c>
      <c r="J136" s="243" t="inlineStr">
        <is>
          <t>АСУ,А и ТМ (КЦ № 6)</t>
        </is>
      </c>
      <c r="K136" s="243" t="inlineStr">
        <is>
          <t>2012</t>
        </is>
      </c>
      <c r="L136" s="248" t="inlineStr"/>
      <c r="M136" s="246" t="inlineStr"/>
      <c r="N136" s="245" t="inlineStr"/>
    </row>
    <row r="137" ht="15" customHeight="1" s="236">
      <c r="A137" s="243" t="n">
        <v>136</v>
      </c>
      <c r="B137" s="243" t="inlineStr">
        <is>
          <t>Уравнемер</t>
        </is>
      </c>
      <c r="C137" s="248" t="inlineStr">
        <is>
          <t>KROHNE MS15</t>
        </is>
      </c>
      <c r="D137" s="248" t="inlineStr">
        <is>
          <t>447006647.10.14</t>
        </is>
      </c>
      <c r="E137" s="243" t="inlineStr">
        <is>
          <t>2011</t>
        </is>
      </c>
      <c r="F137" s="248" t="inlineStr"/>
      <c r="G137" s="248" t="inlineStr"/>
      <c r="H137" s="248" t="inlineStr">
        <is>
          <t>Верхний уровень SQ1 (Ф2/2)</t>
        </is>
      </c>
      <c r="I137" s="243" t="inlineStr">
        <is>
          <t>ГПА 62</t>
        </is>
      </c>
      <c r="J137" s="243" t="inlineStr">
        <is>
          <t>АСУ,А и ТМ (КЦ № 6)</t>
        </is>
      </c>
      <c r="K137" s="243" t="inlineStr">
        <is>
          <t>2012</t>
        </is>
      </c>
      <c r="L137" s="248" t="inlineStr"/>
      <c r="M137" s="246" t="inlineStr"/>
      <c r="N137" s="245" t="inlineStr"/>
    </row>
    <row r="138" ht="15" customHeight="1" s="236">
      <c r="A138" s="243" t="n">
        <v>137</v>
      </c>
      <c r="B138" s="243" t="inlineStr">
        <is>
          <t>Уравнемер</t>
        </is>
      </c>
      <c r="C138" s="248" t="inlineStr">
        <is>
          <t>KROHNE ER/EXD/AL/D</t>
        </is>
      </c>
      <c r="D138" s="248" t="inlineStr">
        <is>
          <t>447006647.10.15</t>
        </is>
      </c>
      <c r="E138" s="243" t="inlineStr">
        <is>
          <t>2011</t>
        </is>
      </c>
      <c r="F138" s="248" t="inlineStr"/>
      <c r="G138" s="248" t="inlineStr"/>
      <c r="H138" s="248" t="inlineStr">
        <is>
          <t>Уровень конденсата BL713 (Ф2/2)</t>
        </is>
      </c>
      <c r="I138" s="243" t="inlineStr">
        <is>
          <t>ГПА 62</t>
        </is>
      </c>
      <c r="J138" s="243" t="inlineStr">
        <is>
          <t>АСУ,А и ТМ (КЦ № 6)</t>
        </is>
      </c>
      <c r="K138" s="243" t="inlineStr">
        <is>
          <t>2012</t>
        </is>
      </c>
      <c r="L138" s="248" t="inlineStr"/>
      <c r="M138" s="246" t="inlineStr"/>
      <c r="N138" s="245" t="inlineStr"/>
    </row>
    <row r="139" ht="22.5" customHeight="1" s="236">
      <c r="A139" s="243" t="n">
        <v>138</v>
      </c>
      <c r="B139" s="243" t="inlineStr">
        <is>
          <t>Уравнемер</t>
        </is>
      </c>
      <c r="C139" s="248" t="inlineStr">
        <is>
          <t>KROHNE optiswitch 5200C</t>
        </is>
      </c>
      <c r="D139" s="248" t="inlineStr">
        <is>
          <t>20408764</t>
        </is>
      </c>
      <c r="E139" s="243" t="inlineStr">
        <is>
          <t>2011</t>
        </is>
      </c>
      <c r="F139" s="248" t="inlineStr">
        <is>
          <t>0…400 мм</t>
        </is>
      </c>
      <c r="G139" s="248" t="inlineStr"/>
      <c r="H139" s="248" t="inlineStr">
        <is>
          <t>Уровень теплоносителя в подогревателе BL1</t>
        </is>
      </c>
      <c r="I139" s="243" t="inlineStr">
        <is>
          <t>ГПА 62</t>
        </is>
      </c>
      <c r="J139" s="243" t="inlineStr">
        <is>
          <t>АСУ,А и ТМ (КЦ № 6)</t>
        </is>
      </c>
      <c r="K139" s="243" t="inlineStr">
        <is>
          <t>2012</t>
        </is>
      </c>
      <c r="L139" s="248" t="inlineStr"/>
      <c r="M139" s="246" t="inlineStr"/>
      <c r="N139" s="245" t="inlineStr"/>
    </row>
    <row r="140" ht="33.75" customHeight="1" s="236">
      <c r="A140" s="239">
        <f>IF(B140&lt;&gt;"", COUNTA($B$2:B140), "")</f>
        <v/>
      </c>
      <c r="B140" s="240" t="inlineStr">
        <is>
          <t xml:space="preserve">Расходомер                 </t>
        </is>
      </c>
      <c r="C140" s="251" t="inlineStr">
        <is>
          <t>Micrp Motion F200S-366-C-C-A-Z-E-ZZZ-Z (170011AFFEZZZ)</t>
        </is>
      </c>
      <c r="D140" s="251" t="inlineStr">
        <is>
          <t>sensor       14226911     (голова       3812706)</t>
        </is>
      </c>
      <c r="E140" s="239" t="n">
        <v>2011</v>
      </c>
      <c r="F140" s="251" t="inlineStr">
        <is>
          <t xml:space="preserve">0…6300 кг/час </t>
        </is>
      </c>
      <c r="G140" s="251" t="inlineStr">
        <is>
          <t>±0,5 (для газа)</t>
        </is>
      </c>
      <c r="H140" s="239" t="inlineStr">
        <is>
          <t>Расход топливного газа (коммерческий учет)</t>
        </is>
      </c>
      <c r="I140" s="239" t="inlineStr">
        <is>
          <t>ГПА 62</t>
        </is>
      </c>
      <c r="J140" s="239" t="inlineStr">
        <is>
          <t>АСУ,А и ТМ (КЦ № 6)</t>
        </is>
      </c>
      <c r="K140" s="239" t="n">
        <v>2012</v>
      </c>
      <c r="L140" s="251" t="n">
        <v>48</v>
      </c>
      <c r="M140" s="240" t="n"/>
      <c r="N140" s="242" t="n"/>
    </row>
    <row r="141" ht="33.75" customHeight="1" s="236">
      <c r="A141" s="239">
        <f>IF(B141&lt;&gt;"", COUNTA($B$2:B141), "")</f>
        <v/>
      </c>
      <c r="B141" s="251" t="inlineStr">
        <is>
          <t>Датчик вибрации</t>
        </is>
      </c>
      <c r="C141" s="242" t="inlineStr">
        <is>
          <t>ВПД 10-1,0/8,0</t>
        </is>
      </c>
      <c r="D141" s="251" t="inlineStr">
        <is>
          <t>Отсутствует доступ к датчику</t>
        </is>
      </c>
      <c r="E141" s="251" t="n">
        <v>2010</v>
      </c>
      <c r="F141" s="251" t="inlineStr">
        <is>
          <t>0…500 мкм (канал)</t>
        </is>
      </c>
      <c r="G141" s="251" t="inlineStr">
        <is>
          <t>нормируется для канала измерения</t>
        </is>
      </c>
      <c r="H141" s="239" t="inlineStr">
        <is>
          <t>Размах виброперемещения со стороны привода (горизонтальная составляющая)</t>
        </is>
      </c>
      <c r="I141" s="239" t="inlineStr">
        <is>
          <t>ГПА 62</t>
        </is>
      </c>
      <c r="J141" s="239" t="inlineStr">
        <is>
          <t>АСУ,А и ТМ (КЦ № 6)</t>
        </is>
      </c>
      <c r="K141" s="239" t="n">
        <v>2012</v>
      </c>
      <c r="L141" s="251" t="n">
        <v>24</v>
      </c>
      <c r="M141" s="240" t="n"/>
      <c r="N141" s="242" t="n"/>
    </row>
    <row r="142" ht="22.5" customHeight="1" s="236">
      <c r="A142" s="239">
        <f>IF(B142&lt;&gt;"", COUNTA($B$2:B142), "")</f>
        <v/>
      </c>
      <c r="B142" s="251" t="inlineStr">
        <is>
          <t>Датчик вибрации</t>
        </is>
      </c>
      <c r="C142" s="242" t="inlineStr">
        <is>
          <t>ВПД 10-1,0/8,0</t>
        </is>
      </c>
      <c r="D142" s="251" t="inlineStr">
        <is>
          <t>Отсутствует доступ к датчику</t>
        </is>
      </c>
      <c r="E142" s="251" t="n">
        <v>2010</v>
      </c>
      <c r="F142" s="251" t="inlineStr">
        <is>
          <t>0…500 мкм (канал)</t>
        </is>
      </c>
      <c r="G142" s="251" t="inlineStr">
        <is>
          <t>нормируется для канала измерения</t>
        </is>
      </c>
      <c r="H142" s="239" t="inlineStr">
        <is>
          <t>Размах виброперемещения со стороны привода (вертикальная составляющая)</t>
        </is>
      </c>
      <c r="I142" s="239" t="inlineStr">
        <is>
          <t>ГПА 62</t>
        </is>
      </c>
      <c r="J142" s="239" t="inlineStr">
        <is>
          <t>АСУ,А и ТМ (КЦ № 6)</t>
        </is>
      </c>
      <c r="K142" s="239" t="n">
        <v>2012</v>
      </c>
      <c r="L142" s="251" t="n">
        <v>24</v>
      </c>
      <c r="M142" s="240" t="n"/>
      <c r="N142" s="242" t="n"/>
    </row>
    <row r="143" ht="33.75" customHeight="1" s="236">
      <c r="A143" s="239">
        <f>IF(B143&lt;&gt;"", COUNTA($B$2:B143), "")</f>
        <v/>
      </c>
      <c r="B143" s="251" t="inlineStr">
        <is>
          <t>Датчик вибрации</t>
        </is>
      </c>
      <c r="C143" s="242" t="inlineStr">
        <is>
          <t>ВПД 10-1,0/8,0</t>
        </is>
      </c>
      <c r="D143" s="251" t="inlineStr">
        <is>
          <t>Отсутствует доступ к датчику</t>
        </is>
      </c>
      <c r="E143" s="251" t="n">
        <v>2010</v>
      </c>
      <c r="F143" s="251" t="inlineStr">
        <is>
          <t>0…500 мкм (канал)</t>
        </is>
      </c>
      <c r="G143" s="251" t="inlineStr">
        <is>
          <t>нормируется для канала измерения</t>
        </is>
      </c>
      <c r="H143" s="239" t="inlineStr">
        <is>
          <t>Размах виброперемещения со стороны свободного конца (горизонтальная составляющая)</t>
        </is>
      </c>
      <c r="I143" s="239" t="inlineStr">
        <is>
          <t>ГПА 62</t>
        </is>
      </c>
      <c r="J143" s="239" t="inlineStr">
        <is>
          <t>АСУ,А и ТМ (КЦ № 6)</t>
        </is>
      </c>
      <c r="K143" s="239" t="n">
        <v>2012</v>
      </c>
      <c r="L143" s="251" t="n">
        <v>24</v>
      </c>
      <c r="M143" s="240" t="n"/>
      <c r="N143" s="242" t="n"/>
    </row>
    <row r="144" ht="33.75" customHeight="1" s="236">
      <c r="A144" s="239">
        <f>IF(B144&lt;&gt;"", COUNTA($B$2:B144), "")</f>
        <v/>
      </c>
      <c r="B144" s="251" t="inlineStr">
        <is>
          <t>Датчик вибрации</t>
        </is>
      </c>
      <c r="C144" s="242" t="inlineStr">
        <is>
          <t>ВПД 10-1,0/8,0</t>
        </is>
      </c>
      <c r="D144" s="251" t="inlineStr">
        <is>
          <t>Отсутствует доступ к датчику</t>
        </is>
      </c>
      <c r="E144" s="251" t="n">
        <v>2010</v>
      </c>
      <c r="F144" s="251" t="inlineStr">
        <is>
          <t>0…500 мкм (канал)</t>
        </is>
      </c>
      <c r="G144" s="251" t="inlineStr">
        <is>
          <t>нормируется для канала измерения</t>
        </is>
      </c>
      <c r="H144" s="239" t="inlineStr">
        <is>
          <t>Размах виброперемещения со стороны свободного конца (вертикальная составляющая)</t>
        </is>
      </c>
      <c r="I144" s="239" t="inlineStr">
        <is>
          <t>ГПА 62</t>
        </is>
      </c>
      <c r="J144" s="239" t="inlineStr">
        <is>
          <t>АСУ,А и ТМ (КЦ № 6)</t>
        </is>
      </c>
      <c r="K144" s="239" t="n">
        <v>2012</v>
      </c>
      <c r="L144" s="251" t="n">
        <v>24</v>
      </c>
      <c r="M144" s="240" t="n"/>
      <c r="N144" s="242" t="n"/>
    </row>
    <row r="145" ht="22.5" customHeight="1" s="236">
      <c r="A145" s="239">
        <f>IF(B145&lt;&gt;"", COUNTA($B$2:B145), "")</f>
        <v/>
      </c>
      <c r="B145" s="251" t="inlineStr">
        <is>
          <t>Датчик вибрации</t>
        </is>
      </c>
      <c r="C145" s="242" t="inlineStr">
        <is>
          <t>ВПД 10-1,0/8,0</t>
        </is>
      </c>
      <c r="D145" s="251" t="inlineStr">
        <is>
          <t>Отсутствует доступ к датчику</t>
        </is>
      </c>
      <c r="E145" s="251" t="n">
        <v>2010</v>
      </c>
      <c r="F145" s="251" t="inlineStr">
        <is>
          <t>0…500 мкм (канал)</t>
        </is>
      </c>
      <c r="G145" s="251" t="inlineStr">
        <is>
          <t>нормируется для канала измерения</t>
        </is>
      </c>
      <c r="H145" s="239" t="inlineStr">
        <is>
          <t>Размах виброперемещения в осевом направлении</t>
        </is>
      </c>
      <c r="I145" s="239" t="inlineStr">
        <is>
          <t>ГПА 62</t>
        </is>
      </c>
      <c r="J145" s="239" t="inlineStr">
        <is>
          <t>АСУ,А и ТМ (КЦ № 6)</t>
        </is>
      </c>
      <c r="K145" s="239" t="n">
        <v>2012</v>
      </c>
      <c r="L145" s="251" t="n">
        <v>24</v>
      </c>
      <c r="M145" s="240" t="n"/>
      <c r="N145" s="242" t="n"/>
    </row>
    <row r="146" ht="22.5" customHeight="1" s="236">
      <c r="A146" s="243" t="n">
        <v>145</v>
      </c>
      <c r="B146" s="248" t="inlineStr">
        <is>
          <t>Датчик вибрации</t>
        </is>
      </c>
      <c r="C146" s="245" t="inlineStr">
        <is>
          <t>ВПД 10-1,0/7,0Р</t>
        </is>
      </c>
      <c r="D146" s="248" t="inlineStr">
        <is>
          <t>Отсутствует доступ к датчику</t>
        </is>
      </c>
      <c r="E146" s="248" t="inlineStr">
        <is>
          <t>2010</t>
        </is>
      </c>
      <c r="F146" s="248" t="inlineStr">
        <is>
          <t>0…1000 мкм (канал)</t>
        </is>
      </c>
      <c r="G146" s="248" t="inlineStr">
        <is>
          <t>нормируется для канала измерения</t>
        </is>
      </c>
      <c r="H146" s="243" t="inlineStr">
        <is>
          <t>Датчик оборотов ротора нагнетателя</t>
        </is>
      </c>
      <c r="I146" s="243" t="inlineStr">
        <is>
          <t>ГПА 62</t>
        </is>
      </c>
      <c r="J146" s="243" t="inlineStr">
        <is>
          <t>АСУ,А и ТМ (КЦ № 6)</t>
        </is>
      </c>
      <c r="K146" s="243" t="inlineStr">
        <is>
          <t>2012</t>
        </is>
      </c>
      <c r="L146" s="248" t="inlineStr">
        <is>
          <t>24</t>
        </is>
      </c>
      <c r="M146" s="246" t="inlineStr"/>
      <c r="N146" s="245" t="inlineStr"/>
    </row>
    <row r="147" ht="22.5" customHeight="1" s="236">
      <c r="A147" s="243" t="n">
        <v>146</v>
      </c>
      <c r="B147" s="248" t="inlineStr">
        <is>
          <t>Термометр сопротивления</t>
        </is>
      </c>
      <c r="C147" s="245" t="inlineStr">
        <is>
          <t>ТСП 012.60 Pt100/B/3</t>
        </is>
      </c>
      <c r="D147" s="248" t="inlineStr">
        <is>
          <t>319</t>
        </is>
      </c>
      <c r="E147" s="248" t="inlineStr">
        <is>
          <t>2011</t>
        </is>
      </c>
      <c r="F147" s="248" t="inlineStr">
        <is>
          <t>-60…200 °С</t>
        </is>
      </c>
      <c r="G147" s="248" t="inlineStr">
        <is>
          <t>B</t>
        </is>
      </c>
      <c r="H147" s="243" t="inlineStr">
        <is>
          <t>Температура масла после охладителя (на входе в двигатель)</t>
        </is>
      </c>
      <c r="I147" s="243" t="inlineStr">
        <is>
          <t>ГПА 62</t>
        </is>
      </c>
      <c r="J147" s="243" t="inlineStr">
        <is>
          <t>АСУ,А и ТМ (КЦ № 6)</t>
        </is>
      </c>
      <c r="K147" s="243" t="inlineStr">
        <is>
          <t>2012</t>
        </is>
      </c>
      <c r="L147" s="248" t="inlineStr">
        <is>
          <t>24</t>
        </is>
      </c>
      <c r="M147" s="246" t="inlineStr">
        <is>
          <t>10.02.2016</t>
        </is>
      </c>
      <c r="N147" s="245" t="inlineStr">
        <is>
          <t>К</t>
        </is>
      </c>
    </row>
    <row r="148" ht="22.5" customHeight="1" s="236">
      <c r="A148" s="243" t="n">
        <v>147</v>
      </c>
      <c r="B148" s="248" t="inlineStr">
        <is>
          <t>Термометр сопротивления</t>
        </is>
      </c>
      <c r="C148" s="245" t="inlineStr">
        <is>
          <t>ТСП 012.60 Pt100/B/3</t>
        </is>
      </c>
      <c r="D148" s="248" t="inlineStr">
        <is>
          <t>396</t>
        </is>
      </c>
      <c r="E148" s="248" t="inlineStr">
        <is>
          <t>2011</t>
        </is>
      </c>
      <c r="F148" s="248" t="inlineStr">
        <is>
          <t>-60…200 °С</t>
        </is>
      </c>
      <c r="G148" s="248" t="inlineStr">
        <is>
          <t>B</t>
        </is>
      </c>
      <c r="H148" s="243" t="inlineStr">
        <is>
          <t>Температура масла на выходе двигателя (перед маслоохладителем)</t>
        </is>
      </c>
      <c r="I148" s="243" t="inlineStr">
        <is>
          <t>ГПА 62</t>
        </is>
      </c>
      <c r="J148" s="243" t="inlineStr">
        <is>
          <t>АСУ,А и ТМ (КЦ № 6)</t>
        </is>
      </c>
      <c r="K148" s="243" t="inlineStr">
        <is>
          <t>2012</t>
        </is>
      </c>
      <c r="L148" s="248" t="inlineStr">
        <is>
          <t>24</t>
        </is>
      </c>
      <c r="M148" s="246" t="inlineStr">
        <is>
          <t>11.02.2016</t>
        </is>
      </c>
      <c r="N148" s="245" t="inlineStr">
        <is>
          <t>К</t>
        </is>
      </c>
    </row>
    <row r="149" ht="22.5" customHeight="1" s="236">
      <c r="A149" s="243" t="n">
        <v>148</v>
      </c>
      <c r="B149" s="248" t="inlineStr">
        <is>
          <t>Термометр сопротивления</t>
        </is>
      </c>
      <c r="C149" s="245" t="inlineStr">
        <is>
          <t>ТСП 012.60 Pt100/B/3</t>
        </is>
      </c>
      <c r="D149" s="248" t="inlineStr">
        <is>
          <t>343</t>
        </is>
      </c>
      <c r="E149" s="248" t="inlineStr">
        <is>
          <t>2011</t>
        </is>
      </c>
      <c r="F149" s="248" t="inlineStr">
        <is>
          <t>-60…200 °С</t>
        </is>
      </c>
      <c r="G149" s="248" t="inlineStr">
        <is>
          <t>B</t>
        </is>
      </c>
      <c r="H149" s="243" t="inlineStr">
        <is>
          <t>Температра масла в баке двигателя</t>
        </is>
      </c>
      <c r="I149" s="243" t="inlineStr">
        <is>
          <t>ГПА 62</t>
        </is>
      </c>
      <c r="J149" s="243" t="inlineStr">
        <is>
          <t>АСУ,А и ТМ (КЦ № 6)</t>
        </is>
      </c>
      <c r="K149" s="243" t="inlineStr">
        <is>
          <t>2012</t>
        </is>
      </c>
      <c r="L149" s="248" t="inlineStr">
        <is>
          <t>24</t>
        </is>
      </c>
      <c r="M149" s="246" t="inlineStr">
        <is>
          <t>11.02.2016</t>
        </is>
      </c>
      <c r="N149" s="245" t="inlineStr">
        <is>
          <t>К</t>
        </is>
      </c>
    </row>
    <row r="150" ht="22.5" customHeight="1" s="236">
      <c r="A150" s="243" t="n">
        <v>149</v>
      </c>
      <c r="B150" s="248" t="inlineStr">
        <is>
          <t>Термометр сопротивления</t>
        </is>
      </c>
      <c r="C150" s="245" t="inlineStr">
        <is>
          <t>ТСП 012.60 Pt100/B/3</t>
        </is>
      </c>
      <c r="D150" s="248" t="inlineStr">
        <is>
          <t>461</t>
        </is>
      </c>
      <c r="E150" s="248" t="inlineStr">
        <is>
          <t>2011</t>
        </is>
      </c>
      <c r="F150" s="248" t="inlineStr">
        <is>
          <t>-60…200 °С</t>
        </is>
      </c>
      <c r="G150" s="248" t="inlineStr">
        <is>
          <t>B</t>
        </is>
      </c>
      <c r="H150" s="243" t="inlineStr">
        <is>
          <t>Температура топливного газа перед расходомерным устройством</t>
        </is>
      </c>
      <c r="I150" s="243" t="inlineStr">
        <is>
          <t>ГПА 62</t>
        </is>
      </c>
      <c r="J150" s="243" t="inlineStr">
        <is>
          <t>АСУ,А и ТМ (КЦ № 6)</t>
        </is>
      </c>
      <c r="K150" s="243" t="inlineStr">
        <is>
          <t>2012</t>
        </is>
      </c>
      <c r="L150" s="248" t="inlineStr">
        <is>
          <t>24</t>
        </is>
      </c>
      <c r="M150" s="246" t="inlineStr">
        <is>
          <t>11.02.2016</t>
        </is>
      </c>
      <c r="N150" s="245" t="inlineStr">
        <is>
          <t>К</t>
        </is>
      </c>
    </row>
    <row r="151" ht="22.5" customHeight="1" s="236">
      <c r="A151" s="243" t="n">
        <v>150</v>
      </c>
      <c r="B151" s="248" t="inlineStr">
        <is>
          <t>Термометр сопротивления</t>
        </is>
      </c>
      <c r="C151" s="245" t="inlineStr">
        <is>
          <t>ТСП 012.60Сп Pt100/B/3</t>
        </is>
      </c>
      <c r="D151" s="248" t="inlineStr">
        <is>
          <t>350</t>
        </is>
      </c>
      <c r="E151" s="248" t="inlineStr">
        <is>
          <t>2011</t>
        </is>
      </c>
      <c r="F151" s="248" t="inlineStr">
        <is>
          <t>-60…200 °С</t>
        </is>
      </c>
      <c r="G151" s="248" t="inlineStr">
        <is>
          <t>B</t>
        </is>
      </c>
      <c r="H151" s="243" t="inlineStr">
        <is>
          <t>Температура воздуха под кожухом Д т.1</t>
        </is>
      </c>
      <c r="I151" s="243" t="inlineStr">
        <is>
          <t>ГПА 62</t>
        </is>
      </c>
      <c r="J151" s="243" t="inlineStr">
        <is>
          <t>АСУ,А и ТМ (КЦ № 6)</t>
        </is>
      </c>
      <c r="K151" s="243" t="inlineStr">
        <is>
          <t>2012</t>
        </is>
      </c>
      <c r="L151" s="248" t="inlineStr">
        <is>
          <t>24</t>
        </is>
      </c>
      <c r="M151" s="246" t="inlineStr">
        <is>
          <t>11.02.2016</t>
        </is>
      </c>
      <c r="N151" s="245" t="inlineStr">
        <is>
          <t>К</t>
        </is>
      </c>
    </row>
    <row r="152" ht="22.5" customHeight="1" s="236">
      <c r="A152" s="243" t="n">
        <v>151</v>
      </c>
      <c r="B152" s="248" t="inlineStr">
        <is>
          <t>Термометр сопротивления</t>
        </is>
      </c>
      <c r="C152" s="245" t="inlineStr">
        <is>
          <t>ТСП 012.60Сп Pt100/B/3</t>
        </is>
      </c>
      <c r="D152" s="248" t="inlineStr">
        <is>
          <t>339</t>
        </is>
      </c>
      <c r="E152" s="248" t="inlineStr">
        <is>
          <t>2011</t>
        </is>
      </c>
      <c r="F152" s="248" t="inlineStr">
        <is>
          <t>-60…200 °С</t>
        </is>
      </c>
      <c r="G152" s="248" t="inlineStr">
        <is>
          <t>B</t>
        </is>
      </c>
      <c r="H152" s="243" t="inlineStr">
        <is>
          <t>Температура воздуха под кожухом Д т.2</t>
        </is>
      </c>
      <c r="I152" s="243" t="inlineStr">
        <is>
          <t>ГПА 62</t>
        </is>
      </c>
      <c r="J152" s="243" t="inlineStr">
        <is>
          <t>АСУ,А и ТМ (КЦ № 6)</t>
        </is>
      </c>
      <c r="K152" s="243" t="inlineStr">
        <is>
          <t>2012</t>
        </is>
      </c>
      <c r="L152" s="248" t="inlineStr">
        <is>
          <t>24</t>
        </is>
      </c>
      <c r="M152" s="246" t="inlineStr">
        <is>
          <t>11.02.2016</t>
        </is>
      </c>
      <c r="N152" s="245" t="inlineStr">
        <is>
          <t>К</t>
        </is>
      </c>
    </row>
    <row r="153" ht="22.5" customHeight="1" s="236">
      <c r="A153" s="243" t="n">
        <v>152</v>
      </c>
      <c r="B153" s="248" t="inlineStr">
        <is>
          <t>Термометр сопротивления</t>
        </is>
      </c>
      <c r="C153" s="245" t="inlineStr">
        <is>
          <t>ТСП 012.60Сп Pt100/B/3</t>
        </is>
      </c>
      <c r="D153" s="248" t="inlineStr">
        <is>
          <t>345</t>
        </is>
      </c>
      <c r="E153" s="248" t="inlineStr">
        <is>
          <t>2011</t>
        </is>
      </c>
      <c r="F153" s="248" t="inlineStr">
        <is>
          <t>-60…200 °С</t>
        </is>
      </c>
      <c r="G153" s="248" t="inlineStr">
        <is>
          <t>B</t>
        </is>
      </c>
      <c r="H153" s="243" t="inlineStr">
        <is>
          <t>Температура воздуха под кожухом Д т.3</t>
        </is>
      </c>
      <c r="I153" s="243" t="inlineStr">
        <is>
          <t>ГПА 62</t>
        </is>
      </c>
      <c r="J153" s="243" t="inlineStr">
        <is>
          <t>АСУ,А и ТМ (КЦ № 6)</t>
        </is>
      </c>
      <c r="K153" s="243" t="inlineStr">
        <is>
          <t>2012</t>
        </is>
      </c>
      <c r="L153" s="248" t="inlineStr">
        <is>
          <t>24</t>
        </is>
      </c>
      <c r="M153" s="246" t="inlineStr">
        <is>
          <t>11.02.2016</t>
        </is>
      </c>
      <c r="N153" s="245" t="inlineStr">
        <is>
          <t>К</t>
        </is>
      </c>
    </row>
    <row r="154" ht="22.5" customHeight="1" s="236">
      <c r="A154" s="243" t="n">
        <v>153</v>
      </c>
      <c r="B154" s="248" t="inlineStr">
        <is>
          <t>Термометр сопротивления</t>
        </is>
      </c>
      <c r="C154" s="245" t="inlineStr">
        <is>
          <t>ТСП 012.60Сп Pt100/B/3</t>
        </is>
      </c>
      <c r="D154" s="248" t="inlineStr">
        <is>
          <t>346</t>
        </is>
      </c>
      <c r="E154" s="248" t="inlineStr">
        <is>
          <t>2011</t>
        </is>
      </c>
      <c r="F154" s="248" t="inlineStr">
        <is>
          <t>-60…200 °С</t>
        </is>
      </c>
      <c r="G154" s="248" t="inlineStr">
        <is>
          <t>B</t>
        </is>
      </c>
      <c r="H154" s="243" t="inlineStr">
        <is>
          <t>Температура воздуха под кожухом Д т.4</t>
        </is>
      </c>
      <c r="I154" s="243" t="inlineStr">
        <is>
          <t>ГПА 62</t>
        </is>
      </c>
      <c r="J154" s="243" t="inlineStr">
        <is>
          <t>АСУ,А и ТМ (КЦ № 6)</t>
        </is>
      </c>
      <c r="K154" s="243" t="inlineStr">
        <is>
          <t>2012</t>
        </is>
      </c>
      <c r="L154" s="248" t="inlineStr">
        <is>
          <t>24</t>
        </is>
      </c>
      <c r="M154" s="246" t="inlineStr">
        <is>
          <t>11.02.2016</t>
        </is>
      </c>
      <c r="N154" s="245" t="inlineStr">
        <is>
          <t>К</t>
        </is>
      </c>
    </row>
    <row r="155" ht="33.75" customHeight="1" s="236">
      <c r="A155" s="243" t="n">
        <v>154</v>
      </c>
      <c r="B155" s="248" t="inlineStr">
        <is>
          <t>Термометр сопротивления</t>
        </is>
      </c>
      <c r="C155" s="245" t="inlineStr">
        <is>
          <t>ТСП 012.60 Pt100/B/3</t>
        </is>
      </c>
      <c r="D155" s="248" t="inlineStr">
        <is>
          <t>192</t>
        </is>
      </c>
      <c r="E155" s="248" t="inlineStr">
        <is>
          <t>2011</t>
        </is>
      </c>
      <c r="F155" s="248" t="inlineStr">
        <is>
          <t>-60…200 °С</t>
        </is>
      </c>
      <c r="G155" s="248" t="inlineStr">
        <is>
          <t>B</t>
        </is>
      </c>
      <c r="H155" s="243" t="inlineStr">
        <is>
          <t>Температура защитного воздуха на выходе оболочки опорного подшипника (передний)</t>
        </is>
      </c>
      <c r="I155" s="243" t="inlineStr">
        <is>
          <t>ГПА 62</t>
        </is>
      </c>
      <c r="J155" s="243" t="inlineStr">
        <is>
          <t>АСУ,А и ТМ (КЦ № 6)</t>
        </is>
      </c>
      <c r="K155" s="243" t="inlineStr">
        <is>
          <t>2012</t>
        </is>
      </c>
      <c r="L155" s="248" t="inlineStr">
        <is>
          <t>24</t>
        </is>
      </c>
      <c r="M155" s="246" t="inlineStr"/>
      <c r="N155" s="245" t="inlineStr"/>
    </row>
    <row r="156" ht="33.75" customFormat="1" customHeight="1" s="235">
      <c r="A156" s="243" t="n">
        <v>155</v>
      </c>
      <c r="B156" s="248" t="inlineStr">
        <is>
          <t>Термометр сопротивления</t>
        </is>
      </c>
      <c r="C156" s="245" t="inlineStr">
        <is>
          <t>ТСП 012.60 Pt100/B/3</t>
        </is>
      </c>
      <c r="D156" s="248" t="inlineStr">
        <is>
          <t>320</t>
        </is>
      </c>
      <c r="E156" s="248" t="inlineStr">
        <is>
          <t>2011</t>
        </is>
      </c>
      <c r="F156" s="248" t="inlineStr">
        <is>
          <t>-60…200 °С</t>
        </is>
      </c>
      <c r="G156" s="248" t="inlineStr">
        <is>
          <t>B по ГОСТ Р 8.625</t>
        </is>
      </c>
      <c r="H156" s="243" t="inlineStr">
        <is>
          <t>Температура защитного воздуха на входе установки фильтров перед КЭП10 (на входе ТГДУ)</t>
        </is>
      </c>
      <c r="I156" s="243" t="inlineStr">
        <is>
          <t>ГПА 62</t>
        </is>
      </c>
      <c r="J156" s="243" t="inlineStr">
        <is>
          <t>АСУ,А и ТМ (КЦ № 6)</t>
        </is>
      </c>
      <c r="K156" s="243" t="inlineStr">
        <is>
          <t>2012</t>
        </is>
      </c>
      <c r="L156" s="248" t="inlineStr">
        <is>
          <t>36</t>
        </is>
      </c>
      <c r="M156" s="246" t="inlineStr"/>
      <c r="N156" s="245" t="inlineStr"/>
    </row>
    <row r="157" ht="22.5" customFormat="1" customHeight="1" s="235">
      <c r="A157" s="243" t="n">
        <v>156</v>
      </c>
      <c r="B157" s="248" t="inlineStr">
        <is>
          <t>Термометр сопротивления</t>
        </is>
      </c>
      <c r="C157" s="245" t="inlineStr">
        <is>
          <t>ТСП 012.60 Pt100/B/3</t>
        </is>
      </c>
      <c r="D157" s="248" t="inlineStr">
        <is>
          <t>348</t>
        </is>
      </c>
      <c r="E157" s="248" t="inlineStr">
        <is>
          <t>2011</t>
        </is>
      </c>
      <c r="F157" s="248" t="inlineStr">
        <is>
          <t>-60…200 °С</t>
        </is>
      </c>
      <c r="G157" s="248" t="inlineStr">
        <is>
          <t>B</t>
        </is>
      </c>
      <c r="H157" s="243" t="inlineStr">
        <is>
          <t>Температура газа на выходе из компрессора</t>
        </is>
      </c>
      <c r="I157" s="243" t="inlineStr">
        <is>
          <t>ГПА 62</t>
        </is>
      </c>
      <c r="J157" s="243" t="inlineStr">
        <is>
          <t>АСУ,А и ТМ (КЦ № 6)</t>
        </is>
      </c>
      <c r="K157" s="243" t="inlineStr">
        <is>
          <t>2012</t>
        </is>
      </c>
      <c r="L157" s="248" t="inlineStr">
        <is>
          <t>24</t>
        </is>
      </c>
      <c r="M157" s="246" t="inlineStr"/>
      <c r="N157" s="245" t="inlineStr"/>
    </row>
    <row r="158" ht="15" customFormat="1" customHeight="1" s="235">
      <c r="A158" s="243" t="n">
        <v>157</v>
      </c>
      <c r="B158" s="248" t="inlineStr">
        <is>
          <t>Термометр сопротивления</t>
        </is>
      </c>
      <c r="C158" s="245" t="inlineStr">
        <is>
          <t>ТСПУ-Л-22162</t>
        </is>
      </c>
      <c r="D158" s="248" t="inlineStr">
        <is>
          <t>17</t>
        </is>
      </c>
      <c r="E158" s="248" t="inlineStr">
        <is>
          <t>2012</t>
        </is>
      </c>
      <c r="F158" s="248" t="inlineStr">
        <is>
          <t>­50…100 °C</t>
        </is>
      </c>
      <c r="G158" s="248" t="inlineStr">
        <is>
          <t>0,5</t>
        </is>
      </c>
      <c r="H158" s="243" t="inlineStr">
        <is>
          <t>Температура воздуха в укрытии</t>
        </is>
      </c>
      <c r="I158" s="243" t="inlineStr">
        <is>
          <t>ГПА 62</t>
        </is>
      </c>
      <c r="J158" s="243" t="inlineStr">
        <is>
          <t>АСУ,А и ТМ (КЦ № 6)</t>
        </is>
      </c>
      <c r="K158" s="243" t="inlineStr">
        <is>
          <t>2012</t>
        </is>
      </c>
      <c r="L158" s="248" t="inlineStr">
        <is>
          <t>24</t>
        </is>
      </c>
      <c r="M158" s="246" t="inlineStr"/>
      <c r="N158" s="245" t="inlineStr"/>
    </row>
    <row r="159" ht="22.5" customFormat="1" customHeight="1" s="235">
      <c r="A159" s="243" t="n">
        <v>158</v>
      </c>
      <c r="B159" s="248" t="inlineStr">
        <is>
          <t>Термометр сопротивления</t>
        </is>
      </c>
      <c r="C159" s="245" t="inlineStr">
        <is>
          <t>ТСП 012.60 Pt100/B/3</t>
        </is>
      </c>
      <c r="D159" s="248" t="inlineStr">
        <is>
          <t>387</t>
        </is>
      </c>
      <c r="E159" s="248" t="inlineStr">
        <is>
          <t>2011</t>
        </is>
      </c>
      <c r="F159" s="248" t="inlineStr">
        <is>
          <t>-60…200 °С</t>
        </is>
      </c>
      <c r="G159" s="248" t="inlineStr">
        <is>
          <t>B</t>
        </is>
      </c>
      <c r="H159" s="243" t="inlineStr">
        <is>
          <t>Температура теплоносителя в подогревателе буферного газа</t>
        </is>
      </c>
      <c r="I159" s="243" t="inlineStr">
        <is>
          <t>ГПА 62</t>
        </is>
      </c>
      <c r="J159" s="243" t="inlineStr">
        <is>
          <t>АСУ,А и ТМ (КЦ № 6)</t>
        </is>
      </c>
      <c r="K159" s="243" t="inlineStr">
        <is>
          <t>2012</t>
        </is>
      </c>
      <c r="L159" s="248" t="inlineStr">
        <is>
          <t>24</t>
        </is>
      </c>
      <c r="M159" s="246" t="inlineStr"/>
      <c r="N159" s="245" t="inlineStr"/>
    </row>
    <row r="160" ht="22.5" customFormat="1" customHeight="1" s="235">
      <c r="A160" s="243" t="n">
        <v>159</v>
      </c>
      <c r="B160" s="248" t="inlineStr">
        <is>
          <t>Термометр сопротивления</t>
        </is>
      </c>
      <c r="C160" s="245" t="inlineStr">
        <is>
          <t>ТСП 012.60 Pt100/B/3</t>
        </is>
      </c>
      <c r="D160" s="248" t="inlineStr">
        <is>
          <t>315</t>
        </is>
      </c>
      <c r="E160" s="248" t="inlineStr">
        <is>
          <t>2011</t>
        </is>
      </c>
      <c r="F160" s="248" t="inlineStr">
        <is>
          <t>-60…200 °С</t>
        </is>
      </c>
      <c r="G160" s="248" t="inlineStr">
        <is>
          <t>B</t>
        </is>
      </c>
      <c r="H160" s="243" t="inlineStr">
        <is>
          <t>Температура буферного газа на выходе подогревателя</t>
        </is>
      </c>
      <c r="I160" s="243" t="inlineStr">
        <is>
          <t>ГПА 62</t>
        </is>
      </c>
      <c r="J160" s="243" t="inlineStr">
        <is>
          <t>АСУ,А и ТМ (КЦ № 6)</t>
        </is>
      </c>
      <c r="K160" s="243" t="inlineStr">
        <is>
          <t>2012</t>
        </is>
      </c>
      <c r="L160" s="248" t="inlineStr">
        <is>
          <t>24</t>
        </is>
      </c>
      <c r="M160" s="246" t="inlineStr"/>
      <c r="N160" s="245" t="inlineStr"/>
    </row>
    <row r="161" ht="22.5" customFormat="1" customHeight="1" s="235">
      <c r="A161" s="243" t="n">
        <v>160</v>
      </c>
      <c r="B161" s="248" t="inlineStr">
        <is>
          <t>Термометр сопротивления</t>
        </is>
      </c>
      <c r="C161" s="245" t="inlineStr">
        <is>
          <t>ТСП 012.60 Pt100/B/3</t>
        </is>
      </c>
      <c r="D161" s="248" t="inlineStr">
        <is>
          <t>349</t>
        </is>
      </c>
      <c r="E161" s="248" t="inlineStr">
        <is>
          <t>2011</t>
        </is>
      </c>
      <c r="F161" s="248" t="inlineStr">
        <is>
          <t>-60…200 °С</t>
        </is>
      </c>
      <c r="G161" s="248" t="inlineStr">
        <is>
          <t>B</t>
        </is>
      </c>
      <c r="H161" s="243" t="inlineStr">
        <is>
          <t>Температура газа на входе в компрессор</t>
        </is>
      </c>
      <c r="I161" s="243" t="inlineStr">
        <is>
          <t>ГПА 62</t>
        </is>
      </c>
      <c r="J161" s="243" t="inlineStr">
        <is>
          <t>АСУ,А и ТМ (КЦ № 6)</t>
        </is>
      </c>
      <c r="K161" s="243" t="inlineStr">
        <is>
          <t>2012</t>
        </is>
      </c>
      <c r="L161" s="248" t="inlineStr">
        <is>
          <t>24</t>
        </is>
      </c>
      <c r="M161" s="246" t="inlineStr"/>
      <c r="N161" s="245" t="inlineStr"/>
    </row>
    <row r="162" ht="33.75" customHeight="1" s="236">
      <c r="A162" s="243" t="n">
        <v>161</v>
      </c>
      <c r="B162" s="248" t="inlineStr">
        <is>
          <t>Термометр сопротивления</t>
        </is>
      </c>
      <c r="C162" s="245" t="inlineStr">
        <is>
          <t>ТСП 319М.09 Pt100/B/3</t>
        </is>
      </c>
      <c r="D162" s="248" t="inlineStr">
        <is>
          <t>1362</t>
        </is>
      </c>
      <c r="E162" s="248" t="inlineStr">
        <is>
          <t>2010</t>
        </is>
      </c>
      <c r="F162" s="248" t="inlineStr">
        <is>
          <t>-60…180 °С</t>
        </is>
      </c>
      <c r="G162" s="248" t="inlineStr">
        <is>
          <t>B</t>
        </is>
      </c>
      <c r="H162" s="243" t="inlineStr">
        <is>
          <t>Температура электромагнита опорного подшипника со стороны привода</t>
        </is>
      </c>
      <c r="I162" s="243" t="inlineStr">
        <is>
          <t>ГПА 62</t>
        </is>
      </c>
      <c r="J162" s="243" t="inlineStr">
        <is>
          <t>АСУ,А и ТМ (КЦ № 6)</t>
        </is>
      </c>
      <c r="K162" s="243" t="inlineStr">
        <is>
          <t>2012</t>
        </is>
      </c>
      <c r="L162" s="248" t="inlineStr">
        <is>
          <t>24</t>
        </is>
      </c>
      <c r="M162" s="246" t="inlineStr">
        <is>
          <t>12.02.2016</t>
        </is>
      </c>
      <c r="N162" s="245" t="inlineStr">
        <is>
          <t>К</t>
        </is>
      </c>
    </row>
    <row r="163" ht="33.75" customHeight="1" s="236">
      <c r="A163" s="243" t="n">
        <v>162</v>
      </c>
      <c r="B163" s="248" t="inlineStr">
        <is>
          <t>Термометр сопротивления</t>
        </is>
      </c>
      <c r="C163" s="245" t="inlineStr">
        <is>
          <t>ТСП 319М.09 Pt100/B/3</t>
        </is>
      </c>
      <c r="D163" s="248" t="inlineStr">
        <is>
          <t>1361</t>
        </is>
      </c>
      <c r="E163" s="248" t="inlineStr">
        <is>
          <t>2010</t>
        </is>
      </c>
      <c r="F163" s="248" t="inlineStr">
        <is>
          <t>-60…180 °С</t>
        </is>
      </c>
      <c r="G163" s="248" t="inlineStr">
        <is>
          <t>B</t>
        </is>
      </c>
      <c r="H163" s="243" t="inlineStr">
        <is>
          <t>Температура электромагнита опорного подшипника со стороны свободного конца</t>
        </is>
      </c>
      <c r="I163" s="243" t="inlineStr">
        <is>
          <t>ГПА 62</t>
        </is>
      </c>
      <c r="J163" s="243" t="inlineStr">
        <is>
          <t>АСУ,А и ТМ (КЦ № 6)</t>
        </is>
      </c>
      <c r="K163" s="243" t="inlineStr">
        <is>
          <t>2012</t>
        </is>
      </c>
      <c r="L163" s="248" t="inlineStr">
        <is>
          <t>24</t>
        </is>
      </c>
      <c r="M163" s="246" t="inlineStr">
        <is>
          <t>12.02.2016</t>
        </is>
      </c>
      <c r="N163" s="245" t="inlineStr">
        <is>
          <t>К</t>
        </is>
      </c>
    </row>
    <row r="164" ht="22.5" customHeight="1" s="236">
      <c r="A164" s="243" t="n">
        <v>163</v>
      </c>
      <c r="B164" s="248" t="inlineStr">
        <is>
          <t>Термометр сопротивления</t>
        </is>
      </c>
      <c r="C164" s="245" t="inlineStr">
        <is>
          <t>ТСП 319М.09 Pt100/B/3</t>
        </is>
      </c>
      <c r="D164" s="248" t="inlineStr">
        <is>
          <t>1360</t>
        </is>
      </c>
      <c r="E164" s="248" t="inlineStr">
        <is>
          <t>2010</t>
        </is>
      </c>
      <c r="F164" s="248" t="inlineStr">
        <is>
          <t>-60…180 °С</t>
        </is>
      </c>
      <c r="G164" s="248" t="inlineStr">
        <is>
          <t>B</t>
        </is>
      </c>
      <c r="H164" s="243" t="inlineStr">
        <is>
          <t>Температура левого осевого электромагнита</t>
        </is>
      </c>
      <c r="I164" s="243" t="inlineStr">
        <is>
          <t>ГПА 62</t>
        </is>
      </c>
      <c r="J164" s="243" t="inlineStr">
        <is>
          <t>АСУ,А и ТМ (КЦ № 6)</t>
        </is>
      </c>
      <c r="K164" s="243" t="inlineStr">
        <is>
          <t>2012</t>
        </is>
      </c>
      <c r="L164" s="248" t="inlineStr">
        <is>
          <t>24</t>
        </is>
      </c>
      <c r="M164" s="246" t="inlineStr">
        <is>
          <t>12.02.2016</t>
        </is>
      </c>
      <c r="N164" s="245" t="inlineStr">
        <is>
          <t>К</t>
        </is>
      </c>
    </row>
    <row r="165" ht="22.5" customHeight="1" s="236">
      <c r="A165" s="243" t="n">
        <v>164</v>
      </c>
      <c r="B165" s="248" t="inlineStr">
        <is>
          <t>Термометр сопротивления</t>
        </is>
      </c>
      <c r="C165" s="245" t="inlineStr">
        <is>
          <t>ТСП 319М.09 Pt100/B/3</t>
        </is>
      </c>
      <c r="D165" s="248" t="inlineStr">
        <is>
          <t>1358</t>
        </is>
      </c>
      <c r="E165" s="248" t="inlineStr">
        <is>
          <t>2010</t>
        </is>
      </c>
      <c r="F165" s="248" t="inlineStr">
        <is>
          <t>-60…180 °С</t>
        </is>
      </c>
      <c r="G165" s="248" t="inlineStr">
        <is>
          <t>B</t>
        </is>
      </c>
      <c r="H165" s="243" t="inlineStr">
        <is>
          <t>Температура правого осевого электромагнита</t>
        </is>
      </c>
      <c r="I165" s="243" t="inlineStr">
        <is>
          <t>ГПА 62</t>
        </is>
      </c>
      <c r="J165" s="243" t="inlineStr">
        <is>
          <t>АСУ,А и ТМ (КЦ № 6)</t>
        </is>
      </c>
      <c r="K165" s="243" t="inlineStr">
        <is>
          <t>2012</t>
        </is>
      </c>
      <c r="L165" s="248" t="inlineStr">
        <is>
          <t>24</t>
        </is>
      </c>
      <c r="M165" s="246" t="inlineStr">
        <is>
          <t>12.02.2016</t>
        </is>
      </c>
      <c r="N165" s="245" t="inlineStr">
        <is>
          <t>К</t>
        </is>
      </c>
    </row>
    <row r="166" ht="15" customHeight="1" s="236">
      <c r="A166" s="243" t="n">
        <v>165</v>
      </c>
      <c r="B166" s="248" t="inlineStr">
        <is>
          <t>Термометр сопротивления</t>
        </is>
      </c>
      <c r="C166" s="245" t="inlineStr">
        <is>
          <t>ТСП 9204-06 100П/B/3</t>
        </is>
      </c>
      <c r="D166" s="248" t="inlineStr">
        <is>
          <t>4035</t>
        </is>
      </c>
      <c r="E166" s="248" t="inlineStr">
        <is>
          <t>2011</t>
        </is>
      </c>
      <c r="F166" s="248" t="inlineStr">
        <is>
          <t>-50…150 °С</t>
        </is>
      </c>
      <c r="G166" s="248" t="inlineStr">
        <is>
          <t>B</t>
        </is>
      </c>
      <c r="H166" s="243" t="inlineStr">
        <is>
          <t>Температура холодного спая в САУ</t>
        </is>
      </c>
      <c r="I166" s="243" t="inlineStr">
        <is>
          <t>ГПА 62</t>
        </is>
      </c>
      <c r="J166" s="243" t="inlineStr">
        <is>
          <t>АСУ,А и ТМ (КЦ № 6)</t>
        </is>
      </c>
      <c r="K166" s="243" t="inlineStr">
        <is>
          <t>2012</t>
        </is>
      </c>
      <c r="L166" s="248" t="inlineStr">
        <is>
          <t>24</t>
        </is>
      </c>
      <c r="M166" s="246" t="inlineStr"/>
      <c r="N166" s="245" t="inlineStr"/>
    </row>
    <row r="167" ht="22.5" customHeight="1" s="236">
      <c r="A167" s="243" t="n">
        <v>166</v>
      </c>
      <c r="B167" s="248" t="inlineStr">
        <is>
          <t>Термометр сопротивления</t>
        </is>
      </c>
      <c r="C167" s="245" t="inlineStr">
        <is>
          <t>ТСП 012.60 Pt100/B/3</t>
        </is>
      </c>
      <c r="D167" s="248" t="inlineStr">
        <is>
          <t>248</t>
        </is>
      </c>
      <c r="E167" s="248" t="inlineStr">
        <is>
          <t>2011</t>
        </is>
      </c>
      <c r="F167" s="248" t="inlineStr">
        <is>
          <t>-60…200 °С</t>
        </is>
      </c>
      <c r="G167" s="248" t="inlineStr">
        <is>
          <t>B</t>
        </is>
      </c>
      <c r="H167" s="243" t="inlineStr">
        <is>
          <t>Температура воздуха в отсеке пожаротушения</t>
        </is>
      </c>
      <c r="I167" s="243" t="inlineStr">
        <is>
          <t>ГПА 62</t>
        </is>
      </c>
      <c r="J167" s="243" t="inlineStr">
        <is>
          <t>АСУ,А и ТМ (КЦ № 6)</t>
        </is>
      </c>
      <c r="K167" s="243" t="inlineStr">
        <is>
          <t>2012</t>
        </is>
      </c>
      <c r="L167" s="248" t="inlineStr">
        <is>
          <t>24</t>
        </is>
      </c>
      <c r="M167" s="246" t="inlineStr">
        <is>
          <t>12.02.2016</t>
        </is>
      </c>
      <c r="N167" s="245" t="inlineStr">
        <is>
          <t>К</t>
        </is>
      </c>
    </row>
    <row r="168" ht="22.5" customHeight="1" s="236">
      <c r="A168" s="243" t="n">
        <v>167</v>
      </c>
      <c r="B168" s="248" t="inlineStr">
        <is>
          <t>Термометр сопротивления</t>
        </is>
      </c>
      <c r="C168" s="245" t="inlineStr">
        <is>
          <t>ТСП 012.60 Pt100/B/3</t>
        </is>
      </c>
      <c r="D168" s="248" t="inlineStr">
        <is>
          <t>193</t>
        </is>
      </c>
      <c r="E168" s="248" t="inlineStr">
        <is>
          <t>2011</t>
        </is>
      </c>
      <c r="F168" s="248" t="inlineStr">
        <is>
          <t>-60…200 °С</t>
        </is>
      </c>
      <c r="G168" s="248" t="inlineStr">
        <is>
          <t>B</t>
        </is>
      </c>
      <c r="H168" s="243" t="inlineStr">
        <is>
          <t>Температура воздуха в отсеке пожаротушения</t>
        </is>
      </c>
      <c r="I168" s="243" t="inlineStr">
        <is>
          <t>ГПА 62</t>
        </is>
      </c>
      <c r="J168" s="243" t="inlineStr">
        <is>
          <t>АСУ,А и ТМ (КЦ № 6)</t>
        </is>
      </c>
      <c r="K168" s="243" t="inlineStr">
        <is>
          <t>2012</t>
        </is>
      </c>
      <c r="L168" s="248" t="inlineStr">
        <is>
          <t>24</t>
        </is>
      </c>
      <c r="M168" s="246" t="inlineStr">
        <is>
          <t>12.02.2016</t>
        </is>
      </c>
      <c r="N168" s="245" t="inlineStr">
        <is>
          <t>К</t>
        </is>
      </c>
    </row>
    <row r="169" ht="22.5" customHeight="1" s="236">
      <c r="A169" s="243" t="n">
        <v>168</v>
      </c>
      <c r="B169" s="248" t="inlineStr">
        <is>
          <t>Термометр сопротивления</t>
        </is>
      </c>
      <c r="C169" s="245" t="inlineStr">
        <is>
          <t>ТСП 012.60 Pt100/B/3</t>
        </is>
      </c>
      <c r="D169" s="248" t="inlineStr">
        <is>
          <t>457</t>
        </is>
      </c>
      <c r="E169" s="248" t="inlineStr">
        <is>
          <t>2011</t>
        </is>
      </c>
      <c r="F169" s="248" t="inlineStr">
        <is>
          <t>-60…200 °С</t>
        </is>
      </c>
      <c r="G169" s="248" t="inlineStr">
        <is>
          <t>B</t>
        </is>
      </c>
      <c r="H169" s="243" t="inlineStr">
        <is>
          <t>Температура обогревателя в отсеке пожаротушения</t>
        </is>
      </c>
      <c r="I169" s="243" t="inlineStr">
        <is>
          <t>ГПА 62</t>
        </is>
      </c>
      <c r="J169" s="243" t="inlineStr">
        <is>
          <t>АСУ,А и ТМ (КЦ № 6)</t>
        </is>
      </c>
      <c r="K169" s="243" t="inlineStr">
        <is>
          <t>2012</t>
        </is>
      </c>
      <c r="L169" s="248" t="inlineStr">
        <is>
          <t>36</t>
        </is>
      </c>
      <c r="M169" s="246" t="inlineStr"/>
      <c r="N169" s="245" t="inlineStr"/>
    </row>
    <row r="170" ht="22.5" customHeight="1" s="236">
      <c r="A170" s="243" t="n">
        <v>169</v>
      </c>
      <c r="B170" s="248" t="inlineStr">
        <is>
          <t>Термометр сопротивления</t>
        </is>
      </c>
      <c r="C170" s="245" t="inlineStr">
        <is>
          <t>ТСП 319М.03 Pt100/B/3</t>
        </is>
      </c>
      <c r="D170" s="248" t="inlineStr">
        <is>
          <t>1156</t>
        </is>
      </c>
      <c r="E170" s="248" t="inlineStr">
        <is>
          <t>2011</t>
        </is>
      </c>
      <c r="F170" s="248" t="inlineStr">
        <is>
          <t>-60…180 °С</t>
        </is>
      </c>
      <c r="G170" s="248" t="inlineStr">
        <is>
          <t>B</t>
        </is>
      </c>
      <c r="H170" s="243" t="inlineStr">
        <is>
          <t>Температура воздуха в блоке автоматики</t>
        </is>
      </c>
      <c r="I170" s="243" t="inlineStr">
        <is>
          <t>ГПА 62</t>
        </is>
      </c>
      <c r="J170" s="243" t="inlineStr">
        <is>
          <t>АСУ,А и ТМ (КЦ № 6)</t>
        </is>
      </c>
      <c r="K170" s="243" t="inlineStr">
        <is>
          <t>2012</t>
        </is>
      </c>
      <c r="L170" s="248" t="inlineStr">
        <is>
          <t>24</t>
        </is>
      </c>
      <c r="M170" s="246" t="inlineStr"/>
      <c r="N170" s="245" t="inlineStr"/>
    </row>
    <row r="171" ht="22.5" customHeight="1" s="236">
      <c r="A171" s="243" t="n">
        <v>170</v>
      </c>
      <c r="B171" s="248" t="inlineStr">
        <is>
          <t>Термометр сопротивления</t>
        </is>
      </c>
      <c r="C171" s="245" t="inlineStr">
        <is>
          <t>ТСП 012.60Сп Pt100/B/3</t>
        </is>
      </c>
      <c r="D171" s="248" t="inlineStr">
        <is>
          <t>247</t>
        </is>
      </c>
      <c r="E171" s="248" t="inlineStr">
        <is>
          <t>2011</t>
        </is>
      </c>
      <c r="F171" s="248" t="inlineStr">
        <is>
          <t>-60…200 °С</t>
        </is>
      </c>
      <c r="G171" s="248" t="inlineStr">
        <is>
          <t>B</t>
        </is>
      </c>
      <c r="H171" s="243" t="inlineStr">
        <is>
          <t>Температура атмосферного воздуха</t>
        </is>
      </c>
      <c r="I171" s="243" t="inlineStr">
        <is>
          <t>ГПА 62</t>
        </is>
      </c>
      <c r="J171" s="243" t="inlineStr">
        <is>
          <t>АСУ,А и ТМ (КЦ № 6)</t>
        </is>
      </c>
      <c r="K171" s="243" t="inlineStr">
        <is>
          <t>2012</t>
        </is>
      </c>
      <c r="L171" s="248" t="inlineStr">
        <is>
          <t>24</t>
        </is>
      </c>
      <c r="M171" s="246" t="inlineStr">
        <is>
          <t>12.02.2016</t>
        </is>
      </c>
      <c r="N171" s="245" t="inlineStr">
        <is>
          <t>К</t>
        </is>
      </c>
    </row>
    <row r="172" ht="15" customHeight="1" s="236">
      <c r="A172" s="243" t="n">
        <v>171</v>
      </c>
      <c r="B172" s="248" t="inlineStr">
        <is>
          <t>Термометр сопротивления</t>
        </is>
      </c>
      <c r="C172" s="245" t="inlineStr">
        <is>
          <t>ТСМ 319М-05.02 50М/B/3</t>
        </is>
      </c>
      <c r="D172" s="248" t="inlineStr">
        <is>
          <t>923</t>
        </is>
      </c>
      <c r="E172" s="248" t="inlineStr">
        <is>
          <t>2011</t>
        </is>
      </c>
      <c r="F172" s="248" t="inlineStr">
        <is>
          <t>-60…180 °С</t>
        </is>
      </c>
      <c r="G172" s="248" t="inlineStr">
        <is>
          <t>B</t>
        </is>
      </c>
      <c r="H172" s="243" t="inlineStr">
        <is>
          <t>Температура в контейнере Atlas Copco</t>
        </is>
      </c>
      <c r="I172" s="243" t="inlineStr">
        <is>
          <t>ГПА 62</t>
        </is>
      </c>
      <c r="J172" s="243" t="inlineStr">
        <is>
          <t>АСУ,А и ТМ (КЦ № 6)</t>
        </is>
      </c>
      <c r="K172" s="243" t="inlineStr">
        <is>
          <t>2012</t>
        </is>
      </c>
      <c r="L172" s="248" t="inlineStr">
        <is>
          <t>24</t>
        </is>
      </c>
      <c r="M172" s="246" t="inlineStr"/>
      <c r="N172" s="245" t="inlineStr"/>
    </row>
    <row r="173" ht="15" customHeight="1" s="236">
      <c r="A173" s="243" t="n">
        <v>172</v>
      </c>
      <c r="B173" s="248" t="inlineStr">
        <is>
          <t>Датчик вибрации</t>
        </is>
      </c>
      <c r="C173" s="245" t="inlineStr">
        <is>
          <t>МВ-46Г</t>
        </is>
      </c>
      <c r="D173" s="248" t="inlineStr">
        <is>
          <t>111540</t>
        </is>
      </c>
      <c r="E173" s="248" t="inlineStr">
        <is>
          <t>2011</t>
        </is>
      </c>
      <c r="F173" s="248" t="inlineStr">
        <is>
          <t>0…100 мм/с</t>
        </is>
      </c>
      <c r="G173" s="248" t="inlineStr">
        <is>
          <t>2.5</t>
        </is>
      </c>
      <c r="H173" s="243" t="inlineStr">
        <is>
          <t>Виброскорость в зоне КНД (вертикаль)</t>
        </is>
      </c>
      <c r="I173" s="243" t="inlineStr">
        <is>
          <t>ГПА 62</t>
        </is>
      </c>
      <c r="J173" s="243" t="inlineStr">
        <is>
          <t>АСУ,А и ТМ (КЦ № 6)</t>
        </is>
      </c>
      <c r="K173" s="243" t="inlineStr">
        <is>
          <t>2012</t>
        </is>
      </c>
      <c r="L173" s="248" t="inlineStr">
        <is>
          <t>12</t>
        </is>
      </c>
      <c r="M173" s="246" t="inlineStr"/>
      <c r="N173" s="245" t="inlineStr"/>
    </row>
    <row r="174" ht="22.5" customHeight="1" s="236">
      <c r="A174" s="243" t="n">
        <v>173</v>
      </c>
      <c r="B174" s="248" t="inlineStr">
        <is>
          <t>Датчик вибрации</t>
        </is>
      </c>
      <c r="C174" s="245" t="inlineStr">
        <is>
          <t>МВ-46Г</t>
        </is>
      </c>
      <c r="D174" s="248" t="inlineStr">
        <is>
          <t>111601</t>
        </is>
      </c>
      <c r="E174" s="248" t="inlineStr">
        <is>
          <t>2011</t>
        </is>
      </c>
      <c r="F174" s="248" t="inlineStr">
        <is>
          <t>0…100 мм/с</t>
        </is>
      </c>
      <c r="G174" s="248" t="inlineStr">
        <is>
          <t>2.5</t>
        </is>
      </c>
      <c r="H174" s="243" t="inlineStr">
        <is>
          <t>Виброскорость в зоне КНД (горизонталь)</t>
        </is>
      </c>
      <c r="I174" s="243" t="inlineStr">
        <is>
          <t>ГПА 62</t>
        </is>
      </c>
      <c r="J174" s="243" t="inlineStr">
        <is>
          <t>АСУ,А и ТМ (КЦ № 6)</t>
        </is>
      </c>
      <c r="K174" s="243" t="inlineStr">
        <is>
          <t>2012</t>
        </is>
      </c>
      <c r="L174" s="248" t="inlineStr">
        <is>
          <t>12</t>
        </is>
      </c>
      <c r="M174" s="246" t="inlineStr"/>
      <c r="N174" s="245" t="inlineStr"/>
    </row>
    <row r="175" ht="22.5" customHeight="1" s="236">
      <c r="A175" s="243" t="n">
        <v>174</v>
      </c>
      <c r="B175" s="248" t="inlineStr">
        <is>
          <t>Датчик вибрации</t>
        </is>
      </c>
      <c r="C175" s="245" t="inlineStr">
        <is>
          <t>МВ-46Г</t>
        </is>
      </c>
      <c r="D175" s="248" t="inlineStr">
        <is>
          <t>111506</t>
        </is>
      </c>
      <c r="E175" s="248" t="inlineStr">
        <is>
          <t>2011</t>
        </is>
      </c>
      <c r="F175" s="248" t="inlineStr">
        <is>
          <t>0…100 мм/с</t>
        </is>
      </c>
      <c r="G175" s="248" t="inlineStr">
        <is>
          <t>2.5</t>
        </is>
      </c>
      <c r="H175" s="243" t="inlineStr">
        <is>
          <t>Виброскорость в зоне средней опоры (вертикаль)</t>
        </is>
      </c>
      <c r="I175" s="243" t="inlineStr">
        <is>
          <t>ГПА 62</t>
        </is>
      </c>
      <c r="J175" s="243" t="inlineStr">
        <is>
          <t>АСУ,А и ТМ (КЦ № 6)</t>
        </is>
      </c>
      <c r="K175" s="243" t="inlineStr">
        <is>
          <t>2012</t>
        </is>
      </c>
      <c r="L175" s="248" t="inlineStr">
        <is>
          <t>12</t>
        </is>
      </c>
      <c r="M175" s="246" t="inlineStr"/>
      <c r="N175" s="245" t="inlineStr"/>
    </row>
    <row r="176" ht="22.5" customHeight="1" s="236">
      <c r="A176" s="243" t="n">
        <v>175</v>
      </c>
      <c r="B176" s="248" t="inlineStr">
        <is>
          <t>Датчик вибрации</t>
        </is>
      </c>
      <c r="C176" s="245" t="inlineStr">
        <is>
          <t>МВ-46Г</t>
        </is>
      </c>
      <c r="D176" s="248" t="inlineStr">
        <is>
          <t>112685</t>
        </is>
      </c>
      <c r="E176" s="248" t="inlineStr">
        <is>
          <t>2011</t>
        </is>
      </c>
      <c r="F176" s="248" t="inlineStr">
        <is>
          <t>0…100 мм/с</t>
        </is>
      </c>
      <c r="G176" s="248" t="inlineStr">
        <is>
          <t>2.5</t>
        </is>
      </c>
      <c r="H176" s="243" t="inlineStr">
        <is>
          <t>Виброскорость в зоне средней опоры (горизонталь)</t>
        </is>
      </c>
      <c r="I176" s="243" t="inlineStr">
        <is>
          <t>ГПА 62</t>
        </is>
      </c>
      <c r="J176" s="243" t="inlineStr">
        <is>
          <t>АСУ,А и ТМ (КЦ № 6)</t>
        </is>
      </c>
      <c r="K176" s="243" t="inlineStr">
        <is>
          <t>2012</t>
        </is>
      </c>
      <c r="L176" s="248" t="inlineStr">
        <is>
          <t>12</t>
        </is>
      </c>
      <c r="M176" s="246" t="inlineStr"/>
      <c r="N176" s="245" t="inlineStr"/>
    </row>
    <row r="177" ht="22.5" customHeight="1" s="236">
      <c r="A177" s="243" t="n">
        <v>176</v>
      </c>
      <c r="B177" s="248" t="inlineStr">
        <is>
          <t>Датчик вибрации</t>
        </is>
      </c>
      <c r="C177" s="245" t="inlineStr">
        <is>
          <t>МВ-46Г</t>
        </is>
      </c>
      <c r="D177" s="248" t="inlineStr">
        <is>
          <t>11531</t>
        </is>
      </c>
      <c r="E177" s="248" t="inlineStr">
        <is>
          <t>2011</t>
        </is>
      </c>
      <c r="F177" s="248" t="inlineStr">
        <is>
          <t>0…100 мм/с</t>
        </is>
      </c>
      <c r="G177" s="248" t="inlineStr">
        <is>
          <t>2.5</t>
        </is>
      </c>
      <c r="H177" s="243" t="inlineStr">
        <is>
          <t>Виброскорость в зоне средней опоры (осевое направление)</t>
        </is>
      </c>
      <c r="I177" s="243" t="inlineStr">
        <is>
          <t>ГПА 62</t>
        </is>
      </c>
      <c r="J177" s="243" t="inlineStr">
        <is>
          <t>АСУ,А и ТМ (КЦ № 6)</t>
        </is>
      </c>
      <c r="K177" s="243" t="inlineStr">
        <is>
          <t>2012</t>
        </is>
      </c>
      <c r="L177" s="248" t="inlineStr">
        <is>
          <t>12</t>
        </is>
      </c>
      <c r="M177" s="246" t="inlineStr"/>
      <c r="N177" s="245" t="inlineStr"/>
    </row>
    <row r="178" ht="15" customHeight="1" s="236">
      <c r="A178" s="243" t="n">
        <v>177</v>
      </c>
      <c r="B178" s="248" t="inlineStr">
        <is>
          <t>Датчик вибрации</t>
        </is>
      </c>
      <c r="C178" s="245" t="inlineStr">
        <is>
          <t>МВ-44-1Г</t>
        </is>
      </c>
      <c r="D178" s="248" t="inlineStr">
        <is>
          <t>120096</t>
        </is>
      </c>
      <c r="E178" s="248" t="inlineStr">
        <is>
          <t>2011</t>
        </is>
      </c>
      <c r="F178" s="248" t="inlineStr">
        <is>
          <t>0…100 мм/с</t>
        </is>
      </c>
      <c r="G178" s="248" t="inlineStr">
        <is>
          <t>2.5</t>
        </is>
      </c>
      <c r="H178" s="243" t="inlineStr">
        <is>
          <t>Виброскорость в зоне СТ (вертикаль)</t>
        </is>
      </c>
      <c r="I178" s="243" t="inlineStr">
        <is>
          <t>ГПА 62</t>
        </is>
      </c>
      <c r="J178" s="243" t="inlineStr">
        <is>
          <t>АСУ,А и ТМ (КЦ № 6)</t>
        </is>
      </c>
      <c r="K178" s="243" t="inlineStr">
        <is>
          <t>2012</t>
        </is>
      </c>
      <c r="L178" s="248" t="inlineStr">
        <is>
          <t>12</t>
        </is>
      </c>
      <c r="M178" s="246" t="inlineStr"/>
      <c r="N178" s="245" t="inlineStr"/>
    </row>
    <row r="179" ht="22.5" customHeight="1" s="236">
      <c r="A179" s="243" t="n">
        <v>178</v>
      </c>
      <c r="B179" s="248" t="inlineStr">
        <is>
          <t>Датчик вибрации</t>
        </is>
      </c>
      <c r="C179" s="245" t="inlineStr">
        <is>
          <t>МВ-44-1Г</t>
        </is>
      </c>
      <c r="D179" s="248" t="inlineStr">
        <is>
          <t>120073</t>
        </is>
      </c>
      <c r="E179" s="248" t="inlineStr">
        <is>
          <t>2011</t>
        </is>
      </c>
      <c r="F179" s="248" t="inlineStr">
        <is>
          <t>0…100 мм/с</t>
        </is>
      </c>
      <c r="G179" s="248" t="inlineStr">
        <is>
          <t>2.5</t>
        </is>
      </c>
      <c r="H179" s="243" t="inlineStr">
        <is>
          <t>Виброскорость в зоне СТ (горизонталь)</t>
        </is>
      </c>
      <c r="I179" s="243" t="inlineStr">
        <is>
          <t>ГПА 62</t>
        </is>
      </c>
      <c r="J179" s="243" t="inlineStr">
        <is>
          <t>АСУ,А и ТМ (КЦ № 6)</t>
        </is>
      </c>
      <c r="K179" s="243" t="inlineStr">
        <is>
          <t>2012</t>
        </is>
      </c>
      <c r="L179" s="248" t="inlineStr">
        <is>
          <t>12</t>
        </is>
      </c>
      <c r="M179" s="246" t="inlineStr"/>
      <c r="N179" s="245" t="inlineStr"/>
    </row>
    <row r="180" ht="15" customHeight="1" s="236">
      <c r="A180" s="243" t="n">
        <v>179</v>
      </c>
      <c r="B180" s="244" t="inlineStr">
        <is>
          <t>Манометр технический</t>
        </is>
      </c>
      <c r="C180" s="245" t="inlineStr">
        <is>
          <t>МП4-УУ2</t>
        </is>
      </c>
      <c r="D180" s="248" t="inlineStr">
        <is>
          <t>15271</t>
        </is>
      </c>
      <c r="E180" s="248" t="inlineStr">
        <is>
          <t>2010</t>
        </is>
      </c>
      <c r="F180" s="248" t="inlineStr">
        <is>
          <t>0…160 кгс/см2</t>
        </is>
      </c>
      <c r="G180" s="248" t="inlineStr">
        <is>
          <t>1.5</t>
        </is>
      </c>
      <c r="H180" s="243" t="inlineStr">
        <is>
          <t>Р газа на входе компрессора</t>
        </is>
      </c>
      <c r="I180" s="243" t="inlineStr">
        <is>
          <t>ГПА 62</t>
        </is>
      </c>
      <c r="J180" s="243" t="inlineStr">
        <is>
          <t>АСУ,А и ТМ (КЦ № 6)</t>
        </is>
      </c>
      <c r="K180" s="243" t="inlineStr">
        <is>
          <t>2012</t>
        </is>
      </c>
      <c r="L180" s="248" t="inlineStr">
        <is>
          <t>12</t>
        </is>
      </c>
      <c r="M180" s="246" t="inlineStr">
        <is>
          <t>1К26</t>
        </is>
      </c>
      <c r="N180" s="245" t="inlineStr">
        <is>
          <t>К</t>
        </is>
      </c>
    </row>
    <row r="181" ht="15" customHeight="1" s="236">
      <c r="A181" s="243" t="n">
        <v>180</v>
      </c>
      <c r="B181" s="244" t="inlineStr">
        <is>
          <t>Манометр технический</t>
        </is>
      </c>
      <c r="C181" s="245" t="inlineStr">
        <is>
          <t>МП4-УУ2</t>
        </is>
      </c>
      <c r="D181" s="248" t="inlineStr">
        <is>
          <t>6103</t>
        </is>
      </c>
      <c r="E181" s="248" t="inlineStr">
        <is>
          <t>2010</t>
        </is>
      </c>
      <c r="F181" s="248" t="inlineStr">
        <is>
          <t>0…160 кгс/см3</t>
        </is>
      </c>
      <c r="G181" s="248" t="inlineStr">
        <is>
          <t>1.5</t>
        </is>
      </c>
      <c r="H181" s="243" t="inlineStr">
        <is>
          <t>Р газа на выходе компрессора</t>
        </is>
      </c>
      <c r="I181" s="243" t="inlineStr">
        <is>
          <t>ГПА 62</t>
        </is>
      </c>
      <c r="J181" s="243" t="inlineStr">
        <is>
          <t>АСУ,А и ТМ (КЦ № 6)</t>
        </is>
      </c>
      <c r="K181" s="243" t="inlineStr">
        <is>
          <t>2012</t>
        </is>
      </c>
      <c r="L181" s="248" t="inlineStr">
        <is>
          <t>12</t>
        </is>
      </c>
      <c r="M181" s="246" t="inlineStr">
        <is>
          <t>1К26</t>
        </is>
      </c>
      <c r="N181" s="245" t="inlineStr">
        <is>
          <t>К</t>
        </is>
      </c>
    </row>
    <row r="182" ht="15" customHeight="1" s="236">
      <c r="A182" s="243" t="n">
        <v>181</v>
      </c>
      <c r="B182" s="244" t="inlineStr">
        <is>
          <t>Манометр технический</t>
        </is>
      </c>
      <c r="C182" s="245" t="inlineStr">
        <is>
          <t>МП4-УУ2</t>
        </is>
      </c>
      <c r="D182" s="248" t="inlineStr">
        <is>
          <t>15375</t>
        </is>
      </c>
      <c r="E182" s="248" t="inlineStr">
        <is>
          <t>2010</t>
        </is>
      </c>
      <c r="F182" s="248" t="inlineStr">
        <is>
          <t>0…160 кгс/см4</t>
        </is>
      </c>
      <c r="G182" s="248" t="inlineStr">
        <is>
          <t>1</t>
        </is>
      </c>
      <c r="H182" s="243" t="inlineStr">
        <is>
          <t>Р газа в Ф1</t>
        </is>
      </c>
      <c r="I182" s="243" t="inlineStr">
        <is>
          <t>ГПА 62</t>
        </is>
      </c>
      <c r="J182" s="243" t="inlineStr">
        <is>
          <t>АСУ,А и ТМ (КЦ № 6)</t>
        </is>
      </c>
      <c r="K182" s="243" t="inlineStr">
        <is>
          <t>2012</t>
        </is>
      </c>
      <c r="L182" s="248" t="inlineStr">
        <is>
          <t>12</t>
        </is>
      </c>
      <c r="M182" s="246" t="inlineStr">
        <is>
          <t>26ДЯУ</t>
        </is>
      </c>
      <c r="N182" s="245" t="inlineStr">
        <is>
          <t>П</t>
        </is>
      </c>
      <c r="O182" s="247" t="n"/>
    </row>
    <row r="183" ht="15" customHeight="1" s="236">
      <c r="A183" s="243" t="n">
        <v>182</v>
      </c>
      <c r="B183" s="244" t="inlineStr">
        <is>
          <t>Манометр технический</t>
        </is>
      </c>
      <c r="C183" s="245" t="inlineStr">
        <is>
          <t>МП4-УУ2</t>
        </is>
      </c>
      <c r="D183" s="248" t="inlineStr">
        <is>
          <t>15409</t>
        </is>
      </c>
      <c r="E183" s="248" t="inlineStr">
        <is>
          <t>2010</t>
        </is>
      </c>
      <c r="F183" s="248" t="inlineStr">
        <is>
          <t>0…160 кгс/см5</t>
        </is>
      </c>
      <c r="G183" s="248" t="inlineStr">
        <is>
          <t>1</t>
        </is>
      </c>
      <c r="H183" s="243" t="inlineStr">
        <is>
          <t>Р газа в Ф2</t>
        </is>
      </c>
      <c r="I183" s="243" t="inlineStr">
        <is>
          <t>ГПА 62</t>
        </is>
      </c>
      <c r="J183" s="243" t="inlineStr">
        <is>
          <t>АСУ,А и ТМ (КЦ № 6)</t>
        </is>
      </c>
      <c r="K183" s="243" t="inlineStr">
        <is>
          <t>2012</t>
        </is>
      </c>
      <c r="L183" s="248" t="inlineStr">
        <is>
          <t>12</t>
        </is>
      </c>
      <c r="M183" s="246" t="inlineStr">
        <is>
          <t>26ДЯУ</t>
        </is>
      </c>
      <c r="N183" s="245" t="inlineStr">
        <is>
          <t>П</t>
        </is>
      </c>
      <c r="O183" s="247" t="n"/>
    </row>
    <row r="184" ht="15" customHeight="1" s="236">
      <c r="A184" s="243" t="n">
        <v>183</v>
      </c>
      <c r="B184" s="244" t="inlineStr">
        <is>
          <t>Манометр технический</t>
        </is>
      </c>
      <c r="C184" s="245" t="inlineStr">
        <is>
          <t>МП4-УУ2</t>
        </is>
      </c>
      <c r="D184" s="248" t="inlineStr">
        <is>
          <t>211228847</t>
        </is>
      </c>
      <c r="E184" s="248" t="inlineStr">
        <is>
          <t>2010</t>
        </is>
      </c>
      <c r="F184" s="248" t="inlineStr">
        <is>
          <t>0…0,6 кгс/см2</t>
        </is>
      </c>
      <c r="G184" s="248" t="inlineStr">
        <is>
          <t>1.5</t>
        </is>
      </c>
      <c r="H184" s="243" t="inlineStr">
        <is>
          <t>Р воздуха после РДВ</t>
        </is>
      </c>
      <c r="I184" s="243" t="inlineStr">
        <is>
          <t>ГПА 62</t>
        </is>
      </c>
      <c r="J184" s="243" t="inlineStr">
        <is>
          <t>АСУ,А и ТМ (КЦ № 6)</t>
        </is>
      </c>
      <c r="K184" s="243" t="inlineStr">
        <is>
          <t>2012</t>
        </is>
      </c>
      <c r="L184" s="248" t="inlineStr">
        <is>
          <t>12</t>
        </is>
      </c>
      <c r="M184" s="246" t="inlineStr">
        <is>
          <t>1К26</t>
        </is>
      </c>
      <c r="N184" s="245" t="inlineStr">
        <is>
          <t>К</t>
        </is>
      </c>
    </row>
    <row r="185" ht="15" customHeight="1" s="236">
      <c r="A185" s="243" t="n">
        <v>184</v>
      </c>
      <c r="B185" s="244" t="inlineStr">
        <is>
          <t>Манометр технический</t>
        </is>
      </c>
      <c r="C185" s="245" t="inlineStr">
        <is>
          <t>МП4-УУ2</t>
        </is>
      </c>
      <c r="D185" s="248" t="inlineStr">
        <is>
          <t>15300</t>
        </is>
      </c>
      <c r="E185" s="248" t="inlineStr">
        <is>
          <t>2010</t>
        </is>
      </c>
      <c r="F185" s="248" t="inlineStr">
        <is>
          <t>0…16 кгс/см2</t>
        </is>
      </c>
      <c r="G185" s="248" t="inlineStr">
        <is>
          <t>1.5</t>
        </is>
      </c>
      <c r="H185" s="243" t="inlineStr">
        <is>
          <t>Р воздуха на входе фильтров</t>
        </is>
      </c>
      <c r="I185" s="243" t="inlineStr">
        <is>
          <t>ГПА 62</t>
        </is>
      </c>
      <c r="J185" s="243" t="inlineStr">
        <is>
          <t>АСУ,А и ТМ (КЦ № 6)</t>
        </is>
      </c>
      <c r="K185" s="243" t="inlineStr">
        <is>
          <t>2012</t>
        </is>
      </c>
      <c r="L185" s="248" t="inlineStr">
        <is>
          <t>12</t>
        </is>
      </c>
      <c r="M185" s="246" t="inlineStr">
        <is>
          <t>1К26</t>
        </is>
      </c>
      <c r="N185" s="245" t="inlineStr">
        <is>
          <t>К</t>
        </is>
      </c>
    </row>
    <row r="186" ht="15" customHeight="1" s="236">
      <c r="A186" s="243" t="n">
        <v>185</v>
      </c>
      <c r="B186" s="244" t="inlineStr">
        <is>
          <t>Манометр технический</t>
        </is>
      </c>
      <c r="C186" s="245" t="inlineStr">
        <is>
          <t>МП4-УУ2</t>
        </is>
      </c>
      <c r="D186" s="248" t="inlineStr">
        <is>
          <t>10073</t>
        </is>
      </c>
      <c r="E186" s="248" t="inlineStr">
        <is>
          <t>2010</t>
        </is>
      </c>
      <c r="F186" s="248" t="inlineStr">
        <is>
          <t>0…16 кгс/см2</t>
        </is>
      </c>
      <c r="G186" s="248" t="inlineStr">
        <is>
          <t>1.5</t>
        </is>
      </c>
      <c r="H186" s="243" t="inlineStr">
        <is>
          <t>Р воздуха на выходе фильтров</t>
        </is>
      </c>
      <c r="I186" s="243" t="inlineStr">
        <is>
          <t>ГПА 62</t>
        </is>
      </c>
      <c r="J186" s="243" t="inlineStr">
        <is>
          <t>АСУ,А и ТМ (КЦ № 6)</t>
        </is>
      </c>
      <c r="K186" s="243" t="inlineStr">
        <is>
          <t>2012</t>
        </is>
      </c>
      <c r="L186" s="248" t="inlineStr">
        <is>
          <t>12</t>
        </is>
      </c>
      <c r="M186" s="246" t="inlineStr">
        <is>
          <t>1К26</t>
        </is>
      </c>
      <c r="N186" s="245" t="inlineStr">
        <is>
          <t>К</t>
        </is>
      </c>
    </row>
    <row r="187" ht="22.5" customHeight="1" s="236">
      <c r="A187" s="243" t="n">
        <v>186</v>
      </c>
      <c r="B187" s="244" t="inlineStr">
        <is>
          <t>Манометр технический</t>
        </is>
      </c>
      <c r="C187" s="245" t="inlineStr">
        <is>
          <t>ДМ</t>
        </is>
      </c>
      <c r="D187" s="248" t="inlineStr">
        <is>
          <t>15297</t>
        </is>
      </c>
      <c r="E187" s="248" t="inlineStr">
        <is>
          <t>2010</t>
        </is>
      </c>
      <c r="F187" s="248" t="inlineStr">
        <is>
          <t>0…6 кгс/см2</t>
        </is>
      </c>
      <c r="G187" s="248" t="inlineStr">
        <is>
          <t>1</t>
        </is>
      </c>
      <c r="H187" s="243" t="inlineStr">
        <is>
          <t>Р масла до фильтров подпитки двигателя</t>
        </is>
      </c>
      <c r="I187" s="243" t="inlineStr">
        <is>
          <t>ГПА 62</t>
        </is>
      </c>
      <c r="J187" s="243" t="inlineStr">
        <is>
          <t>АСУ,А и ТМ (КЦ № 6)</t>
        </is>
      </c>
      <c r="K187" s="243" t="inlineStr">
        <is>
          <t>2012</t>
        </is>
      </c>
      <c r="L187" s="248" t="inlineStr">
        <is>
          <t>12</t>
        </is>
      </c>
      <c r="M187" s="246" t="inlineStr">
        <is>
          <t>1К26</t>
        </is>
      </c>
      <c r="N187" s="245" t="inlineStr">
        <is>
          <t>К</t>
        </is>
      </c>
    </row>
    <row r="188" ht="22.5" customHeight="1" s="236">
      <c r="A188" s="243" t="n">
        <v>187</v>
      </c>
      <c r="B188" s="244" t="inlineStr">
        <is>
          <t>Манометр технический</t>
        </is>
      </c>
      <c r="C188" s="245" t="inlineStr">
        <is>
          <t>МП4-УУ2</t>
        </is>
      </c>
      <c r="D188" s="248" t="inlineStr">
        <is>
          <t>15400</t>
        </is>
      </c>
      <c r="E188" s="248" t="inlineStr">
        <is>
          <t>2010</t>
        </is>
      </c>
      <c r="F188" s="248" t="inlineStr">
        <is>
          <t>0…6 кгс/см2</t>
        </is>
      </c>
      <c r="G188" s="248" t="inlineStr">
        <is>
          <t>1</t>
        </is>
      </c>
      <c r="H188" s="243" t="inlineStr">
        <is>
          <t>Р масла после фильтров подпитки двигателя</t>
        </is>
      </c>
      <c r="I188" s="243" t="inlineStr">
        <is>
          <t>ГПА 62</t>
        </is>
      </c>
      <c r="J188" s="243" t="inlineStr">
        <is>
          <t>АСУ,А и ТМ (КЦ № 6)</t>
        </is>
      </c>
      <c r="K188" s="243" t="inlineStr">
        <is>
          <t>2012</t>
        </is>
      </c>
      <c r="L188" s="248" t="inlineStr">
        <is>
          <t>12</t>
        </is>
      </c>
      <c r="M188" s="246" t="inlineStr">
        <is>
          <t>1К26</t>
        </is>
      </c>
      <c r="N188" s="245" t="inlineStr">
        <is>
          <t>К</t>
        </is>
      </c>
    </row>
    <row r="189" ht="15" customHeight="1" s="236">
      <c r="A189" s="243" t="n">
        <v>188</v>
      </c>
      <c r="B189" s="244" t="inlineStr">
        <is>
          <t>Манометр технический</t>
        </is>
      </c>
      <c r="C189" s="245" t="inlineStr">
        <is>
          <t>МП4-УУ2</t>
        </is>
      </c>
      <c r="D189" s="248" t="inlineStr">
        <is>
          <t>15600</t>
        </is>
      </c>
      <c r="E189" s="248" t="inlineStr">
        <is>
          <t>2010</t>
        </is>
      </c>
      <c r="F189" s="248" t="inlineStr">
        <is>
          <t>0…6 кгс/см3</t>
        </is>
      </c>
      <c r="G189" s="248" t="inlineStr">
        <is>
          <t>1</t>
        </is>
      </c>
      <c r="H189" s="243" t="inlineStr">
        <is>
          <t>Р масла до фильтров смазки двигателя</t>
        </is>
      </c>
      <c r="I189" s="243" t="inlineStr">
        <is>
          <t>ГПА 62</t>
        </is>
      </c>
      <c r="J189" s="243" t="inlineStr">
        <is>
          <t>АСУ,А и ТМ (КЦ № 6)</t>
        </is>
      </c>
      <c r="K189" s="243" t="inlineStr">
        <is>
          <t>2012</t>
        </is>
      </c>
      <c r="L189" s="248" t="inlineStr">
        <is>
          <t>12</t>
        </is>
      </c>
      <c r="M189" s="246" t="inlineStr">
        <is>
          <t>1К26</t>
        </is>
      </c>
      <c r="N189" s="245" t="inlineStr">
        <is>
          <t>К</t>
        </is>
      </c>
    </row>
    <row r="190" ht="22.5" customHeight="1" s="236">
      <c r="A190" s="243" t="n">
        <v>189</v>
      </c>
      <c r="B190" s="244" t="inlineStr">
        <is>
          <t>Манометр технический</t>
        </is>
      </c>
      <c r="C190" s="245" t="inlineStr">
        <is>
          <t>ДМ</t>
        </is>
      </c>
      <c r="D190" s="248" t="inlineStr">
        <is>
          <t>15296</t>
        </is>
      </c>
      <c r="E190" s="248" t="inlineStr">
        <is>
          <t>2010</t>
        </is>
      </c>
      <c r="F190" s="248" t="inlineStr">
        <is>
          <t>0…6 кгс/см4</t>
        </is>
      </c>
      <c r="G190" s="248" t="inlineStr">
        <is>
          <t>1</t>
        </is>
      </c>
      <c r="H190" s="243" t="inlineStr">
        <is>
          <t>Р масла после фильтров смазки двигателя</t>
        </is>
      </c>
      <c r="I190" s="243" t="inlineStr">
        <is>
          <t>ГПА 62</t>
        </is>
      </c>
      <c r="J190" s="243" t="inlineStr">
        <is>
          <t>АСУ,А и ТМ (КЦ № 6)</t>
        </is>
      </c>
      <c r="K190" s="243" t="inlineStr">
        <is>
          <t>2012</t>
        </is>
      </c>
      <c r="L190" s="248" t="inlineStr">
        <is>
          <t>12</t>
        </is>
      </c>
      <c r="M190" s="246" t="inlineStr">
        <is>
          <t>1К26</t>
        </is>
      </c>
      <c r="N190" s="245" t="inlineStr">
        <is>
          <t>К</t>
        </is>
      </c>
    </row>
    <row r="191" ht="22.5" customHeight="1" s="236">
      <c r="A191" s="243" t="n">
        <v>190</v>
      </c>
      <c r="B191" s="244" t="inlineStr">
        <is>
          <t>Манометр технический</t>
        </is>
      </c>
      <c r="C191" s="245" t="inlineStr">
        <is>
          <t>МП4-УУ2</t>
        </is>
      </c>
      <c r="D191" s="248" t="inlineStr">
        <is>
          <t>15613</t>
        </is>
      </c>
      <c r="E191" s="248" t="inlineStr">
        <is>
          <t>2010</t>
        </is>
      </c>
      <c r="F191" s="248" t="inlineStr">
        <is>
          <t>0…0,6 кгс/см2</t>
        </is>
      </c>
      <c r="G191" s="248" t="inlineStr">
        <is>
          <t>1.5</t>
        </is>
      </c>
      <c r="H191" s="243" t="inlineStr">
        <is>
          <t>Р воздуха смешанного потока после эжектора С1</t>
        </is>
      </c>
      <c r="I191" s="243" t="inlineStr">
        <is>
          <t>ГПА 62</t>
        </is>
      </c>
      <c r="J191" s="243" t="inlineStr">
        <is>
          <t>АСУ,А и ТМ (КЦ № 6)</t>
        </is>
      </c>
      <c r="K191" s="243" t="inlineStr">
        <is>
          <t>2012</t>
        </is>
      </c>
      <c r="L191" s="248" t="inlineStr">
        <is>
          <t>12</t>
        </is>
      </c>
      <c r="M191" s="246" t="inlineStr">
        <is>
          <t>1К26</t>
        </is>
      </c>
      <c r="N191" s="245" t="inlineStr">
        <is>
          <t>К</t>
        </is>
      </c>
    </row>
    <row r="192" ht="22.5" customHeight="1" s="236">
      <c r="A192" s="243" t="n">
        <v>191</v>
      </c>
      <c r="B192" s="244" t="inlineStr">
        <is>
          <t>Манометр технический</t>
        </is>
      </c>
      <c r="C192" s="245" t="inlineStr">
        <is>
          <t>МВП4-УУ2</t>
        </is>
      </c>
      <c r="D192" s="248" t="inlineStr">
        <is>
          <t>6305</t>
        </is>
      </c>
      <c r="E192" s="248" t="inlineStr">
        <is>
          <t>2010</t>
        </is>
      </c>
      <c r="F192" s="248" t="inlineStr">
        <is>
          <t>-1…1,5 кгс/см2</t>
        </is>
      </c>
      <c r="G192" s="248" t="inlineStr">
        <is>
          <t>1.5</t>
        </is>
      </c>
      <c r="H192" s="243" t="inlineStr">
        <is>
          <t>Р воздуха инжектируемого потока перед фильтром Ф1</t>
        </is>
      </c>
      <c r="I192" s="243" t="inlineStr">
        <is>
          <t>ГПА 62</t>
        </is>
      </c>
      <c r="J192" s="243" t="inlineStr">
        <is>
          <t>АСУ,А и ТМ (КЦ № 6)</t>
        </is>
      </c>
      <c r="K192" s="243" t="inlineStr">
        <is>
          <t>2012</t>
        </is>
      </c>
      <c r="L192" s="248" t="inlineStr">
        <is>
          <t>12</t>
        </is>
      </c>
      <c r="M192" s="246" t="inlineStr">
        <is>
          <t>1К26</t>
        </is>
      </c>
      <c r="N192" s="245" t="inlineStr">
        <is>
          <t>К</t>
        </is>
      </c>
    </row>
    <row r="193" ht="15" customHeight="1" s="236">
      <c r="A193" s="243" t="n">
        <v>192</v>
      </c>
      <c r="B193" s="244" t="inlineStr">
        <is>
          <t>Манометр технический</t>
        </is>
      </c>
      <c r="C193" s="245" t="inlineStr">
        <is>
          <t>МП4-УУ2</t>
        </is>
      </c>
      <c r="D193" s="248" t="inlineStr">
        <is>
          <t>50563</t>
        </is>
      </c>
      <c r="E193" s="248" t="inlineStr">
        <is>
          <t>2010</t>
        </is>
      </c>
      <c r="F193" s="248" t="inlineStr">
        <is>
          <t>0…16 кгс/см2</t>
        </is>
      </c>
      <c r="G193" s="248" t="inlineStr">
        <is>
          <t>1.5</t>
        </is>
      </c>
      <c r="H193" s="243" t="inlineStr">
        <is>
          <t>Р воздуха активного потока перед Др1</t>
        </is>
      </c>
      <c r="I193" s="243" t="inlineStr">
        <is>
          <t>ГПА 62</t>
        </is>
      </c>
      <c r="J193" s="243" t="inlineStr">
        <is>
          <t>АСУ,А и ТМ (КЦ № 6)</t>
        </is>
      </c>
      <c r="K193" s="243" t="inlineStr">
        <is>
          <t>2012</t>
        </is>
      </c>
      <c r="L193" s="248" t="inlineStr">
        <is>
          <t>12</t>
        </is>
      </c>
      <c r="M193" s="246" t="inlineStr">
        <is>
          <t>1К26</t>
        </is>
      </c>
      <c r="N193" s="245" t="inlineStr">
        <is>
          <t>К</t>
        </is>
      </c>
    </row>
    <row r="194" ht="15" customHeight="1" s="236">
      <c r="A194" s="243" t="n">
        <v>193</v>
      </c>
      <c r="B194" s="244" t="inlineStr">
        <is>
          <t>Манометр технический</t>
        </is>
      </c>
      <c r="C194" s="245" t="inlineStr">
        <is>
          <t>МП4-УУ2</t>
        </is>
      </c>
      <c r="D194" s="248" t="inlineStr">
        <is>
          <t>4006</t>
        </is>
      </c>
      <c r="E194" s="248" t="inlineStr">
        <is>
          <t>2010</t>
        </is>
      </c>
      <c r="F194" s="248" t="inlineStr">
        <is>
          <t>0…10 кгс/см2</t>
        </is>
      </c>
      <c r="G194" s="248" t="inlineStr">
        <is>
          <t>1.5</t>
        </is>
      </c>
      <c r="H194" s="243" t="inlineStr">
        <is>
          <t>Р воздуха активного потока после Кр1</t>
        </is>
      </c>
      <c r="I194" s="243" t="inlineStr">
        <is>
          <t>ГПА 62</t>
        </is>
      </c>
      <c r="J194" s="243" t="inlineStr">
        <is>
          <t>АСУ,А и ТМ (КЦ № 6)</t>
        </is>
      </c>
      <c r="K194" s="243" t="inlineStr">
        <is>
          <t>2012</t>
        </is>
      </c>
      <c r="L194" s="248" t="inlineStr">
        <is>
          <t>12</t>
        </is>
      </c>
      <c r="M194" s="246" t="inlineStr">
        <is>
          <t>1К26</t>
        </is>
      </c>
      <c r="N194" s="245" t="inlineStr">
        <is>
          <t>К</t>
        </is>
      </c>
    </row>
    <row r="195" ht="22.5" customHeight="1" s="236">
      <c r="A195" s="243" t="n">
        <v>194</v>
      </c>
      <c r="B195" s="244" t="inlineStr">
        <is>
          <t>Манометр технический</t>
        </is>
      </c>
      <c r="C195" s="245" t="inlineStr">
        <is>
          <t>МВП4-УУ2</t>
        </is>
      </c>
      <c r="D195" s="248" t="inlineStr">
        <is>
          <t>15286</t>
        </is>
      </c>
      <c r="E195" s="248" t="inlineStr">
        <is>
          <t>2010</t>
        </is>
      </c>
      <c r="F195" s="248" t="inlineStr">
        <is>
          <t>-1…1,5 кгс/см2</t>
        </is>
      </c>
      <c r="G195" s="248" t="inlineStr">
        <is>
          <t>1.5</t>
        </is>
      </c>
      <c r="H195" s="243" t="inlineStr">
        <is>
          <t>Р воздуха инжектируемого потока после фильтра Ф1</t>
        </is>
      </c>
      <c r="I195" s="243" t="inlineStr">
        <is>
          <t>ГПА 62</t>
        </is>
      </c>
      <c r="J195" s="243" t="inlineStr">
        <is>
          <t>АСУ,А и ТМ (КЦ № 6)</t>
        </is>
      </c>
      <c r="K195" s="243" t="inlineStr">
        <is>
          <t>2012</t>
        </is>
      </c>
      <c r="L195" s="248" t="inlineStr">
        <is>
          <t>12</t>
        </is>
      </c>
      <c r="M195" s="246" t="inlineStr">
        <is>
          <t>1К26</t>
        </is>
      </c>
      <c r="N195" s="245" t="inlineStr">
        <is>
          <t>К</t>
        </is>
      </c>
    </row>
    <row r="196" ht="15" customHeight="1" s="236">
      <c r="A196" s="243" t="n">
        <v>195</v>
      </c>
      <c r="B196" s="244" t="inlineStr">
        <is>
          <t>Манометр технический</t>
        </is>
      </c>
      <c r="C196" s="245" t="inlineStr">
        <is>
          <t>МП3-УУ2</t>
        </is>
      </c>
      <c r="D196" s="248" t="inlineStr">
        <is>
          <t>211211872</t>
        </is>
      </c>
      <c r="E196" s="248" t="inlineStr"/>
      <c r="F196" s="248" t="inlineStr">
        <is>
          <t>0…1,6 МПа</t>
        </is>
      </c>
      <c r="G196" s="248" t="inlineStr">
        <is>
          <t>1.5</t>
        </is>
      </c>
      <c r="H196" s="243" t="inlineStr">
        <is>
          <t>Р воздуха в ресивере</t>
        </is>
      </c>
      <c r="I196" s="243" t="inlineStr">
        <is>
          <t>ГПА 62</t>
        </is>
      </c>
      <c r="J196" s="243" t="inlineStr">
        <is>
          <t>АСУ,А и ТМ (КЦ № 6)</t>
        </is>
      </c>
      <c r="K196" s="243" t="inlineStr">
        <is>
          <t>2012</t>
        </is>
      </c>
      <c r="L196" s="248" t="inlineStr">
        <is>
          <t>12</t>
        </is>
      </c>
      <c r="M196" s="246" t="inlineStr">
        <is>
          <t>26ДЯУ</t>
        </is>
      </c>
      <c r="N196" s="245" t="inlineStr">
        <is>
          <t>П</t>
        </is>
      </c>
      <c r="O196" s="247" t="n"/>
    </row>
    <row r="197" ht="22.5" customHeight="1" s="236">
      <c r="A197" s="243" t="n">
        <v>196</v>
      </c>
      <c r="B197" s="244" t="inlineStr">
        <is>
          <t>Термометр манометрический</t>
        </is>
      </c>
      <c r="C197" s="245" t="inlineStr">
        <is>
          <t>manotherm</t>
        </is>
      </c>
      <c r="D197" s="248" t="inlineStr">
        <is>
          <t>111502128</t>
        </is>
      </c>
      <c r="E197" s="248" t="inlineStr">
        <is>
          <t>2010</t>
        </is>
      </c>
      <c r="F197" s="248" t="inlineStr">
        <is>
          <t>­20…80°С</t>
        </is>
      </c>
      <c r="G197" s="248" t="inlineStr">
        <is>
          <t>1</t>
        </is>
      </c>
      <c r="H197" s="243" t="inlineStr">
        <is>
          <t>Тг на входе в нагнетатель</t>
        </is>
      </c>
      <c r="I197" s="243" t="inlineStr">
        <is>
          <t>ГПА 62</t>
        </is>
      </c>
      <c r="J197" s="243" t="inlineStr">
        <is>
          <t>АСУ,А и ТМ (КЦ № 6)</t>
        </is>
      </c>
      <c r="K197" s="243" t="inlineStr">
        <is>
          <t>2012</t>
        </is>
      </c>
      <c r="L197" s="248" t="inlineStr">
        <is>
          <t>24</t>
        </is>
      </c>
      <c r="M197" s="246" t="inlineStr">
        <is>
          <t>3К25</t>
        </is>
      </c>
      <c r="N197" s="245" t="inlineStr">
        <is>
          <t>К</t>
        </is>
      </c>
      <c r="O197" s="258" t="n"/>
    </row>
    <row r="198" ht="22.5" customHeight="1" s="236">
      <c r="A198" s="243" t="n">
        <v>197</v>
      </c>
      <c r="B198" s="244" t="inlineStr">
        <is>
          <t>Термометр манометрический</t>
        </is>
      </c>
      <c r="C198" s="245" t="inlineStr">
        <is>
          <t>manotherm</t>
        </is>
      </c>
      <c r="D198" s="248" t="inlineStr">
        <is>
          <t>111502121</t>
        </is>
      </c>
      <c r="E198" s="248" t="inlineStr">
        <is>
          <t>2010</t>
        </is>
      </c>
      <c r="F198" s="248" t="inlineStr">
        <is>
          <t>0…100°С</t>
        </is>
      </c>
      <c r="G198" s="248" t="inlineStr">
        <is>
          <t>1</t>
        </is>
      </c>
      <c r="H198" s="243" t="inlineStr">
        <is>
          <t>Тг на выходе нагнетателя</t>
        </is>
      </c>
      <c r="I198" s="243" t="inlineStr">
        <is>
          <t>ГПА 62</t>
        </is>
      </c>
      <c r="J198" s="243" t="inlineStr">
        <is>
          <t>АСУ,А и ТМ (КЦ № 6)</t>
        </is>
      </c>
      <c r="K198" s="243" t="inlineStr">
        <is>
          <t>2012</t>
        </is>
      </c>
      <c r="L198" s="248" t="inlineStr">
        <is>
          <t>24</t>
        </is>
      </c>
      <c r="M198" s="246" t="inlineStr">
        <is>
          <t>3К25</t>
        </is>
      </c>
      <c r="N198" s="245" t="inlineStr">
        <is>
          <t>К</t>
        </is>
      </c>
      <c r="O198" s="258" t="n"/>
    </row>
    <row r="199" ht="15" customHeight="1" s="236">
      <c r="A199" s="243" t="n">
        <v>198</v>
      </c>
      <c r="B199" s="248" t="inlineStr">
        <is>
          <t>Термометр сопротивления</t>
        </is>
      </c>
      <c r="C199" s="245" t="inlineStr">
        <is>
          <t>ТСП 012.60 Pt100/B/3</t>
        </is>
      </c>
      <c r="D199" s="248" t="inlineStr">
        <is>
          <t>310</t>
        </is>
      </c>
      <c r="E199" s="248" t="inlineStr">
        <is>
          <t>2011</t>
        </is>
      </c>
      <c r="F199" s="248" t="inlineStr">
        <is>
          <t>-60…200 °С</t>
        </is>
      </c>
      <c r="G199" s="248" t="inlineStr">
        <is>
          <t>B</t>
        </is>
      </c>
      <c r="H199" s="243" t="inlineStr">
        <is>
          <t>Температура воздуха продувки</t>
        </is>
      </c>
      <c r="I199" s="243" t="inlineStr">
        <is>
          <t>ГПА 62</t>
        </is>
      </c>
      <c r="J199" s="243" t="inlineStr">
        <is>
          <t>АСУ,А и ТМ (КЦ № 6)</t>
        </is>
      </c>
      <c r="K199" s="243" t="inlineStr">
        <is>
          <t>2012</t>
        </is>
      </c>
      <c r="L199" s="248" t="inlineStr">
        <is>
          <t>24</t>
        </is>
      </c>
      <c r="M199" s="246" t="inlineStr"/>
      <c r="N199" s="245" t="inlineStr"/>
    </row>
    <row r="200" ht="15" customHeight="1" s="236">
      <c r="A200" s="243" t="n">
        <v>199</v>
      </c>
      <c r="B200" s="244" t="inlineStr">
        <is>
          <t>Контроль загазованности</t>
        </is>
      </c>
      <c r="C200" s="245" t="inlineStr">
        <is>
          <t>Det-Tronics (PIRECL 21M)</t>
        </is>
      </c>
      <c r="D200" s="248" t="inlineStr">
        <is>
          <t>1105093</t>
        </is>
      </c>
      <c r="E200" s="248" t="inlineStr">
        <is>
          <t>2011</t>
        </is>
      </c>
      <c r="F200" s="248" t="inlineStr"/>
      <c r="G200" s="248" t="inlineStr"/>
      <c r="H200" s="243" t="inlineStr">
        <is>
          <t>Над нагнетателем (QT 201)</t>
        </is>
      </c>
      <c r="I200" s="243" t="inlineStr">
        <is>
          <t>ГПА 62</t>
        </is>
      </c>
      <c r="J200" s="243" t="inlineStr">
        <is>
          <t>АСУ,А и ТМ (КЦ № 6)</t>
        </is>
      </c>
      <c r="K200" s="243" t="inlineStr">
        <is>
          <t>2012</t>
        </is>
      </c>
      <c r="L200" s="248" t="inlineStr"/>
      <c r="M200" s="246" t="inlineStr"/>
      <c r="N200" s="245" t="inlineStr"/>
    </row>
    <row r="201" ht="15" customHeight="1" s="236">
      <c r="A201" s="243" t="n">
        <v>200</v>
      </c>
      <c r="B201" s="244" t="inlineStr">
        <is>
          <t>Контроль загазованности</t>
        </is>
      </c>
      <c r="C201" s="245" t="inlineStr">
        <is>
          <t>Det-Tronics (PIRECL 21M)</t>
        </is>
      </c>
      <c r="D201" s="248" t="inlineStr">
        <is>
          <t>1105073</t>
        </is>
      </c>
      <c r="E201" s="248" t="inlineStr">
        <is>
          <t>2011</t>
        </is>
      </c>
      <c r="F201" s="248" t="inlineStr"/>
      <c r="G201" s="248" t="inlineStr"/>
      <c r="H201" s="243" t="inlineStr">
        <is>
          <t>Над подогревателем буф.газа (QT 202)</t>
        </is>
      </c>
      <c r="I201" s="243" t="inlineStr">
        <is>
          <t>ГПА 62</t>
        </is>
      </c>
      <c r="J201" s="243" t="inlineStr">
        <is>
          <t>АСУ,А и ТМ (КЦ № 6)</t>
        </is>
      </c>
      <c r="K201" s="243" t="inlineStr">
        <is>
          <t>2012</t>
        </is>
      </c>
      <c r="L201" s="248" t="inlineStr"/>
      <c r="M201" s="246" t="inlineStr"/>
      <c r="N201" s="245" t="inlineStr"/>
    </row>
    <row r="202" ht="15" customHeight="1" s="236">
      <c r="A202" s="243" t="n">
        <v>201</v>
      </c>
      <c r="B202" s="244" t="inlineStr">
        <is>
          <t>Контроль загазованности</t>
        </is>
      </c>
      <c r="C202" s="245" t="inlineStr">
        <is>
          <t>ОГС-ПГП/М-СН4-А</t>
        </is>
      </c>
      <c r="D202" s="248" t="inlineStr">
        <is>
          <t>25238</t>
        </is>
      </c>
      <c r="E202" s="248" t="inlineStr"/>
      <c r="F202" s="248" t="inlineStr"/>
      <c r="G202" s="248" t="inlineStr"/>
      <c r="H202" s="243" t="inlineStr">
        <is>
          <t>Напротив масляной консоли (QT 203)</t>
        </is>
      </c>
      <c r="I202" s="243" t="inlineStr">
        <is>
          <t>ГПА 62</t>
        </is>
      </c>
      <c r="J202" s="243" t="inlineStr">
        <is>
          <t>АСУ,А и ТМ (КЦ № 6)</t>
        </is>
      </c>
      <c r="K202" s="243" t="inlineStr">
        <is>
          <t>2012</t>
        </is>
      </c>
      <c r="L202" s="248" t="inlineStr"/>
      <c r="M202" s="246" t="inlineStr"/>
      <c r="N202" s="245" t="inlineStr"/>
    </row>
    <row r="203" ht="15" customHeight="1" s="236">
      <c r="A203" s="243" t="n">
        <v>202</v>
      </c>
      <c r="B203" s="244" t="inlineStr">
        <is>
          <t>Контроль загазованности</t>
        </is>
      </c>
      <c r="C203" s="245" t="inlineStr">
        <is>
          <t>Det-Tronics (PIRECL 21M)</t>
        </is>
      </c>
      <c r="D203" s="248" t="inlineStr">
        <is>
          <t>1507068</t>
        </is>
      </c>
      <c r="E203" s="248" t="inlineStr">
        <is>
          <t>2011</t>
        </is>
      </c>
      <c r="F203" s="248" t="inlineStr"/>
      <c r="G203" s="248" t="inlineStr"/>
      <c r="H203" s="243" t="inlineStr">
        <is>
          <t>Под КШТ (QT100)</t>
        </is>
      </c>
      <c r="I203" s="243" t="inlineStr">
        <is>
          <t>ГПА 62</t>
        </is>
      </c>
      <c r="J203" s="243" t="inlineStr">
        <is>
          <t>АСУ,А и ТМ (КЦ № 6)</t>
        </is>
      </c>
      <c r="K203" s="243" t="inlineStr">
        <is>
          <t>2012</t>
        </is>
      </c>
      <c r="L203" s="248" t="inlineStr"/>
      <c r="M203" s="246" t="inlineStr"/>
      <c r="N203" s="245" t="inlineStr"/>
    </row>
    <row r="204" ht="22.5" customHeight="1" s="236">
      <c r="A204" s="243" t="n">
        <v>203</v>
      </c>
      <c r="B204" s="244" t="inlineStr">
        <is>
          <t>Извещатель тепловой пожарный</t>
        </is>
      </c>
      <c r="C204" s="245" t="inlineStr">
        <is>
          <t>12-х27/21-000</t>
        </is>
      </c>
      <c r="D204" s="248" t="inlineStr">
        <is>
          <t>1036</t>
        </is>
      </c>
      <c r="E204" s="248" t="inlineStr">
        <is>
          <t>2011</t>
        </is>
      </c>
      <c r="F204" s="248" t="inlineStr">
        <is>
          <t>-60…200 °С</t>
        </is>
      </c>
      <c r="G204" s="248" t="inlineStr"/>
      <c r="H204" s="243" t="inlineStr">
        <is>
          <t>Под КШТ (ВТК 101)</t>
        </is>
      </c>
      <c r="I204" s="243" t="inlineStr">
        <is>
          <t>ГПА 62</t>
        </is>
      </c>
      <c r="J204" s="243" t="inlineStr">
        <is>
          <t>АСУ,А и ТМ (КЦ № 6)</t>
        </is>
      </c>
      <c r="K204" s="243" t="inlineStr">
        <is>
          <t>2012</t>
        </is>
      </c>
      <c r="L204" s="248" t="inlineStr"/>
      <c r="M204" s="246" t="inlineStr"/>
      <c r="N204" s="245" t="inlineStr"/>
    </row>
    <row r="205" ht="22.5" customHeight="1" s="236">
      <c r="A205" s="243" t="n">
        <v>204</v>
      </c>
      <c r="B205" s="244" t="inlineStr">
        <is>
          <t>Извещатель тепловой пожарный</t>
        </is>
      </c>
      <c r="C205" s="245" t="inlineStr">
        <is>
          <t>12-х27/21-000</t>
        </is>
      </c>
      <c r="D205" s="248" t="inlineStr">
        <is>
          <t>1043</t>
        </is>
      </c>
      <c r="E205" s="248" t="inlineStr">
        <is>
          <t>2011</t>
        </is>
      </c>
      <c r="F205" s="248" t="inlineStr">
        <is>
          <t>-60…200 °С</t>
        </is>
      </c>
      <c r="G205" s="248" t="inlineStr"/>
      <c r="H205" s="243" t="inlineStr">
        <is>
          <t>Под КШТ (ВТК 102)</t>
        </is>
      </c>
      <c r="I205" s="243" t="inlineStr">
        <is>
          <t>ГПА 62</t>
        </is>
      </c>
      <c r="J205" s="243" t="inlineStr">
        <is>
          <t>АСУ,А и ТМ (КЦ № 6)</t>
        </is>
      </c>
      <c r="K205" s="243" t="inlineStr">
        <is>
          <t>2012</t>
        </is>
      </c>
      <c r="L205" s="248" t="inlineStr"/>
      <c r="M205" s="246" t="inlineStr"/>
      <c r="N205" s="245" t="inlineStr"/>
    </row>
    <row r="206" ht="22.5" customHeight="1" s="236">
      <c r="A206" s="243" t="n">
        <v>205</v>
      </c>
      <c r="B206" s="244" t="inlineStr">
        <is>
          <t>Извещатель тепловой пожарный</t>
        </is>
      </c>
      <c r="C206" s="245" t="inlineStr">
        <is>
          <t>12-х27/21-000</t>
        </is>
      </c>
      <c r="D206" s="248" t="inlineStr">
        <is>
          <t>1046</t>
        </is>
      </c>
      <c r="E206" s="248" t="inlineStr">
        <is>
          <t>2011</t>
        </is>
      </c>
      <c r="F206" s="248" t="inlineStr">
        <is>
          <t>-60…200 °С</t>
        </is>
      </c>
      <c r="G206" s="248" t="inlineStr"/>
      <c r="H206" s="243" t="inlineStr">
        <is>
          <t>Под КШТ (ВТК 103)</t>
        </is>
      </c>
      <c r="I206" s="243" t="inlineStr">
        <is>
          <t>ГПА 62</t>
        </is>
      </c>
      <c r="J206" s="243" t="inlineStr">
        <is>
          <t>АСУ,А и ТМ (КЦ № 6)</t>
        </is>
      </c>
      <c r="K206" s="243" t="inlineStr">
        <is>
          <t>2012</t>
        </is>
      </c>
      <c r="L206" s="248" t="inlineStr"/>
      <c r="M206" s="246" t="inlineStr"/>
      <c r="N206" s="245" t="inlineStr"/>
    </row>
    <row r="207" ht="22.5" customHeight="1" s="236">
      <c r="A207" s="243" t="n">
        <v>206</v>
      </c>
      <c r="B207" s="244" t="inlineStr">
        <is>
          <t>Извещатель тепловой пожарный</t>
        </is>
      </c>
      <c r="C207" s="245" t="inlineStr">
        <is>
          <t>12-х27/21-000</t>
        </is>
      </c>
      <c r="D207" s="248" t="inlineStr">
        <is>
          <t>1055</t>
        </is>
      </c>
      <c r="E207" s="248" t="inlineStr">
        <is>
          <t>2011</t>
        </is>
      </c>
      <c r="F207" s="248" t="inlineStr">
        <is>
          <t>-60…200 °С</t>
        </is>
      </c>
      <c r="G207" s="248" t="inlineStr"/>
      <c r="H207" s="243" t="inlineStr">
        <is>
          <t>Под КШТ (ВТК 104)</t>
        </is>
      </c>
      <c r="I207" s="243" t="inlineStr">
        <is>
          <t>ГПА 62</t>
        </is>
      </c>
      <c r="J207" s="243" t="inlineStr">
        <is>
          <t>АСУ,А и ТМ (КЦ № 6)</t>
        </is>
      </c>
      <c r="K207" s="243" t="inlineStr">
        <is>
          <t>2012</t>
        </is>
      </c>
      <c r="L207" s="248" t="inlineStr"/>
      <c r="M207" s="246" t="inlineStr"/>
      <c r="N207" s="245" t="inlineStr"/>
    </row>
    <row r="208" ht="15" customHeight="1" s="236">
      <c r="A208" s="243" t="n">
        <v>207</v>
      </c>
      <c r="B208" s="244" t="inlineStr">
        <is>
          <t>Датчик пламени</t>
        </is>
      </c>
      <c r="C208" s="245" t="inlineStr">
        <is>
          <t>ИП330/3-20-А1</t>
        </is>
      </c>
      <c r="D208" s="248" t="inlineStr">
        <is>
          <t>000956</t>
        </is>
      </c>
      <c r="E208" s="248" t="inlineStr">
        <is>
          <t>2011</t>
        </is>
      </c>
      <c r="F208" s="248" t="inlineStr"/>
      <c r="G208" s="248" t="inlineStr"/>
      <c r="H208" s="243" t="inlineStr">
        <is>
          <t>Над входом слева (BTF201)</t>
        </is>
      </c>
      <c r="I208" s="243" t="inlineStr">
        <is>
          <t>ГПА 62</t>
        </is>
      </c>
      <c r="J208" s="243" t="inlineStr">
        <is>
          <t>АСУ,А и ТМ (КЦ № 6)</t>
        </is>
      </c>
      <c r="K208" s="243" t="inlineStr">
        <is>
          <t>2012</t>
        </is>
      </c>
      <c r="L208" s="248" t="inlineStr"/>
      <c r="M208" s="246" t="inlineStr"/>
      <c r="N208" s="245" t="inlineStr"/>
    </row>
    <row r="209" ht="15" customHeight="1" s="236">
      <c r="A209" s="243" t="n">
        <v>208</v>
      </c>
      <c r="B209" s="244" t="inlineStr">
        <is>
          <t>Датчик пламени</t>
        </is>
      </c>
      <c r="C209" s="245" t="inlineStr">
        <is>
          <t>ИП330/3-20-А1</t>
        </is>
      </c>
      <c r="D209" s="248" t="inlineStr">
        <is>
          <t>000906</t>
        </is>
      </c>
      <c r="E209" s="248" t="inlineStr">
        <is>
          <t>2011</t>
        </is>
      </c>
      <c r="F209" s="248" t="inlineStr"/>
      <c r="G209" s="248" t="inlineStr"/>
      <c r="H209" s="243" t="inlineStr">
        <is>
          <t>Над входом с АВОг (BTF204)</t>
        </is>
      </c>
      <c r="I209" s="243" t="inlineStr">
        <is>
          <t>ГПА 62</t>
        </is>
      </c>
      <c r="J209" s="243" t="inlineStr">
        <is>
          <t>АСУ,А и ТМ (КЦ № 6)</t>
        </is>
      </c>
      <c r="K209" s="243" t="inlineStr">
        <is>
          <t>2012</t>
        </is>
      </c>
      <c r="L209" s="248" t="inlineStr"/>
      <c r="M209" s="246" t="inlineStr"/>
      <c r="N209" s="245" t="inlineStr"/>
    </row>
    <row r="210" ht="15" customHeight="1" s="236">
      <c r="A210" s="243" t="n">
        <v>209</v>
      </c>
      <c r="B210" s="244" t="inlineStr">
        <is>
          <t>Датчик пламени</t>
        </is>
      </c>
      <c r="C210" s="245" t="inlineStr">
        <is>
          <t>ИП330/3-20-А1</t>
        </is>
      </c>
      <c r="D210" s="248" t="inlineStr">
        <is>
          <t>000994</t>
        </is>
      </c>
      <c r="E210" s="248" t="inlineStr">
        <is>
          <t>2011</t>
        </is>
      </c>
      <c r="F210" s="248" t="inlineStr"/>
      <c r="G210" s="248" t="inlineStr"/>
      <c r="H210" s="243" t="inlineStr">
        <is>
          <t>На леснице слева (BTF202)</t>
        </is>
      </c>
      <c r="I210" s="243" t="inlineStr">
        <is>
          <t>ГПА 62</t>
        </is>
      </c>
      <c r="J210" s="243" t="inlineStr">
        <is>
          <t>АСУ,А и ТМ (КЦ № 6)</t>
        </is>
      </c>
      <c r="K210" s="243" t="inlineStr">
        <is>
          <t>2012</t>
        </is>
      </c>
      <c r="L210" s="248" t="inlineStr"/>
      <c r="M210" s="246" t="inlineStr"/>
      <c r="N210" s="245" t="inlineStr"/>
    </row>
    <row r="211" ht="15" customHeight="1" s="236">
      <c r="A211" s="243" t="n">
        <v>210</v>
      </c>
      <c r="B211" s="244" t="inlineStr">
        <is>
          <t>Датчик пламени</t>
        </is>
      </c>
      <c r="C211" s="245" t="inlineStr">
        <is>
          <t>ИП330/3-20-А1</t>
        </is>
      </c>
      <c r="D211" s="248" t="inlineStr">
        <is>
          <t>000975</t>
        </is>
      </c>
      <c r="E211" s="248" t="inlineStr">
        <is>
          <t>2011</t>
        </is>
      </c>
      <c r="F211" s="248" t="inlineStr"/>
      <c r="G211" s="248" t="inlineStr"/>
      <c r="H211" s="243" t="inlineStr">
        <is>
          <t>На леснице справа (BTF203)</t>
        </is>
      </c>
      <c r="I211" s="243" t="inlineStr">
        <is>
          <t>ГПА 62</t>
        </is>
      </c>
      <c r="J211" s="243" t="inlineStr">
        <is>
          <t>АСУ,А и ТМ (КЦ № 6)</t>
        </is>
      </c>
      <c r="K211" s="243" t="inlineStr">
        <is>
          <t>2012</t>
        </is>
      </c>
      <c r="L211" s="248" t="inlineStr"/>
      <c r="M211" s="246" t="inlineStr"/>
      <c r="N211" s="245" t="inlineStr"/>
    </row>
    <row r="212" ht="15" customHeight="1" s="236">
      <c r="A212" s="243" t="n">
        <v>211</v>
      </c>
      <c r="B212" s="244" t="inlineStr">
        <is>
          <t>Датчик пламени</t>
        </is>
      </c>
      <c r="C212" s="245" t="inlineStr">
        <is>
          <t>ИП330/3-20-А1</t>
        </is>
      </c>
      <c r="D212" s="248" t="inlineStr">
        <is>
          <t>001938</t>
        </is>
      </c>
      <c r="E212" s="248" t="inlineStr">
        <is>
          <t>2011</t>
        </is>
      </c>
      <c r="F212" s="248" t="inlineStr"/>
      <c r="G212" s="248" t="inlineStr"/>
      <c r="H212" s="243" t="inlineStr">
        <is>
          <t>Над т.г. (BTF207)</t>
        </is>
      </c>
      <c r="I212" s="243" t="inlineStr">
        <is>
          <t>ГПА 62</t>
        </is>
      </c>
      <c r="J212" s="243" t="inlineStr">
        <is>
          <t>АСУ,А и ТМ (КЦ № 6)</t>
        </is>
      </c>
      <c r="K212" s="243" t="inlineStr">
        <is>
          <t>2012</t>
        </is>
      </c>
      <c r="L212" s="248" t="inlineStr"/>
      <c r="M212" s="246" t="inlineStr"/>
      <c r="N212" s="245" t="inlineStr"/>
    </row>
    <row r="213" ht="15" customHeight="1" s="236">
      <c r="A213" s="243" t="n">
        <v>212</v>
      </c>
      <c r="B213" s="244" t="inlineStr">
        <is>
          <t>Датчик пламени</t>
        </is>
      </c>
      <c r="C213" s="245" t="inlineStr">
        <is>
          <t>ИП330/1-20-А1</t>
        </is>
      </c>
      <c r="D213" s="248" t="inlineStr">
        <is>
          <t>001353</t>
        </is>
      </c>
      <c r="E213" s="248" t="inlineStr">
        <is>
          <t>2011</t>
        </is>
      </c>
      <c r="F213" s="248" t="inlineStr"/>
      <c r="G213" s="248" t="inlineStr"/>
      <c r="H213" s="243" t="inlineStr">
        <is>
          <t>Под КШТ (BTF102)</t>
        </is>
      </c>
      <c r="I213" s="243" t="inlineStr">
        <is>
          <t>ГПА 62</t>
        </is>
      </c>
      <c r="J213" s="243" t="inlineStr">
        <is>
          <t>АСУ,А и ТМ (КЦ № 6)</t>
        </is>
      </c>
      <c r="K213" s="243" t="inlineStr">
        <is>
          <t>2012</t>
        </is>
      </c>
      <c r="L213" s="248" t="inlineStr"/>
      <c r="M213" s="246" t="inlineStr"/>
      <c r="N213" s="245" t="inlineStr"/>
    </row>
    <row r="214" ht="15" customHeight="1" s="236">
      <c r="A214" s="243" t="n">
        <v>213</v>
      </c>
      <c r="B214" s="244" t="inlineStr">
        <is>
          <t>Датчик пламени</t>
        </is>
      </c>
      <c r="C214" s="245" t="inlineStr">
        <is>
          <t>ИП330/1-20-А1</t>
        </is>
      </c>
      <c r="D214" s="248" t="inlineStr">
        <is>
          <t>001344</t>
        </is>
      </c>
      <c r="E214" s="248" t="inlineStr">
        <is>
          <t>2011</t>
        </is>
      </c>
      <c r="F214" s="248" t="inlineStr"/>
      <c r="G214" s="248" t="inlineStr"/>
      <c r="H214" s="243" t="inlineStr">
        <is>
          <t>Под КШТ (BTF101)</t>
        </is>
      </c>
      <c r="I214" s="243" t="inlineStr">
        <is>
          <t>ГПА 62</t>
        </is>
      </c>
      <c r="J214" s="243" t="inlineStr">
        <is>
          <t>АСУ,А и ТМ (КЦ № 6)</t>
        </is>
      </c>
      <c r="K214" s="243" t="inlineStr">
        <is>
          <t>2012</t>
        </is>
      </c>
      <c r="L214" s="248" t="inlineStr"/>
      <c r="M214" s="246" t="inlineStr"/>
      <c r="N214" s="245" t="inlineStr"/>
    </row>
    <row r="215" ht="15" customHeight="1" s="236">
      <c r="A215" s="243" t="n">
        <v>214</v>
      </c>
      <c r="B215" s="244" t="inlineStr">
        <is>
          <t>Датчик пламени</t>
        </is>
      </c>
      <c r="C215" s="245" t="inlineStr">
        <is>
          <t>ИП330/3-20-А1</t>
        </is>
      </c>
      <c r="D215" s="248" t="inlineStr">
        <is>
          <t>001009</t>
        </is>
      </c>
      <c r="E215" s="248" t="inlineStr">
        <is>
          <t>2011</t>
        </is>
      </c>
      <c r="F215" s="248" t="inlineStr"/>
      <c r="G215" s="248" t="inlineStr"/>
      <c r="H215" s="243" t="inlineStr">
        <is>
          <t>Масл.консоль (BTF211)</t>
        </is>
      </c>
      <c r="I215" s="243" t="inlineStr">
        <is>
          <t>ГПА 62</t>
        </is>
      </c>
      <c r="J215" s="243" t="inlineStr">
        <is>
          <t>АСУ,А и ТМ (КЦ № 6)</t>
        </is>
      </c>
      <c r="K215" s="243" t="inlineStr">
        <is>
          <t>2012</t>
        </is>
      </c>
      <c r="L215" s="248" t="inlineStr"/>
      <c r="M215" s="246" t="inlineStr"/>
      <c r="N215" s="245" t="inlineStr"/>
    </row>
    <row r="216" ht="15" customHeight="1" s="236">
      <c r="A216" s="243" t="n">
        <v>215</v>
      </c>
      <c r="B216" s="244" t="inlineStr">
        <is>
          <t>Датчик пламени</t>
        </is>
      </c>
      <c r="C216" s="245" t="inlineStr">
        <is>
          <t>ИП330/3-20-А1</t>
        </is>
      </c>
      <c r="D216" s="248" t="inlineStr">
        <is>
          <t>000993</t>
        </is>
      </c>
      <c r="E216" s="248" t="inlineStr">
        <is>
          <t>2011</t>
        </is>
      </c>
      <c r="F216" s="248" t="inlineStr"/>
      <c r="G216" s="248" t="inlineStr"/>
      <c r="H216" s="243" t="inlineStr">
        <is>
          <t>(BTF210)</t>
        </is>
      </c>
      <c r="I216" s="243" t="inlineStr">
        <is>
          <t>ГПА 62</t>
        </is>
      </c>
      <c r="J216" s="243" t="inlineStr">
        <is>
          <t>АСУ,А и ТМ (КЦ № 6)</t>
        </is>
      </c>
      <c r="K216" s="243" t="inlineStr">
        <is>
          <t>2012</t>
        </is>
      </c>
      <c r="L216" s="248" t="inlineStr"/>
      <c r="M216" s="246" t="inlineStr"/>
      <c r="N216" s="245" t="inlineStr"/>
    </row>
    <row r="217" ht="15" customHeight="1" s="236">
      <c r="A217" s="243" t="n">
        <v>216</v>
      </c>
      <c r="B217" s="244" t="inlineStr">
        <is>
          <t>Датчик пламени</t>
        </is>
      </c>
      <c r="C217" s="245" t="inlineStr">
        <is>
          <t>ИП330/3-20-А1</t>
        </is>
      </c>
      <c r="D217" s="248" t="inlineStr">
        <is>
          <t>000986</t>
        </is>
      </c>
      <c r="E217" s="248" t="inlineStr">
        <is>
          <t>2011</t>
        </is>
      </c>
      <c r="F217" s="248" t="inlineStr"/>
      <c r="G217" s="248" t="inlineStr"/>
      <c r="H217" s="243" t="inlineStr">
        <is>
          <t>(BTF208)</t>
        </is>
      </c>
      <c r="I217" s="243" t="inlineStr">
        <is>
          <t>ГПА 62</t>
        </is>
      </c>
      <c r="J217" s="243" t="inlineStr">
        <is>
          <t>АСУ,А и ТМ (КЦ № 6)</t>
        </is>
      </c>
      <c r="K217" s="243" t="inlineStr">
        <is>
          <t>2012</t>
        </is>
      </c>
      <c r="L217" s="248" t="inlineStr"/>
      <c r="M217" s="246" t="inlineStr"/>
      <c r="N217" s="245" t="inlineStr"/>
    </row>
    <row r="218" ht="15" customHeight="1" s="236">
      <c r="A218" s="239">
        <f>IF(B218&lt;&gt;"", COUNTA($B$2:B218), "")</f>
        <v/>
      </c>
      <c r="B218" s="241" t="inlineStr">
        <is>
          <t>Датчик пламени</t>
        </is>
      </c>
      <c r="C218" s="242" t="inlineStr">
        <is>
          <t>ИП330/3-20-А1</t>
        </is>
      </c>
      <c r="D218" s="269" t="n"/>
      <c r="E218" s="239" t="n">
        <v>2011</v>
      </c>
      <c r="F218" s="270" t="n"/>
      <c r="G218" s="270" t="n"/>
      <c r="H218" s="239" t="inlineStr">
        <is>
          <t>(BTF206)</t>
        </is>
      </c>
      <c r="I218" s="239" t="inlineStr">
        <is>
          <t>ГПА 62</t>
        </is>
      </c>
      <c r="J218" s="239" t="inlineStr">
        <is>
          <t>АСУ,А и ТМ (КЦ № 6)</t>
        </is>
      </c>
      <c r="K218" s="239" t="n">
        <v>2012</v>
      </c>
      <c r="L218" s="270" t="n"/>
      <c r="M218" s="270" t="n"/>
      <c r="N218" s="270" t="n"/>
    </row>
    <row r="219" ht="15" customHeight="1" s="236">
      <c r="A219" s="239">
        <f>IF(B219&lt;&gt;"", COUNTA($B$2:B219), "")</f>
        <v/>
      </c>
      <c r="B219" s="241" t="inlineStr">
        <is>
          <t>Датчик пламени</t>
        </is>
      </c>
      <c r="C219" s="242" t="inlineStr">
        <is>
          <t>ИП330/3-20-А1</t>
        </is>
      </c>
      <c r="D219" s="269" t="n"/>
      <c r="E219" s="239" t="n">
        <v>2011</v>
      </c>
      <c r="F219" s="270" t="n"/>
      <c r="G219" s="270" t="n"/>
      <c r="H219" s="239" t="inlineStr">
        <is>
          <t>(BTF205)</t>
        </is>
      </c>
      <c r="I219" s="239" t="inlineStr">
        <is>
          <t>ГПА 62</t>
        </is>
      </c>
      <c r="J219" s="239" t="inlineStr">
        <is>
          <t>АСУ,А и ТМ (КЦ № 6)</t>
        </is>
      </c>
      <c r="K219" s="239" t="n">
        <v>2012</v>
      </c>
      <c r="L219" s="270" t="n"/>
      <c r="M219" s="270" t="n"/>
      <c r="N219" s="270" t="n"/>
    </row>
    <row r="220" ht="15" customHeight="1" s="236">
      <c r="A220" s="239">
        <f>IF(B220&lt;&gt;"", COUNTA($B$2:B220), "")</f>
        <v/>
      </c>
      <c r="B220" s="241" t="inlineStr">
        <is>
          <t>Датчик пламени</t>
        </is>
      </c>
      <c r="C220" s="242" t="inlineStr">
        <is>
          <t>ИП330/3-20-А1</t>
        </is>
      </c>
      <c r="D220" s="269" t="n"/>
      <c r="E220" s="239" t="n">
        <v>2011</v>
      </c>
      <c r="F220" s="270" t="n"/>
      <c r="G220" s="270" t="n"/>
      <c r="H220" s="239" t="inlineStr">
        <is>
          <t>(BTF209)</t>
        </is>
      </c>
      <c r="I220" s="239" t="inlineStr">
        <is>
          <t>ГПА 62</t>
        </is>
      </c>
      <c r="J220" s="239" t="inlineStr">
        <is>
          <t>АСУ,А и ТМ (КЦ № 6)</t>
        </is>
      </c>
      <c r="K220" s="239" t="n">
        <v>2012</v>
      </c>
      <c r="L220" s="270" t="n"/>
      <c r="M220" s="270" t="n"/>
      <c r="N220" s="270" t="n"/>
    </row>
    <row r="221" ht="22.5" customHeight="1" s="236">
      <c r="A221" s="243" t="n">
        <v>220</v>
      </c>
      <c r="B221" s="248" t="inlineStr">
        <is>
          <t>Термометр сопротивления</t>
        </is>
      </c>
      <c r="C221" s="245" t="inlineStr">
        <is>
          <t>ТСП 012.60 Pt100/В/3</t>
        </is>
      </c>
      <c r="D221" s="271" t="inlineStr">
        <is>
          <t>184</t>
        </is>
      </c>
      <c r="E221" s="243" t="inlineStr">
        <is>
          <t>2011</t>
        </is>
      </c>
      <c r="F221" s="272" t="inlineStr">
        <is>
          <t>-60…200 °С</t>
        </is>
      </c>
      <c r="G221" s="272" t="inlineStr">
        <is>
          <t>B</t>
        </is>
      </c>
      <c r="H221" s="243" t="inlineStr">
        <is>
          <t>Температура воздуха во всасывающей камере</t>
        </is>
      </c>
      <c r="I221" s="243" t="inlineStr">
        <is>
          <t>ГПА 62</t>
        </is>
      </c>
      <c r="J221" s="243" t="inlineStr">
        <is>
          <t>АСУ,А и ТМ (КЦ № 6)</t>
        </is>
      </c>
      <c r="K221" s="243" t="inlineStr">
        <is>
          <t>2012</t>
        </is>
      </c>
      <c r="L221" s="272" t="inlineStr">
        <is>
          <t>24</t>
        </is>
      </c>
      <c r="M221" s="272" t="inlineStr">
        <is>
          <t>12.02.2016</t>
        </is>
      </c>
      <c r="N221" s="272" t="inlineStr">
        <is>
          <t>К</t>
        </is>
      </c>
    </row>
    <row r="222" ht="22.5" customHeight="1" s="236">
      <c r="A222" s="243" t="n">
        <v>221</v>
      </c>
      <c r="B222" s="249" t="inlineStr">
        <is>
          <t>Преобразователь влажности и температуры</t>
        </is>
      </c>
      <c r="C222" s="245" t="inlineStr">
        <is>
          <t>ИПТВ-206/М3-03</t>
        </is>
      </c>
      <c r="D222" s="271" t="inlineStr">
        <is>
          <t>09-1962</t>
        </is>
      </c>
      <c r="E222" s="243" t="inlineStr">
        <is>
          <t>2011</t>
        </is>
      </c>
      <c r="F222" s="272" t="inlineStr">
        <is>
          <t>-40…110 °С 0…100%</t>
        </is>
      </c>
      <c r="G222" s="272" t="inlineStr">
        <is>
          <t>0,4% (температура) 2% (влажность)</t>
        </is>
      </c>
      <c r="H222" s="243" t="inlineStr">
        <is>
          <t>Температура ВОУ</t>
        </is>
      </c>
      <c r="I222" s="243" t="inlineStr">
        <is>
          <t>ГПА 62</t>
        </is>
      </c>
      <c r="J222" s="243" t="inlineStr">
        <is>
          <t>АСУ,А и ТМ (КЦ № 6)</t>
        </is>
      </c>
      <c r="K222" s="243" t="inlineStr">
        <is>
          <t>2012</t>
        </is>
      </c>
      <c r="L222" s="272" t="inlineStr">
        <is>
          <t>24</t>
        </is>
      </c>
      <c r="M222" s="272" t="inlineStr"/>
      <c r="N222" s="272" t="inlineStr"/>
    </row>
    <row r="223" ht="15" customHeight="1" s="236">
      <c r="A223" s="243" t="n">
        <v>222</v>
      </c>
      <c r="B223" s="249" t="inlineStr">
        <is>
          <t>Газоанализатор</t>
        </is>
      </c>
      <c r="C223" s="245" t="inlineStr">
        <is>
          <t>Даг - 510</t>
        </is>
      </c>
      <c r="D223" s="271" t="inlineStr">
        <is>
          <t>11091425</t>
        </is>
      </c>
      <c r="E223" s="243" t="inlineStr">
        <is>
          <t>2011</t>
        </is>
      </c>
      <c r="F223" s="272" t="inlineStr">
        <is>
          <t>10…400 ppm</t>
        </is>
      </c>
      <c r="G223" s="272" t="inlineStr">
        <is>
          <t>10%</t>
        </is>
      </c>
      <c r="H223" s="243" t="inlineStr">
        <is>
          <t>выхлопные газы</t>
        </is>
      </c>
      <c r="I223" s="243" t="inlineStr">
        <is>
          <t>ГПА 62</t>
        </is>
      </c>
      <c r="J223" s="243" t="inlineStr">
        <is>
          <t>АСУ,А и ТМ (КЦ № 6)</t>
        </is>
      </c>
      <c r="K223" s="243" t="inlineStr">
        <is>
          <t>2020</t>
        </is>
      </c>
      <c r="L223" s="272" t="inlineStr">
        <is>
          <t>12</t>
        </is>
      </c>
      <c r="M223" s="272" t="inlineStr">
        <is>
          <t>15.09.23</t>
        </is>
      </c>
      <c r="N223" s="272" t="inlineStr">
        <is>
          <t>П</t>
        </is>
      </c>
    </row>
    <row r="224" ht="15" customHeight="1" s="236">
      <c r="A224" s="243" t="n">
        <v>223</v>
      </c>
      <c r="B224" s="244" t="inlineStr">
        <is>
          <t>Манометр технический</t>
        </is>
      </c>
      <c r="C224" s="245" t="inlineStr">
        <is>
          <t>МП3-УФ</t>
        </is>
      </c>
      <c r="D224" s="271" t="inlineStr">
        <is>
          <t>1965852</t>
        </is>
      </c>
      <c r="E224" s="243" t="inlineStr">
        <is>
          <t>2011</t>
        </is>
      </c>
      <c r="F224" s="272" t="inlineStr">
        <is>
          <t>0…160 кгс/см2</t>
        </is>
      </c>
      <c r="G224" s="272" t="inlineStr">
        <is>
          <t>1</t>
        </is>
      </c>
      <c r="H224" s="243" t="inlineStr">
        <is>
          <t>Бустерная установка</t>
        </is>
      </c>
      <c r="I224" s="243" t="inlineStr">
        <is>
          <t>ГПА 62</t>
        </is>
      </c>
      <c r="J224" s="243" t="inlineStr">
        <is>
          <t>АСУ,А и ТМ (КЦ № 6)</t>
        </is>
      </c>
      <c r="K224" s="243" t="inlineStr">
        <is>
          <t>2019</t>
        </is>
      </c>
      <c r="L224" s="272" t="inlineStr">
        <is>
          <t>12</t>
        </is>
      </c>
      <c r="M224" s="272" t="inlineStr">
        <is>
          <t>1К26</t>
        </is>
      </c>
      <c r="N224" s="272" t="inlineStr">
        <is>
          <t>К</t>
        </is>
      </c>
    </row>
    <row r="225">
      <c r="A225" s="243" t="n">
        <v>139</v>
      </c>
      <c r="B225" s="248" t="inlineStr">
        <is>
          <t>Расходомер</t>
        </is>
      </c>
      <c r="C225" s="245" t="inlineStr">
        <is>
          <t>Micrp Motion F200S-366-C-C-A-Z-E-ZZZ-Z (170011AFFEZZZ)</t>
        </is>
      </c>
      <c r="D225" s="273" t="inlineStr">
        <is>
          <t>sensor 14226911 (голова 3812706)</t>
        </is>
      </c>
      <c r="E225" s="245" t="inlineStr">
        <is>
          <t>2011</t>
        </is>
      </c>
      <c r="F225" s="245" t="inlineStr">
        <is>
          <t>0…6300 кг/час</t>
        </is>
      </c>
      <c r="G225" s="245" t="inlineStr">
        <is>
          <t>±0,5 (для газа)</t>
        </is>
      </c>
      <c r="H225" s="243" t="inlineStr">
        <is>
          <t>Расход топливного газа (коммерческий учет)</t>
        </is>
      </c>
      <c r="I225" s="245" t="inlineStr">
        <is>
          <t>ГПА 62</t>
        </is>
      </c>
      <c r="J225" s="243" t="inlineStr">
        <is>
          <t>АСУ,А и ТМ (КЦ № 6)</t>
        </is>
      </c>
      <c r="K225" s="243" t="inlineStr">
        <is>
          <t>2012</t>
        </is>
      </c>
      <c r="L225" s="243" t="inlineStr">
        <is>
          <t>48</t>
        </is>
      </c>
      <c r="M225" s="246" t="inlineStr"/>
      <c r="N225" s="245" t="inlineStr"/>
    </row>
    <row r="226">
      <c r="A226" s="243" t="n">
        <v>217</v>
      </c>
      <c r="B226" s="248" t="inlineStr">
        <is>
          <t>Датчик пламени</t>
        </is>
      </c>
      <c r="C226" s="245" t="inlineStr">
        <is>
          <t>ИП330/3-20-А1</t>
        </is>
      </c>
      <c r="D226" s="273" t="inlineStr"/>
      <c r="E226" s="245" t="inlineStr">
        <is>
          <t>2011</t>
        </is>
      </c>
      <c r="F226" s="245" t="inlineStr"/>
      <c r="G226" s="245" t="inlineStr"/>
      <c r="H226" s="243" t="inlineStr">
        <is>
          <t>(BTF206)</t>
        </is>
      </c>
      <c r="I226" s="245" t="inlineStr">
        <is>
          <t>ГПА 62</t>
        </is>
      </c>
      <c r="J226" s="243" t="inlineStr">
        <is>
          <t>АСУ,А и ТМ (КЦ № 6)</t>
        </is>
      </c>
      <c r="K226" s="243" t="inlineStr">
        <is>
          <t>2012</t>
        </is>
      </c>
      <c r="L226" s="243" t="inlineStr"/>
      <c r="M226" s="246" t="inlineStr"/>
      <c r="N226" s="245" t="inlineStr"/>
    </row>
    <row r="227">
      <c r="A227" s="243" t="n">
        <v>218</v>
      </c>
      <c r="B227" s="248" t="inlineStr">
        <is>
          <t>Датчик пламени</t>
        </is>
      </c>
      <c r="C227" s="245" t="inlineStr">
        <is>
          <t>ИП330/3-20-А1</t>
        </is>
      </c>
      <c r="D227" s="273" t="inlineStr"/>
      <c r="E227" s="245" t="inlineStr">
        <is>
          <t>2011</t>
        </is>
      </c>
      <c r="F227" s="245" t="inlineStr"/>
      <c r="G227" s="245" t="inlineStr"/>
      <c r="H227" s="243" t="inlineStr">
        <is>
          <t>(BTF205)</t>
        </is>
      </c>
      <c r="I227" s="245" t="inlineStr">
        <is>
          <t>ГПА 62</t>
        </is>
      </c>
      <c r="J227" s="243" t="inlineStr">
        <is>
          <t>АСУ,А и ТМ (КЦ № 6)</t>
        </is>
      </c>
      <c r="K227" s="243" t="inlineStr">
        <is>
          <t>2012</t>
        </is>
      </c>
      <c r="L227" s="243" t="inlineStr"/>
      <c r="M227" s="246" t="inlineStr"/>
      <c r="N227" s="245" t="inlineStr"/>
    </row>
    <row r="228">
      <c r="A228" s="243" t="n">
        <v>219</v>
      </c>
      <c r="B228" s="248" t="inlineStr">
        <is>
          <t>Датчик пламени</t>
        </is>
      </c>
      <c r="C228" s="245" t="inlineStr">
        <is>
          <t>ИП330/3-20-А1</t>
        </is>
      </c>
      <c r="D228" s="273" t="inlineStr"/>
      <c r="E228" s="245" t="inlineStr">
        <is>
          <t>2011</t>
        </is>
      </c>
      <c r="F228" s="245" t="inlineStr"/>
      <c r="G228" s="245" t="inlineStr"/>
      <c r="H228" s="243" t="inlineStr">
        <is>
          <t>(BTF209)</t>
        </is>
      </c>
      <c r="I228" s="245" t="inlineStr">
        <is>
          <t>ГПА 62</t>
        </is>
      </c>
      <c r="J228" s="243" t="inlineStr">
        <is>
          <t>АСУ,А и ТМ (КЦ № 6)</t>
        </is>
      </c>
      <c r="K228" s="243" t="inlineStr">
        <is>
          <t>2012</t>
        </is>
      </c>
      <c r="L228" s="243" t="inlineStr"/>
      <c r="M228" s="246" t="inlineStr"/>
      <c r="N228" s="245" t="inlineStr"/>
    </row>
  </sheetData>
  <conditionalFormatting sqref="M1:M1048576">
    <cfRule type="expression" rank="0" priority="2" equalAverage="0" aboveAverage="0" dxfId="1" text="" percent="0" bottom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orizontalCentered="0" verticalCentered="0" headings="0" gridLines="0" gridLinesSet="1"/>
  <pageMargins left="0.7" right="0.7" top="0.75" bottom="0.75" header="0.511805555555555" footer="0.511805555555555"/>
  <pageSetup orientation="landscape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O229"/>
  <sheetViews>
    <sheetView showFormulas="0" showGridLines="1" showRowColHeaders="1" showZeros="1" rightToLeft="0" tabSelected="0" showOutlineSymbols="1" defaultGridColor="1" view="normal" topLeftCell="C1" colorId="64" zoomScale="100" zoomScaleNormal="100" zoomScalePageLayoutView="100" workbookViewId="0">
      <pane xSplit="0" ySplit="1" topLeftCell="A224" activePane="bottomLeft" state="frozen"/>
      <selection pane="topLeft" activeCell="C1" activeCellId="0" sqref="C1"/>
      <selection pane="bottomLeft" activeCell="Q12" activeCellId="0" sqref="Q12"/>
    </sheetView>
  </sheetViews>
  <sheetFormatPr baseColWidth="8" defaultColWidth="9.15625" defaultRowHeight="15" zeroHeight="0" outlineLevelRow="0"/>
  <cols>
    <col width="3.57" customWidth="1" style="235" min="1" max="1"/>
    <col width="21.43" customWidth="1" style="235" min="2" max="2"/>
    <col width="26.42" customWidth="1" style="235" min="3" max="3"/>
    <col width="15.29" customWidth="1" style="235" min="4" max="4"/>
    <col width="7" customWidth="1" style="235" min="5" max="5"/>
    <col width="15.42" customWidth="1" style="235" min="6" max="7"/>
    <col width="28.57" customWidth="1" style="235" min="8" max="8"/>
    <col width="12.57" customWidth="1" style="235" min="9" max="9"/>
    <col width="17.58" customWidth="1" style="235" min="10" max="10"/>
    <col width="8.710000000000001" customWidth="1" style="235" min="11" max="11"/>
    <col width="7.57" customWidth="1" style="235" min="12" max="12"/>
    <col width="8" customWidth="1" style="235" min="13" max="13"/>
    <col width="4.57" customWidth="1" style="235" min="14" max="14"/>
    <col width="9.140000000000001" customWidth="1" style="235" min="15" max="1024"/>
  </cols>
  <sheetData>
    <row r="1" ht="56.25" customHeight="1" s="236">
      <c r="A1" s="239" t="inlineStr">
        <is>
          <t>№ п/п</t>
        </is>
      </c>
      <c r="B1" s="239" t="inlineStr">
        <is>
          <t>Наименование</t>
        </is>
      </c>
      <c r="C1" s="239" t="inlineStr">
        <is>
          <t>Тип</t>
        </is>
      </c>
      <c r="D1" s="239" t="inlineStr">
        <is>
          <t>Заводской номер</t>
        </is>
      </c>
      <c r="E1" s="240" t="inlineStr">
        <is>
          <t>Год выпуска</t>
        </is>
      </c>
      <c r="F1" s="239" t="inlineStr">
        <is>
          <t>Диапазон измерений</t>
        </is>
      </c>
      <c r="G1" s="239" t="inlineStr">
        <is>
          <t>Класс точности</t>
        </is>
      </c>
      <c r="H1" s="239" t="inlineStr">
        <is>
          <t>Место установки СИ</t>
        </is>
      </c>
      <c r="I1" s="239" t="inlineStr">
        <is>
          <t>Объект установки</t>
        </is>
      </c>
      <c r="J1" s="239" t="inlineStr">
        <is>
          <t>Подразделение</t>
        </is>
      </c>
      <c r="K1" s="239" t="inlineStr">
        <is>
          <t>Дата установки</t>
        </is>
      </c>
      <c r="L1" s="239" t="inlineStr">
        <is>
          <t>Межповерочный интервал, мес.</t>
        </is>
      </c>
      <c r="M1" s="240" t="inlineStr">
        <is>
          <t>Дата последней поверки / калибровки</t>
        </is>
      </c>
      <c r="N1" s="239" t="inlineStr">
        <is>
          <t>Поверка (П)/ Калибровка (К)</t>
        </is>
      </c>
    </row>
    <row r="2" ht="15" customHeight="1" s="236">
      <c r="A2" s="239" t="n">
        <v>1</v>
      </c>
      <c r="B2" s="241" t="inlineStr">
        <is>
          <t>Манометр технический</t>
        </is>
      </c>
      <c r="C2" s="242" t="inlineStr">
        <is>
          <t>МП4-УУ2</t>
        </is>
      </c>
      <c r="D2" s="242" t="inlineStr">
        <is>
          <t>15001</t>
        </is>
      </c>
      <c r="E2" s="242" t="inlineStr">
        <is>
          <t>2010</t>
        </is>
      </c>
      <c r="F2" s="242" t="inlineStr">
        <is>
          <t>0…160 кгс/см2</t>
        </is>
      </c>
      <c r="G2" s="242" t="inlineStr">
        <is>
          <t>1.5</t>
        </is>
      </c>
      <c r="H2" s="239" t="inlineStr">
        <is>
          <t>P газа перед КШ 731/1,2</t>
        </is>
      </c>
      <c r="I2" s="242" t="inlineStr">
        <is>
          <t>ГПА 63 БПТГ</t>
        </is>
      </c>
      <c r="J2" s="239" t="inlineStr">
        <is>
          <t>АСУ,А и ТМ (КЦ № 6)</t>
        </is>
      </c>
      <c r="K2" s="239" t="inlineStr">
        <is>
          <t>2012</t>
        </is>
      </c>
      <c r="L2" s="239" t="inlineStr">
        <is>
          <t>12</t>
        </is>
      </c>
      <c r="M2" s="240" t="inlineStr">
        <is>
          <t>1К26</t>
        </is>
      </c>
      <c r="N2" s="242" t="inlineStr">
        <is>
          <t>К</t>
        </is>
      </c>
      <c r="O2" s="235" t="n">
        <v>15515</v>
      </c>
    </row>
    <row r="3" ht="15" customHeight="1" s="236">
      <c r="A3" s="243" t="n">
        <v>2</v>
      </c>
      <c r="B3" s="244" t="inlineStr">
        <is>
          <t>Манометр технический</t>
        </is>
      </c>
      <c r="C3" s="245" t="inlineStr">
        <is>
          <t>МП4-УУ2</t>
        </is>
      </c>
      <c r="D3" s="245" t="inlineStr">
        <is>
          <t>15274</t>
        </is>
      </c>
      <c r="E3" s="245" t="inlineStr">
        <is>
          <t>2010</t>
        </is>
      </c>
      <c r="F3" s="245" t="inlineStr">
        <is>
          <t>0…100 кгс/см3</t>
        </is>
      </c>
      <c r="G3" s="245" t="inlineStr">
        <is>
          <t>1.5</t>
        </is>
      </c>
      <c r="H3" s="243" t="inlineStr">
        <is>
          <t>P газа после КРД 730/1</t>
        </is>
      </c>
      <c r="I3" s="245" t="inlineStr">
        <is>
          <t>ГПА 63 БПТГ</t>
        </is>
      </c>
      <c r="J3" s="243" t="inlineStr">
        <is>
          <t>АСУ,А и ТМ (КЦ № 6)</t>
        </is>
      </c>
      <c r="K3" s="243" t="inlineStr">
        <is>
          <t>2012</t>
        </is>
      </c>
      <c r="L3" s="243" t="inlineStr">
        <is>
          <t>12</t>
        </is>
      </c>
      <c r="M3" s="246" t="inlineStr">
        <is>
          <t>1К26</t>
        </is>
      </c>
      <c r="N3" s="245" t="inlineStr">
        <is>
          <t>К</t>
        </is>
      </c>
    </row>
    <row r="4" ht="15" customHeight="1" s="236">
      <c r="A4" s="243" t="n">
        <v>3</v>
      </c>
      <c r="B4" s="244" t="inlineStr">
        <is>
          <t>Манометр технический</t>
        </is>
      </c>
      <c r="C4" s="245" t="inlineStr">
        <is>
          <t>МП4-УУ2</t>
        </is>
      </c>
      <c r="D4" s="245" t="inlineStr">
        <is>
          <t>15513</t>
        </is>
      </c>
      <c r="E4" s="245" t="inlineStr">
        <is>
          <t>2010</t>
        </is>
      </c>
      <c r="F4" s="245" t="inlineStr">
        <is>
          <t>0…160 кгс/см4</t>
        </is>
      </c>
      <c r="G4" s="245" t="inlineStr">
        <is>
          <t>1.5</t>
        </is>
      </c>
      <c r="H4" s="243" t="inlineStr">
        <is>
          <t>P газа в C 701</t>
        </is>
      </c>
      <c r="I4" s="245" t="inlineStr">
        <is>
          <t>ГПА 63 БПТГ</t>
        </is>
      </c>
      <c r="J4" s="243" t="inlineStr">
        <is>
          <t>АСУ,А и ТМ (КЦ № 6)</t>
        </is>
      </c>
      <c r="K4" s="243" t="inlineStr">
        <is>
          <t>2012</t>
        </is>
      </c>
      <c r="L4" s="243" t="inlineStr">
        <is>
          <t>12</t>
        </is>
      </c>
      <c r="M4" s="246" t="inlineStr">
        <is>
          <t>26ДЯУ</t>
        </is>
      </c>
      <c r="N4" s="245" t="inlineStr">
        <is>
          <t>П</t>
        </is>
      </c>
      <c r="O4" s="274" t="inlineStr">
        <is>
          <t>15101 был</t>
        </is>
      </c>
    </row>
    <row r="5" ht="15" customHeight="1" s="236">
      <c r="A5" s="243" t="n">
        <v>4</v>
      </c>
      <c r="B5" s="244" t="inlineStr">
        <is>
          <t>Манометр технический</t>
        </is>
      </c>
      <c r="C5" s="245" t="inlineStr">
        <is>
          <t>МП4-УУ2</t>
        </is>
      </c>
      <c r="D5" s="245" t="inlineStr">
        <is>
          <t>15247</t>
        </is>
      </c>
      <c r="E5" s="245" t="inlineStr">
        <is>
          <t>2010</t>
        </is>
      </c>
      <c r="F5" s="245" t="inlineStr">
        <is>
          <t>0…160 кгс/см5</t>
        </is>
      </c>
      <c r="G5" s="245" t="inlineStr">
        <is>
          <t>1.5</t>
        </is>
      </c>
      <c r="H5" s="243" t="inlineStr">
        <is>
          <t>P газа на выходе ЭПГ 700/1</t>
        </is>
      </c>
      <c r="I5" s="245" t="inlineStr">
        <is>
          <t>ГПА 63 БПТГ</t>
        </is>
      </c>
      <c r="J5" s="243" t="inlineStr">
        <is>
          <t>АСУ,А и ТМ (КЦ № 6)</t>
        </is>
      </c>
      <c r="K5" s="243" t="inlineStr">
        <is>
          <t>2012</t>
        </is>
      </c>
      <c r="L5" s="243" t="inlineStr">
        <is>
          <t>12</t>
        </is>
      </c>
      <c r="M5" s="246" t="inlineStr">
        <is>
          <t>1К26</t>
        </is>
      </c>
      <c r="N5" s="245" t="inlineStr">
        <is>
          <t>К</t>
        </is>
      </c>
    </row>
    <row r="6" ht="15" customHeight="1" s="236">
      <c r="A6" s="243" t="n">
        <v>5</v>
      </c>
      <c r="B6" s="244" t="inlineStr">
        <is>
          <t>Манометр технический</t>
        </is>
      </c>
      <c r="C6" s="245" t="inlineStr">
        <is>
          <t>МП4-УУ2</t>
        </is>
      </c>
      <c r="D6" s="245" t="inlineStr">
        <is>
          <t>15275</t>
        </is>
      </c>
      <c r="E6" s="245" t="inlineStr">
        <is>
          <t>2010</t>
        </is>
      </c>
      <c r="F6" s="245" t="inlineStr">
        <is>
          <t>0…100 кгс/см6</t>
        </is>
      </c>
      <c r="G6" s="245" t="inlineStr">
        <is>
          <t>1.5</t>
        </is>
      </c>
      <c r="H6" s="243" t="inlineStr">
        <is>
          <t>P газа после КРД 730/2</t>
        </is>
      </c>
      <c r="I6" s="245" t="inlineStr">
        <is>
          <t>ГПА 63 БПТГ</t>
        </is>
      </c>
      <c r="J6" s="243" t="inlineStr">
        <is>
          <t>АСУ,А и ТМ (КЦ № 6)</t>
        </is>
      </c>
      <c r="K6" s="243" t="inlineStr">
        <is>
          <t>2012</t>
        </is>
      </c>
      <c r="L6" s="243" t="inlineStr">
        <is>
          <t>12</t>
        </is>
      </c>
      <c r="M6" s="246" t="inlineStr">
        <is>
          <t>1К26</t>
        </is>
      </c>
      <c r="N6" s="245" t="inlineStr">
        <is>
          <t>К</t>
        </is>
      </c>
    </row>
    <row r="7" ht="15" customHeight="1" s="236">
      <c r="A7" s="243" t="n">
        <v>6</v>
      </c>
      <c r="B7" s="244" t="inlineStr">
        <is>
          <t>Манометр технический</t>
        </is>
      </c>
      <c r="C7" s="245" t="inlineStr">
        <is>
          <t>МП4-УУ2</t>
        </is>
      </c>
      <c r="D7" s="245" t="inlineStr">
        <is>
          <t>15138</t>
        </is>
      </c>
      <c r="E7" s="245" t="inlineStr">
        <is>
          <t>2010</t>
        </is>
      </c>
      <c r="F7" s="245" t="inlineStr">
        <is>
          <t>0…160 кгс/см7</t>
        </is>
      </c>
      <c r="G7" s="245" t="inlineStr">
        <is>
          <t>1.5</t>
        </is>
      </c>
      <c r="H7" s="243" t="inlineStr">
        <is>
          <t>P газа на выходе ЭПГ 700/2</t>
        </is>
      </c>
      <c r="I7" s="245" t="inlineStr">
        <is>
          <t>ГПА 63 БПТГ</t>
        </is>
      </c>
      <c r="J7" s="243" t="inlineStr">
        <is>
          <t>АСУ,А и ТМ (КЦ № 6)</t>
        </is>
      </c>
      <c r="K7" s="243" t="inlineStr">
        <is>
          <t>2012</t>
        </is>
      </c>
      <c r="L7" s="243" t="inlineStr">
        <is>
          <t>12</t>
        </is>
      </c>
      <c r="M7" s="246" t="inlineStr">
        <is>
          <t>1К26</t>
        </is>
      </c>
      <c r="N7" s="245" t="inlineStr">
        <is>
          <t>К</t>
        </is>
      </c>
    </row>
    <row r="8" ht="22.5" customHeight="1" s="236">
      <c r="A8" s="243" t="n">
        <v>7</v>
      </c>
      <c r="B8" s="248" t="inlineStr">
        <is>
          <t>Термометр биметаллический</t>
        </is>
      </c>
      <c r="C8" s="245" t="inlineStr">
        <is>
          <t>ТБ-2</t>
        </is>
      </c>
      <c r="D8" s="245" t="inlineStr">
        <is>
          <t>5044</t>
        </is>
      </c>
      <c r="E8" s="245" t="inlineStr">
        <is>
          <t>2010</t>
        </is>
      </c>
      <c r="F8" s="245" t="inlineStr">
        <is>
          <t>0…100 °С</t>
        </is>
      </c>
      <c r="G8" s="245" t="inlineStr">
        <is>
          <t>1.5</t>
        </is>
      </c>
      <c r="H8" s="243" t="inlineStr">
        <is>
          <t>Тг на выходе ЭПГ 700/1</t>
        </is>
      </c>
      <c r="I8" s="245" t="inlineStr">
        <is>
          <t>ГПА 63 БПТГ</t>
        </is>
      </c>
      <c r="J8" s="243" t="inlineStr">
        <is>
          <t>АСУ,А и ТМ (КЦ № 6)</t>
        </is>
      </c>
      <c r="K8" s="243" t="inlineStr">
        <is>
          <t>2012</t>
        </is>
      </c>
      <c r="L8" s="243" t="inlineStr">
        <is>
          <t>24</t>
        </is>
      </c>
      <c r="M8" s="246" t="inlineStr">
        <is>
          <t>2К26</t>
        </is>
      </c>
      <c r="N8" s="245" t="inlineStr">
        <is>
          <t>К</t>
        </is>
      </c>
    </row>
    <row r="9" ht="22.5" customHeight="1" s="236">
      <c r="A9" s="243" t="n">
        <v>8</v>
      </c>
      <c r="B9" s="248" t="inlineStr">
        <is>
          <t>Термометр биметаллический</t>
        </is>
      </c>
      <c r="C9" s="245" t="inlineStr">
        <is>
          <t>ТБ-2</t>
        </is>
      </c>
      <c r="D9" s="245" t="inlineStr">
        <is>
          <t>5032</t>
        </is>
      </c>
      <c r="E9" s="245" t="inlineStr">
        <is>
          <t>2010</t>
        </is>
      </c>
      <c r="F9" s="245" t="inlineStr">
        <is>
          <t>0…100 °С</t>
        </is>
      </c>
      <c r="G9" s="245" t="inlineStr">
        <is>
          <t>1.5</t>
        </is>
      </c>
      <c r="H9" s="243" t="inlineStr">
        <is>
          <t>Тг на выходе ЭПГ 700/2</t>
        </is>
      </c>
      <c r="I9" s="245" t="inlineStr">
        <is>
          <t>ГПА 63 БПТГ</t>
        </is>
      </c>
      <c r="J9" s="243" t="inlineStr">
        <is>
          <t>АСУ,А и ТМ (КЦ № 6)</t>
        </is>
      </c>
      <c r="K9" s="243" t="inlineStr">
        <is>
          <t>2012</t>
        </is>
      </c>
      <c r="L9" s="243" t="inlineStr">
        <is>
          <t>24</t>
        </is>
      </c>
      <c r="M9" s="246" t="inlineStr">
        <is>
          <t>2К26</t>
        </is>
      </c>
      <c r="N9" s="245" t="inlineStr">
        <is>
          <t>К</t>
        </is>
      </c>
    </row>
    <row r="10" ht="15" customHeight="1" s="236">
      <c r="A10" s="243" t="n">
        <v>9</v>
      </c>
      <c r="B10" s="248" t="inlineStr">
        <is>
          <t>Уравнемер</t>
        </is>
      </c>
      <c r="C10" s="245" t="inlineStr">
        <is>
          <t>KROHNE BM-26A/C/RR</t>
        </is>
      </c>
      <c r="D10" s="245" t="inlineStr">
        <is>
          <t>447006647.20.03</t>
        </is>
      </c>
      <c r="E10" s="245" t="inlineStr">
        <is>
          <t>2011</t>
        </is>
      </c>
      <c r="F10" s="245" t="inlineStr">
        <is>
          <t>0…100 %</t>
        </is>
      </c>
      <c r="G10" s="245" t="inlineStr">
        <is>
          <t>±10 мм</t>
        </is>
      </c>
      <c r="H10" s="243" t="inlineStr">
        <is>
          <t>Уровень жидкости в сепараторе С701</t>
        </is>
      </c>
      <c r="I10" s="245" t="inlineStr">
        <is>
          <t>ГПА 63 БПТГ</t>
        </is>
      </c>
      <c r="J10" s="243" t="inlineStr">
        <is>
          <t>АСУ,А и ТМ (КЦ № 6)</t>
        </is>
      </c>
      <c r="K10" s="243" t="inlineStr">
        <is>
          <t>2012</t>
        </is>
      </c>
      <c r="L10" s="243" t="inlineStr">
        <is>
          <t>48</t>
        </is>
      </c>
      <c r="M10" s="246" t="inlineStr"/>
      <c r="N10" s="245" t="inlineStr"/>
    </row>
    <row r="11" ht="22.5" customHeight="1" s="236">
      <c r="A11" s="243" t="n">
        <v>10</v>
      </c>
      <c r="B11" s="249" t="inlineStr">
        <is>
          <t>Преобразователь избыточного давления</t>
        </is>
      </c>
      <c r="C11" s="245" t="inlineStr">
        <is>
          <t>Honeywell STG-97L</t>
        </is>
      </c>
      <c r="D11" s="245" t="inlineStr">
        <is>
          <t>10W44 C3273987003001</t>
        </is>
      </c>
      <c r="E11" s="245" t="inlineStr">
        <is>
          <t>2011</t>
        </is>
      </c>
      <c r="F11" s="245" t="inlineStr">
        <is>
          <t>0…10 MПa</t>
        </is>
      </c>
      <c r="G11" s="245" t="inlineStr">
        <is>
          <t>0.075</t>
        </is>
      </c>
      <c r="H11" s="243" t="inlineStr">
        <is>
          <t>Давление газа перед С701 (на входе в блок БПТГ)</t>
        </is>
      </c>
      <c r="I11" s="245" t="inlineStr">
        <is>
          <t>ГПА 63 БПТГ</t>
        </is>
      </c>
      <c r="J11" s="243" t="inlineStr">
        <is>
          <t>АСУ,А и ТМ (КЦ № 6)</t>
        </is>
      </c>
      <c r="K11" s="243" t="inlineStr">
        <is>
          <t>2012</t>
        </is>
      </c>
      <c r="L11" s="243" t="inlineStr">
        <is>
          <t>36</t>
        </is>
      </c>
      <c r="M11" s="246" t="inlineStr"/>
      <c r="N11" s="245" t="inlineStr"/>
    </row>
    <row r="12" ht="22.5" customHeight="1" s="236">
      <c r="A12" s="243" t="n">
        <v>11</v>
      </c>
      <c r="B12" s="249" t="inlineStr">
        <is>
          <t>Преобразователь избыточного давления</t>
        </is>
      </c>
      <c r="C12" s="245" t="inlineStr">
        <is>
          <t>Honeywell STG-97L</t>
        </is>
      </c>
      <c r="D12" s="245" t="inlineStr">
        <is>
          <t>10W44 C3273987003063</t>
        </is>
      </c>
      <c r="E12" s="245" t="inlineStr">
        <is>
          <t>2011</t>
        </is>
      </c>
      <c r="F12" s="245" t="inlineStr">
        <is>
          <t>0…10 MПa</t>
        </is>
      </c>
      <c r="G12" s="245" t="inlineStr">
        <is>
          <t>0.075</t>
        </is>
      </c>
      <c r="H12" s="243" t="inlineStr">
        <is>
          <t>Давление газа на выходе блока БПТГ перед КШ12</t>
        </is>
      </c>
      <c r="I12" s="245" t="inlineStr">
        <is>
          <t>ГПА 63 БПТГ</t>
        </is>
      </c>
      <c r="J12" s="243" t="inlineStr">
        <is>
          <t>АСУ,А и ТМ (КЦ № 6)</t>
        </is>
      </c>
      <c r="K12" s="243" t="inlineStr">
        <is>
          <t>2012</t>
        </is>
      </c>
      <c r="L12" s="243" t="inlineStr">
        <is>
          <t>36</t>
        </is>
      </c>
      <c r="M12" s="246" t="inlineStr"/>
      <c r="N12" s="245" t="inlineStr"/>
    </row>
    <row r="13" ht="15" customHeight="1" s="236">
      <c r="A13" s="243" t="n">
        <v>12</v>
      </c>
      <c r="B13" s="248" t="inlineStr">
        <is>
          <t>Термометр сопротивления</t>
        </is>
      </c>
      <c r="C13" s="245" t="inlineStr">
        <is>
          <t>ТСП 012.60 Pt100/В/3</t>
        </is>
      </c>
      <c r="D13" s="245" t="inlineStr">
        <is>
          <t>362</t>
        </is>
      </c>
      <c r="E13" s="245" t="inlineStr">
        <is>
          <t>2011</t>
        </is>
      </c>
      <c r="F13" s="245" t="inlineStr">
        <is>
          <t>-60…200 °С</t>
        </is>
      </c>
      <c r="G13" s="245" t="inlineStr">
        <is>
          <t>B</t>
        </is>
      </c>
      <c r="H13" s="243" t="inlineStr">
        <is>
          <t>Температура газа перед С701</t>
        </is>
      </c>
      <c r="I13" s="245" t="inlineStr">
        <is>
          <t>ГПА 63 БПТГ</t>
        </is>
      </c>
      <c r="J13" s="243" t="inlineStr">
        <is>
          <t>АСУ,А и ТМ (КЦ № 6)</t>
        </is>
      </c>
      <c r="K13" s="243" t="inlineStr">
        <is>
          <t>2012</t>
        </is>
      </c>
      <c r="L13" s="243" t="inlineStr">
        <is>
          <t>36</t>
        </is>
      </c>
      <c r="M13" s="246" t="inlineStr"/>
      <c r="N13" s="245" t="inlineStr"/>
    </row>
    <row r="14" ht="22.5" customHeight="1" s="236">
      <c r="A14" s="243" t="n">
        <v>13</v>
      </c>
      <c r="B14" s="248" t="inlineStr">
        <is>
          <t>Термометр сопротивления</t>
        </is>
      </c>
      <c r="C14" s="245" t="inlineStr">
        <is>
          <t>Метран 256-04 100П/В/3</t>
        </is>
      </c>
      <c r="D14" s="245" t="inlineStr">
        <is>
          <t>522400</t>
        </is>
      </c>
      <c r="E14" s="245" t="inlineStr"/>
      <c r="F14" s="245" t="inlineStr">
        <is>
          <t>-60…200 °С</t>
        </is>
      </c>
      <c r="G14" s="245" t="inlineStr">
        <is>
          <t>B</t>
        </is>
      </c>
      <c r="H14" s="243" t="inlineStr">
        <is>
          <t>Температура антифриза в подогревателе ЭПГ700/2</t>
        </is>
      </c>
      <c r="I14" s="245" t="inlineStr">
        <is>
          <t>ГПА 63 БПТГ</t>
        </is>
      </c>
      <c r="J14" s="243" t="inlineStr">
        <is>
          <t>АСУ,А и ТМ (КЦ № 6)</t>
        </is>
      </c>
      <c r="K14" s="243" t="inlineStr"/>
      <c r="L14" s="243" t="inlineStr"/>
      <c r="M14" s="246" t="inlineStr"/>
      <c r="N14" s="245" t="inlineStr"/>
    </row>
    <row r="15" ht="15" customHeight="1" s="236">
      <c r="A15" s="243" t="n">
        <v>14</v>
      </c>
      <c r="B15" s="248" t="inlineStr">
        <is>
          <t>Термометр сопротивления</t>
        </is>
      </c>
      <c r="C15" s="245" t="inlineStr">
        <is>
          <t>ТСП 012.60 Pt100/В/3</t>
        </is>
      </c>
      <c r="D15" s="245" t="inlineStr">
        <is>
          <t>359</t>
        </is>
      </c>
      <c r="E15" s="245" t="inlineStr">
        <is>
          <t>2011</t>
        </is>
      </c>
      <c r="F15" s="245" t="inlineStr">
        <is>
          <t>-60…200 °С</t>
        </is>
      </c>
      <c r="G15" s="245" t="inlineStr">
        <is>
          <t>B</t>
        </is>
      </c>
      <c r="H15" s="243" t="inlineStr">
        <is>
          <t>Температура газа после ЭПГ700/2</t>
        </is>
      </c>
      <c r="I15" s="245" t="inlineStr">
        <is>
          <t>ГПА 63 БПТГ</t>
        </is>
      </c>
      <c r="J15" s="243" t="inlineStr">
        <is>
          <t>АСУ,А и ТМ (КЦ № 6)</t>
        </is>
      </c>
      <c r="K15" s="243" t="inlineStr">
        <is>
          <t>2012</t>
        </is>
      </c>
      <c r="L15" s="243" t="inlineStr">
        <is>
          <t>36</t>
        </is>
      </c>
      <c r="M15" s="246" t="inlineStr"/>
      <c r="N15" s="245" t="inlineStr"/>
    </row>
    <row r="16" ht="22.5" customHeight="1" s="236">
      <c r="A16" s="243" t="n">
        <v>15</v>
      </c>
      <c r="B16" s="248" t="inlineStr">
        <is>
          <t>Термометр сопротивления</t>
        </is>
      </c>
      <c r="C16" s="245" t="inlineStr">
        <is>
          <t>Метран 256-04 100П/В/3</t>
        </is>
      </c>
      <c r="D16" s="245" t="inlineStr">
        <is>
          <t>522401</t>
        </is>
      </c>
      <c r="E16" s="245" t="inlineStr"/>
      <c r="F16" s="245" t="inlineStr">
        <is>
          <t>-60…200 °С</t>
        </is>
      </c>
      <c r="G16" s="245" t="inlineStr">
        <is>
          <t>B</t>
        </is>
      </c>
      <c r="H16" s="243" t="inlineStr">
        <is>
          <t>Температура антифриза в подогревателе ЭПГ700/1</t>
        </is>
      </c>
      <c r="I16" s="245" t="inlineStr">
        <is>
          <t>ГПА 63 БПТГ</t>
        </is>
      </c>
      <c r="J16" s="243" t="inlineStr">
        <is>
          <t>АСУ,А и ТМ (КЦ № 6)</t>
        </is>
      </c>
      <c r="K16" s="243" t="inlineStr"/>
      <c r="L16" s="243" t="inlineStr"/>
      <c r="M16" s="246" t="inlineStr"/>
      <c r="N16" s="245" t="inlineStr"/>
    </row>
    <row r="17" ht="15" customHeight="1" s="236">
      <c r="A17" s="243" t="n">
        <v>16</v>
      </c>
      <c r="B17" s="248" t="inlineStr">
        <is>
          <t>Термометр сопротивления</t>
        </is>
      </c>
      <c r="C17" s="245" t="inlineStr">
        <is>
          <t>ТСП 012.60 Pt100/В/3</t>
        </is>
      </c>
      <c r="D17" s="245" t="inlineStr">
        <is>
          <t>358</t>
        </is>
      </c>
      <c r="E17" s="245" t="inlineStr">
        <is>
          <t>2011</t>
        </is>
      </c>
      <c r="F17" s="245" t="inlineStr">
        <is>
          <t>-60…200 °С</t>
        </is>
      </c>
      <c r="G17" s="245" t="inlineStr">
        <is>
          <t>B</t>
        </is>
      </c>
      <c r="H17" s="243" t="inlineStr">
        <is>
          <t>Температура газа после ЭПГ700/1</t>
        </is>
      </c>
      <c r="I17" s="245" t="inlineStr">
        <is>
          <t>ГПА 63 БПТГ</t>
        </is>
      </c>
      <c r="J17" s="243" t="inlineStr">
        <is>
          <t>АСУ,А и ТМ (КЦ № 6)</t>
        </is>
      </c>
      <c r="K17" s="243" t="inlineStr">
        <is>
          <t>2012</t>
        </is>
      </c>
      <c r="L17" s="243" t="inlineStr">
        <is>
          <t>36</t>
        </is>
      </c>
      <c r="M17" s="246" t="inlineStr"/>
      <c r="N17" s="245" t="inlineStr"/>
    </row>
    <row r="18" ht="22.5" customHeight="1" s="236">
      <c r="A18" s="243" t="n">
        <v>17</v>
      </c>
      <c r="B18" s="248" t="inlineStr">
        <is>
          <t>Термометр сопротивления</t>
        </is>
      </c>
      <c r="C18" s="245" t="inlineStr">
        <is>
          <t>ТСП 012.60 Pt100/В/3</t>
        </is>
      </c>
      <c r="D18" s="245" t="inlineStr">
        <is>
          <t>366</t>
        </is>
      </c>
      <c r="E18" s="245" t="inlineStr">
        <is>
          <t>2011</t>
        </is>
      </c>
      <c r="F18" s="245" t="inlineStr">
        <is>
          <t>-60…200 °С</t>
        </is>
      </c>
      <c r="G18" s="245" t="inlineStr">
        <is>
          <t>B</t>
        </is>
      </c>
      <c r="H18" s="243" t="inlineStr">
        <is>
          <t>Температура воздуха в контейнере блока БПТГ т.1</t>
        </is>
      </c>
      <c r="I18" s="245" t="inlineStr">
        <is>
          <t>ГПА 63 БПТГ</t>
        </is>
      </c>
      <c r="J18" s="243" t="inlineStr">
        <is>
          <t>АСУ,А и ТМ (КЦ № 6)</t>
        </is>
      </c>
      <c r="K18" s="243" t="inlineStr">
        <is>
          <t>2012</t>
        </is>
      </c>
      <c r="L18" s="243" t="inlineStr">
        <is>
          <t>36</t>
        </is>
      </c>
      <c r="M18" s="246" t="inlineStr"/>
      <c r="N18" s="245" t="inlineStr"/>
    </row>
    <row r="19" ht="22.5" customHeight="1" s="236">
      <c r="A19" s="243" t="n">
        <v>18</v>
      </c>
      <c r="B19" s="248" t="inlineStr">
        <is>
          <t>Термометр сопротивления</t>
        </is>
      </c>
      <c r="C19" s="245" t="inlineStr">
        <is>
          <t>ТСП 012.60 Pt100/В/3</t>
        </is>
      </c>
      <c r="D19" s="245" t="inlineStr">
        <is>
          <t>378</t>
        </is>
      </c>
      <c r="E19" s="245" t="inlineStr">
        <is>
          <t>2011</t>
        </is>
      </c>
      <c r="F19" s="245" t="inlineStr">
        <is>
          <t>-60…200 °С</t>
        </is>
      </c>
      <c r="G19" s="245" t="inlineStr">
        <is>
          <t>B</t>
        </is>
      </c>
      <c r="H19" s="243" t="inlineStr">
        <is>
          <t>Температура воздуха в контейнере блока БПТГ т.2</t>
        </is>
      </c>
      <c r="I19" s="245" t="inlineStr">
        <is>
          <t>ГПА 63 БПТГ</t>
        </is>
      </c>
      <c r="J19" s="243" t="inlineStr">
        <is>
          <t>АСУ,А и ТМ (КЦ № 6)</t>
        </is>
      </c>
      <c r="K19" s="243" t="inlineStr">
        <is>
          <t>2012</t>
        </is>
      </c>
      <c r="L19" s="243" t="inlineStr">
        <is>
          <t>36</t>
        </is>
      </c>
      <c r="M19" s="246" t="inlineStr"/>
      <c r="N19" s="245" t="inlineStr"/>
    </row>
    <row r="20" ht="15" customHeight="1" s="236">
      <c r="A20" s="243" t="n">
        <v>19</v>
      </c>
      <c r="B20" s="248" t="inlineStr">
        <is>
          <t>Термометр сопротивления</t>
        </is>
      </c>
      <c r="C20" s="245" t="inlineStr">
        <is>
          <t>ТСП 012.60 Pt100/В/3</t>
        </is>
      </c>
      <c r="D20" s="245" t="inlineStr">
        <is>
          <t>380</t>
        </is>
      </c>
      <c r="E20" s="245" t="inlineStr">
        <is>
          <t>2011</t>
        </is>
      </c>
      <c r="F20" s="245" t="inlineStr">
        <is>
          <t>-60…200 °С</t>
        </is>
      </c>
      <c r="G20" s="245" t="inlineStr">
        <is>
          <t>B</t>
        </is>
      </c>
      <c r="H20" s="243" t="inlineStr">
        <is>
          <t>Температура масла EK225</t>
        </is>
      </c>
      <c r="I20" s="245" t="inlineStr">
        <is>
          <t>ГПА 63 БПТГ</t>
        </is>
      </c>
      <c r="J20" s="243" t="inlineStr">
        <is>
          <t>АСУ,А и ТМ (КЦ № 6)</t>
        </is>
      </c>
      <c r="K20" s="243" t="inlineStr">
        <is>
          <t>2012</t>
        </is>
      </c>
      <c r="L20" s="243" t="inlineStr">
        <is>
          <t>36</t>
        </is>
      </c>
      <c r="M20" s="246" t="inlineStr"/>
      <c r="N20" s="245" t="inlineStr"/>
    </row>
    <row r="21" ht="15" customHeight="1" s="236">
      <c r="A21" s="243" t="n">
        <v>20</v>
      </c>
      <c r="B21" s="248" t="inlineStr">
        <is>
          <t>Термометр сопротивления</t>
        </is>
      </c>
      <c r="C21" s="245" t="inlineStr">
        <is>
          <t>ТСП 012.60 Pt100/В/3</t>
        </is>
      </c>
      <c r="D21" s="245" t="inlineStr">
        <is>
          <t>379</t>
        </is>
      </c>
      <c r="E21" s="245" t="inlineStr">
        <is>
          <t>2011</t>
        </is>
      </c>
      <c r="F21" s="245" t="inlineStr">
        <is>
          <t>-60…200 °С</t>
        </is>
      </c>
      <c r="G21" s="245" t="inlineStr">
        <is>
          <t>B</t>
        </is>
      </c>
      <c r="H21" s="243" t="inlineStr">
        <is>
          <t>Температура масла EK226</t>
        </is>
      </c>
      <c r="I21" s="245" t="inlineStr">
        <is>
          <t>ГПА 63 БПТГ</t>
        </is>
      </c>
      <c r="J21" s="243" t="inlineStr">
        <is>
          <t>АСУ,А и ТМ (КЦ № 6)</t>
        </is>
      </c>
      <c r="K21" s="243" t="inlineStr">
        <is>
          <t>2012</t>
        </is>
      </c>
      <c r="L21" s="243" t="inlineStr">
        <is>
          <t>36</t>
        </is>
      </c>
      <c r="M21" s="246" t="inlineStr"/>
      <c r="N21" s="245" t="inlineStr"/>
    </row>
    <row r="22" ht="15" customHeight="1" s="236">
      <c r="A22" s="243" t="n">
        <v>21</v>
      </c>
      <c r="B22" s="248" t="inlineStr">
        <is>
          <t>Датчик уровня</t>
        </is>
      </c>
      <c r="C22" s="245" t="inlineStr">
        <is>
          <t>KROHNE Optiswitch 5200C</t>
        </is>
      </c>
      <c r="D22" s="245" t="inlineStr">
        <is>
          <t>20543605</t>
        </is>
      </c>
      <c r="E22" s="245" t="inlineStr">
        <is>
          <t>2011</t>
        </is>
      </c>
      <c r="F22" s="245" t="inlineStr">
        <is>
          <t>0…400 мм</t>
        </is>
      </c>
      <c r="G22" s="245" t="inlineStr"/>
      <c r="H22" s="243" t="inlineStr">
        <is>
          <t>Уровень антифриза в ЭПГ 700/1</t>
        </is>
      </c>
      <c r="I22" s="245" t="inlineStr">
        <is>
          <t>ГПА 63 БПТГ</t>
        </is>
      </c>
      <c r="J22" s="243" t="inlineStr">
        <is>
          <t>АСУ,А и ТМ (КЦ № 6)</t>
        </is>
      </c>
      <c r="K22" s="243" t="inlineStr"/>
      <c r="L22" s="243" t="inlineStr"/>
      <c r="M22" s="246" t="inlineStr"/>
      <c r="N22" s="245" t="inlineStr"/>
    </row>
    <row r="23" ht="15" customHeight="1" s="236">
      <c r="A23" s="243" t="n">
        <v>22</v>
      </c>
      <c r="B23" s="248" t="inlineStr">
        <is>
          <t>Датчик уровня</t>
        </is>
      </c>
      <c r="C23" s="245" t="inlineStr">
        <is>
          <t>KROHNE Optiswitch 5200C</t>
        </is>
      </c>
      <c r="D23" s="245" t="inlineStr">
        <is>
          <t>20543604</t>
        </is>
      </c>
      <c r="E23" s="245" t="inlineStr">
        <is>
          <t>2011</t>
        </is>
      </c>
      <c r="F23" s="245" t="inlineStr">
        <is>
          <t>0…400 мм</t>
        </is>
      </c>
      <c r="G23" s="245" t="inlineStr"/>
      <c r="H23" s="243" t="inlineStr">
        <is>
          <t>Уровень антифриза в ЭПГ 700/2</t>
        </is>
      </c>
      <c r="I23" s="245" t="inlineStr">
        <is>
          <t>ГПА 63 БПТГ</t>
        </is>
      </c>
      <c r="J23" s="243" t="inlineStr">
        <is>
          <t>АСУ,А и ТМ (КЦ № 6)</t>
        </is>
      </c>
      <c r="K23" s="243" t="inlineStr"/>
      <c r="L23" s="243" t="inlineStr"/>
      <c r="M23" s="246" t="inlineStr"/>
      <c r="N23" s="245" t="inlineStr"/>
    </row>
    <row r="24" ht="15" customHeight="1" s="236">
      <c r="A24" s="243" t="n">
        <v>23</v>
      </c>
      <c r="B24" s="244" t="inlineStr">
        <is>
          <t>Контроль загазованности</t>
        </is>
      </c>
      <c r="C24" s="245" t="inlineStr">
        <is>
          <t>Det-Tronics (PIRECL 21M)</t>
        </is>
      </c>
      <c r="D24" s="245" t="inlineStr">
        <is>
          <t>1105275</t>
        </is>
      </c>
      <c r="E24" s="245" t="inlineStr">
        <is>
          <t>2011</t>
        </is>
      </c>
      <c r="F24" s="245" t="inlineStr"/>
      <c r="G24" s="245" t="inlineStr"/>
      <c r="H24" s="243" t="inlineStr">
        <is>
          <t>ЭП 700/2 (QT 502)</t>
        </is>
      </c>
      <c r="I24" s="245" t="inlineStr">
        <is>
          <t>ГПА 63 БПТГ</t>
        </is>
      </c>
      <c r="J24" s="243" t="inlineStr">
        <is>
          <t>АСУ,А и ТМ (КЦ № 6)</t>
        </is>
      </c>
      <c r="K24" s="243" t="inlineStr">
        <is>
          <t>2012</t>
        </is>
      </c>
      <c r="L24" s="243" t="inlineStr"/>
      <c r="M24" s="246" t="inlineStr"/>
      <c r="N24" s="245" t="inlineStr"/>
    </row>
    <row r="25" ht="15" customHeight="1" s="236">
      <c r="A25" s="243" t="n">
        <v>24</v>
      </c>
      <c r="B25" s="244" t="inlineStr">
        <is>
          <t>Контроль загазованности</t>
        </is>
      </c>
      <c r="C25" s="245" t="inlineStr">
        <is>
          <t>Det-Tronics (PIRECL 21M)</t>
        </is>
      </c>
      <c r="D25" s="245" t="inlineStr">
        <is>
          <t>1105086</t>
        </is>
      </c>
      <c r="E25" s="245" t="inlineStr">
        <is>
          <t>2011</t>
        </is>
      </c>
      <c r="F25" s="245" t="inlineStr"/>
      <c r="G25" s="245" t="inlineStr"/>
      <c r="H25" s="243" t="inlineStr">
        <is>
          <t>ЭП 700/1 (QT 501)</t>
        </is>
      </c>
      <c r="I25" s="245" t="inlineStr">
        <is>
          <t>ГПА 63 БПТГ</t>
        </is>
      </c>
      <c r="J25" s="243" t="inlineStr">
        <is>
          <t>АСУ,А и ТМ (КЦ № 6)</t>
        </is>
      </c>
      <c r="K25" s="243" t="inlineStr">
        <is>
          <t>2012</t>
        </is>
      </c>
      <c r="L25" s="243" t="inlineStr"/>
      <c r="M25" s="246" t="inlineStr"/>
      <c r="N25" s="245" t="inlineStr"/>
    </row>
    <row r="26" ht="15" customHeight="1" s="236">
      <c r="A26" s="243" t="n">
        <v>25</v>
      </c>
      <c r="B26" s="244" t="inlineStr">
        <is>
          <t>Датчик пламени</t>
        </is>
      </c>
      <c r="C26" s="245" t="inlineStr">
        <is>
          <t>ИП330/3-20-А1</t>
        </is>
      </c>
      <c r="D26" s="245" t="inlineStr">
        <is>
          <t>001041</t>
        </is>
      </c>
      <c r="E26" s="245" t="inlineStr">
        <is>
          <t>2011</t>
        </is>
      </c>
      <c r="F26" s="245" t="inlineStr"/>
      <c r="G26" s="245" t="inlineStr"/>
      <c r="H26" s="243" t="inlineStr">
        <is>
          <t>(BTF501)</t>
        </is>
      </c>
      <c r="I26" s="245" t="inlineStr">
        <is>
          <t>ГПА 63 БПТГ</t>
        </is>
      </c>
      <c r="J26" s="243" t="inlineStr">
        <is>
          <t>АСУ,А и ТМ (КЦ № 6)</t>
        </is>
      </c>
      <c r="K26" s="243" t="inlineStr">
        <is>
          <t>2012</t>
        </is>
      </c>
      <c r="L26" s="243" t="inlineStr"/>
      <c r="M26" s="246" t="inlineStr"/>
      <c r="N26" s="245" t="inlineStr"/>
    </row>
    <row r="27" ht="15" customHeight="1" s="236">
      <c r="A27" s="243" t="n">
        <v>26</v>
      </c>
      <c r="B27" s="244" t="inlineStr">
        <is>
          <t>Датчик пламени</t>
        </is>
      </c>
      <c r="C27" s="245" t="inlineStr">
        <is>
          <t>ИП330/3-20-А1</t>
        </is>
      </c>
      <c r="D27" s="245" t="inlineStr">
        <is>
          <t>001015</t>
        </is>
      </c>
      <c r="E27" s="245" t="inlineStr">
        <is>
          <t>2011</t>
        </is>
      </c>
      <c r="F27" s="245" t="inlineStr"/>
      <c r="G27" s="245" t="inlineStr"/>
      <c r="H27" s="243" t="inlineStr">
        <is>
          <t>(BTF502)</t>
        </is>
      </c>
      <c r="I27" s="245" t="inlineStr">
        <is>
          <t>ГПА 63 БПТГ</t>
        </is>
      </c>
      <c r="J27" s="243" t="inlineStr">
        <is>
          <t>АСУ,А и ТМ (КЦ № 6)</t>
        </is>
      </c>
      <c r="K27" s="243" t="inlineStr">
        <is>
          <t>2012</t>
        </is>
      </c>
      <c r="L27" s="243" t="inlineStr"/>
      <c r="M27" s="246" t="inlineStr"/>
      <c r="N27" s="245" t="inlineStr"/>
    </row>
    <row r="28" ht="14.25" customHeight="1" s="236">
      <c r="A28" s="243" t="n">
        <v>27</v>
      </c>
      <c r="B28" s="244" t="inlineStr">
        <is>
          <t>Датчик пламени</t>
        </is>
      </c>
      <c r="C28" s="245" t="inlineStr">
        <is>
          <t>ИП330/3-20-А1</t>
        </is>
      </c>
      <c r="D28" s="245" t="inlineStr">
        <is>
          <t>001018</t>
        </is>
      </c>
      <c r="E28" s="245" t="inlineStr">
        <is>
          <t>2011</t>
        </is>
      </c>
      <c r="F28" s="245" t="inlineStr"/>
      <c r="G28" s="245" t="inlineStr"/>
      <c r="H28" s="243" t="inlineStr">
        <is>
          <t>(BTF503)</t>
        </is>
      </c>
      <c r="I28" s="245" t="inlineStr">
        <is>
          <t>ГПА 63 БПТГ</t>
        </is>
      </c>
      <c r="J28" s="243" t="inlineStr">
        <is>
          <t>АСУ,А и ТМ (КЦ № 6)</t>
        </is>
      </c>
      <c r="K28" s="243" t="inlineStr">
        <is>
          <t>2012</t>
        </is>
      </c>
      <c r="L28" s="243" t="inlineStr"/>
      <c r="M28" s="246" t="inlineStr"/>
      <c r="N28" s="245" t="inlineStr"/>
    </row>
    <row r="29" ht="15" customHeight="1" s="236">
      <c r="A29" s="243" t="n">
        <v>28</v>
      </c>
      <c r="B29" s="244" t="inlineStr">
        <is>
          <t>Датчик пламени</t>
        </is>
      </c>
      <c r="C29" s="245" t="inlineStr">
        <is>
          <t>ИП330/3-20-А1</t>
        </is>
      </c>
      <c r="D29" s="245" t="inlineStr">
        <is>
          <t>001012</t>
        </is>
      </c>
      <c r="E29" s="245" t="inlineStr">
        <is>
          <t>2011</t>
        </is>
      </c>
      <c r="F29" s="245" t="inlineStr"/>
      <c r="G29" s="245" t="inlineStr"/>
      <c r="H29" s="243" t="inlineStr">
        <is>
          <t>(BTF504)</t>
        </is>
      </c>
      <c r="I29" s="245" t="inlineStr">
        <is>
          <t>ГПА 63 БПТГ</t>
        </is>
      </c>
      <c r="J29" s="243" t="inlineStr">
        <is>
          <t>АСУ,А и ТМ (КЦ № 6)</t>
        </is>
      </c>
      <c r="K29" s="243" t="inlineStr">
        <is>
          <t>2012</t>
        </is>
      </c>
      <c r="L29" s="243" t="inlineStr"/>
      <c r="M29" s="246" t="inlineStr"/>
      <c r="N29" s="245" t="inlineStr"/>
    </row>
    <row r="30" ht="15" customHeight="1" s="236">
      <c r="A30" s="243" t="n">
        <v>29</v>
      </c>
      <c r="B30" s="248" t="inlineStr">
        <is>
          <t>Термометр сопротивления</t>
        </is>
      </c>
      <c r="C30" s="245" t="inlineStr">
        <is>
          <t>ТСПУ-Л 22322 УХЛ3.1</t>
        </is>
      </c>
      <c r="D30" s="245" t="inlineStr">
        <is>
          <t>10</t>
        </is>
      </c>
      <c r="E30" s="245" t="inlineStr">
        <is>
          <t>2011</t>
        </is>
      </c>
      <c r="F30" s="245" t="inlineStr">
        <is>
          <t>-60…100 °С</t>
        </is>
      </c>
      <c r="G30" s="245" t="inlineStr">
        <is>
          <t>±0,5 %</t>
        </is>
      </c>
      <c r="H30" s="243" t="inlineStr">
        <is>
          <t>Т нагретого воздуха</t>
        </is>
      </c>
      <c r="I30" s="245" t="inlineStr">
        <is>
          <t>ГПА 63 АВГМ</t>
        </is>
      </c>
      <c r="J30" s="243" t="inlineStr">
        <is>
          <t>АСУ,А и ТМ (КЦ № 6)</t>
        </is>
      </c>
      <c r="K30" s="243" t="inlineStr">
        <is>
          <t>2012</t>
        </is>
      </c>
      <c r="L30" s="243" t="inlineStr">
        <is>
          <t>24</t>
        </is>
      </c>
      <c r="M30" s="246" t="inlineStr"/>
      <c r="N30" s="245" t="inlineStr"/>
    </row>
    <row r="31" ht="15" customHeight="1" s="236">
      <c r="A31" s="243" t="n">
        <v>30</v>
      </c>
      <c r="B31" s="248" t="inlineStr">
        <is>
          <t>Термометр сопротивления</t>
        </is>
      </c>
      <c r="C31" s="245" t="inlineStr">
        <is>
          <t>ТСПУ-Л 22322 УХЛ3.1</t>
        </is>
      </c>
      <c r="D31" s="245" t="inlineStr">
        <is>
          <t>11</t>
        </is>
      </c>
      <c r="E31" s="245" t="inlineStr">
        <is>
          <t>2011</t>
        </is>
      </c>
      <c r="F31" s="245" t="inlineStr">
        <is>
          <t>-60…100 °С</t>
        </is>
      </c>
      <c r="G31" s="245" t="inlineStr">
        <is>
          <t>±0,5 %</t>
        </is>
      </c>
      <c r="H31" s="243" t="inlineStr">
        <is>
          <t>Тг на газовом счетчике</t>
        </is>
      </c>
      <c r="I31" s="245" t="inlineStr">
        <is>
          <t>ГПА 63 АВГМ</t>
        </is>
      </c>
      <c r="J31" s="243" t="inlineStr">
        <is>
          <t>АСУ,А и ТМ (КЦ № 6)</t>
        </is>
      </c>
      <c r="K31" s="243" t="inlineStr">
        <is>
          <t>2012</t>
        </is>
      </c>
      <c r="L31" s="243" t="inlineStr">
        <is>
          <t>24</t>
        </is>
      </c>
      <c r="M31" s="246" t="inlineStr"/>
      <c r="N31" s="245" t="inlineStr"/>
    </row>
    <row r="32" ht="15" customHeight="1" s="236">
      <c r="A32" s="243" t="n">
        <v>31</v>
      </c>
      <c r="B32" s="248" t="inlineStr">
        <is>
          <t>Термометр сопротивления</t>
        </is>
      </c>
      <c r="C32" s="245" t="inlineStr">
        <is>
          <t>ТСПУ-Л 22322 УХЛ3.1</t>
        </is>
      </c>
      <c r="D32" s="245" t="inlineStr">
        <is>
          <t>35</t>
        </is>
      </c>
      <c r="E32" s="245" t="inlineStr">
        <is>
          <t>2011</t>
        </is>
      </c>
      <c r="F32" s="245" t="inlineStr">
        <is>
          <t>-60…100 °С</t>
        </is>
      </c>
      <c r="G32" s="245" t="inlineStr">
        <is>
          <t>±0,5 %</t>
        </is>
      </c>
      <c r="H32" s="243" t="inlineStr">
        <is>
          <t>Т теплообменника 1</t>
        </is>
      </c>
      <c r="I32" s="245" t="inlineStr">
        <is>
          <t>ГПА 63 АВГМ</t>
        </is>
      </c>
      <c r="J32" s="243" t="inlineStr">
        <is>
          <t>АСУ,А и ТМ (КЦ № 6)</t>
        </is>
      </c>
      <c r="K32" s="243" t="inlineStr">
        <is>
          <t>2021</t>
        </is>
      </c>
      <c r="L32" s="243" t="inlineStr">
        <is>
          <t>24</t>
        </is>
      </c>
      <c r="M32" s="246" t="inlineStr"/>
      <c r="N32" s="245" t="inlineStr"/>
    </row>
    <row r="33" ht="15" customHeight="1" s="236">
      <c r="A33" s="243" t="n">
        <v>32</v>
      </c>
      <c r="B33" s="248" t="inlineStr">
        <is>
          <t>Термометр сопротивления</t>
        </is>
      </c>
      <c r="C33" s="245" t="inlineStr">
        <is>
          <t>ТСПУ-Л 22322 УХЛ3.1</t>
        </is>
      </c>
      <c r="D33" s="245" t="inlineStr">
        <is>
          <t>24</t>
        </is>
      </c>
      <c r="E33" s="245" t="inlineStr">
        <is>
          <t>2011</t>
        </is>
      </c>
      <c r="F33" s="245" t="inlineStr">
        <is>
          <t>-60…100 °С</t>
        </is>
      </c>
      <c r="G33" s="245" t="inlineStr">
        <is>
          <t>±0,5 %</t>
        </is>
      </c>
      <c r="H33" s="243" t="inlineStr">
        <is>
          <t>Т теплообменника 2</t>
        </is>
      </c>
      <c r="I33" s="245" t="inlineStr">
        <is>
          <t>ГПА 63 АВГМ</t>
        </is>
      </c>
      <c r="J33" s="243" t="inlineStr">
        <is>
          <t>АСУ,А и ТМ (КЦ № 6)</t>
        </is>
      </c>
      <c r="K33" s="243" t="inlineStr">
        <is>
          <t>2012</t>
        </is>
      </c>
      <c r="L33" s="243" t="inlineStr">
        <is>
          <t>24</t>
        </is>
      </c>
      <c r="M33" s="246" t="inlineStr"/>
      <c r="N33" s="245" t="inlineStr"/>
    </row>
    <row r="34" ht="15" customHeight="1" s="236">
      <c r="A34" s="243" t="n">
        <v>33</v>
      </c>
      <c r="B34" s="248" t="inlineStr">
        <is>
          <t>Термометр сопротивления</t>
        </is>
      </c>
      <c r="C34" s="245" t="inlineStr">
        <is>
          <t>ТСПУ-Л 22322 УХЛ3.1</t>
        </is>
      </c>
      <c r="D34" s="245" t="inlineStr">
        <is>
          <t>21</t>
        </is>
      </c>
      <c r="E34" s="245" t="inlineStr">
        <is>
          <t>2011</t>
        </is>
      </c>
      <c r="F34" s="245" t="inlineStr">
        <is>
          <t>-60…100 °С</t>
        </is>
      </c>
      <c r="G34" s="245" t="inlineStr">
        <is>
          <t>±0,5 %</t>
        </is>
      </c>
      <c r="H34" s="243" t="inlineStr">
        <is>
          <t>Тг на входе</t>
        </is>
      </c>
      <c r="I34" s="245" t="inlineStr">
        <is>
          <t>ГПА 63 АВГМ</t>
        </is>
      </c>
      <c r="J34" s="243" t="inlineStr">
        <is>
          <t>АСУ,А и ТМ (КЦ № 6)</t>
        </is>
      </c>
      <c r="K34" s="243" t="inlineStr">
        <is>
          <t>2012</t>
        </is>
      </c>
      <c r="L34" s="243" t="inlineStr">
        <is>
          <t>24</t>
        </is>
      </c>
      <c r="M34" s="246" t="inlineStr"/>
      <c r="N34" s="245" t="inlineStr"/>
    </row>
    <row r="35" ht="15" customHeight="1" s="236">
      <c r="A35" s="243" t="n">
        <v>34</v>
      </c>
      <c r="B35" s="248" t="inlineStr">
        <is>
          <t>Термометр сопротивления</t>
        </is>
      </c>
      <c r="C35" s="245" t="inlineStr">
        <is>
          <t>ТСПУ-Л 22322 УХЛ3.1</t>
        </is>
      </c>
      <c r="D35" s="245" t="inlineStr">
        <is>
          <t>20</t>
        </is>
      </c>
      <c r="E35" s="245" t="inlineStr">
        <is>
          <t>2011</t>
        </is>
      </c>
      <c r="F35" s="245" t="inlineStr">
        <is>
          <t>-60…100 °С</t>
        </is>
      </c>
      <c r="G35" s="245" t="inlineStr">
        <is>
          <t>±0,5 %</t>
        </is>
      </c>
      <c r="H35" s="243" t="inlineStr">
        <is>
          <t>Тв в секции обслуживания</t>
        </is>
      </c>
      <c r="I35" s="245" t="inlineStr">
        <is>
          <t>ГПА 63 АВГМ</t>
        </is>
      </c>
      <c r="J35" s="243" t="inlineStr">
        <is>
          <t>АСУ,А и ТМ (КЦ № 6)</t>
        </is>
      </c>
      <c r="K35" s="243" t="inlineStr">
        <is>
          <t>2012</t>
        </is>
      </c>
      <c r="L35" s="243" t="inlineStr">
        <is>
          <t>24</t>
        </is>
      </c>
      <c r="M35" s="246" t="inlineStr"/>
      <c r="N35" s="245" t="inlineStr"/>
    </row>
    <row r="36" ht="15" customHeight="1" s="236">
      <c r="A36" s="243" t="n">
        <v>35</v>
      </c>
      <c r="B36" s="244" t="inlineStr">
        <is>
          <t>Манометр технический</t>
        </is>
      </c>
      <c r="C36" s="245" t="inlineStr">
        <is>
          <t>МП4-УУ2</t>
        </is>
      </c>
      <c r="D36" s="245" t="inlineStr">
        <is>
          <t>15252</t>
        </is>
      </c>
      <c r="E36" s="245" t="inlineStr">
        <is>
          <t>2010</t>
        </is>
      </c>
      <c r="F36" s="245" t="inlineStr">
        <is>
          <t>0…0,6 кгс/см2</t>
        </is>
      </c>
      <c r="G36" s="245" t="inlineStr">
        <is>
          <t>1.5</t>
        </is>
      </c>
      <c r="H36" s="243" t="inlineStr">
        <is>
          <t>Р газа после счетчика АВГМ</t>
        </is>
      </c>
      <c r="I36" s="245" t="inlineStr">
        <is>
          <t>ГПА 63 АВГМ</t>
        </is>
      </c>
      <c r="J36" s="243" t="inlineStr">
        <is>
          <t>АСУ,А и ТМ (КЦ № 6)</t>
        </is>
      </c>
      <c r="K36" s="243" t="inlineStr">
        <is>
          <t>2012</t>
        </is>
      </c>
      <c r="L36" s="243" t="inlineStr">
        <is>
          <t>12</t>
        </is>
      </c>
      <c r="M36" s="246" t="inlineStr">
        <is>
          <t>1К26</t>
        </is>
      </c>
      <c r="N36" s="245" t="inlineStr">
        <is>
          <t>К</t>
        </is>
      </c>
    </row>
    <row r="37" ht="15" customHeight="1" s="236">
      <c r="A37" s="243" t="n">
        <v>36</v>
      </c>
      <c r="B37" s="244" t="inlineStr">
        <is>
          <t>Манометр технический</t>
        </is>
      </c>
      <c r="C37" s="245" t="inlineStr">
        <is>
          <t>ДМ8008-ВУ-У2</t>
        </is>
      </c>
      <c r="D37" s="245" t="inlineStr">
        <is>
          <t>15152</t>
        </is>
      </c>
      <c r="E37" s="245" t="inlineStr">
        <is>
          <t>2010</t>
        </is>
      </c>
      <c r="F37" s="245" t="inlineStr">
        <is>
          <t>0…6 кгс/см2</t>
        </is>
      </c>
      <c r="G37" s="245" t="inlineStr">
        <is>
          <t>1.5</t>
        </is>
      </c>
      <c r="H37" s="243" t="inlineStr">
        <is>
          <t>Р газа на входе АВГМ</t>
        </is>
      </c>
      <c r="I37" s="245" t="inlineStr">
        <is>
          <t>ГПА 63 АВГМ</t>
        </is>
      </c>
      <c r="J37" s="243" t="inlineStr">
        <is>
          <t>АСУ,А и ТМ (КЦ № 6)</t>
        </is>
      </c>
      <c r="K37" s="243" t="inlineStr">
        <is>
          <t>2012</t>
        </is>
      </c>
      <c r="L37" s="243" t="inlineStr">
        <is>
          <t>12</t>
        </is>
      </c>
      <c r="M37" s="246" t="inlineStr">
        <is>
          <t>1К26</t>
        </is>
      </c>
      <c r="N37" s="245" t="inlineStr">
        <is>
          <t>К</t>
        </is>
      </c>
    </row>
    <row r="38" ht="15" customHeight="1" s="236">
      <c r="A38" s="243" t="n">
        <v>37</v>
      </c>
      <c r="B38" s="244" t="inlineStr">
        <is>
          <t>Контроль загазованности</t>
        </is>
      </c>
      <c r="C38" s="245" t="inlineStr">
        <is>
          <t>Det-Tronics (PIRECL 21M)</t>
        </is>
      </c>
      <c r="D38" s="245" t="inlineStr">
        <is>
          <t>1201046</t>
        </is>
      </c>
      <c r="E38" s="245" t="inlineStr">
        <is>
          <t>2011</t>
        </is>
      </c>
      <c r="F38" s="245" t="inlineStr"/>
      <c r="G38" s="245" t="inlineStr"/>
      <c r="H38" s="243" t="inlineStr">
        <is>
          <t>QT 701</t>
        </is>
      </c>
      <c r="I38" s="245" t="inlineStr">
        <is>
          <t>ГПА 63 АВГМ</t>
        </is>
      </c>
      <c r="J38" s="243" t="inlineStr">
        <is>
          <t>АСУ,А и ТМ (КЦ № 6)</t>
        </is>
      </c>
      <c r="K38" s="243" t="inlineStr">
        <is>
          <t>2012</t>
        </is>
      </c>
      <c r="L38" s="243" t="inlineStr"/>
      <c r="M38" s="246" t="inlineStr"/>
      <c r="N38" s="245" t="inlineStr"/>
    </row>
    <row r="39" ht="22.5" customHeight="1" s="236">
      <c r="A39" s="243" t="n">
        <v>38</v>
      </c>
      <c r="B39" s="244" t="inlineStr">
        <is>
          <t>Извещатель тепловой пожарный</t>
        </is>
      </c>
      <c r="C39" s="245" t="inlineStr">
        <is>
          <t>Fenwal 12-X27121-000</t>
        </is>
      </c>
      <c r="D39" s="245" t="inlineStr">
        <is>
          <t>1924</t>
        </is>
      </c>
      <c r="E39" s="245" t="inlineStr">
        <is>
          <t>2011</t>
        </is>
      </c>
      <c r="F39" s="245" t="inlineStr">
        <is>
          <t>-55…150 °С</t>
        </is>
      </c>
      <c r="G39" s="245" t="inlineStr"/>
      <c r="H39" s="243" t="inlineStr">
        <is>
          <t>BTK 501</t>
        </is>
      </c>
      <c r="I39" s="245" t="inlineStr">
        <is>
          <t>ГПА 63 АВГМ</t>
        </is>
      </c>
      <c r="J39" s="243" t="inlineStr">
        <is>
          <t>АСУ,А и ТМ (КЦ № 6)</t>
        </is>
      </c>
      <c r="K39" s="243" t="inlineStr">
        <is>
          <t>2012</t>
        </is>
      </c>
      <c r="L39" s="243" t="inlineStr"/>
      <c r="M39" s="246" t="inlineStr"/>
      <c r="N39" s="245" t="inlineStr"/>
    </row>
    <row r="40" ht="22.5" customHeight="1" s="236">
      <c r="A40" s="243" t="n">
        <v>39</v>
      </c>
      <c r="B40" s="244" t="inlineStr">
        <is>
          <t>Извещатель тепловой пожарный</t>
        </is>
      </c>
      <c r="C40" s="245" t="inlineStr">
        <is>
          <t>Fenwal 12-X27121-000</t>
        </is>
      </c>
      <c r="D40" s="245" t="inlineStr">
        <is>
          <t>1925</t>
        </is>
      </c>
      <c r="E40" s="245" t="inlineStr">
        <is>
          <t>2011</t>
        </is>
      </c>
      <c r="F40" s="245" t="inlineStr">
        <is>
          <t>-55…150 °С</t>
        </is>
      </c>
      <c r="G40" s="245" t="inlineStr"/>
      <c r="H40" s="243" t="inlineStr">
        <is>
          <t>BTK 502</t>
        </is>
      </c>
      <c r="I40" s="245" t="inlineStr">
        <is>
          <t>ГПА 63 АВГМ</t>
        </is>
      </c>
      <c r="J40" s="243" t="inlineStr">
        <is>
          <t>АСУ,А и ТМ (КЦ № 6)</t>
        </is>
      </c>
      <c r="K40" s="243" t="inlineStr">
        <is>
          <t>2012</t>
        </is>
      </c>
      <c r="L40" s="243" t="inlineStr"/>
      <c r="M40" s="246" t="inlineStr"/>
      <c r="N40" s="245" t="inlineStr"/>
    </row>
    <row r="41" ht="22.5" customHeight="1" s="236">
      <c r="A41" s="243" t="n">
        <v>40</v>
      </c>
      <c r="B41" s="244" t="inlineStr">
        <is>
          <t>Извещатель тепловой пожарный</t>
        </is>
      </c>
      <c r="C41" s="245" t="inlineStr">
        <is>
          <t>Fenwal 12-X27121-000</t>
        </is>
      </c>
      <c r="D41" s="245" t="inlineStr">
        <is>
          <t>1926</t>
        </is>
      </c>
      <c r="E41" s="245" t="inlineStr">
        <is>
          <t>2011</t>
        </is>
      </c>
      <c r="F41" s="245" t="inlineStr">
        <is>
          <t>-55…150 °С</t>
        </is>
      </c>
      <c r="G41" s="245" t="inlineStr"/>
      <c r="H41" s="243" t="inlineStr">
        <is>
          <t>BTK 503</t>
        </is>
      </c>
      <c r="I41" s="245" t="inlineStr">
        <is>
          <t>ГПА 63 АВГМ</t>
        </is>
      </c>
      <c r="J41" s="243" t="inlineStr">
        <is>
          <t>АСУ,А и ТМ (КЦ № 6)</t>
        </is>
      </c>
      <c r="K41" s="243" t="inlineStr">
        <is>
          <t>2012</t>
        </is>
      </c>
      <c r="L41" s="243" t="inlineStr"/>
      <c r="M41" s="246" t="inlineStr"/>
      <c r="N41" s="245" t="inlineStr"/>
    </row>
    <row r="42" ht="22.5" customHeight="1" s="236">
      <c r="A42" s="243" t="n">
        <v>41</v>
      </c>
      <c r="B42" s="249" t="inlineStr">
        <is>
          <t>Преобразователь избыточного давления</t>
        </is>
      </c>
      <c r="C42" s="245" t="inlineStr">
        <is>
          <t>Dunas LGW 3 A2</t>
        </is>
      </c>
      <c r="D42" s="245" t="inlineStr">
        <is>
          <t>CE-0085 AQ0673</t>
        </is>
      </c>
      <c r="E42" s="245" t="inlineStr"/>
      <c r="F42" s="245" t="inlineStr">
        <is>
          <t>0…500 мбар</t>
        </is>
      </c>
      <c r="G42" s="245" t="inlineStr"/>
      <c r="H42" s="243" t="inlineStr">
        <is>
          <t>Перепад давления</t>
        </is>
      </c>
      <c r="I42" s="245" t="inlineStr">
        <is>
          <t>ГПА 63 АВГМ</t>
        </is>
      </c>
      <c r="J42" s="243" t="inlineStr">
        <is>
          <t>АСУ,А и ТМ (КЦ № 6)</t>
        </is>
      </c>
      <c r="K42" s="243" t="inlineStr">
        <is>
          <t>2012</t>
        </is>
      </c>
      <c r="L42" s="243" t="inlineStr"/>
      <c r="M42" s="246" t="inlineStr"/>
      <c r="N42" s="245" t="inlineStr"/>
    </row>
    <row r="43" ht="22.5" customHeight="1" s="236">
      <c r="A43" s="243" t="n">
        <v>42</v>
      </c>
      <c r="B43" s="249" t="inlineStr">
        <is>
          <t>Преобразователь избыточного давления</t>
        </is>
      </c>
      <c r="C43" s="245" t="inlineStr">
        <is>
          <t>ПРОМА-ИДМ-(В)</t>
        </is>
      </c>
      <c r="D43" s="245" t="inlineStr">
        <is>
          <t>108167</t>
        </is>
      </c>
      <c r="E43" s="245" t="inlineStr">
        <is>
          <t>2011</t>
        </is>
      </c>
      <c r="F43" s="245" t="inlineStr">
        <is>
          <t>0…1 кПа</t>
        </is>
      </c>
      <c r="G43" s="245" t="inlineStr"/>
      <c r="H43" s="243" t="inlineStr">
        <is>
          <t>Р воздуха на входе (датчик и прибор)</t>
        </is>
      </c>
      <c r="I43" s="245" t="inlineStr">
        <is>
          <t>ГПА 63 АВГМ</t>
        </is>
      </c>
      <c r="J43" s="243" t="inlineStr">
        <is>
          <t>АСУ,А и ТМ (КЦ № 6)</t>
        </is>
      </c>
      <c r="K43" s="243" t="inlineStr">
        <is>
          <t>2012</t>
        </is>
      </c>
      <c r="L43" s="243" t="inlineStr"/>
      <c r="M43" s="246" t="inlineStr"/>
      <c r="N43" s="245" t="inlineStr"/>
    </row>
    <row r="44" ht="22.5" customHeight="1" s="236">
      <c r="A44" s="243" t="n">
        <v>43</v>
      </c>
      <c r="B44" s="249" t="inlineStr">
        <is>
          <t>Преобразователь избыточного давления</t>
        </is>
      </c>
      <c r="C44" s="245" t="inlineStr">
        <is>
          <t>ДДМ-03-ДИ</t>
        </is>
      </c>
      <c r="D44" s="245" t="inlineStr">
        <is>
          <t>303044</t>
        </is>
      </c>
      <c r="E44" s="245" t="inlineStr"/>
      <c r="F44" s="245" t="inlineStr">
        <is>
          <t>0…40 кПа</t>
        </is>
      </c>
      <c r="G44" s="245" t="inlineStr"/>
      <c r="H44" s="243" t="inlineStr">
        <is>
          <t>Р газа полсе РД</t>
        </is>
      </c>
      <c r="I44" s="245" t="inlineStr">
        <is>
          <t>ГПА 63 АВГМ</t>
        </is>
      </c>
      <c r="J44" s="243" t="inlineStr">
        <is>
          <t>АСУ,А и ТМ (КЦ № 6)</t>
        </is>
      </c>
      <c r="K44" s="243" t="inlineStr">
        <is>
          <t>2012</t>
        </is>
      </c>
      <c r="L44" s="243" t="inlineStr"/>
      <c r="M44" s="246" t="inlineStr"/>
      <c r="N44" s="245" t="inlineStr"/>
    </row>
    <row r="45" ht="15" customHeight="1" s="236">
      <c r="A45" s="243" t="n">
        <v>44</v>
      </c>
      <c r="B45" s="248" t="inlineStr">
        <is>
          <t>Счетчик газа</t>
        </is>
      </c>
      <c r="C45" s="245" t="inlineStr">
        <is>
          <t>Elster ПГТИ G65</t>
        </is>
      </c>
      <c r="D45" s="245" t="inlineStr">
        <is>
          <t>11024685</t>
        </is>
      </c>
      <c r="E45" s="245" t="inlineStr">
        <is>
          <t>2011</t>
        </is>
      </c>
      <c r="F45" s="245" t="inlineStr">
        <is>
          <t>3…100 м3/ч</t>
        </is>
      </c>
      <c r="G45" s="245" t="inlineStr"/>
      <c r="H45" s="243" t="inlineStr">
        <is>
          <t>Счетчик газа</t>
        </is>
      </c>
      <c r="I45" s="245" t="inlineStr">
        <is>
          <t>ГПА 63 АВГМ</t>
        </is>
      </c>
      <c r="J45" s="243" t="inlineStr">
        <is>
          <t>АСУ,А и ТМ (КЦ № 6)</t>
        </is>
      </c>
      <c r="K45" s="243" t="inlineStr">
        <is>
          <t>2012</t>
        </is>
      </c>
      <c r="L45" s="243" t="inlineStr"/>
      <c r="M45" s="246" t="inlineStr"/>
      <c r="N45" s="245" t="inlineStr"/>
    </row>
    <row r="46" ht="15" customHeight="1" s="236">
      <c r="A46" s="243" t="n">
        <v>45</v>
      </c>
      <c r="B46" s="244" t="inlineStr">
        <is>
          <t>Манометр технический</t>
        </is>
      </c>
      <c r="C46" s="245" t="inlineStr">
        <is>
          <t>МП3-УУХЛ1</t>
        </is>
      </c>
      <c r="D46" s="245" t="inlineStr">
        <is>
          <t>152071</t>
        </is>
      </c>
      <c r="E46" s="245" t="inlineStr">
        <is>
          <t>2010</t>
        </is>
      </c>
      <c r="F46" s="245" t="inlineStr">
        <is>
          <t>0…160 кгс/см2</t>
        </is>
      </c>
      <c r="G46" s="245" t="inlineStr">
        <is>
          <t>1.5</t>
        </is>
      </c>
      <c r="H46" s="243" t="inlineStr">
        <is>
          <t>Р газа 1 секции</t>
        </is>
      </c>
      <c r="I46" s="245" t="inlineStr">
        <is>
          <t>ГПА 63 АВОГ</t>
        </is>
      </c>
      <c r="J46" s="243" t="inlineStr">
        <is>
          <t>АСУ,А и ТМ (КЦ № 6)</t>
        </is>
      </c>
      <c r="K46" s="243" t="inlineStr">
        <is>
          <t>2012</t>
        </is>
      </c>
      <c r="L46" s="243" t="inlineStr">
        <is>
          <t>12</t>
        </is>
      </c>
      <c r="M46" s="246" t="inlineStr">
        <is>
          <t>1К26</t>
        </is>
      </c>
      <c r="N46" s="245" t="inlineStr">
        <is>
          <t>К</t>
        </is>
      </c>
    </row>
    <row r="47" ht="15" customHeight="1" s="236">
      <c r="A47" s="243" t="n">
        <v>46</v>
      </c>
      <c r="B47" s="244" t="inlineStr">
        <is>
          <t>Манометр технический</t>
        </is>
      </c>
      <c r="C47" s="245" t="inlineStr">
        <is>
          <t>МП3-УУХЛ1</t>
        </is>
      </c>
      <c r="D47" s="245" t="inlineStr">
        <is>
          <t>15221</t>
        </is>
      </c>
      <c r="E47" s="245" t="inlineStr">
        <is>
          <t>2010</t>
        </is>
      </c>
      <c r="F47" s="245" t="inlineStr">
        <is>
          <t>0…160 кгс/см3</t>
        </is>
      </c>
      <c r="G47" s="245" t="inlineStr">
        <is>
          <t>1.5</t>
        </is>
      </c>
      <c r="H47" s="243" t="inlineStr">
        <is>
          <t>Р газа 2 секции</t>
        </is>
      </c>
      <c r="I47" s="245" t="inlineStr">
        <is>
          <t>ГПА 63 АВОГ</t>
        </is>
      </c>
      <c r="J47" s="243" t="inlineStr">
        <is>
          <t>АСУ,А и ТМ (КЦ № 6)</t>
        </is>
      </c>
      <c r="K47" s="243" t="inlineStr">
        <is>
          <t>2012</t>
        </is>
      </c>
      <c r="L47" s="243" t="inlineStr">
        <is>
          <t>12</t>
        </is>
      </c>
      <c r="M47" s="246" t="inlineStr">
        <is>
          <t>1К26</t>
        </is>
      </c>
      <c r="N47" s="245" t="inlineStr">
        <is>
          <t>К</t>
        </is>
      </c>
    </row>
    <row r="48" ht="15" customHeight="1" s="236">
      <c r="A48" s="243" t="n">
        <v>47</v>
      </c>
      <c r="B48" s="244" t="inlineStr">
        <is>
          <t>Манометр технический</t>
        </is>
      </c>
      <c r="C48" s="245" t="inlineStr">
        <is>
          <t>МП3-УУХЛ1</t>
        </is>
      </c>
      <c r="D48" s="245" t="inlineStr">
        <is>
          <t>15211</t>
        </is>
      </c>
      <c r="E48" s="245" t="inlineStr">
        <is>
          <t>2010</t>
        </is>
      </c>
      <c r="F48" s="245" t="inlineStr">
        <is>
          <t>0…160 кгс/см4</t>
        </is>
      </c>
      <c r="G48" s="245" t="inlineStr">
        <is>
          <t>1.5</t>
        </is>
      </c>
      <c r="H48" s="243" t="inlineStr">
        <is>
          <t>Р газа 3 секции</t>
        </is>
      </c>
      <c r="I48" s="245" t="inlineStr">
        <is>
          <t>ГПА 63 АВОГ</t>
        </is>
      </c>
      <c r="J48" s="243" t="inlineStr">
        <is>
          <t>АСУ,А и ТМ (КЦ № 6)</t>
        </is>
      </c>
      <c r="K48" s="243" t="inlineStr">
        <is>
          <t>2012</t>
        </is>
      </c>
      <c r="L48" s="243" t="inlineStr">
        <is>
          <t>12</t>
        </is>
      </c>
      <c r="M48" s="246" t="inlineStr">
        <is>
          <t>1К26</t>
        </is>
      </c>
      <c r="N48" s="245" t="inlineStr">
        <is>
          <t>К</t>
        </is>
      </c>
    </row>
    <row r="49" ht="15" customHeight="1" s="236">
      <c r="A49" s="243" t="n">
        <v>48</v>
      </c>
      <c r="B49" s="244" t="inlineStr">
        <is>
          <t>Манометр технический</t>
        </is>
      </c>
      <c r="C49" s="245" t="inlineStr">
        <is>
          <t>МП3-УУХЛ1</t>
        </is>
      </c>
      <c r="D49" s="245" t="inlineStr">
        <is>
          <t>15255</t>
        </is>
      </c>
      <c r="E49" s="245" t="inlineStr">
        <is>
          <t>2010</t>
        </is>
      </c>
      <c r="F49" s="245" t="inlineStr">
        <is>
          <t>0…160 кгс/см5</t>
        </is>
      </c>
      <c r="G49" s="245" t="inlineStr">
        <is>
          <t>1.5</t>
        </is>
      </c>
      <c r="H49" s="243" t="inlineStr">
        <is>
          <t>Р газа 4 секции</t>
        </is>
      </c>
      <c r="I49" s="245" t="inlineStr">
        <is>
          <t>ГПА 63 АВОГ</t>
        </is>
      </c>
      <c r="J49" s="243" t="inlineStr">
        <is>
          <t>АСУ,А и ТМ (КЦ № 6)</t>
        </is>
      </c>
      <c r="K49" s="243" t="inlineStr">
        <is>
          <t>2012</t>
        </is>
      </c>
      <c r="L49" s="243" t="inlineStr">
        <is>
          <t>12</t>
        </is>
      </c>
      <c r="M49" s="246" t="inlineStr">
        <is>
          <t>1К26</t>
        </is>
      </c>
      <c r="N49" s="245" t="inlineStr">
        <is>
          <t>К</t>
        </is>
      </c>
    </row>
    <row r="50" ht="15" customHeight="1" s="236">
      <c r="A50" s="243" t="n">
        <v>49</v>
      </c>
      <c r="B50" s="244" t="inlineStr">
        <is>
          <t>Манометр технический</t>
        </is>
      </c>
      <c r="C50" s="245" t="inlineStr">
        <is>
          <t>МП3-УУХЛ1</t>
        </is>
      </c>
      <c r="D50" s="245" t="inlineStr">
        <is>
          <t>15220</t>
        </is>
      </c>
      <c r="E50" s="245" t="inlineStr">
        <is>
          <t>2010</t>
        </is>
      </c>
      <c r="F50" s="245" t="inlineStr">
        <is>
          <t>0…160 кгс/см6</t>
        </is>
      </c>
      <c r="G50" s="245" t="inlineStr">
        <is>
          <t>1.5</t>
        </is>
      </c>
      <c r="H50" s="243" t="inlineStr">
        <is>
          <t>Р газа 5 секции</t>
        </is>
      </c>
      <c r="I50" s="245" t="inlineStr">
        <is>
          <t>ГПА 63 АВОГ</t>
        </is>
      </c>
      <c r="J50" s="243" t="inlineStr">
        <is>
          <t>АСУ,А и ТМ (КЦ № 6)</t>
        </is>
      </c>
      <c r="K50" s="243" t="inlineStr">
        <is>
          <t>2012</t>
        </is>
      </c>
      <c r="L50" s="243" t="inlineStr">
        <is>
          <t>12</t>
        </is>
      </c>
      <c r="M50" s="246" t="inlineStr">
        <is>
          <t>1К26</t>
        </is>
      </c>
      <c r="N50" s="245" t="inlineStr">
        <is>
          <t>К</t>
        </is>
      </c>
    </row>
    <row r="51" ht="15" customHeight="1" s="236">
      <c r="A51" s="243" t="n">
        <v>50</v>
      </c>
      <c r="B51" s="244" t="inlineStr">
        <is>
          <t>Манометр технический</t>
        </is>
      </c>
      <c r="C51" s="245" t="inlineStr">
        <is>
          <t>МП3-УУХЛ1</t>
        </is>
      </c>
      <c r="D51" s="245" t="inlineStr">
        <is>
          <t>15860</t>
        </is>
      </c>
      <c r="E51" s="245" t="inlineStr">
        <is>
          <t>2010</t>
        </is>
      </c>
      <c r="F51" s="245" t="inlineStr">
        <is>
          <t>0…160 кгс/см7</t>
        </is>
      </c>
      <c r="G51" s="245" t="inlineStr">
        <is>
          <t>1.5</t>
        </is>
      </c>
      <c r="H51" s="243" t="inlineStr">
        <is>
          <t>Р газа 6 секции</t>
        </is>
      </c>
      <c r="I51" s="245" t="inlineStr">
        <is>
          <t>ГПА 63 АВОГ</t>
        </is>
      </c>
      <c r="J51" s="243" t="inlineStr">
        <is>
          <t>АСУ,А и ТМ (КЦ № 6)</t>
        </is>
      </c>
      <c r="K51" s="243" t="inlineStr">
        <is>
          <t>2012</t>
        </is>
      </c>
      <c r="L51" s="243" t="inlineStr">
        <is>
          <t>12</t>
        </is>
      </c>
      <c r="M51" s="246" t="inlineStr">
        <is>
          <t>1К26</t>
        </is>
      </c>
      <c r="N51" s="245" t="inlineStr">
        <is>
          <t>К</t>
        </is>
      </c>
    </row>
    <row r="52" ht="15" customHeight="1" s="236">
      <c r="A52" s="243" t="n">
        <v>51</v>
      </c>
      <c r="B52" s="244" t="inlineStr">
        <is>
          <t>Манометр технический</t>
        </is>
      </c>
      <c r="C52" s="245" t="inlineStr">
        <is>
          <t>МП3-УУХЛ1</t>
        </is>
      </c>
      <c r="D52" s="245" t="inlineStr">
        <is>
          <t>15259</t>
        </is>
      </c>
      <c r="E52" s="245" t="inlineStr">
        <is>
          <t>2010</t>
        </is>
      </c>
      <c r="F52" s="245" t="inlineStr">
        <is>
          <t>0…160 кгс/см8</t>
        </is>
      </c>
      <c r="G52" s="245" t="inlineStr">
        <is>
          <t>1.5</t>
        </is>
      </c>
      <c r="H52" s="243" t="inlineStr">
        <is>
          <t>Р газа 7 секции</t>
        </is>
      </c>
      <c r="I52" s="245" t="inlineStr">
        <is>
          <t>ГПА 63 АВОГ</t>
        </is>
      </c>
      <c r="J52" s="243" t="inlineStr">
        <is>
          <t>АСУ,А и ТМ (КЦ № 6)</t>
        </is>
      </c>
      <c r="K52" s="243" t="inlineStr">
        <is>
          <t>2012</t>
        </is>
      </c>
      <c r="L52" s="243" t="inlineStr">
        <is>
          <t>12</t>
        </is>
      </c>
      <c r="M52" s="246" t="inlineStr">
        <is>
          <t>1К26</t>
        </is>
      </c>
      <c r="N52" s="245" t="inlineStr">
        <is>
          <t>К</t>
        </is>
      </c>
    </row>
    <row r="53" ht="15" customHeight="1" s="236">
      <c r="A53" s="243" t="n">
        <v>52</v>
      </c>
      <c r="B53" s="244" t="inlineStr">
        <is>
          <t>Манометр технический</t>
        </is>
      </c>
      <c r="C53" s="245" t="inlineStr">
        <is>
          <t>МП3-УУХЛ1</t>
        </is>
      </c>
      <c r="D53" s="245" t="inlineStr">
        <is>
          <t>15268</t>
        </is>
      </c>
      <c r="E53" s="245" t="inlineStr">
        <is>
          <t>2010</t>
        </is>
      </c>
      <c r="F53" s="245" t="inlineStr">
        <is>
          <t>0…160 кгс/см9</t>
        </is>
      </c>
      <c r="G53" s="245" t="inlineStr">
        <is>
          <t>1.5</t>
        </is>
      </c>
      <c r="H53" s="243" t="inlineStr">
        <is>
          <t>Р газа 8 секции</t>
        </is>
      </c>
      <c r="I53" s="245" t="inlineStr">
        <is>
          <t>ГПА 63 АВОГ</t>
        </is>
      </c>
      <c r="J53" s="243" t="inlineStr">
        <is>
          <t>АСУ,А и ТМ (КЦ № 6)</t>
        </is>
      </c>
      <c r="K53" s="243" t="inlineStr">
        <is>
          <t>2012</t>
        </is>
      </c>
      <c r="L53" s="243" t="inlineStr">
        <is>
          <t>12</t>
        </is>
      </c>
      <c r="M53" s="246" t="inlineStr">
        <is>
          <t>1К26</t>
        </is>
      </c>
      <c r="N53" s="245" t="inlineStr">
        <is>
          <t>К</t>
        </is>
      </c>
    </row>
    <row r="54" ht="22.5" customHeight="1" s="236">
      <c r="A54" s="243" t="n">
        <v>53</v>
      </c>
      <c r="B54" s="248" t="inlineStr">
        <is>
          <t>Термометр биметаллический</t>
        </is>
      </c>
      <c r="C54" s="245" t="inlineStr">
        <is>
          <t>ТБ-2</t>
        </is>
      </c>
      <c r="D54" s="245" t="inlineStr">
        <is>
          <t>5563</t>
        </is>
      </c>
      <c r="E54" s="245" t="inlineStr">
        <is>
          <t>2010</t>
        </is>
      </c>
      <c r="F54" s="245" t="inlineStr">
        <is>
          <t>­50…100 °C</t>
        </is>
      </c>
      <c r="G54" s="245" t="inlineStr">
        <is>
          <t>1</t>
        </is>
      </c>
      <c r="H54" s="243" t="inlineStr">
        <is>
          <t>Тг на выходе 1 секции АВО</t>
        </is>
      </c>
      <c r="I54" s="245" t="inlineStr">
        <is>
          <t>ГПА 63 АВОГ</t>
        </is>
      </c>
      <c r="J54" s="243" t="inlineStr">
        <is>
          <t>АСУ,А и ТМ (КЦ № 6)</t>
        </is>
      </c>
      <c r="K54" s="243" t="inlineStr">
        <is>
          <t>2012</t>
        </is>
      </c>
      <c r="L54" s="243" t="inlineStr">
        <is>
          <t>24</t>
        </is>
      </c>
      <c r="M54" s="246" t="inlineStr">
        <is>
          <t>3К26</t>
        </is>
      </c>
      <c r="N54" s="245" t="inlineStr">
        <is>
          <t>К</t>
        </is>
      </c>
    </row>
    <row r="55" ht="22.5" customHeight="1" s="236">
      <c r="A55" s="243" t="n">
        <v>54</v>
      </c>
      <c r="B55" s="248" t="inlineStr">
        <is>
          <t>Термометр биметаллический</t>
        </is>
      </c>
      <c r="C55" s="245" t="inlineStr">
        <is>
          <t>ТБ-2</t>
        </is>
      </c>
      <c r="D55" s="245" t="inlineStr">
        <is>
          <t>5565</t>
        </is>
      </c>
      <c r="E55" s="245" t="inlineStr">
        <is>
          <t>2010</t>
        </is>
      </c>
      <c r="F55" s="245" t="inlineStr">
        <is>
          <t>­50…100 °C</t>
        </is>
      </c>
      <c r="G55" s="245" t="inlineStr">
        <is>
          <t>1</t>
        </is>
      </c>
      <c r="H55" s="243" t="inlineStr">
        <is>
          <t>Тг на выходе 2 секции АВО</t>
        </is>
      </c>
      <c r="I55" s="245" t="inlineStr">
        <is>
          <t>ГПА 63 АВОГ</t>
        </is>
      </c>
      <c r="J55" s="243" t="inlineStr">
        <is>
          <t>АСУ,А и ТМ (КЦ № 6)</t>
        </is>
      </c>
      <c r="K55" s="243" t="inlineStr">
        <is>
          <t>2012</t>
        </is>
      </c>
      <c r="L55" s="243" t="inlineStr">
        <is>
          <t>24</t>
        </is>
      </c>
      <c r="M55" s="246" t="inlineStr">
        <is>
          <t>3К26</t>
        </is>
      </c>
      <c r="N55" s="245" t="inlineStr">
        <is>
          <t>К</t>
        </is>
      </c>
    </row>
    <row r="56" ht="22.5" customHeight="1" s="236">
      <c r="A56" s="243" t="n">
        <v>55</v>
      </c>
      <c r="B56" s="248" t="inlineStr">
        <is>
          <t>Термометр биметаллический</t>
        </is>
      </c>
      <c r="C56" s="245" t="inlineStr">
        <is>
          <t>ТБ-2</t>
        </is>
      </c>
      <c r="D56" s="245" t="inlineStr">
        <is>
          <t>5568</t>
        </is>
      </c>
      <c r="E56" s="245" t="inlineStr">
        <is>
          <t>2010</t>
        </is>
      </c>
      <c r="F56" s="245" t="inlineStr">
        <is>
          <t>­50…100 °C</t>
        </is>
      </c>
      <c r="G56" s="245" t="inlineStr">
        <is>
          <t>1</t>
        </is>
      </c>
      <c r="H56" s="243" t="inlineStr">
        <is>
          <t>Тг на выходе 3 секции АВО</t>
        </is>
      </c>
      <c r="I56" s="245" t="inlineStr">
        <is>
          <t>ГПА 63 АВОГ</t>
        </is>
      </c>
      <c r="J56" s="243" t="inlineStr">
        <is>
          <t>АСУ,А и ТМ (КЦ № 6)</t>
        </is>
      </c>
      <c r="K56" s="243" t="inlineStr">
        <is>
          <t>2012</t>
        </is>
      </c>
      <c r="L56" s="243" t="inlineStr">
        <is>
          <t>24</t>
        </is>
      </c>
      <c r="M56" s="246" t="inlineStr">
        <is>
          <t>3К26</t>
        </is>
      </c>
      <c r="N56" s="245" t="inlineStr">
        <is>
          <t>К</t>
        </is>
      </c>
    </row>
    <row r="57" ht="22.5" customHeight="1" s="236">
      <c r="A57" s="243" t="n">
        <v>56</v>
      </c>
      <c r="B57" s="248" t="inlineStr">
        <is>
          <t>Термометр биметаллический</t>
        </is>
      </c>
      <c r="C57" s="245" t="inlineStr">
        <is>
          <t>ТБ-2</t>
        </is>
      </c>
      <c r="D57" s="245" t="inlineStr">
        <is>
          <t>5569</t>
        </is>
      </c>
      <c r="E57" s="245" t="inlineStr">
        <is>
          <t>2010</t>
        </is>
      </c>
      <c r="F57" s="245" t="inlineStr">
        <is>
          <t>­50…100 °C</t>
        </is>
      </c>
      <c r="G57" s="245" t="inlineStr">
        <is>
          <t>1</t>
        </is>
      </c>
      <c r="H57" s="243" t="inlineStr">
        <is>
          <t>Тг на выходе 4 секции АВО</t>
        </is>
      </c>
      <c r="I57" s="245" t="inlineStr">
        <is>
          <t>ГПА 63 АВОГ</t>
        </is>
      </c>
      <c r="J57" s="243" t="inlineStr">
        <is>
          <t>АСУ,А и ТМ (КЦ № 6)</t>
        </is>
      </c>
      <c r="K57" s="243" t="inlineStr">
        <is>
          <t>2012</t>
        </is>
      </c>
      <c r="L57" s="243" t="inlineStr">
        <is>
          <t>24</t>
        </is>
      </c>
      <c r="M57" s="246" t="inlineStr">
        <is>
          <t>3К26</t>
        </is>
      </c>
      <c r="N57" s="245" t="inlineStr">
        <is>
          <t>К</t>
        </is>
      </c>
    </row>
    <row r="58" ht="22.5" customHeight="1" s="236">
      <c r="A58" s="243" t="n">
        <v>57</v>
      </c>
      <c r="B58" s="248" t="inlineStr">
        <is>
          <t>Термометр биметаллический</t>
        </is>
      </c>
      <c r="C58" s="245" t="inlineStr">
        <is>
          <t>ТБ-2</t>
        </is>
      </c>
      <c r="D58" s="245" t="inlineStr">
        <is>
          <t>5572</t>
        </is>
      </c>
      <c r="E58" s="245" t="inlineStr">
        <is>
          <t>2010</t>
        </is>
      </c>
      <c r="F58" s="245" t="inlineStr">
        <is>
          <t>­50…100 °C</t>
        </is>
      </c>
      <c r="G58" s="245" t="inlineStr">
        <is>
          <t>1</t>
        </is>
      </c>
      <c r="H58" s="243" t="inlineStr">
        <is>
          <t>Тг на выходе 5 секции АВО</t>
        </is>
      </c>
      <c r="I58" s="245" t="inlineStr">
        <is>
          <t>ГПА 63 АВОГ</t>
        </is>
      </c>
      <c r="J58" s="243" t="inlineStr">
        <is>
          <t>АСУ,А и ТМ (КЦ № 6)</t>
        </is>
      </c>
      <c r="K58" s="243" t="inlineStr">
        <is>
          <t>2012</t>
        </is>
      </c>
      <c r="L58" s="243" t="inlineStr">
        <is>
          <t>24</t>
        </is>
      </c>
      <c r="M58" s="246" t="inlineStr">
        <is>
          <t>3К26</t>
        </is>
      </c>
      <c r="N58" s="245" t="inlineStr">
        <is>
          <t>К</t>
        </is>
      </c>
    </row>
    <row r="59" ht="22.5" customHeight="1" s="236">
      <c r="A59" s="243" t="n">
        <v>58</v>
      </c>
      <c r="B59" s="248" t="inlineStr">
        <is>
          <t>Термометр биметаллический</t>
        </is>
      </c>
      <c r="C59" s="245" t="inlineStr">
        <is>
          <t>ТБ-2</t>
        </is>
      </c>
      <c r="D59" s="245" t="inlineStr">
        <is>
          <t>5579</t>
        </is>
      </c>
      <c r="E59" s="245" t="inlineStr">
        <is>
          <t>2010</t>
        </is>
      </c>
      <c r="F59" s="245" t="inlineStr">
        <is>
          <t>­50…100 °C</t>
        </is>
      </c>
      <c r="G59" s="245" t="inlineStr">
        <is>
          <t>1</t>
        </is>
      </c>
      <c r="H59" s="243" t="inlineStr">
        <is>
          <t>Тг на выходе 6 секции АВО</t>
        </is>
      </c>
      <c r="I59" s="245" t="inlineStr">
        <is>
          <t>ГПА 63 АВОГ</t>
        </is>
      </c>
      <c r="J59" s="243" t="inlineStr">
        <is>
          <t>АСУ,А и ТМ (КЦ № 6)</t>
        </is>
      </c>
      <c r="K59" s="243" t="inlineStr">
        <is>
          <t>2012</t>
        </is>
      </c>
      <c r="L59" s="243" t="inlineStr">
        <is>
          <t>24</t>
        </is>
      </c>
      <c r="M59" s="246" t="inlineStr">
        <is>
          <t>3К26</t>
        </is>
      </c>
      <c r="N59" s="245" t="inlineStr">
        <is>
          <t>К</t>
        </is>
      </c>
    </row>
    <row r="60" ht="22.5" customHeight="1" s="236">
      <c r="A60" s="243" t="n">
        <v>59</v>
      </c>
      <c r="B60" s="248" t="inlineStr">
        <is>
          <t>Термометр биметаллический</t>
        </is>
      </c>
      <c r="C60" s="245" t="inlineStr">
        <is>
          <t>ТБ-2</t>
        </is>
      </c>
      <c r="D60" s="245" t="inlineStr">
        <is>
          <t>5580</t>
        </is>
      </c>
      <c r="E60" s="245" t="inlineStr">
        <is>
          <t>2010</t>
        </is>
      </c>
      <c r="F60" s="245" t="inlineStr">
        <is>
          <t>­50…100 °C</t>
        </is>
      </c>
      <c r="G60" s="245" t="inlineStr">
        <is>
          <t>1</t>
        </is>
      </c>
      <c r="H60" s="243" t="inlineStr">
        <is>
          <t>Тг на выходе 7 секции АВО</t>
        </is>
      </c>
      <c r="I60" s="245" t="inlineStr">
        <is>
          <t>ГПА 63 АВОГ</t>
        </is>
      </c>
      <c r="J60" s="243" t="inlineStr">
        <is>
          <t>АСУ,А и ТМ (КЦ № 6)</t>
        </is>
      </c>
      <c r="K60" s="243" t="inlineStr">
        <is>
          <t>2012</t>
        </is>
      </c>
      <c r="L60" s="243" t="inlineStr">
        <is>
          <t>24</t>
        </is>
      </c>
      <c r="M60" s="246" t="inlineStr">
        <is>
          <t>3К26</t>
        </is>
      </c>
      <c r="N60" s="245" t="inlineStr">
        <is>
          <t>К</t>
        </is>
      </c>
    </row>
    <row r="61" ht="22.5" customHeight="1" s="236">
      <c r="A61" s="243" t="n">
        <v>60</v>
      </c>
      <c r="B61" s="248" t="inlineStr">
        <is>
          <t>Термометр биметаллический</t>
        </is>
      </c>
      <c r="C61" s="245" t="inlineStr">
        <is>
          <t>ТБ-2</t>
        </is>
      </c>
      <c r="D61" s="245" t="inlineStr">
        <is>
          <t>8041</t>
        </is>
      </c>
      <c r="E61" s="245" t="inlineStr">
        <is>
          <t>2010</t>
        </is>
      </c>
      <c r="F61" s="245" t="inlineStr">
        <is>
          <t>­50…100 °C</t>
        </is>
      </c>
      <c r="G61" s="245" t="inlineStr">
        <is>
          <t>1</t>
        </is>
      </c>
      <c r="H61" s="243" t="inlineStr">
        <is>
          <t>Тг на выходе 8 секции АВО</t>
        </is>
      </c>
      <c r="I61" s="245" t="inlineStr">
        <is>
          <t>ГПА 63 АВОГ</t>
        </is>
      </c>
      <c r="J61" s="243" t="inlineStr">
        <is>
          <t>АСУ,А и ТМ (КЦ № 6)</t>
        </is>
      </c>
      <c r="K61" s="243" t="inlineStr">
        <is>
          <t>2012</t>
        </is>
      </c>
      <c r="L61" s="243" t="inlineStr">
        <is>
          <t>24</t>
        </is>
      </c>
      <c r="M61" s="246" t="inlineStr">
        <is>
          <t>3К26</t>
        </is>
      </c>
      <c r="N61" s="245" t="inlineStr">
        <is>
          <t>К</t>
        </is>
      </c>
    </row>
    <row r="62" ht="15" customHeight="1" s="236">
      <c r="A62" s="243" t="n">
        <v>61</v>
      </c>
      <c r="B62" s="244" t="inlineStr">
        <is>
          <t>Манометр технический</t>
        </is>
      </c>
      <c r="C62" s="245" t="inlineStr">
        <is>
          <t>МП4-УУ2</t>
        </is>
      </c>
      <c r="D62" s="245" t="inlineStr">
        <is>
          <t>15517</t>
        </is>
      </c>
      <c r="E62" s="245" t="inlineStr">
        <is>
          <t>2010</t>
        </is>
      </c>
      <c r="F62" s="245" t="inlineStr">
        <is>
          <t>0…160 кгс/см2</t>
        </is>
      </c>
      <c r="G62" s="245" t="inlineStr">
        <is>
          <t>1.5</t>
        </is>
      </c>
      <c r="H62" s="243" t="inlineStr">
        <is>
          <t>Р газа на входе АВО</t>
        </is>
      </c>
      <c r="I62" s="245" t="inlineStr">
        <is>
          <t>ГПА 63 АВОГ</t>
        </is>
      </c>
      <c r="J62" s="243" t="inlineStr">
        <is>
          <t>АСУ,А и ТМ (КЦ № 6)</t>
        </is>
      </c>
      <c r="K62" s="243" t="inlineStr">
        <is>
          <t>2012</t>
        </is>
      </c>
      <c r="L62" s="243" t="inlineStr">
        <is>
          <t>12</t>
        </is>
      </c>
      <c r="M62" s="246" t="inlineStr">
        <is>
          <t>1К26</t>
        </is>
      </c>
      <c r="N62" s="245" t="inlineStr">
        <is>
          <t>К</t>
        </is>
      </c>
      <c r="O62" s="235" t="n">
        <v>15557</v>
      </c>
    </row>
    <row r="63" ht="15" customHeight="1" s="236">
      <c r="A63" s="243" t="n">
        <v>62</v>
      </c>
      <c r="B63" s="244" t="inlineStr">
        <is>
          <t>Манометр технический</t>
        </is>
      </c>
      <c r="C63" s="245" t="inlineStr">
        <is>
          <t>МП4-УУ2</t>
        </is>
      </c>
      <c r="D63" s="245" t="inlineStr">
        <is>
          <t>15175</t>
        </is>
      </c>
      <c r="E63" s="245" t="inlineStr">
        <is>
          <t>2010</t>
        </is>
      </c>
      <c r="F63" s="245" t="inlineStr">
        <is>
          <t>0…160 кгс/см3</t>
        </is>
      </c>
      <c r="G63" s="245" t="inlineStr">
        <is>
          <t>1.5</t>
        </is>
      </c>
      <c r="H63" s="243" t="inlineStr">
        <is>
          <t>Р газа на выходе АВО</t>
        </is>
      </c>
      <c r="I63" s="245" t="inlineStr">
        <is>
          <t>ГПА 63 АВОГ</t>
        </is>
      </c>
      <c r="J63" s="243" t="inlineStr">
        <is>
          <t>АСУ,А и ТМ (КЦ № 6)</t>
        </is>
      </c>
      <c r="K63" s="243" t="inlineStr">
        <is>
          <t>2012</t>
        </is>
      </c>
      <c r="L63" s="243" t="inlineStr">
        <is>
          <t>12</t>
        </is>
      </c>
      <c r="M63" s="246" t="inlineStr">
        <is>
          <t>1К26</t>
        </is>
      </c>
      <c r="N63" s="245" t="inlineStr">
        <is>
          <t>К</t>
        </is>
      </c>
    </row>
    <row r="64" ht="15" customHeight="1" s="236">
      <c r="A64" s="243" t="n">
        <v>63</v>
      </c>
      <c r="B64" s="244" t="inlineStr">
        <is>
          <t>Манометр технический</t>
        </is>
      </c>
      <c r="C64" s="245" t="inlineStr">
        <is>
          <t>МП4-УУ2</t>
        </is>
      </c>
      <c r="D64" s="245" t="inlineStr">
        <is>
          <t>6303</t>
        </is>
      </c>
      <c r="E64" s="245" t="inlineStr">
        <is>
          <t>2010</t>
        </is>
      </c>
      <c r="F64" s="245" t="inlineStr">
        <is>
          <t>0…16 кгс/см2</t>
        </is>
      </c>
      <c r="G64" s="245" t="inlineStr">
        <is>
          <t>1.5</t>
        </is>
      </c>
      <c r="H64" s="243" t="inlineStr">
        <is>
          <t>Р имп. воздуха кр. 6к</t>
        </is>
      </c>
      <c r="I64" s="245" t="inlineStr">
        <is>
          <t>ГПА 63 АВОГ</t>
        </is>
      </c>
      <c r="J64" s="243" t="inlineStr">
        <is>
          <t>АСУ,А и ТМ (КЦ № 6)</t>
        </is>
      </c>
      <c r="K64" s="243" t="inlineStr">
        <is>
          <t>2012</t>
        </is>
      </c>
      <c r="L64" s="243" t="inlineStr">
        <is>
          <t>12</t>
        </is>
      </c>
      <c r="M64" s="246" t="inlineStr">
        <is>
          <t>1К26</t>
        </is>
      </c>
      <c r="N64" s="245" t="inlineStr">
        <is>
          <t>К</t>
        </is>
      </c>
    </row>
    <row r="65" ht="22.5" customHeight="1" s="236">
      <c r="A65" s="243" t="n">
        <v>64</v>
      </c>
      <c r="B65" s="248" t="inlineStr">
        <is>
          <t>Термометр сопротивления</t>
        </is>
      </c>
      <c r="C65" s="245" t="inlineStr">
        <is>
          <t>ТСП 012.56ОВ 100П/А/4</t>
        </is>
      </c>
      <c r="D65" s="245" t="inlineStr">
        <is>
          <t>7</t>
        </is>
      </c>
      <c r="E65" s="245" t="inlineStr">
        <is>
          <t>2011</t>
        </is>
      </c>
      <c r="F65" s="245" t="inlineStr">
        <is>
          <t>-60…200 °С</t>
        </is>
      </c>
      <c r="G65" s="245" t="inlineStr">
        <is>
          <t>B</t>
        </is>
      </c>
      <c r="H65" s="243" t="inlineStr">
        <is>
          <t>Температура газа на выходе АВО перед краном 6к</t>
        </is>
      </c>
      <c r="I65" s="245" t="inlineStr">
        <is>
          <t>ГПА 63 АВОГ</t>
        </is>
      </c>
      <c r="J65" s="243" t="inlineStr">
        <is>
          <t>АСУ,А и ТМ (КЦ № 6)</t>
        </is>
      </c>
      <c r="K65" s="243" t="inlineStr">
        <is>
          <t>2012</t>
        </is>
      </c>
      <c r="L65" s="243" t="inlineStr">
        <is>
          <t>36</t>
        </is>
      </c>
      <c r="M65" s="246" t="inlineStr"/>
      <c r="N65" s="245" t="inlineStr"/>
    </row>
    <row r="66" ht="22.5" customHeight="1" s="236">
      <c r="A66" s="243" t="n">
        <v>65</v>
      </c>
      <c r="B66" s="248" t="inlineStr">
        <is>
          <t>Термометр сопротивления</t>
        </is>
      </c>
      <c r="C66" s="245" t="inlineStr">
        <is>
          <t>ТСП 012.56ОВ 100П/А/4</t>
        </is>
      </c>
      <c r="D66" s="245" t="inlineStr">
        <is>
          <t>4</t>
        </is>
      </c>
      <c r="E66" s="245" t="inlineStr">
        <is>
          <t>2011</t>
        </is>
      </c>
      <c r="F66" s="245" t="inlineStr">
        <is>
          <t>-60…200 °С</t>
        </is>
      </c>
      <c r="G66" s="245" t="inlineStr">
        <is>
          <t>B по ГОСТ Р 8.625</t>
        </is>
      </c>
      <c r="H66" s="243" t="inlineStr">
        <is>
          <t>Температура газа на выходе АВО перед краном 2</t>
        </is>
      </c>
      <c r="I66" s="245" t="inlineStr">
        <is>
          <t>ГПА 63 АВОГ</t>
        </is>
      </c>
      <c r="J66" s="243" t="inlineStr">
        <is>
          <t>АСУ,А и ТМ (КЦ № 6)</t>
        </is>
      </c>
      <c r="K66" s="243" t="inlineStr">
        <is>
          <t>2012</t>
        </is>
      </c>
      <c r="L66" s="243" t="inlineStr">
        <is>
          <t>36</t>
        </is>
      </c>
      <c r="M66" s="246" t="inlineStr"/>
      <c r="N66" s="245" t="inlineStr"/>
    </row>
    <row r="67" ht="22.5" customHeight="1" s="236">
      <c r="A67" s="243" t="n">
        <v>66</v>
      </c>
      <c r="B67" s="249" t="inlineStr">
        <is>
          <t>Преобразователь избыточного давления</t>
        </is>
      </c>
      <c r="C67" s="245" t="inlineStr">
        <is>
          <t>YOKOGAVA EJX110А-EНS5J-B19DM/KF21/QR</t>
        </is>
      </c>
      <c r="D67" s="245" t="inlineStr">
        <is>
          <t>91M439695.217</t>
        </is>
      </c>
      <c r="E67" s="245" t="inlineStr">
        <is>
          <t>2012</t>
        </is>
      </c>
      <c r="F67" s="245" t="inlineStr">
        <is>
          <t>0…160 кПa</t>
        </is>
      </c>
      <c r="G67" s="245" t="inlineStr">
        <is>
          <t>0.04%</t>
        </is>
      </c>
      <c r="H67" s="243" t="inlineStr">
        <is>
          <t>Перепад давления на АВО газа</t>
        </is>
      </c>
      <c r="I67" s="245" t="inlineStr">
        <is>
          <t>ГПА 63 АВОГ</t>
        </is>
      </c>
      <c r="J67" s="243" t="inlineStr">
        <is>
          <t>АСУ,А и ТМ (КЦ № 6)</t>
        </is>
      </c>
      <c r="K67" s="243" t="inlineStr">
        <is>
          <t>2012</t>
        </is>
      </c>
      <c r="L67" s="243" t="inlineStr">
        <is>
          <t>60</t>
        </is>
      </c>
      <c r="M67" s="246" t="inlineStr"/>
      <c r="N67" s="245" t="inlineStr"/>
    </row>
    <row r="68" ht="22.5" customHeight="1" s="236">
      <c r="A68" s="243" t="n">
        <v>67</v>
      </c>
      <c r="B68" s="249" t="inlineStr">
        <is>
          <t>Преобразователь избыточного давления</t>
        </is>
      </c>
      <c r="C68" s="245" t="inlineStr">
        <is>
          <t>YOKOGAVA EJX530А-EDS9N-019DL/KF21/QR</t>
        </is>
      </c>
      <c r="D68" s="245" t="inlineStr">
        <is>
          <t>91M439737.217</t>
        </is>
      </c>
      <c r="E68" s="245" t="inlineStr">
        <is>
          <t>2012</t>
        </is>
      </c>
      <c r="F68" s="245" t="inlineStr">
        <is>
          <t>0…16 МПа</t>
        </is>
      </c>
      <c r="G68" s="245" t="inlineStr">
        <is>
          <t>0.10%</t>
        </is>
      </c>
      <c r="H68" s="243" t="inlineStr">
        <is>
          <t>Давление газа на выходе АВО (до крана №2)</t>
        </is>
      </c>
      <c r="I68" s="245" t="inlineStr">
        <is>
          <t>ГПА 63 АВОГ</t>
        </is>
      </c>
      <c r="J68" s="243" t="inlineStr">
        <is>
          <t>АСУ,А и ТМ (КЦ № 6)</t>
        </is>
      </c>
      <c r="K68" s="243" t="inlineStr">
        <is>
          <t>2012</t>
        </is>
      </c>
      <c r="L68" s="243" t="inlineStr">
        <is>
          <t>60</t>
        </is>
      </c>
      <c r="M68" s="246" t="inlineStr"/>
      <c r="N68" s="245" t="inlineStr"/>
    </row>
    <row r="69" ht="15" customHeight="1" s="236">
      <c r="A69" s="243" t="n">
        <v>68</v>
      </c>
      <c r="B69" s="248" t="inlineStr">
        <is>
          <t>Термометр сопротивления</t>
        </is>
      </c>
      <c r="C69" s="245" t="inlineStr">
        <is>
          <t>Метран 256-04 100П/В/3</t>
        </is>
      </c>
      <c r="D69" s="245" t="inlineStr">
        <is>
          <t>2023521</t>
        </is>
      </c>
      <c r="E69" s="245" t="inlineStr">
        <is>
          <t>2012</t>
        </is>
      </c>
      <c r="F69" s="245" t="inlineStr">
        <is>
          <t>-50…130 °С</t>
        </is>
      </c>
      <c r="G69" s="245" t="inlineStr">
        <is>
          <t>B</t>
        </is>
      </c>
      <c r="H69" s="243" t="inlineStr">
        <is>
          <t>Температура масла на выходе МОД</t>
        </is>
      </c>
      <c r="I69" s="245" t="inlineStr">
        <is>
          <t>ГПА 63</t>
        </is>
      </c>
      <c r="J69" s="243" t="inlineStr">
        <is>
          <t>АСУ,А и ТМ (КЦ № 6)</t>
        </is>
      </c>
      <c r="K69" s="243" t="inlineStr"/>
      <c r="L69" s="243" t="inlineStr"/>
      <c r="M69" s="246" t="inlineStr"/>
      <c r="N69" s="245" t="inlineStr"/>
    </row>
    <row r="70" ht="15" customHeight="1" s="236">
      <c r="A70" s="243" t="n">
        <v>69</v>
      </c>
      <c r="B70" s="248" t="inlineStr">
        <is>
          <t>Термометр сопротивления</t>
        </is>
      </c>
      <c r="C70" s="245" t="inlineStr">
        <is>
          <t>Метран 256-04 100П/В/3</t>
        </is>
      </c>
      <c r="D70" s="245" t="inlineStr">
        <is>
          <t>2023511</t>
        </is>
      </c>
      <c r="E70" s="245" t="inlineStr">
        <is>
          <t>2012</t>
        </is>
      </c>
      <c r="F70" s="245" t="inlineStr">
        <is>
          <t>-50…200 °С</t>
        </is>
      </c>
      <c r="G70" s="245" t="inlineStr">
        <is>
          <t>B</t>
        </is>
      </c>
      <c r="H70" s="243" t="inlineStr">
        <is>
          <t>Температура масла на входе в МОД</t>
        </is>
      </c>
      <c r="I70" s="245" t="inlineStr">
        <is>
          <t>ГПА 63</t>
        </is>
      </c>
      <c r="J70" s="243" t="inlineStr">
        <is>
          <t>АСУ,А и ТМ (КЦ № 6)</t>
        </is>
      </c>
      <c r="K70" s="243" t="inlineStr">
        <is>
          <t>2012</t>
        </is>
      </c>
      <c r="L70" s="243" t="inlineStr">
        <is>
          <t>24</t>
        </is>
      </c>
      <c r="M70" s="246" t="inlineStr"/>
      <c r="N70" s="245" t="inlineStr"/>
    </row>
    <row r="71" ht="15" customHeight="1" s="236">
      <c r="A71" s="239">
        <f>IF(B71&lt;&gt;"", COUNTA($B$2:B71), "")</f>
        <v/>
      </c>
      <c r="B71" s="240" t="inlineStr">
        <is>
          <t>Термометр сопротивления</t>
        </is>
      </c>
      <c r="C71" s="252" t="inlineStr">
        <is>
          <t>ТСП 011.101</t>
        </is>
      </c>
      <c r="D71" s="239" t="n">
        <v>18</v>
      </c>
      <c r="E71" s="239" t="n">
        <v>2011</v>
      </c>
      <c r="F71" s="252" t="inlineStr">
        <is>
          <t>-50…130 °С</t>
        </is>
      </c>
      <c r="G71" s="252" t="inlineStr">
        <is>
          <t>B</t>
        </is>
      </c>
      <c r="H71" s="240" t="inlineStr">
        <is>
          <t>Температура секции МОД</t>
        </is>
      </c>
      <c r="I71" s="239" t="inlineStr">
        <is>
          <t>ГПА 63</t>
        </is>
      </c>
      <c r="J71" s="239" t="inlineStr">
        <is>
          <t>АСУ,А и ТМ (КЦ № 6)</t>
        </is>
      </c>
      <c r="K71" s="239" t="n">
        <v>2012</v>
      </c>
      <c r="L71" s="251" t="n">
        <v>36</v>
      </c>
      <c r="M71" s="240" t="n"/>
      <c r="N71" s="242" t="n"/>
    </row>
    <row r="72" ht="22.5" customHeight="1" s="236">
      <c r="A72" s="243" t="n">
        <v>71</v>
      </c>
      <c r="B72" s="246" t="inlineStr">
        <is>
          <t>Термометр сопротивления</t>
        </is>
      </c>
      <c r="C72" s="254" t="inlineStr">
        <is>
          <t>ТСП 012П 100П/В/4</t>
        </is>
      </c>
      <c r="D72" s="243" t="inlineStr">
        <is>
          <t>9</t>
        </is>
      </c>
      <c r="E72" s="243" t="inlineStr">
        <is>
          <t>2013</t>
        </is>
      </c>
      <c r="F72" s="254" t="inlineStr">
        <is>
          <t>-50…200 °С</t>
        </is>
      </c>
      <c r="G72" s="254" t="inlineStr">
        <is>
          <t>B</t>
        </is>
      </c>
      <c r="H72" s="246" t="inlineStr">
        <is>
          <t>Температура поверхности электронагревателей МОД</t>
        </is>
      </c>
      <c r="I72" s="243" t="inlineStr">
        <is>
          <t>ГПА 63</t>
        </is>
      </c>
      <c r="J72" s="243" t="inlineStr">
        <is>
          <t>АСУ,А и ТМ (КЦ № 6)</t>
        </is>
      </c>
      <c r="K72" s="243" t="inlineStr">
        <is>
          <t>2012</t>
        </is>
      </c>
      <c r="L72" s="248" t="inlineStr">
        <is>
          <t>24</t>
        </is>
      </c>
      <c r="M72" s="246" t="inlineStr"/>
      <c r="N72" s="245" t="inlineStr"/>
    </row>
    <row r="73" ht="22.5" customHeight="1" s="236">
      <c r="A73" s="239">
        <f>IF(B73&lt;&gt;"", COUNTA($B$2:B73), "")</f>
        <v/>
      </c>
      <c r="B73" s="241" t="inlineStr">
        <is>
          <t>Выключатель давления</t>
        </is>
      </c>
      <c r="C73" s="242" t="inlineStr">
        <is>
          <t>Садко 44 ТЖИУ 406422.004</t>
        </is>
      </c>
      <c r="D73" s="275" t="n"/>
      <c r="E73" s="242" t="n">
        <v>2011</v>
      </c>
      <c r="F73" s="251" t="inlineStr">
        <is>
          <t>0,04…0,15 МПа</t>
        </is>
      </c>
      <c r="G73" s="242" t="n"/>
      <c r="H73" s="239" t="inlineStr">
        <is>
          <t>Перепад давления масла на фильтрах смазки после МОД</t>
        </is>
      </c>
      <c r="I73" s="239" t="inlineStr">
        <is>
          <t>ГПА 63</t>
        </is>
      </c>
      <c r="J73" s="239" t="inlineStr">
        <is>
          <t>АСУ,А и ТМ (КЦ № 6)</t>
        </is>
      </c>
      <c r="K73" s="239" t="n">
        <v>2012</v>
      </c>
      <c r="L73" s="239" t="n"/>
      <c r="M73" s="240" t="n"/>
      <c r="N73" s="242" t="n"/>
    </row>
    <row r="74" ht="22.5" customHeight="1" s="236">
      <c r="A74" s="243" t="n">
        <v>73</v>
      </c>
      <c r="B74" s="244" t="inlineStr">
        <is>
          <t>Выключатель давления</t>
        </is>
      </c>
      <c r="C74" s="245" t="inlineStr">
        <is>
          <t>Садко 44 ТЖИУ 406422.004</t>
        </is>
      </c>
      <c r="D74" s="276" t="inlineStr">
        <is>
          <t>124781</t>
        </is>
      </c>
      <c r="E74" s="245" t="inlineStr">
        <is>
          <t>2011</t>
        </is>
      </c>
      <c r="F74" s="248" t="inlineStr">
        <is>
          <t>0,01…0,04 МПа</t>
        </is>
      </c>
      <c r="G74" s="245" t="inlineStr"/>
      <c r="H74" s="243" t="inlineStr">
        <is>
          <t>Перепад давления масла на фильтрах двигателя</t>
        </is>
      </c>
      <c r="I74" s="243" t="inlineStr">
        <is>
          <t>ГПА 63</t>
        </is>
      </c>
      <c r="J74" s="243" t="inlineStr">
        <is>
          <t>АСУ,А и ТМ (КЦ № 6)</t>
        </is>
      </c>
      <c r="K74" s="243" t="inlineStr">
        <is>
          <t>2012</t>
        </is>
      </c>
      <c r="L74" s="243" t="inlineStr"/>
      <c r="M74" s="246" t="inlineStr"/>
      <c r="N74" s="245" t="inlineStr"/>
    </row>
    <row r="75" ht="22.5" customHeight="1" s="236">
      <c r="A75" s="243" t="n">
        <v>74</v>
      </c>
      <c r="B75" s="244" t="inlineStr">
        <is>
          <t>Выключатель давления</t>
        </is>
      </c>
      <c r="C75" s="245" t="inlineStr">
        <is>
          <t>Садко 107 ТЖИУ.406423.004</t>
        </is>
      </c>
      <c r="D75" s="276" t="inlineStr">
        <is>
          <t>125027</t>
        </is>
      </c>
      <c r="E75" s="245" t="inlineStr">
        <is>
          <t>2011</t>
        </is>
      </c>
      <c r="F75" s="248" t="inlineStr">
        <is>
          <t>0,09…0,5 МПа</t>
        </is>
      </c>
      <c r="G75" s="245" t="inlineStr"/>
      <c r="H75" s="243" t="inlineStr">
        <is>
          <t>Давление масла на входе в фильтр маслобака</t>
        </is>
      </c>
      <c r="I75" s="243" t="inlineStr">
        <is>
          <t>ГПА 63</t>
        </is>
      </c>
      <c r="J75" s="243" t="inlineStr">
        <is>
          <t>АСУ,А и ТМ (КЦ № 6)</t>
        </is>
      </c>
      <c r="K75" s="243" t="inlineStr">
        <is>
          <t>2012</t>
        </is>
      </c>
      <c r="L75" s="243" t="inlineStr"/>
      <c r="M75" s="246" t="inlineStr"/>
      <c r="N75" s="245" t="inlineStr"/>
    </row>
    <row r="76" ht="22.5" customHeight="1" s="236">
      <c r="A76" s="243" t="n">
        <v>75</v>
      </c>
      <c r="B76" s="244" t="inlineStr">
        <is>
          <t>Выключатель давления</t>
        </is>
      </c>
      <c r="C76" s="245" t="inlineStr">
        <is>
          <t>Садко 44 ТЖИУ 406422.004</t>
        </is>
      </c>
      <c r="D76" s="276" t="inlineStr">
        <is>
          <t>отсутствует шильда</t>
        </is>
      </c>
      <c r="E76" s="245" t="inlineStr">
        <is>
          <t>2011</t>
        </is>
      </c>
      <c r="F76" s="248" t="inlineStr">
        <is>
          <t>0,04…0,15 МПа</t>
        </is>
      </c>
      <c r="G76" s="245" t="inlineStr"/>
      <c r="H76" s="243" t="inlineStr">
        <is>
          <t>Перепад давления запирающего воздуха на фильтре</t>
        </is>
      </c>
      <c r="I76" s="243" t="inlineStr">
        <is>
          <t>ГПА 63</t>
        </is>
      </c>
      <c r="J76" s="243" t="inlineStr">
        <is>
          <t>АСУ,А и ТМ (КЦ № 6)</t>
        </is>
      </c>
      <c r="K76" s="243" t="inlineStr">
        <is>
          <t>2012</t>
        </is>
      </c>
      <c r="L76" s="243" t="inlineStr"/>
      <c r="M76" s="246" t="inlineStr"/>
      <c r="N76" s="245" t="inlineStr"/>
    </row>
    <row r="77" ht="15" customHeight="1" s="236">
      <c r="A77" s="243" t="n">
        <v>76</v>
      </c>
      <c r="B77" s="244" t="inlineStr">
        <is>
          <t>Выключатель давления</t>
        </is>
      </c>
      <c r="C77" s="245" t="inlineStr">
        <is>
          <t>Садко 107 ТЖИУ.406423.004</t>
        </is>
      </c>
      <c r="D77" s="276" t="inlineStr">
        <is>
          <t>122939</t>
        </is>
      </c>
      <c r="E77" s="245" t="inlineStr">
        <is>
          <t>2011</t>
        </is>
      </c>
      <c r="F77" s="248" t="inlineStr">
        <is>
          <t>3…6 МПа</t>
        </is>
      </c>
      <c r="G77" s="245" t="inlineStr"/>
      <c r="H77" s="243" t="inlineStr">
        <is>
          <t>Сигнализатор обрыва металлорукава</t>
        </is>
      </c>
      <c r="I77" s="243" t="inlineStr">
        <is>
          <t>ГПА 63</t>
        </is>
      </c>
      <c r="J77" s="243" t="inlineStr">
        <is>
          <t>АСУ,А и ТМ (КЦ № 6)</t>
        </is>
      </c>
      <c r="K77" s="243" t="inlineStr">
        <is>
          <t>2012</t>
        </is>
      </c>
      <c r="L77" s="243" t="inlineStr"/>
      <c r="M77" s="246" t="inlineStr"/>
      <c r="N77" s="245" t="inlineStr"/>
    </row>
    <row r="78" ht="33.75" customHeight="1" s="236">
      <c r="A78" s="243" t="n">
        <v>77</v>
      </c>
      <c r="B78" s="248" t="inlineStr">
        <is>
          <t>Термометр сопротивления</t>
        </is>
      </c>
      <c r="C78" s="245" t="inlineStr">
        <is>
          <t>ТСП 012.60 Pt100/В/3</t>
        </is>
      </c>
      <c r="D78" s="276" t="inlineStr">
        <is>
          <t>318</t>
        </is>
      </c>
      <c r="E78" s="245" t="inlineStr">
        <is>
          <t>2011</t>
        </is>
      </c>
      <c r="F78" s="248" t="inlineStr">
        <is>
          <t>-60…200 °С</t>
        </is>
      </c>
      <c r="G78" s="245" t="inlineStr">
        <is>
          <t>B</t>
        </is>
      </c>
      <c r="H78" s="243" t="inlineStr">
        <is>
          <t>Температура защитного воздуха на выходе оболочки опорно-упорного подшипника (задний)</t>
        </is>
      </c>
      <c r="I78" s="243" t="inlineStr">
        <is>
          <t>ГПА 63</t>
        </is>
      </c>
      <c r="J78" s="243" t="inlineStr">
        <is>
          <t>АСУ,А и ТМ (КЦ № 6)</t>
        </is>
      </c>
      <c r="K78" s="243" t="inlineStr">
        <is>
          <t>2012</t>
        </is>
      </c>
      <c r="L78" s="243" t="inlineStr">
        <is>
          <t>36</t>
        </is>
      </c>
      <c r="M78" s="246" t="inlineStr"/>
      <c r="N78" s="245" t="inlineStr"/>
    </row>
    <row r="79" ht="15" customHeight="1" s="236">
      <c r="A79" s="243" t="n">
        <v>78</v>
      </c>
      <c r="B79" s="248" t="inlineStr">
        <is>
          <t>Расходомер</t>
        </is>
      </c>
      <c r="C79" s="245" t="inlineStr">
        <is>
          <t>СУРГ 1.000</t>
        </is>
      </c>
      <c r="D79" s="276" t="inlineStr">
        <is>
          <t>01.1363</t>
        </is>
      </c>
      <c r="E79" s="245" t="inlineStr">
        <is>
          <t>2011</t>
        </is>
      </c>
      <c r="F79" s="248" t="inlineStr">
        <is>
          <t>0…100000 кг/час</t>
        </is>
      </c>
      <c r="G79" s="245" t="inlineStr">
        <is>
          <t>3%</t>
        </is>
      </c>
      <c r="H79" s="243" t="inlineStr">
        <is>
          <t>(Наддув) под кожухом двигателя</t>
        </is>
      </c>
      <c r="I79" s="243" t="inlineStr">
        <is>
          <t>ГПА 63</t>
        </is>
      </c>
      <c r="J79" s="243" t="inlineStr">
        <is>
          <t>АСУ,А и ТМ (КЦ № 6)</t>
        </is>
      </c>
      <c r="K79" s="243" t="inlineStr">
        <is>
          <t>2012</t>
        </is>
      </c>
      <c r="L79" s="243" t="inlineStr">
        <is>
          <t>36</t>
        </is>
      </c>
      <c r="M79" s="246" t="inlineStr"/>
      <c r="N79" s="245" t="inlineStr"/>
    </row>
    <row r="80" ht="22.5" customHeight="1" s="236">
      <c r="A80" s="243" t="n">
        <v>79</v>
      </c>
      <c r="B80" s="249" t="inlineStr">
        <is>
          <t>Преобразователь избыточного давления</t>
        </is>
      </c>
      <c r="C80" s="245" t="inlineStr">
        <is>
          <t>Метран 150 TG2</t>
        </is>
      </c>
      <c r="D80" s="276" t="inlineStr">
        <is>
          <t>1158870</t>
        </is>
      </c>
      <c r="E80" s="245" t="inlineStr">
        <is>
          <t>2011</t>
        </is>
      </c>
      <c r="F80" s="248" t="inlineStr">
        <is>
          <t>0…600 кПa</t>
        </is>
      </c>
      <c r="G80" s="245" t="inlineStr">
        <is>
          <t>0.20%</t>
        </is>
      </c>
      <c r="H80" s="243" t="inlineStr">
        <is>
          <t>Давление газа на выходе 1-ой ступени ТУ ПКВ</t>
        </is>
      </c>
      <c r="I80" s="243" t="inlineStr">
        <is>
          <t>ГПА 63</t>
        </is>
      </c>
      <c r="J80" s="243" t="inlineStr">
        <is>
          <t>АСУ,А и ТМ (КЦ № 6)</t>
        </is>
      </c>
      <c r="K80" s="243" t="inlineStr">
        <is>
          <t>2012</t>
        </is>
      </c>
      <c r="L80" s="243" t="inlineStr">
        <is>
          <t>48</t>
        </is>
      </c>
      <c r="M80" s="246" t="inlineStr"/>
      <c r="N80" s="245" t="inlineStr"/>
    </row>
    <row r="81" ht="22.5" customHeight="1" s="236">
      <c r="A81" s="243" t="n">
        <v>80</v>
      </c>
      <c r="B81" s="249" t="inlineStr">
        <is>
          <t>Преобразователь избыточного давления</t>
        </is>
      </c>
      <c r="C81" s="245" t="inlineStr">
        <is>
          <t>Метран 150 TG2</t>
        </is>
      </c>
      <c r="D81" s="276" t="inlineStr">
        <is>
          <t>1046019</t>
        </is>
      </c>
      <c r="E81" s="245" t="inlineStr">
        <is>
          <t>2011</t>
        </is>
      </c>
      <c r="F81" s="248" t="inlineStr">
        <is>
          <t>0…600 кПa</t>
        </is>
      </c>
      <c r="G81" s="245" t="inlineStr">
        <is>
          <t>0.20%</t>
        </is>
      </c>
      <c r="H81" s="243" t="inlineStr">
        <is>
          <t>Давление газа на выходе 1-ой ступени ТУ ЗКВ</t>
        </is>
      </c>
      <c r="I81" s="243" t="inlineStr">
        <is>
          <t>ГПА 63</t>
        </is>
      </c>
      <c r="J81" s="243" t="inlineStr">
        <is>
          <t>АСУ,А и ТМ (КЦ № 6)</t>
        </is>
      </c>
      <c r="K81" s="243" t="inlineStr">
        <is>
          <t>2012</t>
        </is>
      </c>
      <c r="L81" s="243" t="inlineStr">
        <is>
          <t>48</t>
        </is>
      </c>
      <c r="M81" s="246" t="inlineStr"/>
      <c r="N81" s="245" t="inlineStr"/>
    </row>
    <row r="82" ht="22.5" customHeight="1" s="236">
      <c r="A82" s="243" t="n">
        <v>81</v>
      </c>
      <c r="B82" s="249" t="inlineStr">
        <is>
          <t>Преобразователь избыточного давления</t>
        </is>
      </c>
      <c r="C82" s="245" t="inlineStr">
        <is>
          <t>Метран 150 TG4</t>
        </is>
      </c>
      <c r="D82" s="276" t="inlineStr">
        <is>
          <t>6112275</t>
        </is>
      </c>
      <c r="E82" s="245" t="inlineStr">
        <is>
          <t>2019</t>
        </is>
      </c>
      <c r="F82" s="248" t="inlineStr">
        <is>
          <t>0…16 МПа</t>
        </is>
      </c>
      <c r="G82" s="245" t="inlineStr">
        <is>
          <t>0,075%</t>
        </is>
      </c>
      <c r="H82" s="243" t="inlineStr">
        <is>
          <t>Давление газа на выходе бустерной компрессорной установки</t>
        </is>
      </c>
      <c r="I82" s="243" t="inlineStr">
        <is>
          <t>ГПА 63</t>
        </is>
      </c>
      <c r="J82" s="243" t="inlineStr">
        <is>
          <t>АСУ,А и ТМ (КЦ № 6)</t>
        </is>
      </c>
      <c r="K82" s="243" t="inlineStr">
        <is>
          <t>2019</t>
        </is>
      </c>
      <c r="L82" s="243" t="inlineStr"/>
      <c r="M82" s="246" t="inlineStr"/>
      <c r="N82" s="245" t="inlineStr"/>
    </row>
    <row r="83" ht="22.5" customHeight="1" s="236">
      <c r="A83" s="243" t="n">
        <v>82</v>
      </c>
      <c r="B83" s="249" t="inlineStr">
        <is>
          <t>Преобразователь избыточного давления</t>
        </is>
      </c>
      <c r="C83" s="245" t="inlineStr">
        <is>
          <t>Метран 150 CD4</t>
        </is>
      </c>
      <c r="D83" s="276" t="inlineStr">
        <is>
          <t>6112271</t>
        </is>
      </c>
      <c r="E83" s="245" t="inlineStr">
        <is>
          <t>2019</t>
        </is>
      </c>
      <c r="F83" s="248" t="inlineStr">
        <is>
          <t>0…500 кПа</t>
        </is>
      </c>
      <c r="G83" s="245" t="inlineStr">
        <is>
          <t>0,075%</t>
        </is>
      </c>
      <c r="H83" s="243" t="inlineStr">
        <is>
          <t>Перепад давления газа на фильтре бустерной компрессорной установки</t>
        </is>
      </c>
      <c r="I83" s="243" t="inlineStr">
        <is>
          <t>ГПА 63</t>
        </is>
      </c>
      <c r="J83" s="243" t="inlineStr">
        <is>
          <t>АСУ,А и ТМ (КЦ № 6)</t>
        </is>
      </c>
      <c r="K83" s="243" t="inlineStr">
        <is>
          <t>2019</t>
        </is>
      </c>
      <c r="L83" s="243" t="inlineStr"/>
      <c r="M83" s="246" t="inlineStr"/>
      <c r="N83" s="245" t="inlineStr"/>
    </row>
    <row r="84" ht="22.5" customHeight="1" s="236">
      <c r="A84" s="243" t="n">
        <v>83</v>
      </c>
      <c r="B84" s="249" t="inlineStr">
        <is>
          <t>Преобразователь избыточного давления</t>
        </is>
      </c>
      <c r="C84" s="245" t="inlineStr">
        <is>
          <t>Метран 150 CD2</t>
        </is>
      </c>
      <c r="D84" s="276" t="inlineStr">
        <is>
          <t>1372837</t>
        </is>
      </c>
      <c r="E84" s="245" t="inlineStr">
        <is>
          <t>2011</t>
        </is>
      </c>
      <c r="F84" s="248" t="inlineStr">
        <is>
          <t>0…25 кПa</t>
        </is>
      </c>
      <c r="G84" s="245" t="inlineStr">
        <is>
          <t>0.075%</t>
        </is>
      </c>
      <c r="H84" s="243" t="inlineStr">
        <is>
          <t>Перепад давления газ-газ</t>
        </is>
      </c>
      <c r="I84" s="243" t="inlineStr">
        <is>
          <t>ГПА 63</t>
        </is>
      </c>
      <c r="J84" s="243" t="inlineStr">
        <is>
          <t>АСУ,А и ТМ (КЦ № 6)</t>
        </is>
      </c>
      <c r="K84" s="243" t="inlineStr">
        <is>
          <t>2012</t>
        </is>
      </c>
      <c r="L84" s="243" t="inlineStr">
        <is>
          <t>60</t>
        </is>
      </c>
      <c r="M84" s="246" t="inlineStr"/>
      <c r="N84" s="245" t="inlineStr"/>
    </row>
    <row r="85" ht="22.5" customHeight="1" s="236">
      <c r="A85" s="243" t="n">
        <v>84</v>
      </c>
      <c r="B85" s="249" t="inlineStr">
        <is>
          <t>Преобразователь избыточного давления</t>
        </is>
      </c>
      <c r="C85" s="245" t="inlineStr">
        <is>
          <t>Метран 150 CD3</t>
        </is>
      </c>
      <c r="D85" s="276" t="inlineStr">
        <is>
          <t>1011863</t>
        </is>
      </c>
      <c r="E85" s="245" t="inlineStr">
        <is>
          <t>2011</t>
        </is>
      </c>
      <c r="F85" s="248" t="inlineStr">
        <is>
          <t>0…250 кПа</t>
        </is>
      </c>
      <c r="G85" s="245" t="inlineStr">
        <is>
          <t>0.20%</t>
        </is>
      </c>
      <c r="H85" s="243" t="inlineStr">
        <is>
          <t>Перепад давления газа на фильтрах панели ТГДУ</t>
        </is>
      </c>
      <c r="I85" s="243" t="inlineStr">
        <is>
          <t>ГПА 63</t>
        </is>
      </c>
      <c r="J85" s="243" t="inlineStr">
        <is>
          <t>АСУ,А и ТМ (КЦ № 6)</t>
        </is>
      </c>
      <c r="K85" s="243" t="inlineStr">
        <is>
          <t>2012</t>
        </is>
      </c>
      <c r="L85" s="243" t="inlineStr">
        <is>
          <t>48</t>
        </is>
      </c>
      <c r="M85" s="246" t="inlineStr"/>
      <c r="N85" s="245" t="inlineStr"/>
    </row>
    <row r="86" ht="22.5" customHeight="1" s="236">
      <c r="A86" s="243" t="n">
        <v>85</v>
      </c>
      <c r="B86" s="249" t="inlineStr">
        <is>
          <t>Преобразователь избыточного давления</t>
        </is>
      </c>
      <c r="C86" s="245" t="inlineStr">
        <is>
          <t>Honeywell STD-924</t>
        </is>
      </c>
      <c r="D86" s="276" t="inlineStr">
        <is>
          <t>11W17C3313690001025</t>
        </is>
      </c>
      <c r="E86" s="245" t="inlineStr">
        <is>
          <t>2011</t>
        </is>
      </c>
      <c r="F86" s="248" t="inlineStr">
        <is>
          <t>0…0,63 кПа</t>
        </is>
      </c>
      <c r="G86" s="245" t="inlineStr">
        <is>
          <t>0.075%</t>
        </is>
      </c>
      <c r="H86" s="243" t="inlineStr">
        <is>
          <t>Перепад давления воздуха на мультициклонных блоках (фильтрах)</t>
        </is>
      </c>
      <c r="I86" s="243" t="inlineStr">
        <is>
          <t>ГПА 63</t>
        </is>
      </c>
      <c r="J86" s="243" t="inlineStr">
        <is>
          <t>АСУ,А и ТМ (КЦ № 6)</t>
        </is>
      </c>
      <c r="K86" s="243" t="inlineStr">
        <is>
          <t>2012</t>
        </is>
      </c>
      <c r="L86" s="243" t="inlineStr">
        <is>
          <t>36</t>
        </is>
      </c>
      <c r="M86" s="246" t="inlineStr"/>
      <c r="N86" s="245" t="inlineStr"/>
    </row>
    <row r="87" ht="22.5" customHeight="1" s="236">
      <c r="A87" s="243" t="n">
        <v>86</v>
      </c>
      <c r="B87" s="249" t="inlineStr">
        <is>
          <t>Преобразователь избыточного давления</t>
        </is>
      </c>
      <c r="C87" s="245" t="inlineStr">
        <is>
          <t>Метран 150 CD1</t>
        </is>
      </c>
      <c r="D87" s="276" t="inlineStr">
        <is>
          <t>1372834</t>
        </is>
      </c>
      <c r="E87" s="245" t="inlineStr">
        <is>
          <t>2011</t>
        </is>
      </c>
      <c r="F87" s="248" t="inlineStr">
        <is>
          <t>0…1,6 кПа</t>
        </is>
      </c>
      <c r="G87" s="245" t="inlineStr">
        <is>
          <t>0.10%</t>
        </is>
      </c>
      <c r="H87" s="243" t="inlineStr">
        <is>
          <t>Перепад давления воздуха на кассетных фильтрах</t>
        </is>
      </c>
      <c r="I87" s="243" t="inlineStr">
        <is>
          <t>ГПА 63</t>
        </is>
      </c>
      <c r="J87" s="243" t="inlineStr">
        <is>
          <t>АСУ,А и ТМ (КЦ № 6)</t>
        </is>
      </c>
      <c r="K87" s="243" t="inlineStr">
        <is>
          <t>2012</t>
        </is>
      </c>
      <c r="L87" s="243" t="inlineStr">
        <is>
          <t>60</t>
        </is>
      </c>
      <c r="M87" s="246" t="inlineStr"/>
      <c r="N87" s="245" t="inlineStr"/>
    </row>
    <row r="88" ht="22.5" customHeight="1" s="236">
      <c r="A88" s="243" t="n">
        <v>87</v>
      </c>
      <c r="B88" s="249" t="inlineStr">
        <is>
          <t>Преобразователь избыточного давления</t>
        </is>
      </c>
      <c r="C88" s="245" t="inlineStr">
        <is>
          <t>YOKOGAVA EJX530А-EDS9N-019DL/KF21/QR</t>
        </is>
      </c>
      <c r="D88" s="276" t="inlineStr">
        <is>
          <t>91M439735.217</t>
        </is>
      </c>
      <c r="E88" s="245" t="inlineStr">
        <is>
          <t>2012</t>
        </is>
      </c>
      <c r="F88" s="248" t="inlineStr">
        <is>
          <t>0…16 МПа</t>
        </is>
      </c>
      <c r="G88" s="245" t="inlineStr">
        <is>
          <t>0.10%</t>
        </is>
      </c>
      <c r="H88" s="243" t="inlineStr">
        <is>
          <t>Давление газа на выходе АВО (после крана №2)</t>
        </is>
      </c>
      <c r="I88" s="243" t="inlineStr">
        <is>
          <t>ГПА 63</t>
        </is>
      </c>
      <c r="J88" s="243" t="inlineStr">
        <is>
          <t>АСУ,А и ТМ (КЦ № 6)</t>
        </is>
      </c>
      <c r="K88" s="243" t="inlineStr">
        <is>
          <t>2012</t>
        </is>
      </c>
      <c r="L88" s="243" t="inlineStr">
        <is>
          <t>60</t>
        </is>
      </c>
      <c r="M88" s="246" t="inlineStr"/>
      <c r="N88" s="245" t="inlineStr"/>
    </row>
    <row r="89" ht="22.5" customHeight="1" s="236">
      <c r="A89" s="243" t="n">
        <v>88</v>
      </c>
      <c r="B89" s="249" t="inlineStr">
        <is>
          <t>Преобразователь избыточного давления</t>
        </is>
      </c>
      <c r="C89" s="245" t="inlineStr">
        <is>
          <t>YOKOGAVA EJX110А-EНS5J-B19DM/KF21/QR</t>
        </is>
      </c>
      <c r="D89" s="276" t="inlineStr">
        <is>
          <t>91M439694.217</t>
        </is>
      </c>
      <c r="E89" s="245" t="inlineStr">
        <is>
          <t>2012</t>
        </is>
      </c>
      <c r="F89" s="248" t="inlineStr">
        <is>
          <t>0…0,16 МПа</t>
        </is>
      </c>
      <c r="G89" s="245" t="inlineStr">
        <is>
          <t>0.04%</t>
        </is>
      </c>
      <c r="H89" s="243" t="inlineStr">
        <is>
          <t>Перепад давлений газа на сетке перед компрессором (защитная решетка)</t>
        </is>
      </c>
      <c r="I89" s="243" t="inlineStr">
        <is>
          <t>ГПА 63</t>
        </is>
      </c>
      <c r="J89" s="243" t="inlineStr">
        <is>
          <t>АСУ,А и ТМ (КЦ № 6)</t>
        </is>
      </c>
      <c r="K89" s="243" t="inlineStr">
        <is>
          <t>2012</t>
        </is>
      </c>
      <c r="L89" s="243" t="inlineStr">
        <is>
          <t>60</t>
        </is>
      </c>
      <c r="M89" s="246" t="inlineStr"/>
      <c r="N89" s="245" t="inlineStr"/>
    </row>
    <row r="90" ht="22.5" customHeight="1" s="236">
      <c r="A90" s="243" t="n">
        <v>89</v>
      </c>
      <c r="B90" s="249" t="inlineStr">
        <is>
          <t>Преобразователь избыточного давления</t>
        </is>
      </c>
      <c r="C90" s="245" t="inlineStr">
        <is>
          <t>YOKOGAVA EJX110А-EНS5J-B19DM/KF21/QR</t>
        </is>
      </c>
      <c r="D90" s="276" t="inlineStr">
        <is>
          <t>91M439687.217</t>
        </is>
      </c>
      <c r="E90" s="245" t="inlineStr">
        <is>
          <t>2012</t>
        </is>
      </c>
      <c r="F90" s="248" t="inlineStr">
        <is>
          <t>0…400 кПа</t>
        </is>
      </c>
      <c r="G90" s="245" t="inlineStr">
        <is>
          <t>0.04%</t>
        </is>
      </c>
      <c r="H90" s="243" t="inlineStr">
        <is>
          <t>Перепад давления газа на кране №1</t>
        </is>
      </c>
      <c r="I90" s="243" t="inlineStr">
        <is>
          <t>ГПА 63</t>
        </is>
      </c>
      <c r="J90" s="243" t="inlineStr">
        <is>
          <t>АСУ,А и ТМ (КЦ № 6)</t>
        </is>
      </c>
      <c r="K90" s="243" t="inlineStr">
        <is>
          <t>2012</t>
        </is>
      </c>
      <c r="L90" s="243" t="inlineStr">
        <is>
          <t>60</t>
        </is>
      </c>
      <c r="M90" s="246" t="inlineStr"/>
      <c r="N90" s="245" t="inlineStr"/>
    </row>
    <row r="91" ht="22.5" customHeight="1" s="236">
      <c r="A91" s="243" t="n">
        <v>90</v>
      </c>
      <c r="B91" s="249" t="inlineStr">
        <is>
          <t>Преобразователь избыточного давления</t>
        </is>
      </c>
      <c r="C91" s="245" t="inlineStr">
        <is>
          <t>Honeywell STG-97L</t>
        </is>
      </c>
      <c r="D91" s="276" t="inlineStr">
        <is>
          <t>11W03 C3287149003049</t>
        </is>
      </c>
      <c r="E91" s="245" t="inlineStr">
        <is>
          <t>2010</t>
        </is>
      </c>
      <c r="F91" s="248" t="inlineStr">
        <is>
          <t>0…4 МПа</t>
        </is>
      </c>
      <c r="G91" s="245" t="inlineStr">
        <is>
          <t>0.075</t>
        </is>
      </c>
      <c r="H91" s="243" t="inlineStr">
        <is>
          <t>Давление воздуха за КВД</t>
        </is>
      </c>
      <c r="I91" s="243" t="inlineStr">
        <is>
          <t>ГПА 63</t>
        </is>
      </c>
      <c r="J91" s="243" t="inlineStr">
        <is>
          <t>АСУ,А и ТМ (КЦ № 6)</t>
        </is>
      </c>
      <c r="K91" s="243" t="inlineStr">
        <is>
          <t>2012</t>
        </is>
      </c>
      <c r="L91" s="243" t="inlineStr">
        <is>
          <t>36</t>
        </is>
      </c>
      <c r="M91" s="246" t="inlineStr"/>
      <c r="N91" s="245" t="inlineStr"/>
    </row>
    <row r="92" ht="22.5" customHeight="1" s="236">
      <c r="A92" s="243" t="n">
        <v>91</v>
      </c>
      <c r="B92" s="249" t="inlineStr">
        <is>
          <t>Преобразователь избыточного давления</t>
        </is>
      </c>
      <c r="C92" s="245" t="inlineStr">
        <is>
          <t>Honeywell STG-97L</t>
        </is>
      </c>
      <c r="D92" s="276" t="inlineStr">
        <is>
          <t>11W03 C3287149003028</t>
        </is>
      </c>
      <c r="E92" s="245" t="inlineStr">
        <is>
          <t>2011</t>
        </is>
      </c>
      <c r="F92" s="248" t="inlineStr">
        <is>
          <t>0…10 МПа</t>
        </is>
      </c>
      <c r="G92" s="245" t="inlineStr">
        <is>
          <t>0.075</t>
        </is>
      </c>
      <c r="H92" s="243" t="inlineStr">
        <is>
          <t>Давление газа на входе компрессора</t>
        </is>
      </c>
      <c r="I92" s="243" t="inlineStr">
        <is>
          <t>ГПА 63</t>
        </is>
      </c>
      <c r="J92" s="243" t="inlineStr">
        <is>
          <t>АСУ,А и ТМ (КЦ № 6)</t>
        </is>
      </c>
      <c r="K92" s="243" t="inlineStr">
        <is>
          <t>2012</t>
        </is>
      </c>
      <c r="L92" s="243" t="inlineStr">
        <is>
          <t>36</t>
        </is>
      </c>
      <c r="M92" s="246" t="inlineStr"/>
      <c r="N92" s="245" t="inlineStr"/>
    </row>
    <row r="93" ht="22.5" customHeight="1" s="236">
      <c r="A93" s="243" t="n">
        <v>92</v>
      </c>
      <c r="B93" s="249" t="inlineStr">
        <is>
          <t>Преобразователь избыточного давления</t>
        </is>
      </c>
      <c r="C93" s="245" t="inlineStr">
        <is>
          <t>Honeywell STG-97L</t>
        </is>
      </c>
      <c r="D93" s="276" t="inlineStr">
        <is>
          <t>10W20 C3296732009001</t>
        </is>
      </c>
      <c r="E93" s="245" t="inlineStr">
        <is>
          <t>2011</t>
        </is>
      </c>
      <c r="F93" s="248" t="inlineStr">
        <is>
          <t>0…16 МПа</t>
        </is>
      </c>
      <c r="G93" s="245" t="inlineStr">
        <is>
          <t>0.075</t>
        </is>
      </c>
      <c r="H93" s="243" t="inlineStr">
        <is>
          <t>Давление газа на выходе компрессора</t>
        </is>
      </c>
      <c r="I93" s="243" t="inlineStr">
        <is>
          <t>ГПА 63</t>
        </is>
      </c>
      <c r="J93" s="243" t="inlineStr">
        <is>
          <t>АСУ,А и ТМ (КЦ № 6)</t>
        </is>
      </c>
      <c r="K93" s="243" t="inlineStr">
        <is>
          <t>2012</t>
        </is>
      </c>
      <c r="L93" s="243" t="inlineStr">
        <is>
          <t>36</t>
        </is>
      </c>
      <c r="M93" s="246" t="inlineStr"/>
      <c r="N93" s="245" t="inlineStr"/>
    </row>
    <row r="94" ht="22.5" customHeight="1" s="236">
      <c r="A94" s="243" t="n">
        <v>93</v>
      </c>
      <c r="B94" s="249" t="inlineStr">
        <is>
          <t>Преобразователь избыточного давления</t>
        </is>
      </c>
      <c r="C94" s="245" t="inlineStr">
        <is>
          <t>Honeywell STG-97L</t>
        </is>
      </c>
      <c r="D94" s="276" t="inlineStr">
        <is>
          <t>11W44С3279987003067</t>
        </is>
      </c>
      <c r="E94" s="245" t="inlineStr">
        <is>
          <t>2010</t>
        </is>
      </c>
      <c r="F94" s="248" t="inlineStr">
        <is>
          <t>0…10 МПа</t>
        </is>
      </c>
      <c r="G94" s="245" t="inlineStr">
        <is>
          <t>0.075</t>
        </is>
      </c>
      <c r="H94" s="243" t="inlineStr">
        <is>
          <t>Давление топливного газа после отсечного клапана</t>
        </is>
      </c>
      <c r="I94" s="243" t="inlineStr">
        <is>
          <t>ГПА 63</t>
        </is>
      </c>
      <c r="J94" s="243" t="inlineStr">
        <is>
          <t>АСУ,А и ТМ (КЦ № 6)</t>
        </is>
      </c>
      <c r="K94" s="243" t="inlineStr">
        <is>
          <t>2012</t>
        </is>
      </c>
      <c r="L94" s="243" t="inlineStr">
        <is>
          <t>36</t>
        </is>
      </c>
      <c r="M94" s="246" t="inlineStr"/>
      <c r="N94" s="245" t="inlineStr"/>
    </row>
    <row r="95" ht="22.5" customHeight="1" s="236">
      <c r="A95" s="243" t="n">
        <v>94</v>
      </c>
      <c r="B95" s="249" t="inlineStr">
        <is>
          <t>Преобразователь избыточного давления</t>
        </is>
      </c>
      <c r="C95" s="245" t="inlineStr">
        <is>
          <t>Honeywell STG-97L</t>
        </is>
      </c>
      <c r="D95" s="276" t="inlineStr">
        <is>
          <t>11W18 C3313690003014</t>
        </is>
      </c>
      <c r="E95" s="245" t="inlineStr">
        <is>
          <t>2011</t>
        </is>
      </c>
      <c r="F95" s="248" t="inlineStr">
        <is>
          <t>0…10 МПа</t>
        </is>
      </c>
      <c r="G95" s="245" t="inlineStr">
        <is>
          <t>0.075</t>
        </is>
      </c>
      <c r="H95" s="243" t="inlineStr">
        <is>
          <t>Давление топливного газа перед расходомерным устройством</t>
        </is>
      </c>
      <c r="I95" s="243" t="inlineStr">
        <is>
          <t>ГПА 63</t>
        </is>
      </c>
      <c r="J95" s="243" t="inlineStr">
        <is>
          <t>АСУ,А и ТМ (КЦ № 6)</t>
        </is>
      </c>
      <c r="K95" s="243" t="inlineStr">
        <is>
          <t>2012</t>
        </is>
      </c>
      <c r="L95" s="243" t="inlineStr">
        <is>
          <t>36</t>
        </is>
      </c>
      <c r="M95" s="246" t="inlineStr"/>
      <c r="N95" s="245" t="inlineStr"/>
    </row>
    <row r="96" ht="33.75" customHeight="1" s="236">
      <c r="A96" s="243" t="n">
        <v>95</v>
      </c>
      <c r="B96" s="249" t="inlineStr">
        <is>
          <t>Преобразователь избыточного давления</t>
        </is>
      </c>
      <c r="C96" s="245" t="inlineStr">
        <is>
          <t>Honeywell STG-97L</t>
        </is>
      </c>
      <c r="D96" s="276" t="inlineStr">
        <is>
          <t>10W03С3287149003029</t>
        </is>
      </c>
      <c r="E96" s="245" t="inlineStr">
        <is>
          <t>2011</t>
        </is>
      </c>
      <c r="F96" s="248" t="inlineStr">
        <is>
          <t>0…10 МПа</t>
        </is>
      </c>
      <c r="G96" s="245" t="inlineStr">
        <is>
          <t>0.075</t>
        </is>
      </c>
      <c r="H96" s="243" t="inlineStr">
        <is>
          <t>Давление топливного газа перед форсунками камеры сгорания (после СК)</t>
        </is>
      </c>
      <c r="I96" s="243" t="inlineStr">
        <is>
          <t>ГПА 63</t>
        </is>
      </c>
      <c r="J96" s="243" t="inlineStr">
        <is>
          <t>АСУ,А и ТМ (КЦ № 6)</t>
        </is>
      </c>
      <c r="K96" s="243" t="inlineStr">
        <is>
          <t>2012</t>
        </is>
      </c>
      <c r="L96" s="243" t="inlineStr">
        <is>
          <t>36</t>
        </is>
      </c>
      <c r="M96" s="246" t="inlineStr"/>
      <c r="N96" s="245" t="inlineStr"/>
    </row>
    <row r="97" ht="22.5" customHeight="1" s="236">
      <c r="A97" s="243" t="n">
        <v>96</v>
      </c>
      <c r="B97" s="249" t="inlineStr">
        <is>
          <t>Преобразователь избыточного давления</t>
        </is>
      </c>
      <c r="C97" s="245" t="inlineStr">
        <is>
          <t>Honeywell STG-97L</t>
        </is>
      </c>
      <c r="D97" s="276" t="inlineStr">
        <is>
          <t>11W03 C3287149003070</t>
        </is>
      </c>
      <c r="E97" s="245" t="inlineStr">
        <is>
          <t>2010</t>
        </is>
      </c>
      <c r="F97" s="248" t="inlineStr">
        <is>
          <t>0…2 МПа</t>
        </is>
      </c>
      <c r="G97" s="245" t="inlineStr">
        <is>
          <t>0.075</t>
        </is>
      </c>
      <c r="H97" s="243" t="inlineStr">
        <is>
          <t>Давление воздуха в разгрузочной полости</t>
        </is>
      </c>
      <c r="I97" s="243" t="inlineStr">
        <is>
          <t>ГПА 63</t>
        </is>
      </c>
      <c r="J97" s="243" t="inlineStr">
        <is>
          <t>АСУ,А и ТМ (КЦ № 6)</t>
        </is>
      </c>
      <c r="K97" s="243" t="inlineStr">
        <is>
          <t>2012</t>
        </is>
      </c>
      <c r="L97" s="243" t="inlineStr">
        <is>
          <t>36</t>
        </is>
      </c>
      <c r="M97" s="246" t="inlineStr"/>
      <c r="N97" s="245" t="inlineStr"/>
    </row>
    <row r="98" ht="22.5" customHeight="1" s="236">
      <c r="A98" s="243" t="n">
        <v>97</v>
      </c>
      <c r="B98" s="249" t="inlineStr">
        <is>
          <t>Преобразователь избыточного давления</t>
        </is>
      </c>
      <c r="C98" s="245" t="inlineStr">
        <is>
          <t>Honeywell STG-94L</t>
        </is>
      </c>
      <c r="D98" s="276" t="inlineStr">
        <is>
          <t>11W18 C3313690002033</t>
        </is>
      </c>
      <c r="E98" s="245" t="inlineStr">
        <is>
          <t>2011</t>
        </is>
      </c>
      <c r="F98" s="248" t="inlineStr">
        <is>
          <t>0…0,63 МПа</t>
        </is>
      </c>
      <c r="G98" s="245" t="inlineStr">
        <is>
          <t>0.075</t>
        </is>
      </c>
      <c r="H98" s="243" t="inlineStr">
        <is>
          <t>Давление масла на выходе из двигателя</t>
        </is>
      </c>
      <c r="I98" s="243" t="inlineStr">
        <is>
          <t>ГПА 63</t>
        </is>
      </c>
      <c r="J98" s="243" t="inlineStr">
        <is>
          <t>АСУ,А и ТМ (КЦ № 6)</t>
        </is>
      </c>
      <c r="K98" s="243" t="inlineStr">
        <is>
          <t>2012</t>
        </is>
      </c>
      <c r="L98" s="243" t="inlineStr">
        <is>
          <t>36</t>
        </is>
      </c>
      <c r="M98" s="246" t="inlineStr"/>
      <c r="N98" s="245" t="inlineStr"/>
    </row>
    <row r="99" ht="22.5" customHeight="1" s="236">
      <c r="A99" s="243" t="n">
        <v>98</v>
      </c>
      <c r="B99" s="249" t="inlineStr">
        <is>
          <t>Преобразователь избыточного давления</t>
        </is>
      </c>
      <c r="C99" s="245" t="inlineStr">
        <is>
          <t>Honeywell STG-94L</t>
        </is>
      </c>
      <c r="D99" s="276" t="inlineStr">
        <is>
          <t>11W13 C3303059004024</t>
        </is>
      </c>
      <c r="E99" s="245" t="inlineStr">
        <is>
          <t>2011</t>
        </is>
      </c>
      <c r="F99" s="248" t="inlineStr">
        <is>
          <t>0…0,63 МПа</t>
        </is>
      </c>
      <c r="G99" s="245" t="inlineStr">
        <is>
          <t>0.075</t>
        </is>
      </c>
      <c r="H99" s="243" t="inlineStr">
        <is>
          <t>Давление масла на входе двигателя</t>
        </is>
      </c>
      <c r="I99" s="243" t="inlineStr">
        <is>
          <t>ГПА 63</t>
        </is>
      </c>
      <c r="J99" s="243" t="inlineStr">
        <is>
          <t>АСУ,А и ТМ (КЦ № 6)</t>
        </is>
      </c>
      <c r="K99" s="243" t="inlineStr">
        <is>
          <t>2012</t>
        </is>
      </c>
      <c r="L99" s="243" t="inlineStr">
        <is>
          <t>36</t>
        </is>
      </c>
      <c r="M99" s="246" t="inlineStr"/>
      <c r="N99" s="245" t="inlineStr"/>
    </row>
    <row r="100" ht="22.5" customHeight="1" s="236">
      <c r="A100" s="243" t="n">
        <v>99</v>
      </c>
      <c r="B100" s="249" t="inlineStr">
        <is>
          <t>Преобразователь избыточного давления</t>
        </is>
      </c>
      <c r="C100" s="245" t="inlineStr">
        <is>
          <t>Honeywell STG-94L</t>
        </is>
      </c>
      <c r="D100" s="276" t="inlineStr">
        <is>
          <t>11W17 C3313690002011</t>
        </is>
      </c>
      <c r="E100" s="245" t="inlineStr">
        <is>
          <t>2011</t>
        </is>
      </c>
      <c r="F100" s="248" t="inlineStr">
        <is>
          <t>-100…530 кПа</t>
        </is>
      </c>
      <c r="G100" s="245" t="inlineStr">
        <is>
          <t>0.075</t>
        </is>
      </c>
      <c r="H100" s="243" t="inlineStr">
        <is>
          <t>Давление воздуха в средней опоре</t>
        </is>
      </c>
      <c r="I100" s="243" t="inlineStr">
        <is>
          <t>ГПА 63</t>
        </is>
      </c>
      <c r="J100" s="243" t="inlineStr">
        <is>
          <t>АСУ,А и ТМ (КЦ № 6)</t>
        </is>
      </c>
      <c r="K100" s="243" t="inlineStr">
        <is>
          <t>2012</t>
        </is>
      </c>
      <c r="L100" s="243" t="inlineStr">
        <is>
          <t>36</t>
        </is>
      </c>
      <c r="M100" s="246" t="inlineStr"/>
      <c r="N100" s="245" t="inlineStr"/>
    </row>
    <row r="101" ht="33.75" customHeight="1" s="236">
      <c r="A101" s="243" t="n">
        <v>100</v>
      </c>
      <c r="B101" s="249" t="inlineStr">
        <is>
          <t>Преобразователь избыточного давления</t>
        </is>
      </c>
      <c r="C101" s="245" t="inlineStr">
        <is>
          <t>Honeywell STG-94L</t>
        </is>
      </c>
      <c r="D101" s="276" t="inlineStr">
        <is>
          <t>11W13 C3303059004021</t>
        </is>
      </c>
      <c r="E101" s="245" t="inlineStr">
        <is>
          <t>2011</t>
        </is>
      </c>
      <c r="F101" s="248" t="inlineStr">
        <is>
          <t>0…1 МПа</t>
        </is>
      </c>
      <c r="G101" s="245" t="inlineStr">
        <is>
          <t>0.075</t>
        </is>
      </c>
      <c r="H101" s="243" t="inlineStr">
        <is>
          <t>Давление защиного воздуха на выходе ресивера Р1 (после воздушного компрессора)</t>
        </is>
      </c>
      <c r="I101" s="243" t="inlineStr">
        <is>
          <t>ГПА 63</t>
        </is>
      </c>
      <c r="J101" s="243" t="inlineStr">
        <is>
          <t>АСУ,А и ТМ (КЦ № 6)</t>
        </is>
      </c>
      <c r="K101" s="243" t="inlineStr">
        <is>
          <t>2012</t>
        </is>
      </c>
      <c r="L101" s="243" t="inlineStr">
        <is>
          <t>36</t>
        </is>
      </c>
      <c r="M101" s="246" t="inlineStr"/>
      <c r="N101" s="245" t="inlineStr"/>
    </row>
    <row r="102" ht="22.5" customHeight="1" s="236">
      <c r="A102" s="243" t="n">
        <v>101</v>
      </c>
      <c r="B102" s="249" t="inlineStr">
        <is>
          <t>Преобразователь избыточного давления</t>
        </is>
      </c>
      <c r="C102" s="245" t="inlineStr">
        <is>
          <t>Honeywell STD-930</t>
        </is>
      </c>
      <c r="D102" s="276" t="inlineStr">
        <is>
          <t>11W17 C3313690005001</t>
        </is>
      </c>
      <c r="E102" s="245" t="inlineStr">
        <is>
          <t>2011</t>
        </is>
      </c>
      <c r="F102" s="248" t="inlineStr">
        <is>
          <t>-34…689 кПа</t>
        </is>
      </c>
      <c r="G102" s="245" t="inlineStr">
        <is>
          <t>0.075</t>
        </is>
      </c>
      <c r="H102" s="243" t="inlineStr">
        <is>
          <t>Перепад воздуха на шайбе</t>
        </is>
      </c>
      <c r="I102" s="243" t="inlineStr">
        <is>
          <t>ГПА 63</t>
        </is>
      </c>
      <c r="J102" s="243" t="inlineStr">
        <is>
          <t>АСУ,А и ТМ (КЦ № 6)</t>
        </is>
      </c>
      <c r="K102" s="243" t="inlineStr">
        <is>
          <t>2012</t>
        </is>
      </c>
      <c r="L102" s="243" t="inlineStr">
        <is>
          <t>36</t>
        </is>
      </c>
      <c r="M102" s="246" t="inlineStr"/>
      <c r="N102" s="245" t="inlineStr"/>
    </row>
    <row r="103" ht="22.5" customHeight="1" s="236">
      <c r="A103" s="243" t="n">
        <v>102</v>
      </c>
      <c r="B103" s="249" t="inlineStr">
        <is>
          <t>Преобразователь избыточного давления</t>
        </is>
      </c>
      <c r="C103" s="245" t="inlineStr">
        <is>
          <t>Honeywell STD-924</t>
        </is>
      </c>
      <c r="D103" s="276" t="inlineStr">
        <is>
          <t>10W45 C3273987001091</t>
        </is>
      </c>
      <c r="E103" s="245" t="inlineStr">
        <is>
          <t>2011</t>
        </is>
      </c>
      <c r="F103" s="248" t="inlineStr">
        <is>
          <t>0…63 кПа</t>
        </is>
      </c>
      <c r="G103" s="245" t="inlineStr">
        <is>
          <t>0.075</t>
        </is>
      </c>
      <c r="H103" s="243" t="inlineStr">
        <is>
          <t>Перепад давления газа на всасывающем патрубке (конфузоре)</t>
        </is>
      </c>
      <c r="I103" s="243" t="inlineStr">
        <is>
          <t>ГПА 63</t>
        </is>
      </c>
      <c r="J103" s="243" t="inlineStr">
        <is>
          <t>АСУ,А и ТМ (КЦ № 6)</t>
        </is>
      </c>
      <c r="K103" s="243" t="inlineStr">
        <is>
          <t>2012</t>
        </is>
      </c>
      <c r="L103" s="243" t="inlineStr">
        <is>
          <t>36</t>
        </is>
      </c>
      <c r="M103" s="246" t="inlineStr"/>
      <c r="N103" s="245" t="inlineStr"/>
    </row>
    <row r="104" ht="33.75" customHeight="1" s="236">
      <c r="A104" s="243" t="n">
        <v>103</v>
      </c>
      <c r="B104" s="249" t="inlineStr">
        <is>
          <t>Преобразователь избыточного давления</t>
        </is>
      </c>
      <c r="C104" s="245" t="inlineStr">
        <is>
          <t>Honeywell STD-924</t>
        </is>
      </c>
      <c r="D104" s="276" t="inlineStr">
        <is>
          <t>11W17 C3313690001022</t>
        </is>
      </c>
      <c r="E104" s="245" t="inlineStr">
        <is>
          <t>2011</t>
        </is>
      </c>
      <c r="F104" s="248" t="inlineStr">
        <is>
          <t>0…4 кПа</t>
        </is>
      </c>
      <c r="G104" s="245" t="inlineStr">
        <is>
          <t>0.075</t>
        </is>
      </c>
      <c r="H104" s="243" t="inlineStr">
        <is>
          <t>Перепад давления между оболочкой опорного подшипника и 2-ой супенью ТУ</t>
        </is>
      </c>
      <c r="I104" s="243" t="inlineStr">
        <is>
          <t>ГПА 63</t>
        </is>
      </c>
      <c r="J104" s="243" t="inlineStr">
        <is>
          <t>АСУ,А и ТМ (КЦ № 6)</t>
        </is>
      </c>
      <c r="K104" s="243" t="inlineStr">
        <is>
          <t>2012</t>
        </is>
      </c>
      <c r="L104" s="243" t="inlineStr">
        <is>
          <t>36</t>
        </is>
      </c>
      <c r="M104" s="246" t="inlineStr"/>
      <c r="N104" s="245" t="inlineStr"/>
    </row>
    <row r="105" ht="33.75" customHeight="1" s="236">
      <c r="A105" s="243" t="n">
        <v>104</v>
      </c>
      <c r="B105" s="249" t="inlineStr">
        <is>
          <t>Преобразователь избыточного давления</t>
        </is>
      </c>
      <c r="C105" s="245" t="inlineStr">
        <is>
          <t>Honeywell STD-924</t>
        </is>
      </c>
      <c r="D105" s="276" t="inlineStr">
        <is>
          <t>11W18 C3313690001038</t>
        </is>
      </c>
      <c r="E105" s="245" t="inlineStr">
        <is>
          <t>2011</t>
        </is>
      </c>
      <c r="F105" s="248" t="inlineStr">
        <is>
          <t>0…4 кПа</t>
        </is>
      </c>
      <c r="G105" s="245" t="inlineStr">
        <is>
          <t>0.075</t>
        </is>
      </c>
      <c r="H105" s="243" t="inlineStr">
        <is>
          <t>Перепад давления между оболочкой опорно-упорного подшипника и 2-ой супенью ТУ</t>
        </is>
      </c>
      <c r="I105" s="243" t="inlineStr">
        <is>
          <t>ГПА 63</t>
        </is>
      </c>
      <c r="J105" s="243" t="inlineStr">
        <is>
          <t>АСУ,А и ТМ (КЦ № 6)</t>
        </is>
      </c>
      <c r="K105" s="243" t="inlineStr">
        <is>
          <t>2012</t>
        </is>
      </c>
      <c r="L105" s="243" t="inlineStr">
        <is>
          <t>36</t>
        </is>
      </c>
      <c r="M105" s="246" t="inlineStr"/>
      <c r="N105" s="245" t="inlineStr"/>
    </row>
    <row r="106" ht="22.5" customHeight="1" s="236">
      <c r="A106" s="243" t="n">
        <v>105</v>
      </c>
      <c r="B106" s="249" t="inlineStr">
        <is>
          <t>Преобразователь избыточного давления</t>
        </is>
      </c>
      <c r="C106" s="245" t="inlineStr">
        <is>
          <t>Honeywell STD-924</t>
        </is>
      </c>
      <c r="D106" s="276" t="inlineStr">
        <is>
          <t>11W17 C3313690001003</t>
        </is>
      </c>
      <c r="E106" s="245" t="inlineStr">
        <is>
          <t>2011</t>
        </is>
      </c>
      <c r="F106" s="248" t="inlineStr">
        <is>
          <t>0…1,6 кПа</t>
        </is>
      </c>
      <c r="G106" s="245" t="inlineStr">
        <is>
          <t>0.075</t>
        </is>
      </c>
      <c r="H106" s="243" t="inlineStr">
        <is>
          <t>Давление во входном сечении лемнискаты ГТД</t>
        </is>
      </c>
      <c r="I106" s="243" t="inlineStr">
        <is>
          <t>ГПА 63</t>
        </is>
      </c>
      <c r="J106" s="243" t="inlineStr">
        <is>
          <t>АСУ,А и ТМ (КЦ № 6)</t>
        </is>
      </c>
      <c r="K106" s="243" t="inlineStr">
        <is>
          <t>2012</t>
        </is>
      </c>
      <c r="L106" s="243" t="inlineStr">
        <is>
          <t>36</t>
        </is>
      </c>
      <c r="M106" s="246" t="inlineStr"/>
      <c r="N106" s="245" t="inlineStr"/>
    </row>
    <row r="107" ht="22.5" customHeight="1" s="236">
      <c r="A107" s="243" t="n">
        <v>106</v>
      </c>
      <c r="B107" s="249" t="inlineStr">
        <is>
          <t>Преобразователь избыточного давления</t>
        </is>
      </c>
      <c r="C107" s="245" t="inlineStr">
        <is>
          <t>Honeywell STD-924</t>
        </is>
      </c>
      <c r="D107" s="276" t="inlineStr">
        <is>
          <t>11W17 C3313690001005</t>
        </is>
      </c>
      <c r="E107" s="245" t="inlineStr">
        <is>
          <t>2011</t>
        </is>
      </c>
      <c r="F107" s="248" t="inlineStr">
        <is>
          <t>-5…100 кПа</t>
        </is>
      </c>
      <c r="G107" s="245" t="inlineStr">
        <is>
          <t>0.075</t>
        </is>
      </c>
      <c r="H107" s="243" t="inlineStr">
        <is>
          <t>Давление на срезе улитки ГТД</t>
        </is>
      </c>
      <c r="I107" s="243" t="inlineStr">
        <is>
          <t>ГПА 63</t>
        </is>
      </c>
      <c r="J107" s="243" t="inlineStr">
        <is>
          <t>АСУ,А и ТМ (КЦ № 6)</t>
        </is>
      </c>
      <c r="K107" s="243" t="inlineStr">
        <is>
          <t>2012</t>
        </is>
      </c>
      <c r="L107" s="243" t="inlineStr">
        <is>
          <t>36</t>
        </is>
      </c>
      <c r="M107" s="246" t="inlineStr"/>
      <c r="N107" s="245" t="inlineStr"/>
    </row>
    <row r="108" ht="22.5" customHeight="1" s="236">
      <c r="A108" s="243" t="n">
        <v>107</v>
      </c>
      <c r="B108" s="249" t="inlineStr">
        <is>
          <t>Преобразователь избыточного давления</t>
        </is>
      </c>
      <c r="C108" s="245" t="inlineStr">
        <is>
          <t>Honeywell STD-924</t>
        </is>
      </c>
      <c r="D108" s="276" t="inlineStr">
        <is>
          <t>11W20 C3316711002006</t>
        </is>
      </c>
      <c r="E108" s="245" t="inlineStr">
        <is>
          <t>2011</t>
        </is>
      </c>
      <c r="F108" s="248" t="inlineStr">
        <is>
          <t>0…1158,4 мм</t>
        </is>
      </c>
      <c r="G108" s="245" t="inlineStr">
        <is>
          <t>0.075</t>
        </is>
      </c>
      <c r="H108" s="243" t="inlineStr">
        <is>
          <t>Уровень масла в маслобаке двигателя</t>
        </is>
      </c>
      <c r="I108" s="243" t="inlineStr">
        <is>
          <t>ГПА 63</t>
        </is>
      </c>
      <c r="J108" s="243" t="inlineStr">
        <is>
          <t>АСУ,А и ТМ (КЦ № 6)</t>
        </is>
      </c>
      <c r="K108" s="243" t="inlineStr">
        <is>
          <t>2012</t>
        </is>
      </c>
      <c r="L108" s="243" t="inlineStr">
        <is>
          <t>36</t>
        </is>
      </c>
      <c r="M108" s="246" t="inlineStr">
        <is>
          <t>17.02.2016</t>
        </is>
      </c>
      <c r="N108" s="245" t="inlineStr">
        <is>
          <t>К</t>
        </is>
      </c>
    </row>
    <row r="109" ht="22.5" customHeight="1" s="236">
      <c r="A109" s="243" t="n">
        <v>108</v>
      </c>
      <c r="B109" s="249" t="inlineStr">
        <is>
          <t>Преобразователь избыточного давления</t>
        </is>
      </c>
      <c r="C109" s="245" t="inlineStr">
        <is>
          <t>Honeywell STD-924</t>
        </is>
      </c>
      <c r="D109" s="276" t="inlineStr">
        <is>
          <t>11W1113310520005009</t>
        </is>
      </c>
      <c r="E109" s="245" t="inlineStr">
        <is>
          <t>2011</t>
        </is>
      </c>
      <c r="F109" s="248" t="inlineStr">
        <is>
          <t>0…2000 мм</t>
        </is>
      </c>
      <c r="G109" s="245" t="inlineStr">
        <is>
          <t>0.075</t>
        </is>
      </c>
      <c r="H109" s="243" t="inlineStr">
        <is>
          <t>Уровеь масла в расходном баке</t>
        </is>
      </c>
      <c r="I109" s="243" t="inlineStr">
        <is>
          <t>ГПА 63</t>
        </is>
      </c>
      <c r="J109" s="243" t="inlineStr">
        <is>
          <t>АСУ,А и ТМ (КЦ № 6)</t>
        </is>
      </c>
      <c r="K109" s="243" t="inlineStr">
        <is>
          <t>2012</t>
        </is>
      </c>
      <c r="L109" s="243" t="inlineStr">
        <is>
          <t>36</t>
        </is>
      </c>
      <c r="M109" s="246" t="inlineStr"/>
      <c r="N109" s="245" t="inlineStr"/>
    </row>
    <row r="110" ht="22.5" customHeight="1" s="236">
      <c r="A110" s="243" t="n">
        <v>109</v>
      </c>
      <c r="B110" s="249" t="inlineStr">
        <is>
          <t>Преобразователь избыточного давления</t>
        </is>
      </c>
      <c r="C110" s="245" t="inlineStr">
        <is>
          <t>Honeywell STD-924</t>
        </is>
      </c>
      <c r="D110" s="276" t="inlineStr">
        <is>
          <t>11W17 C3313690001026</t>
        </is>
      </c>
      <c r="E110" s="245" t="inlineStr">
        <is>
          <t>2011</t>
        </is>
      </c>
      <c r="F110" s="248" t="inlineStr">
        <is>
          <t>0…100 кПа</t>
        </is>
      </c>
      <c r="G110" s="245" t="inlineStr">
        <is>
          <t>0.075</t>
        </is>
      </c>
      <c r="H110" s="243" t="inlineStr">
        <is>
          <t>Перепад давлений между входной и выходной камерами Ф1</t>
        </is>
      </c>
      <c r="I110" s="243" t="inlineStr">
        <is>
          <t>ГПА 63</t>
        </is>
      </c>
      <c r="J110" s="243" t="inlineStr">
        <is>
          <t>АСУ,А и ТМ (КЦ № 6)</t>
        </is>
      </c>
      <c r="K110" s="243" t="inlineStr">
        <is>
          <t>2012</t>
        </is>
      </c>
      <c r="L110" s="243" t="inlineStr">
        <is>
          <t>36</t>
        </is>
      </c>
      <c r="M110" s="246" t="inlineStr"/>
      <c r="N110" s="245" t="inlineStr"/>
    </row>
    <row r="111" ht="22.5" customHeight="1" s="236">
      <c r="A111" s="243" t="n">
        <v>110</v>
      </c>
      <c r="B111" s="249" t="inlineStr">
        <is>
          <t>Преобразователь избыточного давления</t>
        </is>
      </c>
      <c r="C111" s="245" t="inlineStr">
        <is>
          <t>Honeywell STD-924</t>
        </is>
      </c>
      <c r="D111" s="276" t="inlineStr">
        <is>
          <t>11W16 C3310520005007</t>
        </is>
      </c>
      <c r="E111" s="245" t="inlineStr">
        <is>
          <t>2011</t>
        </is>
      </c>
      <c r="F111" s="248" t="inlineStr">
        <is>
          <t>0…100 кПа</t>
        </is>
      </c>
      <c r="G111" s="245" t="inlineStr">
        <is>
          <t>0.075</t>
        </is>
      </c>
      <c r="H111" s="243" t="inlineStr">
        <is>
          <t>Перепад давлений между входной и выходной камерами Ф2</t>
        </is>
      </c>
      <c r="I111" s="243" t="inlineStr">
        <is>
          <t>ГПА 63</t>
        </is>
      </c>
      <c r="J111" s="243" t="inlineStr">
        <is>
          <t>АСУ,А и ТМ (КЦ № 6)</t>
        </is>
      </c>
      <c r="K111" s="243" t="inlineStr">
        <is>
          <t>2012</t>
        </is>
      </c>
      <c r="L111" s="243" t="inlineStr">
        <is>
          <t>36</t>
        </is>
      </c>
      <c r="M111" s="246" t="inlineStr"/>
      <c r="N111" s="245" t="inlineStr"/>
    </row>
    <row r="112" ht="22.5" customHeight="1" s="236">
      <c r="A112" s="243" t="n">
        <v>111</v>
      </c>
      <c r="B112" s="249" t="inlineStr">
        <is>
          <t>Преобразователь избыточного давления</t>
        </is>
      </c>
      <c r="C112" s="245" t="inlineStr">
        <is>
          <t>Honeywell STD-120</t>
        </is>
      </c>
      <c r="D112" s="276" t="inlineStr">
        <is>
          <t>10W45 C3273987001083</t>
        </is>
      </c>
      <c r="E112" s="245" t="inlineStr">
        <is>
          <t>2010</t>
        </is>
      </c>
      <c r="F112" s="248" t="inlineStr">
        <is>
          <t>-1000…2500 Па</t>
        </is>
      </c>
      <c r="G112" s="245" t="inlineStr">
        <is>
          <t>0.075</t>
        </is>
      </c>
      <c r="H112" s="243" t="inlineStr">
        <is>
          <t>Давление инжектируемого потока перед сепаратором С1</t>
        </is>
      </c>
      <c r="I112" s="243" t="inlineStr">
        <is>
          <t>ГПА 63</t>
        </is>
      </c>
      <c r="J112" s="243" t="inlineStr">
        <is>
          <t>АСУ,А и ТМ (КЦ № 6)</t>
        </is>
      </c>
      <c r="K112" s="243" t="inlineStr">
        <is>
          <t>2012</t>
        </is>
      </c>
      <c r="L112" s="243" t="inlineStr">
        <is>
          <t>36</t>
        </is>
      </c>
      <c r="M112" s="246" t="inlineStr"/>
      <c r="N112" s="245" t="inlineStr"/>
    </row>
    <row r="113" ht="22.5" customHeight="1" s="236">
      <c r="A113" s="243" t="n">
        <v>112</v>
      </c>
      <c r="B113" s="249" t="inlineStr">
        <is>
          <t>Преобразователь избыточного давления</t>
        </is>
      </c>
      <c r="C113" s="245" t="inlineStr">
        <is>
          <t>Honeywell STD-120</t>
        </is>
      </c>
      <c r="D113" s="276" t="inlineStr">
        <is>
          <t>10W45 C3273987001077</t>
        </is>
      </c>
      <c r="E113" s="245" t="inlineStr">
        <is>
          <t>2010</t>
        </is>
      </c>
      <c r="F113" s="248" t="inlineStr">
        <is>
          <t>0…400 Па</t>
        </is>
      </c>
      <c r="G113" s="245" t="inlineStr">
        <is>
          <t>0.075</t>
        </is>
      </c>
      <c r="H113" s="243" t="inlineStr">
        <is>
          <t>Избыточное давление воздуха под кожухом двигателя</t>
        </is>
      </c>
      <c r="I113" s="243" t="inlineStr">
        <is>
          <t>ГПА 63</t>
        </is>
      </c>
      <c r="J113" s="243" t="inlineStr">
        <is>
          <t>АСУ,А и ТМ (КЦ № 6)</t>
        </is>
      </c>
      <c r="K113" s="243" t="inlineStr">
        <is>
          <t>2012</t>
        </is>
      </c>
      <c r="L113" s="243" t="inlineStr">
        <is>
          <t>36</t>
        </is>
      </c>
      <c r="M113" s="246" t="inlineStr"/>
      <c r="N113" s="245" t="inlineStr"/>
    </row>
    <row r="114" ht="22.5" customHeight="1" s="236">
      <c r="A114" s="243" t="n">
        <v>113</v>
      </c>
      <c r="B114" s="249" t="inlineStr">
        <is>
          <t>Преобразователь избыточного давления</t>
        </is>
      </c>
      <c r="C114" s="245" t="inlineStr">
        <is>
          <t>Honeywell STD-120</t>
        </is>
      </c>
      <c r="D114" s="276" t="inlineStr">
        <is>
          <t>11W18С3313690001045</t>
        </is>
      </c>
      <c r="E114" s="245" t="inlineStr">
        <is>
          <t>2010</t>
        </is>
      </c>
      <c r="F114" s="248" t="inlineStr">
        <is>
          <t>0…10 кПа</t>
        </is>
      </c>
      <c r="G114" s="245" t="inlineStr">
        <is>
          <t>0.075</t>
        </is>
      </c>
      <c r="H114" s="243" t="inlineStr">
        <is>
          <t>Давление защитного воздуха на входе опорного подшипника</t>
        </is>
      </c>
      <c r="I114" s="243" t="inlineStr">
        <is>
          <t>ГПА 63</t>
        </is>
      </c>
      <c r="J114" s="243" t="inlineStr">
        <is>
          <t>АСУ,А и ТМ (КЦ № 6)</t>
        </is>
      </c>
      <c r="K114" s="243" t="inlineStr">
        <is>
          <t>2012</t>
        </is>
      </c>
      <c r="L114" s="243" t="inlineStr">
        <is>
          <t>36</t>
        </is>
      </c>
      <c r="M114" s="246" t="inlineStr"/>
      <c r="N114" s="245" t="inlineStr"/>
    </row>
    <row r="115" ht="22.5" customHeight="1" s="236">
      <c r="A115" s="243" t="n">
        <v>114</v>
      </c>
      <c r="B115" s="249" t="inlineStr">
        <is>
          <t>Преобразователь избыточного давления</t>
        </is>
      </c>
      <c r="C115" s="245" t="inlineStr">
        <is>
          <t>Honeywell STD-120</t>
        </is>
      </c>
      <c r="D115" s="276" t="inlineStr">
        <is>
          <t>11W03С3287149001029</t>
        </is>
      </c>
      <c r="E115" s="245" t="inlineStr">
        <is>
          <t>2011</t>
        </is>
      </c>
      <c r="F115" s="248" t="inlineStr">
        <is>
          <t>0…4 кПа</t>
        </is>
      </c>
      <c r="G115" s="245" t="inlineStr">
        <is>
          <t>0.075</t>
        </is>
      </c>
      <c r="H115" s="243" t="inlineStr">
        <is>
          <t>Давление защитного воздуха на входе опорно-упорного подшипника</t>
        </is>
      </c>
      <c r="I115" s="243" t="inlineStr">
        <is>
          <t>ГПА 63</t>
        </is>
      </c>
      <c r="J115" s="243" t="inlineStr">
        <is>
          <t>АСУ,А и ТМ (КЦ № 6)</t>
        </is>
      </c>
      <c r="K115" s="243" t="inlineStr">
        <is>
          <t>2012</t>
        </is>
      </c>
      <c r="L115" s="243" t="inlineStr">
        <is>
          <t>36</t>
        </is>
      </c>
      <c r="M115" s="246" t="inlineStr"/>
      <c r="N115" s="245" t="inlineStr"/>
    </row>
    <row r="116" ht="33.75" customHeight="1" s="236">
      <c r="A116" s="243" t="n">
        <v>115</v>
      </c>
      <c r="B116" s="249" t="inlineStr">
        <is>
          <t>Преобразователь избыточного давления</t>
        </is>
      </c>
      <c r="C116" s="245" t="inlineStr">
        <is>
          <t>Honeywell STD-120</t>
        </is>
      </c>
      <c r="D116" s="276" t="inlineStr">
        <is>
          <t>10W45 C3273987001075</t>
        </is>
      </c>
      <c r="E116" s="245" t="inlineStr">
        <is>
          <t>2010</t>
        </is>
      </c>
      <c r="F116" s="248" t="inlineStr">
        <is>
          <t>0…10 кПа</t>
        </is>
      </c>
      <c r="G116" s="245" t="inlineStr">
        <is>
          <t>0.075</t>
        </is>
      </c>
      <c r="H116" s="243" t="inlineStr">
        <is>
          <t>Давление защитного воздуха на выходе оболочки опорного подшипника</t>
        </is>
      </c>
      <c r="I116" s="243" t="inlineStr">
        <is>
          <t>ГПА 63</t>
        </is>
      </c>
      <c r="J116" s="243" t="inlineStr">
        <is>
          <t>АСУ,А и ТМ (КЦ № 6)</t>
        </is>
      </c>
      <c r="K116" s="243" t="inlineStr">
        <is>
          <t>2012</t>
        </is>
      </c>
      <c r="L116" s="243" t="inlineStr">
        <is>
          <t>36</t>
        </is>
      </c>
      <c r="M116" s="246" t="inlineStr"/>
      <c r="N116" s="245" t="inlineStr"/>
    </row>
    <row r="117" ht="33.75" customHeight="1" s="236">
      <c r="A117" s="243" t="n">
        <v>116</v>
      </c>
      <c r="B117" s="249" t="inlineStr">
        <is>
          <t>Преобразователь избыточного давления</t>
        </is>
      </c>
      <c r="C117" s="245" t="inlineStr">
        <is>
          <t>Honeywell STD-120</t>
        </is>
      </c>
      <c r="D117" s="276" t="inlineStr">
        <is>
          <t>10W45 C3273987001055</t>
        </is>
      </c>
      <c r="E117" s="245" t="inlineStr">
        <is>
          <t>2010</t>
        </is>
      </c>
      <c r="F117" s="248" t="inlineStr">
        <is>
          <t>0…4 кПа</t>
        </is>
      </c>
      <c r="G117" s="245" t="inlineStr">
        <is>
          <t>0.075</t>
        </is>
      </c>
      <c r="H117" s="243" t="inlineStr">
        <is>
          <t>Давление защитного воздуха на выходе оболочки опорно-упорного подшипника</t>
        </is>
      </c>
      <c r="I117" s="243" t="inlineStr">
        <is>
          <t>ГПА 63</t>
        </is>
      </c>
      <c r="J117" s="243" t="inlineStr">
        <is>
          <t>АСУ,А и ТМ (КЦ № 6)</t>
        </is>
      </c>
      <c r="K117" s="243" t="inlineStr">
        <is>
          <t>2012</t>
        </is>
      </c>
      <c r="L117" s="243" t="inlineStr">
        <is>
          <t>36</t>
        </is>
      </c>
      <c r="M117" s="246" t="inlineStr"/>
      <c r="N117" s="245" t="inlineStr"/>
    </row>
    <row r="118" ht="22.5" customHeight="1" s="236">
      <c r="A118" s="243" t="n">
        <v>117</v>
      </c>
      <c r="B118" s="249" t="inlineStr">
        <is>
          <t>Преобразователь избыточного давления</t>
        </is>
      </c>
      <c r="C118" s="245" t="inlineStr">
        <is>
          <t>Honeywell STD-120</t>
        </is>
      </c>
      <c r="D118" s="276" t="inlineStr">
        <is>
          <t>10W25 C3239044008013</t>
        </is>
      </c>
      <c r="E118" s="245" t="inlineStr">
        <is>
          <t>2010</t>
        </is>
      </c>
      <c r="F118" s="248" t="inlineStr">
        <is>
          <t>0…1 кПа</t>
        </is>
      </c>
      <c r="G118" s="245" t="inlineStr">
        <is>
          <t>0.075</t>
        </is>
      </c>
      <c r="H118" s="243" t="inlineStr">
        <is>
          <t>Давление воздуха на входе Д (разрежение во всас. камере)</t>
        </is>
      </c>
      <c r="I118" s="243" t="inlineStr">
        <is>
          <t>ГПА 63</t>
        </is>
      </c>
      <c r="J118" s="243" t="inlineStr">
        <is>
          <t>АСУ,А и ТМ (КЦ № 6)</t>
        </is>
      </c>
      <c r="K118" s="243" t="inlineStr">
        <is>
          <t>2012</t>
        </is>
      </c>
      <c r="L118" s="243" t="inlineStr">
        <is>
          <t>36</t>
        </is>
      </c>
      <c r="M118" s="246" t="inlineStr"/>
      <c r="N118" s="245" t="inlineStr"/>
    </row>
    <row r="119" ht="22.5" customHeight="1" s="236">
      <c r="A119" s="243" t="n">
        <v>118</v>
      </c>
      <c r="B119" s="248" t="inlineStr">
        <is>
          <t>Расходомер</t>
        </is>
      </c>
      <c r="C119" s="245" t="inlineStr">
        <is>
          <t>KROHNE OPTISWIRL 4070/C</t>
        </is>
      </c>
      <c r="D119" s="276" t="inlineStr">
        <is>
          <t>D110000000199393</t>
        </is>
      </c>
      <c r="E119" s="245" t="inlineStr">
        <is>
          <t>2011</t>
        </is>
      </c>
      <c r="F119" s="248" t="inlineStr">
        <is>
          <t>1,5…15 Нм3/мин</t>
        </is>
      </c>
      <c r="G119" s="245" t="inlineStr">
        <is>
          <t>1</t>
        </is>
      </c>
      <c r="H119" s="243" t="inlineStr">
        <is>
          <t>Расход воздуха на выходе из оболочки опорно-упорного подшипника</t>
        </is>
      </c>
      <c r="I119" s="243" t="inlineStr">
        <is>
          <t>ГПА 63</t>
        </is>
      </c>
      <c r="J119" s="243" t="inlineStr">
        <is>
          <t>АСУ,А и ТМ (КЦ № 6)</t>
        </is>
      </c>
      <c r="K119" s="243" t="inlineStr">
        <is>
          <t>2012</t>
        </is>
      </c>
      <c r="L119" s="243" t="inlineStr">
        <is>
          <t>36</t>
        </is>
      </c>
      <c r="M119" s="246" t="inlineStr"/>
      <c r="N119" s="245" t="inlineStr"/>
    </row>
    <row r="120" ht="22.5" customHeight="1" s="236">
      <c r="A120" s="243" t="n">
        <v>119</v>
      </c>
      <c r="B120" s="248" t="inlineStr">
        <is>
          <t>Расходомер</t>
        </is>
      </c>
      <c r="C120" s="245" t="inlineStr">
        <is>
          <t>KROHNE OPTISWIRL 4070/C</t>
        </is>
      </c>
      <c r="D120" s="276" t="inlineStr">
        <is>
          <t>D110000000199391</t>
        </is>
      </c>
      <c r="E120" s="245" t="inlineStr">
        <is>
          <t>2011</t>
        </is>
      </c>
      <c r="F120" s="248" t="inlineStr">
        <is>
          <t>1,5…15 Нм3/мин</t>
        </is>
      </c>
      <c r="G120" s="245" t="inlineStr">
        <is>
          <t>1</t>
        </is>
      </c>
      <c r="H120" s="243" t="inlineStr">
        <is>
          <t>Расход воздуха на выходе из оболочки опорного подшипника</t>
        </is>
      </c>
      <c r="I120" s="243" t="inlineStr">
        <is>
          <t>ГПА 63</t>
        </is>
      </c>
      <c r="J120" s="243" t="inlineStr">
        <is>
          <t>АСУ,А и ТМ (КЦ № 6)</t>
        </is>
      </c>
      <c r="K120" s="243" t="inlineStr">
        <is>
          <t>2012</t>
        </is>
      </c>
      <c r="L120" s="243" t="inlineStr">
        <is>
          <t>36</t>
        </is>
      </c>
      <c r="M120" s="246" t="inlineStr"/>
      <c r="N120" s="245" t="inlineStr"/>
    </row>
    <row r="121" ht="22.5" customHeight="1" s="236">
      <c r="A121" s="243" t="n">
        <v>120</v>
      </c>
      <c r="B121" s="248" t="inlineStr">
        <is>
          <t>Расходомер</t>
        </is>
      </c>
      <c r="C121" s="245" t="inlineStr">
        <is>
          <t>KROHNE/H250</t>
        </is>
      </c>
      <c r="D121" s="276" t="inlineStr">
        <is>
          <t>D110000000182274</t>
        </is>
      </c>
      <c r="E121" s="245" t="inlineStr">
        <is>
          <t>2011</t>
        </is>
      </c>
      <c r="F121" s="248" t="inlineStr">
        <is>
          <t>6…60 Нм3/час</t>
        </is>
      </c>
      <c r="G121" s="245" t="inlineStr">
        <is>
          <t>1,6</t>
        </is>
      </c>
      <c r="H121" s="243" t="inlineStr">
        <is>
          <t>Расход газа на выходе первой ступени ЗКВ</t>
        </is>
      </c>
      <c r="I121" s="243" t="inlineStr">
        <is>
          <t>ГПА 63</t>
        </is>
      </c>
      <c r="J121" s="243" t="inlineStr">
        <is>
          <t>АСУ,А и ТМ (КЦ № 6)</t>
        </is>
      </c>
      <c r="K121" s="243" t="inlineStr">
        <is>
          <t>2012</t>
        </is>
      </c>
      <c r="L121" s="243" t="inlineStr">
        <is>
          <t>36</t>
        </is>
      </c>
      <c r="M121" s="246" t="inlineStr"/>
      <c r="N121" s="245" t="inlineStr"/>
    </row>
    <row r="122" ht="22.5" customHeight="1" s="236">
      <c r="A122" s="243" t="n">
        <v>121</v>
      </c>
      <c r="B122" s="248" t="inlineStr">
        <is>
          <t>Расходомер</t>
        </is>
      </c>
      <c r="C122" s="245" t="inlineStr">
        <is>
          <t>KROHNE/H250</t>
        </is>
      </c>
      <c r="D122" s="276" t="inlineStr">
        <is>
          <t>D110000000182270</t>
        </is>
      </c>
      <c r="E122" s="245" t="inlineStr">
        <is>
          <t>2011</t>
        </is>
      </c>
      <c r="F122" s="248" t="inlineStr">
        <is>
          <t>6…60 Нм3/час</t>
        </is>
      </c>
      <c r="G122" s="245" t="inlineStr">
        <is>
          <t>1.6</t>
        </is>
      </c>
      <c r="H122" s="243" t="inlineStr">
        <is>
          <t>Расход газа на выходе первой ступени ПКВ</t>
        </is>
      </c>
      <c r="I122" s="243" t="inlineStr">
        <is>
          <t>ГПА 63</t>
        </is>
      </c>
      <c r="J122" s="243" t="inlineStr">
        <is>
          <t>АСУ,А и ТМ (КЦ № 6)</t>
        </is>
      </c>
      <c r="K122" s="243" t="inlineStr">
        <is>
          <t>2012</t>
        </is>
      </c>
      <c r="L122" s="243" t="inlineStr">
        <is>
          <t>36</t>
        </is>
      </c>
      <c r="M122" s="246" t="inlineStr"/>
      <c r="N122" s="245" t="inlineStr"/>
    </row>
    <row r="123" ht="22.5" customHeight="1" s="236">
      <c r="A123" s="243" t="n">
        <v>122</v>
      </c>
      <c r="B123" s="248" t="inlineStr">
        <is>
          <t>Уравнемер</t>
        </is>
      </c>
      <c r="C123" s="245" t="inlineStr">
        <is>
          <t>KROHNE BM-26A</t>
        </is>
      </c>
      <c r="D123" s="276" t="inlineStr">
        <is>
          <t>447006647/10.02</t>
        </is>
      </c>
      <c r="E123" s="245" t="inlineStr">
        <is>
          <t>2011</t>
        </is>
      </c>
      <c r="F123" s="248" t="inlineStr">
        <is>
          <t>0…100 %</t>
        </is>
      </c>
      <c r="G123" s="245" t="inlineStr">
        <is>
          <t>±10 мм</t>
        </is>
      </c>
      <c r="H123" s="243" t="inlineStr">
        <is>
          <t>Уровень жидкости во входной камере Ф1/1</t>
        </is>
      </c>
      <c r="I123" s="243" t="inlineStr">
        <is>
          <t>ГПА 63</t>
        </is>
      </c>
      <c r="J123" s="243" t="inlineStr">
        <is>
          <t>АСУ,А и ТМ (КЦ № 6)</t>
        </is>
      </c>
      <c r="K123" s="243" t="inlineStr">
        <is>
          <t>2012</t>
        </is>
      </c>
      <c r="L123" s="243" t="inlineStr">
        <is>
          <t>48</t>
        </is>
      </c>
      <c r="M123" s="246" t="inlineStr"/>
      <c r="N123" s="245" t="inlineStr"/>
    </row>
    <row r="124" ht="15" customHeight="1" s="236">
      <c r="A124" s="243" t="n">
        <v>123</v>
      </c>
      <c r="B124" s="248" t="inlineStr">
        <is>
          <t>Уравнемер</t>
        </is>
      </c>
      <c r="C124" s="245" t="inlineStr">
        <is>
          <t>KROHNE MS15</t>
        </is>
      </c>
      <c r="D124" s="276" t="inlineStr">
        <is>
          <t>447006647.10.15</t>
        </is>
      </c>
      <c r="E124" s="245" t="inlineStr">
        <is>
          <t>2011</t>
        </is>
      </c>
      <c r="F124" s="248" t="inlineStr"/>
      <c r="G124" s="245" t="inlineStr"/>
      <c r="H124" s="243" t="inlineStr">
        <is>
          <t>Нижний уровень SQ2 (Ф1/1)</t>
        </is>
      </c>
      <c r="I124" s="243" t="inlineStr">
        <is>
          <t>ГПА 63</t>
        </is>
      </c>
      <c r="J124" s="243" t="inlineStr">
        <is>
          <t>АСУ,А и ТМ (КЦ № 6)</t>
        </is>
      </c>
      <c r="K124" s="243" t="inlineStr">
        <is>
          <t>2012</t>
        </is>
      </c>
      <c r="L124" s="243" t="inlineStr"/>
      <c r="M124" s="246" t="inlineStr"/>
      <c r="N124" s="245" t="inlineStr"/>
    </row>
    <row r="125" ht="15" customHeight="1" s="236">
      <c r="A125" s="239">
        <f>IF(B125&lt;&gt;"", COUNTA($B$2:B125), "")</f>
        <v/>
      </c>
      <c r="B125" s="239" t="inlineStr">
        <is>
          <t>Уравнемер</t>
        </is>
      </c>
      <c r="C125" s="251" t="inlineStr">
        <is>
          <t>KROHNE MS15</t>
        </is>
      </c>
      <c r="D125" s="251" t="inlineStr">
        <is>
          <t>447006647.10.02</t>
        </is>
      </c>
      <c r="E125" s="239" t="n">
        <v>2011</v>
      </c>
      <c r="F125" s="251" t="n"/>
      <c r="G125" s="251" t="n"/>
      <c r="H125" s="251" t="inlineStr">
        <is>
          <t>Верхний уровень SQ1 (Ф1/1)</t>
        </is>
      </c>
      <c r="I125" s="239" t="inlineStr">
        <is>
          <t>ГПА 63</t>
        </is>
      </c>
      <c r="J125" s="239" t="inlineStr">
        <is>
          <t>АСУ,А и ТМ (КЦ № 6)</t>
        </is>
      </c>
      <c r="K125" s="239" t="n">
        <v>2012</v>
      </c>
      <c r="L125" s="251" t="n"/>
      <c r="M125" s="240" t="n"/>
      <c r="N125" s="242" t="n"/>
    </row>
    <row r="126" ht="15" customHeight="1" s="236">
      <c r="A126" s="243" t="n">
        <v>125</v>
      </c>
      <c r="B126" s="243" t="inlineStr">
        <is>
          <t>Уравнемер</t>
        </is>
      </c>
      <c r="C126" s="248" t="inlineStr">
        <is>
          <t>KROHNE ER/EXD/AL/D</t>
        </is>
      </c>
      <c r="D126" s="248" t="inlineStr">
        <is>
          <t>447006647.10.02</t>
        </is>
      </c>
      <c r="E126" s="243" t="inlineStr">
        <is>
          <t>2011</t>
        </is>
      </c>
      <c r="F126" s="248" t="inlineStr"/>
      <c r="G126" s="248" t="inlineStr"/>
      <c r="H126" s="248" t="inlineStr">
        <is>
          <t>Уровень конденсата BL710 (Ф1/1)</t>
        </is>
      </c>
      <c r="I126" s="243" t="inlineStr">
        <is>
          <t>ГПА 63</t>
        </is>
      </c>
      <c r="J126" s="243" t="inlineStr">
        <is>
          <t>АСУ,А и ТМ (КЦ № 6)</t>
        </is>
      </c>
      <c r="K126" s="243" t="inlineStr">
        <is>
          <t>2012</t>
        </is>
      </c>
      <c r="L126" s="248" t="inlineStr"/>
      <c r="M126" s="246" t="inlineStr"/>
      <c r="N126" s="245" t="inlineStr"/>
    </row>
    <row r="127" ht="22.5" customHeight="1" s="236">
      <c r="A127" s="243" t="n">
        <v>126</v>
      </c>
      <c r="B127" s="243" t="inlineStr">
        <is>
          <t>Уравнемер</t>
        </is>
      </c>
      <c r="C127" s="248" t="inlineStr">
        <is>
          <t>KROHNE BM-26A</t>
        </is>
      </c>
      <c r="D127" s="248" t="inlineStr">
        <is>
          <t>447006647/10.10</t>
        </is>
      </c>
      <c r="E127" s="243" t="inlineStr">
        <is>
          <t>2011</t>
        </is>
      </c>
      <c r="F127" s="248" t="inlineStr">
        <is>
          <t>0…100 %</t>
        </is>
      </c>
      <c r="G127" s="248" t="inlineStr">
        <is>
          <t>±10 мм</t>
        </is>
      </c>
      <c r="H127" s="248" t="inlineStr">
        <is>
          <t>Уровень жидкости в выходной камере Ф1/2</t>
        </is>
      </c>
      <c r="I127" s="243" t="inlineStr">
        <is>
          <t>ГПА 63</t>
        </is>
      </c>
      <c r="J127" s="243" t="inlineStr">
        <is>
          <t>АСУ,А и ТМ (КЦ № 6)</t>
        </is>
      </c>
      <c r="K127" s="243" t="inlineStr">
        <is>
          <t>2012</t>
        </is>
      </c>
      <c r="L127" s="248" t="inlineStr">
        <is>
          <t>48</t>
        </is>
      </c>
      <c r="M127" s="246" t="inlineStr"/>
      <c r="N127" s="245" t="inlineStr"/>
    </row>
    <row r="128" ht="15" customHeight="1" s="236">
      <c r="A128" s="243" t="n">
        <v>127</v>
      </c>
      <c r="B128" s="243" t="inlineStr">
        <is>
          <t>Уравнемер</t>
        </is>
      </c>
      <c r="C128" s="248" t="inlineStr">
        <is>
          <t>KROHNE MS15</t>
        </is>
      </c>
      <c r="D128" s="248" t="inlineStr">
        <is>
          <t>447006647.10.04</t>
        </is>
      </c>
      <c r="E128" s="243" t="inlineStr">
        <is>
          <t>2011</t>
        </is>
      </c>
      <c r="F128" s="248" t="inlineStr"/>
      <c r="G128" s="248" t="inlineStr"/>
      <c r="H128" s="248" t="inlineStr">
        <is>
          <t>Нижний уровень SQ2 (Ф1/2)</t>
        </is>
      </c>
      <c r="I128" s="243" t="inlineStr">
        <is>
          <t>ГПА 63</t>
        </is>
      </c>
      <c r="J128" s="243" t="inlineStr">
        <is>
          <t>АСУ,А и ТМ (КЦ № 6)</t>
        </is>
      </c>
      <c r="K128" s="243" t="inlineStr">
        <is>
          <t>2012</t>
        </is>
      </c>
      <c r="L128" s="248" t="inlineStr"/>
      <c r="M128" s="246" t="inlineStr"/>
      <c r="N128" s="245" t="inlineStr"/>
    </row>
    <row r="129" ht="15" customHeight="1" s="236">
      <c r="A129" s="239">
        <f>IF(B129&lt;&gt;"", COUNTA($B$2:B129), "")</f>
        <v/>
      </c>
      <c r="B129" s="239" t="inlineStr">
        <is>
          <t>Уравнемер</t>
        </is>
      </c>
      <c r="C129" s="251" t="inlineStr">
        <is>
          <t>KROHNE MS15</t>
        </is>
      </c>
      <c r="D129" s="251" t="inlineStr">
        <is>
          <t>447006647.10.12</t>
        </is>
      </c>
      <c r="E129" s="239" t="n">
        <v>2011</v>
      </c>
      <c r="F129" s="251" t="n"/>
      <c r="G129" s="251" t="n"/>
      <c r="H129" s="251" t="inlineStr">
        <is>
          <t>Верхний уровень SQ1 (Ф1/2)</t>
        </is>
      </c>
      <c r="I129" s="239" t="inlineStr">
        <is>
          <t>ГПА 63</t>
        </is>
      </c>
      <c r="J129" s="239" t="inlineStr">
        <is>
          <t>АСУ,А и ТМ (КЦ № 6)</t>
        </is>
      </c>
      <c r="K129" s="239" t="n">
        <v>2012</v>
      </c>
      <c r="L129" s="251" t="n"/>
      <c r="M129" s="240" t="n"/>
      <c r="N129" s="242" t="n"/>
    </row>
    <row r="130" ht="15" customHeight="1" s="236">
      <c r="A130" s="239">
        <f>IF(B130&lt;&gt;"", COUNTA($B$2:B130), "")</f>
        <v/>
      </c>
      <c r="B130" s="239" t="inlineStr">
        <is>
          <t>Уравнемер</t>
        </is>
      </c>
      <c r="C130" s="251" t="inlineStr">
        <is>
          <t>KROHNE ER/EXD/AL/D</t>
        </is>
      </c>
      <c r="D130" s="251" t="inlineStr">
        <is>
          <t>447006647.10.10</t>
        </is>
      </c>
      <c r="E130" s="239" t="n">
        <v>2011</v>
      </c>
      <c r="F130" s="251" t="n"/>
      <c r="G130" s="251" t="n"/>
      <c r="H130" s="251" t="inlineStr">
        <is>
          <t>Уровень конденсата BL711 (Ф1/2)</t>
        </is>
      </c>
      <c r="I130" s="239" t="inlineStr">
        <is>
          <t>ГПА 63</t>
        </is>
      </c>
      <c r="J130" s="239" t="inlineStr">
        <is>
          <t>АСУ,А и ТМ (КЦ № 6)</t>
        </is>
      </c>
      <c r="K130" s="239" t="n">
        <v>2012</v>
      </c>
      <c r="L130" s="251" t="n"/>
      <c r="M130" s="240" t="n"/>
      <c r="N130" s="242" t="n"/>
    </row>
    <row r="131" ht="22.5" customHeight="1" s="236">
      <c r="A131" s="243" t="n">
        <v>130</v>
      </c>
      <c r="B131" s="243" t="inlineStr">
        <is>
          <t>Уравнемер</t>
        </is>
      </c>
      <c r="C131" s="248" t="inlineStr">
        <is>
          <t>KROHNE BM-26A</t>
        </is>
      </c>
      <c r="D131" s="248" t="inlineStr">
        <is>
          <t>447006647/10.12</t>
        </is>
      </c>
      <c r="E131" s="243" t="inlineStr">
        <is>
          <t>2011</t>
        </is>
      </c>
      <c r="F131" s="248" t="inlineStr">
        <is>
          <t>0…100 %</t>
        </is>
      </c>
      <c r="G131" s="248" t="inlineStr">
        <is>
          <t>±10 мм</t>
        </is>
      </c>
      <c r="H131" s="248" t="inlineStr">
        <is>
          <t>Уровень жидкости во входной камере Ф2/1</t>
        </is>
      </c>
      <c r="I131" s="243" t="inlineStr">
        <is>
          <t>ГПА 63</t>
        </is>
      </c>
      <c r="J131" s="243" t="inlineStr">
        <is>
          <t>АСУ,А и ТМ (КЦ № 6)</t>
        </is>
      </c>
      <c r="K131" s="243" t="inlineStr">
        <is>
          <t>2012</t>
        </is>
      </c>
      <c r="L131" s="248" t="inlineStr">
        <is>
          <t>48</t>
        </is>
      </c>
      <c r="M131" s="246" t="inlineStr"/>
      <c r="N131" s="245" t="inlineStr"/>
    </row>
    <row r="132" ht="15" customHeight="1" s="236">
      <c r="A132" s="243" t="n">
        <v>131</v>
      </c>
      <c r="B132" s="243" t="inlineStr">
        <is>
          <t>Уравнемер</t>
        </is>
      </c>
      <c r="C132" s="248" t="inlineStr">
        <is>
          <t>KROHNE MS15</t>
        </is>
      </c>
      <c r="D132" s="248" t="inlineStr">
        <is>
          <t>447006647.10.13</t>
        </is>
      </c>
      <c r="E132" s="243" t="inlineStr">
        <is>
          <t>2011</t>
        </is>
      </c>
      <c r="F132" s="248" t="inlineStr"/>
      <c r="G132" s="248" t="inlineStr"/>
      <c r="H132" s="248" t="inlineStr">
        <is>
          <t>Нижний уровень SQ2 (Ф2/1)</t>
        </is>
      </c>
      <c r="I132" s="243" t="inlineStr">
        <is>
          <t>ГПА 63</t>
        </is>
      </c>
      <c r="J132" s="243" t="inlineStr">
        <is>
          <t>АСУ,А и ТМ (КЦ № 6)</t>
        </is>
      </c>
      <c r="K132" s="243" t="inlineStr">
        <is>
          <t>2012</t>
        </is>
      </c>
      <c r="L132" s="248" t="inlineStr"/>
      <c r="M132" s="246" t="inlineStr"/>
      <c r="N132" s="245" t="inlineStr"/>
    </row>
    <row r="133" ht="15" customHeight="1" s="236">
      <c r="A133" s="243" t="n">
        <v>132</v>
      </c>
      <c r="B133" s="243" t="inlineStr">
        <is>
          <t>Уравнемер</t>
        </is>
      </c>
      <c r="C133" s="248" t="inlineStr">
        <is>
          <t>KROHNE MS15</t>
        </is>
      </c>
      <c r="D133" s="248" t="inlineStr">
        <is>
          <t>447006647.10.10</t>
        </is>
      </c>
      <c r="E133" s="243" t="inlineStr">
        <is>
          <t>2011</t>
        </is>
      </c>
      <c r="F133" s="248" t="inlineStr"/>
      <c r="G133" s="248" t="inlineStr"/>
      <c r="H133" s="248" t="inlineStr">
        <is>
          <t>Верхний уровень SQ1 (Ф2/1)</t>
        </is>
      </c>
      <c r="I133" s="243" t="inlineStr">
        <is>
          <t>ГПА 63</t>
        </is>
      </c>
      <c r="J133" s="243" t="inlineStr">
        <is>
          <t>АСУ,А и ТМ (КЦ № 6)</t>
        </is>
      </c>
      <c r="K133" s="243" t="inlineStr">
        <is>
          <t>2012</t>
        </is>
      </c>
      <c r="L133" s="248" t="inlineStr"/>
      <c r="M133" s="246" t="inlineStr"/>
      <c r="N133" s="245" t="inlineStr"/>
    </row>
    <row r="134" ht="15" customHeight="1" s="236">
      <c r="A134" s="243" t="n">
        <v>133</v>
      </c>
      <c r="B134" s="243" t="inlineStr">
        <is>
          <t>Уравнемер</t>
        </is>
      </c>
      <c r="C134" s="248" t="inlineStr">
        <is>
          <t>KROHNE ER/EXD/AL/D</t>
        </is>
      </c>
      <c r="D134" s="248" t="inlineStr">
        <is>
          <t>447006647.10.12</t>
        </is>
      </c>
      <c r="E134" s="243" t="inlineStr">
        <is>
          <t>2011</t>
        </is>
      </c>
      <c r="F134" s="248" t="inlineStr"/>
      <c r="G134" s="248" t="inlineStr"/>
      <c r="H134" s="248" t="inlineStr">
        <is>
          <t>Уровень конденсата BL712 (Ф2/1)</t>
        </is>
      </c>
      <c r="I134" s="243" t="inlineStr">
        <is>
          <t>ГПА 63</t>
        </is>
      </c>
      <c r="J134" s="243" t="inlineStr">
        <is>
          <t>АСУ,А и ТМ (КЦ № 6)</t>
        </is>
      </c>
      <c r="K134" s="243" t="inlineStr">
        <is>
          <t>2012</t>
        </is>
      </c>
      <c r="L134" s="248" t="inlineStr"/>
      <c r="M134" s="246" t="inlineStr"/>
      <c r="N134" s="245" t="inlineStr"/>
    </row>
    <row r="135" ht="22.5" customHeight="1" s="236">
      <c r="A135" s="243" t="n">
        <v>134</v>
      </c>
      <c r="B135" s="243" t="inlineStr">
        <is>
          <t>Уравнемер</t>
        </is>
      </c>
      <c r="C135" s="248" t="inlineStr">
        <is>
          <t>KROHNE BM-26A</t>
        </is>
      </c>
      <c r="D135" s="248" t="inlineStr">
        <is>
          <t>447006647/10.06</t>
        </is>
      </c>
      <c r="E135" s="243" t="inlineStr">
        <is>
          <t>2011</t>
        </is>
      </c>
      <c r="F135" s="248" t="inlineStr">
        <is>
          <t>0…100 %</t>
        </is>
      </c>
      <c r="G135" s="248" t="inlineStr">
        <is>
          <t>±10 мм</t>
        </is>
      </c>
      <c r="H135" s="248" t="inlineStr">
        <is>
          <t>Уровень жидкости в выходной камере Ф2/2</t>
        </is>
      </c>
      <c r="I135" s="243" t="inlineStr">
        <is>
          <t>ГПА 63</t>
        </is>
      </c>
      <c r="J135" s="243" t="inlineStr">
        <is>
          <t>АСУ,А и ТМ (КЦ № 6)</t>
        </is>
      </c>
      <c r="K135" s="243" t="inlineStr">
        <is>
          <t>2012</t>
        </is>
      </c>
      <c r="L135" s="248" t="inlineStr">
        <is>
          <t>48</t>
        </is>
      </c>
      <c r="M135" s="246" t="inlineStr"/>
      <c r="N135" s="245" t="inlineStr"/>
    </row>
    <row r="136" ht="15" customHeight="1" s="236">
      <c r="A136" s="243" t="n">
        <v>135</v>
      </c>
      <c r="B136" s="243" t="inlineStr">
        <is>
          <t>Уравнемер</t>
        </is>
      </c>
      <c r="C136" s="248" t="inlineStr">
        <is>
          <t>KROHNE MS15</t>
        </is>
      </c>
      <c r="D136" s="248" t="inlineStr">
        <is>
          <t>447006647.10.03</t>
        </is>
      </c>
      <c r="E136" s="243" t="inlineStr">
        <is>
          <t>2011</t>
        </is>
      </c>
      <c r="F136" s="248" t="inlineStr"/>
      <c r="G136" s="248" t="inlineStr"/>
      <c r="H136" s="248" t="inlineStr">
        <is>
          <t>Нижний уровень SQ2 (Ф2/2)</t>
        </is>
      </c>
      <c r="I136" s="243" t="inlineStr">
        <is>
          <t>ГПА 63</t>
        </is>
      </c>
      <c r="J136" s="243" t="inlineStr">
        <is>
          <t>АСУ,А и ТМ (КЦ № 6)</t>
        </is>
      </c>
      <c r="K136" s="243" t="inlineStr">
        <is>
          <t>2012</t>
        </is>
      </c>
      <c r="L136" s="248" t="inlineStr"/>
      <c r="M136" s="246" t="inlineStr"/>
      <c r="N136" s="245" t="inlineStr"/>
    </row>
    <row r="137" ht="15" customHeight="1" s="236">
      <c r="A137" s="243" t="n">
        <v>136</v>
      </c>
      <c r="B137" s="243" t="inlineStr">
        <is>
          <t>Уравнемер</t>
        </is>
      </c>
      <c r="C137" s="248" t="inlineStr">
        <is>
          <t>KROHNE MS15</t>
        </is>
      </c>
      <c r="D137" s="248" t="inlineStr">
        <is>
          <t>447006647.10.05</t>
        </is>
      </c>
      <c r="E137" s="243" t="inlineStr">
        <is>
          <t>2011</t>
        </is>
      </c>
      <c r="F137" s="248" t="inlineStr"/>
      <c r="G137" s="248" t="inlineStr"/>
      <c r="H137" s="248" t="inlineStr">
        <is>
          <t>Верхний уровень SQ1 (Ф2/2)</t>
        </is>
      </c>
      <c r="I137" s="243" t="inlineStr">
        <is>
          <t>ГПА 63</t>
        </is>
      </c>
      <c r="J137" s="243" t="inlineStr">
        <is>
          <t>АСУ,А и ТМ (КЦ № 6)</t>
        </is>
      </c>
      <c r="K137" s="243" t="inlineStr">
        <is>
          <t>2012</t>
        </is>
      </c>
      <c r="L137" s="248" t="inlineStr"/>
      <c r="M137" s="246" t="inlineStr"/>
      <c r="N137" s="245" t="inlineStr"/>
    </row>
    <row r="138" ht="15" customHeight="1" s="236">
      <c r="A138" s="243" t="n">
        <v>137</v>
      </c>
      <c r="B138" s="243" t="inlineStr">
        <is>
          <t>Уравнемер</t>
        </is>
      </c>
      <c r="C138" s="248" t="inlineStr">
        <is>
          <t>KROHNE ER/EXD/AL/D</t>
        </is>
      </c>
      <c r="D138" s="248" t="inlineStr">
        <is>
          <t>447006647.10.06</t>
        </is>
      </c>
      <c r="E138" s="243" t="inlineStr">
        <is>
          <t>2011</t>
        </is>
      </c>
      <c r="F138" s="248" t="inlineStr"/>
      <c r="G138" s="248" t="inlineStr"/>
      <c r="H138" s="248" t="inlineStr">
        <is>
          <t>Уровень конденсата BL713 (Ф2/2)</t>
        </is>
      </c>
      <c r="I138" s="243" t="inlineStr">
        <is>
          <t>ГПА 63</t>
        </is>
      </c>
      <c r="J138" s="243" t="inlineStr">
        <is>
          <t>АСУ,А и ТМ (КЦ № 6)</t>
        </is>
      </c>
      <c r="K138" s="243" t="inlineStr">
        <is>
          <t>2012</t>
        </is>
      </c>
      <c r="L138" s="248" t="inlineStr"/>
      <c r="M138" s="246" t="inlineStr"/>
      <c r="N138" s="245" t="inlineStr"/>
    </row>
    <row r="139" ht="22.5" customHeight="1" s="236">
      <c r="A139" s="243" t="n">
        <v>138</v>
      </c>
      <c r="B139" s="243" t="inlineStr">
        <is>
          <t>Уравнемер</t>
        </is>
      </c>
      <c r="C139" s="248" t="inlineStr">
        <is>
          <t>KROHNE optiswitch 5200C</t>
        </is>
      </c>
      <c r="D139" s="248" t="inlineStr">
        <is>
          <t>20408760</t>
        </is>
      </c>
      <c r="E139" s="243" t="inlineStr">
        <is>
          <t>2011</t>
        </is>
      </c>
      <c r="F139" s="248" t="inlineStr">
        <is>
          <t>0…400 мм</t>
        </is>
      </c>
      <c r="G139" s="248" t="inlineStr"/>
      <c r="H139" s="248" t="inlineStr">
        <is>
          <t>Уровень теплоносителя в подогревателе BL1</t>
        </is>
      </c>
      <c r="I139" s="243" t="inlineStr">
        <is>
          <t>ГПА 63</t>
        </is>
      </c>
      <c r="J139" s="243" t="inlineStr">
        <is>
          <t>АСУ,А и ТМ (КЦ № 6)</t>
        </is>
      </c>
      <c r="K139" s="243" t="inlineStr">
        <is>
          <t>2012</t>
        </is>
      </c>
      <c r="L139" s="248" t="inlineStr"/>
      <c r="M139" s="246" t="inlineStr"/>
      <c r="N139" s="245" t="inlineStr"/>
    </row>
    <row r="140" ht="33.75" customHeight="1" s="236">
      <c r="A140" s="239">
        <f>IF(B140&lt;&gt;"", COUNTA($B$2:B140), "")</f>
        <v/>
      </c>
      <c r="B140" s="240" t="inlineStr">
        <is>
          <t xml:space="preserve">Расходомер                 </t>
        </is>
      </c>
      <c r="C140" s="251" t="inlineStr">
        <is>
          <t>Micrp Motion F200S-366-C-C-A-Z-E-ZZZ-Z (170011AFFEZZZ)</t>
        </is>
      </c>
      <c r="D140" s="251" t="inlineStr">
        <is>
          <t>sensor       14232344     (голова            3812735)</t>
        </is>
      </c>
      <c r="E140" s="239" t="n">
        <v>2011</v>
      </c>
      <c r="F140" s="251" t="inlineStr">
        <is>
          <t xml:space="preserve">0…6300 кг/час </t>
        </is>
      </c>
      <c r="G140" s="251" t="inlineStr">
        <is>
          <t>±0,5 (для газа)</t>
        </is>
      </c>
      <c r="H140" s="251" t="inlineStr">
        <is>
          <t>Расход топливного газа (коммерческий учет)</t>
        </is>
      </c>
      <c r="I140" s="239" t="inlineStr">
        <is>
          <t>ГПА 63</t>
        </is>
      </c>
      <c r="J140" s="239" t="inlineStr">
        <is>
          <t>АСУ,А и ТМ (КЦ № 6)</t>
        </is>
      </c>
      <c r="K140" s="239" t="n">
        <v>2012</v>
      </c>
      <c r="L140" s="251" t="n">
        <v>48</v>
      </c>
      <c r="M140" s="240" t="n"/>
      <c r="N140" s="242" t="n"/>
    </row>
    <row r="141" ht="33.75" customHeight="1" s="236">
      <c r="A141" s="239">
        <f>IF(B141&lt;&gt;"", COUNTA($B$2:B141), "")</f>
        <v/>
      </c>
      <c r="B141" s="251" t="inlineStr">
        <is>
          <t>Датчик вибрации</t>
        </is>
      </c>
      <c r="C141" s="242" t="inlineStr">
        <is>
          <t>ВПД 10-1,0/8,0</t>
        </is>
      </c>
      <c r="D141" s="251" t="inlineStr">
        <is>
          <t>Отсутствует доступ к датчику</t>
        </is>
      </c>
      <c r="E141" s="251" t="n">
        <v>2010</v>
      </c>
      <c r="F141" s="251" t="inlineStr">
        <is>
          <t>0…500 мкм (канал)</t>
        </is>
      </c>
      <c r="G141" s="251" t="inlineStr">
        <is>
          <t>нормируется для канала измерения</t>
        </is>
      </c>
      <c r="H141" s="239" t="inlineStr">
        <is>
          <t>Размах виброперемещения со стороны привода (горизонтальная составляющая)</t>
        </is>
      </c>
      <c r="I141" s="239" t="inlineStr">
        <is>
          <t>ГПА 63</t>
        </is>
      </c>
      <c r="J141" s="239" t="inlineStr">
        <is>
          <t>АСУ,А и ТМ (КЦ № 6)</t>
        </is>
      </c>
      <c r="K141" s="239" t="n">
        <v>2012</v>
      </c>
      <c r="L141" s="251" t="n">
        <v>24</v>
      </c>
      <c r="M141" s="240" t="n"/>
      <c r="N141" s="242" t="n"/>
    </row>
    <row r="142" ht="22.5" customHeight="1" s="236">
      <c r="A142" s="239">
        <f>IF(B142&lt;&gt;"", COUNTA($B$2:B142), "")</f>
        <v/>
      </c>
      <c r="B142" s="251" t="inlineStr">
        <is>
          <t>Датчик вибрации</t>
        </is>
      </c>
      <c r="C142" s="242" t="inlineStr">
        <is>
          <t>ВПД 10-1,0/8,0</t>
        </is>
      </c>
      <c r="D142" s="251" t="inlineStr">
        <is>
          <t>Отсутствует доступ к датчику</t>
        </is>
      </c>
      <c r="E142" s="251" t="n">
        <v>2010</v>
      </c>
      <c r="F142" s="251" t="inlineStr">
        <is>
          <t>0…500 мкм (канал)</t>
        </is>
      </c>
      <c r="G142" s="251" t="inlineStr">
        <is>
          <t>нормируется для канала измерения</t>
        </is>
      </c>
      <c r="H142" s="239" t="inlineStr">
        <is>
          <t>Размах виброперемещения со стороны привода (вертикальная составляющая)</t>
        </is>
      </c>
      <c r="I142" s="239" t="inlineStr">
        <is>
          <t>ГПА 63</t>
        </is>
      </c>
      <c r="J142" s="239" t="inlineStr">
        <is>
          <t>АСУ,А и ТМ (КЦ № 6)</t>
        </is>
      </c>
      <c r="K142" s="239" t="n">
        <v>2012</v>
      </c>
      <c r="L142" s="251" t="n">
        <v>24</v>
      </c>
      <c r="M142" s="240" t="n"/>
      <c r="N142" s="242" t="n"/>
    </row>
    <row r="143" ht="33.75" customHeight="1" s="236">
      <c r="A143" s="239">
        <f>IF(B143&lt;&gt;"", COUNTA($B$2:B143), "")</f>
        <v/>
      </c>
      <c r="B143" s="251" t="inlineStr">
        <is>
          <t>Датчик вибрации</t>
        </is>
      </c>
      <c r="C143" s="242" t="inlineStr">
        <is>
          <t>ВПД 10-1,0/8,0</t>
        </is>
      </c>
      <c r="D143" s="251" t="inlineStr">
        <is>
          <t>Отсутствует доступ к датчику</t>
        </is>
      </c>
      <c r="E143" s="251" t="n">
        <v>2010</v>
      </c>
      <c r="F143" s="251" t="inlineStr">
        <is>
          <t>0…500 мкм (канал)</t>
        </is>
      </c>
      <c r="G143" s="251" t="inlineStr">
        <is>
          <t>нормируется для канала измерения</t>
        </is>
      </c>
      <c r="H143" s="239" t="inlineStr">
        <is>
          <t>Размах виброперемещения со стороны свободного конца (горизонтальная составляющая)</t>
        </is>
      </c>
      <c r="I143" s="239" t="inlineStr">
        <is>
          <t>ГПА 63</t>
        </is>
      </c>
      <c r="J143" s="239" t="inlineStr">
        <is>
          <t>АСУ,А и ТМ (КЦ № 6)</t>
        </is>
      </c>
      <c r="K143" s="239" t="n">
        <v>2012</v>
      </c>
      <c r="L143" s="251" t="n">
        <v>24</v>
      </c>
      <c r="M143" s="240" t="n"/>
      <c r="N143" s="242" t="n"/>
    </row>
    <row r="144" ht="33.75" customHeight="1" s="236">
      <c r="A144" s="239">
        <f>IF(B144&lt;&gt;"", COUNTA($B$2:B144), "")</f>
        <v/>
      </c>
      <c r="B144" s="251" t="inlineStr">
        <is>
          <t>Датчик вибрации</t>
        </is>
      </c>
      <c r="C144" s="242" t="inlineStr">
        <is>
          <t>ВПД 10-1,0/8,0</t>
        </is>
      </c>
      <c r="D144" s="251" t="inlineStr">
        <is>
          <t>Отсутствует доступ к датчику</t>
        </is>
      </c>
      <c r="E144" s="251" t="n">
        <v>2010</v>
      </c>
      <c r="F144" s="251" t="inlineStr">
        <is>
          <t>0…500 мкм (канал)</t>
        </is>
      </c>
      <c r="G144" s="251" t="inlineStr">
        <is>
          <t>нормируется для канала измерения</t>
        </is>
      </c>
      <c r="H144" s="239" t="inlineStr">
        <is>
          <t>Размах виброперемещения со стороны свободного конца (вертикальная составляющая)</t>
        </is>
      </c>
      <c r="I144" s="239" t="inlineStr">
        <is>
          <t>ГПА 63</t>
        </is>
      </c>
      <c r="J144" s="239" t="inlineStr">
        <is>
          <t>АСУ,А и ТМ (КЦ № 6)</t>
        </is>
      </c>
      <c r="K144" s="239" t="n">
        <v>2012</v>
      </c>
      <c r="L144" s="251" t="n">
        <v>24</v>
      </c>
      <c r="M144" s="240" t="n"/>
      <c r="N144" s="242" t="n"/>
    </row>
    <row r="145" ht="22.5" customHeight="1" s="236">
      <c r="A145" s="239">
        <f>IF(B145&lt;&gt;"", COUNTA($B$2:B145), "")</f>
        <v/>
      </c>
      <c r="B145" s="251" t="inlineStr">
        <is>
          <t>Датчик вибрации</t>
        </is>
      </c>
      <c r="C145" s="242" t="inlineStr">
        <is>
          <t>ВПД 10-1,0/8,0</t>
        </is>
      </c>
      <c r="D145" s="251" t="inlineStr">
        <is>
          <t>Отсутствует доступ к датчику</t>
        </is>
      </c>
      <c r="E145" s="251" t="n">
        <v>2010</v>
      </c>
      <c r="F145" s="251" t="inlineStr">
        <is>
          <t>0…500 мкм (канал)</t>
        </is>
      </c>
      <c r="G145" s="251" t="inlineStr">
        <is>
          <t>нормируется для канала измерения</t>
        </is>
      </c>
      <c r="H145" s="239" t="inlineStr">
        <is>
          <t>Размах виброперемещения в осевом направлении</t>
        </is>
      </c>
      <c r="I145" s="239" t="inlineStr">
        <is>
          <t>ГПА 63</t>
        </is>
      </c>
      <c r="J145" s="239" t="inlineStr">
        <is>
          <t>АСУ,А и ТМ (КЦ № 6)</t>
        </is>
      </c>
      <c r="K145" s="239" t="n">
        <v>2012</v>
      </c>
      <c r="L145" s="251" t="n">
        <v>24</v>
      </c>
      <c r="M145" s="240" t="n"/>
      <c r="N145" s="242" t="n"/>
    </row>
    <row r="146" ht="22.5" customHeight="1" s="236">
      <c r="A146" s="243" t="n">
        <v>145</v>
      </c>
      <c r="B146" s="248" t="inlineStr">
        <is>
          <t>Датчик вибрации</t>
        </is>
      </c>
      <c r="C146" s="245" t="inlineStr">
        <is>
          <t>ВПД 10-1,0/7,0Р</t>
        </is>
      </c>
      <c r="D146" s="248" t="inlineStr">
        <is>
          <t>Отсутствует доступ к датчику</t>
        </is>
      </c>
      <c r="E146" s="248" t="inlineStr">
        <is>
          <t>2010</t>
        </is>
      </c>
      <c r="F146" s="248" t="inlineStr">
        <is>
          <t>0…1000 мкм (канал)</t>
        </is>
      </c>
      <c r="G146" s="248" t="inlineStr">
        <is>
          <t>нормируется для канала измерения</t>
        </is>
      </c>
      <c r="H146" s="243" t="inlineStr">
        <is>
          <t>Датчик оборотов ротора нагнетателя</t>
        </is>
      </c>
      <c r="I146" s="243" t="inlineStr">
        <is>
          <t>ГПА 63</t>
        </is>
      </c>
      <c r="J146" s="243" t="inlineStr">
        <is>
          <t>АСУ,А и ТМ (КЦ № 6)</t>
        </is>
      </c>
      <c r="K146" s="243" t="inlineStr">
        <is>
          <t>2012</t>
        </is>
      </c>
      <c r="L146" s="248" t="inlineStr">
        <is>
          <t>24</t>
        </is>
      </c>
      <c r="M146" s="246" t="inlineStr"/>
      <c r="N146" s="245" t="inlineStr"/>
    </row>
    <row r="147" ht="22.5" customHeight="1" s="236">
      <c r="A147" s="243" t="n">
        <v>146</v>
      </c>
      <c r="B147" s="248" t="inlineStr">
        <is>
          <t>Термометр сопротивления</t>
        </is>
      </c>
      <c r="C147" s="245" t="inlineStr">
        <is>
          <t>ТСП 012.60 Pt100/B/3</t>
        </is>
      </c>
      <c r="D147" s="248" t="inlineStr">
        <is>
          <t>464</t>
        </is>
      </c>
      <c r="E147" s="248" t="inlineStr">
        <is>
          <t>2011</t>
        </is>
      </c>
      <c r="F147" s="248" t="inlineStr">
        <is>
          <t>-60…200 °С</t>
        </is>
      </c>
      <c r="G147" s="248" t="inlineStr">
        <is>
          <t>B</t>
        </is>
      </c>
      <c r="H147" s="243" t="inlineStr">
        <is>
          <t>Температура масла после охладителя (на входе в двигатель)</t>
        </is>
      </c>
      <c r="I147" s="243" t="inlineStr">
        <is>
          <t>ГПА 63</t>
        </is>
      </c>
      <c r="J147" s="243" t="inlineStr">
        <is>
          <t>АСУ,А и ТМ (КЦ № 6)</t>
        </is>
      </c>
      <c r="K147" s="243" t="inlineStr">
        <is>
          <t>2012</t>
        </is>
      </c>
      <c r="L147" s="248" t="inlineStr">
        <is>
          <t>36</t>
        </is>
      </c>
      <c r="M147" s="246" t="inlineStr"/>
      <c r="N147" s="245" t="inlineStr"/>
    </row>
    <row r="148" ht="22.5" customHeight="1" s="236">
      <c r="A148" s="243" t="n">
        <v>147</v>
      </c>
      <c r="B148" s="248" t="inlineStr">
        <is>
          <t>Термометр сопротивления</t>
        </is>
      </c>
      <c r="C148" s="245" t="inlineStr">
        <is>
          <t>ТСП 012.60 Pt100/B/3</t>
        </is>
      </c>
      <c r="D148" s="248" t="inlineStr">
        <is>
          <t>571</t>
        </is>
      </c>
      <c r="E148" s="248" t="inlineStr">
        <is>
          <t>2011</t>
        </is>
      </c>
      <c r="F148" s="248" t="inlineStr">
        <is>
          <t>-60…200 °С</t>
        </is>
      </c>
      <c r="G148" s="248" t="inlineStr">
        <is>
          <t>B</t>
        </is>
      </c>
      <c r="H148" s="243" t="inlineStr">
        <is>
          <t>Температура масла на выходе двигателя (перед маслоохладителем)</t>
        </is>
      </c>
      <c r="I148" s="243" t="inlineStr">
        <is>
          <t>ГПА 63</t>
        </is>
      </c>
      <c r="J148" s="243" t="inlineStr">
        <is>
          <t>АСУ,А и ТМ (КЦ № 6)</t>
        </is>
      </c>
      <c r="K148" s="243" t="inlineStr">
        <is>
          <t>2012</t>
        </is>
      </c>
      <c r="L148" s="248" t="inlineStr">
        <is>
          <t>36</t>
        </is>
      </c>
      <c r="M148" s="246" t="inlineStr"/>
      <c r="N148" s="245" t="inlineStr"/>
    </row>
    <row r="149" ht="15" customHeight="1" s="236">
      <c r="A149" s="243" t="n">
        <v>148</v>
      </c>
      <c r="B149" s="248" t="inlineStr">
        <is>
          <t>Термометр сопротивления</t>
        </is>
      </c>
      <c r="C149" s="245" t="inlineStr">
        <is>
          <t>ТСП 012.60 Pt100/B/3</t>
        </is>
      </c>
      <c r="D149" s="248" t="inlineStr">
        <is>
          <t>462</t>
        </is>
      </c>
      <c r="E149" s="248" t="inlineStr">
        <is>
          <t>2011</t>
        </is>
      </c>
      <c r="F149" s="248" t="inlineStr">
        <is>
          <t>-60…200 °С</t>
        </is>
      </c>
      <c r="G149" s="248" t="inlineStr">
        <is>
          <t>B</t>
        </is>
      </c>
      <c r="H149" s="243" t="inlineStr">
        <is>
          <t>Температра масла в баке двигателя</t>
        </is>
      </c>
      <c r="I149" s="243" t="inlineStr">
        <is>
          <t>ГПА 63</t>
        </is>
      </c>
      <c r="J149" s="243" t="inlineStr">
        <is>
          <t>АСУ,А и ТМ (КЦ № 6)</t>
        </is>
      </c>
      <c r="K149" s="243" t="inlineStr">
        <is>
          <t>2012</t>
        </is>
      </c>
      <c r="L149" s="248" t="inlineStr">
        <is>
          <t>36</t>
        </is>
      </c>
      <c r="M149" s="246" t="inlineStr"/>
      <c r="N149" s="245" t="inlineStr"/>
    </row>
    <row r="150" ht="22.5" customHeight="1" s="236">
      <c r="A150" s="243" t="n">
        <v>149</v>
      </c>
      <c r="B150" s="248" t="inlineStr">
        <is>
          <t>Термометр сопротивления</t>
        </is>
      </c>
      <c r="C150" s="245" t="inlineStr">
        <is>
          <t>ТСП 012.60 Pt100/B/3</t>
        </is>
      </c>
      <c r="D150" s="248" t="inlineStr">
        <is>
          <t>341</t>
        </is>
      </c>
      <c r="E150" s="248" t="inlineStr">
        <is>
          <t>2011</t>
        </is>
      </c>
      <c r="F150" s="248" t="inlineStr">
        <is>
          <t>-60…200 °С</t>
        </is>
      </c>
      <c r="G150" s="248" t="inlineStr">
        <is>
          <t>B</t>
        </is>
      </c>
      <c r="H150" s="243" t="inlineStr">
        <is>
          <t>Температура топливного газа перед расходомерным устройством</t>
        </is>
      </c>
      <c r="I150" s="243" t="inlineStr">
        <is>
          <t>ГПА 63</t>
        </is>
      </c>
      <c r="J150" s="243" t="inlineStr">
        <is>
          <t>АСУ,А и ТМ (КЦ № 6)</t>
        </is>
      </c>
      <c r="K150" s="243" t="inlineStr">
        <is>
          <t>2012</t>
        </is>
      </c>
      <c r="L150" s="248" t="inlineStr">
        <is>
          <t>36</t>
        </is>
      </c>
      <c r="M150" s="246" t="inlineStr"/>
      <c r="N150" s="245" t="inlineStr"/>
    </row>
    <row r="151" ht="22.5" customHeight="1" s="236">
      <c r="A151" s="243" t="n">
        <v>150</v>
      </c>
      <c r="B151" s="248" t="inlineStr">
        <is>
          <t>Термометр сопротивления</t>
        </is>
      </c>
      <c r="C151" s="245" t="inlineStr">
        <is>
          <t>ТСП 012.60Сп Pt100/B/3</t>
        </is>
      </c>
      <c r="D151" s="248" t="inlineStr">
        <is>
          <t>344</t>
        </is>
      </c>
      <c r="E151" s="248" t="inlineStr">
        <is>
          <t>2011</t>
        </is>
      </c>
      <c r="F151" s="248" t="inlineStr">
        <is>
          <t>-60…200 °С</t>
        </is>
      </c>
      <c r="G151" s="248" t="inlineStr">
        <is>
          <t>B</t>
        </is>
      </c>
      <c r="H151" s="243" t="inlineStr">
        <is>
          <t>Температура воздуха под кожухом Д т.1</t>
        </is>
      </c>
      <c r="I151" s="243" t="inlineStr">
        <is>
          <t>ГПА 63</t>
        </is>
      </c>
      <c r="J151" s="243" t="inlineStr">
        <is>
          <t>АСУ,А и ТМ (КЦ № 6)</t>
        </is>
      </c>
      <c r="K151" s="243" t="inlineStr">
        <is>
          <t>2012</t>
        </is>
      </c>
      <c r="L151" s="248" t="inlineStr">
        <is>
          <t>36</t>
        </is>
      </c>
      <c r="M151" s="246" t="inlineStr"/>
      <c r="N151" s="245" t="inlineStr"/>
    </row>
    <row r="152" ht="22.5" customHeight="1" s="236">
      <c r="A152" s="243" t="n">
        <v>151</v>
      </c>
      <c r="B152" s="248" t="inlineStr">
        <is>
          <t>Термометр сопротивления</t>
        </is>
      </c>
      <c r="C152" s="245" t="inlineStr">
        <is>
          <t>ТСП 012.60Сп Pt100/B/3</t>
        </is>
      </c>
      <c r="D152" s="248" t="inlineStr">
        <is>
          <t>459</t>
        </is>
      </c>
      <c r="E152" s="248" t="inlineStr">
        <is>
          <t>2011</t>
        </is>
      </c>
      <c r="F152" s="248" t="inlineStr">
        <is>
          <t>-60…200 °С</t>
        </is>
      </c>
      <c r="G152" s="248" t="inlineStr">
        <is>
          <t>B</t>
        </is>
      </c>
      <c r="H152" s="243" t="inlineStr">
        <is>
          <t>Температура воздуха под кожухом Д т.2</t>
        </is>
      </c>
      <c r="I152" s="243" t="inlineStr">
        <is>
          <t>ГПА 63</t>
        </is>
      </c>
      <c r="J152" s="243" t="inlineStr">
        <is>
          <t>АСУ,А и ТМ (КЦ № 6)</t>
        </is>
      </c>
      <c r="K152" s="243" t="inlineStr">
        <is>
          <t>2012</t>
        </is>
      </c>
      <c r="L152" s="248" t="inlineStr">
        <is>
          <t>36</t>
        </is>
      </c>
      <c r="M152" s="246" t="inlineStr"/>
      <c r="N152" s="245" t="inlineStr"/>
    </row>
    <row r="153" ht="22.5" customHeight="1" s="236">
      <c r="A153" s="243" t="n">
        <v>152</v>
      </c>
      <c r="B153" s="248" t="inlineStr">
        <is>
          <t>Термометр сопротивления</t>
        </is>
      </c>
      <c r="C153" s="245" t="inlineStr">
        <is>
          <t>ТСП 012.60Сп Pt100/B/3</t>
        </is>
      </c>
      <c r="D153" s="248" t="inlineStr">
        <is>
          <t>342</t>
        </is>
      </c>
      <c r="E153" s="248" t="inlineStr">
        <is>
          <t>2011</t>
        </is>
      </c>
      <c r="F153" s="248" t="inlineStr">
        <is>
          <t>-60…200 °С</t>
        </is>
      </c>
      <c r="G153" s="248" t="inlineStr">
        <is>
          <t>B</t>
        </is>
      </c>
      <c r="H153" s="243" t="inlineStr">
        <is>
          <t>Температура воздуха под кожухом Д т.3</t>
        </is>
      </c>
      <c r="I153" s="243" t="inlineStr">
        <is>
          <t>ГПА 63</t>
        </is>
      </c>
      <c r="J153" s="243" t="inlineStr">
        <is>
          <t>АСУ,А и ТМ (КЦ № 6)</t>
        </is>
      </c>
      <c r="K153" s="243" t="inlineStr">
        <is>
          <t>2012</t>
        </is>
      </c>
      <c r="L153" s="248" t="inlineStr">
        <is>
          <t>36</t>
        </is>
      </c>
      <c r="M153" s="246" t="inlineStr"/>
      <c r="N153" s="245" t="inlineStr"/>
    </row>
    <row r="154" ht="22.5" customHeight="1" s="236">
      <c r="A154" s="243" t="n">
        <v>153</v>
      </c>
      <c r="B154" s="248" t="inlineStr">
        <is>
          <t>Термометр сопротивления</t>
        </is>
      </c>
      <c r="C154" s="245" t="inlineStr">
        <is>
          <t>ТСП 012.60Сп Pt100/B/3</t>
        </is>
      </c>
      <c r="D154" s="248" t="inlineStr">
        <is>
          <t>349</t>
        </is>
      </c>
      <c r="E154" s="248" t="inlineStr">
        <is>
          <t>2011</t>
        </is>
      </c>
      <c r="F154" s="248" t="inlineStr">
        <is>
          <t>-60…200 °С</t>
        </is>
      </c>
      <c r="G154" s="248" t="inlineStr">
        <is>
          <t>B</t>
        </is>
      </c>
      <c r="H154" s="243" t="inlineStr">
        <is>
          <t>Температура воздуха под кожухом Д т.4</t>
        </is>
      </c>
      <c r="I154" s="243" t="inlineStr">
        <is>
          <t>ГПА 63</t>
        </is>
      </c>
      <c r="J154" s="243" t="inlineStr">
        <is>
          <t>АСУ,А и ТМ (КЦ № 6)</t>
        </is>
      </c>
      <c r="K154" s="243" t="inlineStr">
        <is>
          <t>2012</t>
        </is>
      </c>
      <c r="L154" s="248" t="inlineStr">
        <is>
          <t>36</t>
        </is>
      </c>
      <c r="M154" s="246" t="inlineStr"/>
      <c r="N154" s="245" t="inlineStr"/>
    </row>
    <row r="155" ht="33.75" customHeight="1" s="236">
      <c r="A155" s="243" t="n">
        <v>154</v>
      </c>
      <c r="B155" s="248" t="inlineStr">
        <is>
          <t>Термометр сопротивления</t>
        </is>
      </c>
      <c r="C155" s="245" t="inlineStr">
        <is>
          <t>ТСП 012.60 Pt100/B/3</t>
        </is>
      </c>
      <c r="D155" s="248" t="inlineStr">
        <is>
          <t>317</t>
        </is>
      </c>
      <c r="E155" s="248" t="inlineStr">
        <is>
          <t>2011</t>
        </is>
      </c>
      <c r="F155" s="248" t="inlineStr">
        <is>
          <t>-60…200 °С</t>
        </is>
      </c>
      <c r="G155" s="248" t="inlineStr">
        <is>
          <t>B по ГОСТ Р 8.625</t>
        </is>
      </c>
      <c r="H155" s="243" t="inlineStr">
        <is>
          <t>Температура защитного воздуха на выходе оболочки опорного подшипника (передний)</t>
        </is>
      </c>
      <c r="I155" s="243" t="inlineStr">
        <is>
          <t>ГПА 63</t>
        </is>
      </c>
      <c r="J155" s="243" t="inlineStr">
        <is>
          <t>АСУ,А и ТМ (КЦ № 6)</t>
        </is>
      </c>
      <c r="K155" s="243" t="inlineStr">
        <is>
          <t>2012</t>
        </is>
      </c>
      <c r="L155" s="248" t="inlineStr">
        <is>
          <t>36</t>
        </is>
      </c>
      <c r="M155" s="246" t="inlineStr"/>
      <c r="N155" s="245" t="inlineStr"/>
    </row>
    <row r="156" ht="33.75" customFormat="1" customHeight="1" s="235">
      <c r="A156" s="243" t="n">
        <v>155</v>
      </c>
      <c r="B156" s="248" t="inlineStr">
        <is>
          <t>Термометр сопротивления</t>
        </is>
      </c>
      <c r="C156" s="245" t="inlineStr">
        <is>
          <t>ТСП 012.60 Pt100/B/3</t>
        </is>
      </c>
      <c r="D156" s="248" t="inlineStr">
        <is>
          <t>320</t>
        </is>
      </c>
      <c r="E156" s="248" t="inlineStr">
        <is>
          <t>2011</t>
        </is>
      </c>
      <c r="F156" s="248" t="inlineStr">
        <is>
          <t>-60…200 °С</t>
        </is>
      </c>
      <c r="G156" s="248" t="inlineStr">
        <is>
          <t>B по ГОСТ Р 8.625</t>
        </is>
      </c>
      <c r="H156" s="243" t="inlineStr">
        <is>
          <t>Температура защитного воздуха на входе установки фильтров перед КЭП10 (на входе ТГДУ)</t>
        </is>
      </c>
      <c r="I156" s="243" t="inlineStr">
        <is>
          <t>ГПА 63</t>
        </is>
      </c>
      <c r="J156" s="243" t="inlineStr">
        <is>
          <t>АСУ,А и ТМ (КЦ № 6)</t>
        </is>
      </c>
      <c r="K156" s="243" t="inlineStr">
        <is>
          <t>2012</t>
        </is>
      </c>
      <c r="L156" s="248" t="inlineStr">
        <is>
          <t>36</t>
        </is>
      </c>
      <c r="M156" s="246" t="inlineStr"/>
      <c r="N156" s="245" t="inlineStr"/>
    </row>
    <row r="157" ht="22.5" customFormat="1" customHeight="1" s="235">
      <c r="A157" s="243" t="n">
        <v>156</v>
      </c>
      <c r="B157" s="248" t="inlineStr">
        <is>
          <t>Термометр сопротивления</t>
        </is>
      </c>
      <c r="C157" s="245" t="inlineStr">
        <is>
          <t>ТСП 012.60 Pt100/B/3</t>
        </is>
      </c>
      <c r="D157" s="248" t="inlineStr">
        <is>
          <t>345</t>
        </is>
      </c>
      <c r="E157" s="248" t="inlineStr">
        <is>
          <t>2011</t>
        </is>
      </c>
      <c r="F157" s="248" t="inlineStr">
        <is>
          <t>-60…200 °С</t>
        </is>
      </c>
      <c r="G157" s="248" t="inlineStr">
        <is>
          <t>B</t>
        </is>
      </c>
      <c r="H157" s="243" t="inlineStr">
        <is>
          <t>Температура газа на выходе из компрессора</t>
        </is>
      </c>
      <c r="I157" s="243" t="inlineStr">
        <is>
          <t>ГПА 63</t>
        </is>
      </c>
      <c r="J157" s="243" t="inlineStr">
        <is>
          <t>АСУ,А и ТМ (КЦ № 6)</t>
        </is>
      </c>
      <c r="K157" s="243" t="inlineStr">
        <is>
          <t>2012</t>
        </is>
      </c>
      <c r="L157" s="248" t="inlineStr">
        <is>
          <t>36</t>
        </is>
      </c>
      <c r="M157" s="246" t="inlineStr"/>
      <c r="N157" s="245" t="inlineStr"/>
    </row>
    <row r="158" ht="15" customFormat="1" customHeight="1" s="235">
      <c r="A158" s="243" t="n">
        <v>157</v>
      </c>
      <c r="B158" s="248" t="inlineStr">
        <is>
          <t>Термометр сопротивления</t>
        </is>
      </c>
      <c r="C158" s="245" t="inlineStr">
        <is>
          <t>ТСПУ-Л-22162</t>
        </is>
      </c>
      <c r="D158" s="248" t="inlineStr">
        <is>
          <t>18</t>
        </is>
      </c>
      <c r="E158" s="248" t="inlineStr">
        <is>
          <t>2012</t>
        </is>
      </c>
      <c r="F158" s="248" t="inlineStr">
        <is>
          <t>­50…100 °C</t>
        </is>
      </c>
      <c r="G158" s="248" t="inlineStr">
        <is>
          <t>0,5</t>
        </is>
      </c>
      <c r="H158" s="243" t="inlineStr">
        <is>
          <t>Температура воздуха в укрытии</t>
        </is>
      </c>
      <c r="I158" s="243" t="inlineStr">
        <is>
          <t>ГПА 63</t>
        </is>
      </c>
      <c r="J158" s="243" t="inlineStr">
        <is>
          <t>АСУ,А и ТМ (КЦ № 6)</t>
        </is>
      </c>
      <c r="K158" s="243" t="inlineStr">
        <is>
          <t>2012</t>
        </is>
      </c>
      <c r="L158" s="248" t="inlineStr">
        <is>
          <t>60</t>
        </is>
      </c>
      <c r="M158" s="246" t="inlineStr"/>
      <c r="N158" s="245" t="inlineStr"/>
    </row>
    <row r="159" ht="22.5" customFormat="1" customHeight="1" s="235">
      <c r="A159" s="243" t="n">
        <v>158</v>
      </c>
      <c r="B159" s="248" t="inlineStr">
        <is>
          <t>Термометр сопротивления</t>
        </is>
      </c>
      <c r="C159" s="245" t="inlineStr">
        <is>
          <t>ТСП 012.60 Pt100/B/3</t>
        </is>
      </c>
      <c r="D159" s="248" t="inlineStr">
        <is>
          <t>388</t>
        </is>
      </c>
      <c r="E159" s="248" t="inlineStr">
        <is>
          <t>2011</t>
        </is>
      </c>
      <c r="F159" s="248" t="inlineStr">
        <is>
          <t>-60…200 °С</t>
        </is>
      </c>
      <c r="G159" s="248" t="inlineStr">
        <is>
          <t>B</t>
        </is>
      </c>
      <c r="H159" s="243" t="inlineStr">
        <is>
          <t>Температура теплоносителя в подогревателе буферного газа</t>
        </is>
      </c>
      <c r="I159" s="243" t="inlineStr">
        <is>
          <t>ГПА 63</t>
        </is>
      </c>
      <c r="J159" s="243" t="inlineStr">
        <is>
          <t>АСУ,А и ТМ (КЦ № 6)</t>
        </is>
      </c>
      <c r="K159" s="243" t="inlineStr">
        <is>
          <t>2012</t>
        </is>
      </c>
      <c r="L159" s="248" t="inlineStr">
        <is>
          <t>36</t>
        </is>
      </c>
      <c r="M159" s="246" t="inlineStr"/>
      <c r="N159" s="245" t="inlineStr"/>
    </row>
    <row r="160" ht="22.5" customFormat="1" customHeight="1" s="235">
      <c r="A160" s="243" t="n">
        <v>159</v>
      </c>
      <c r="B160" s="248" t="inlineStr">
        <is>
          <t>Термометр сопротивления</t>
        </is>
      </c>
      <c r="C160" s="245" t="inlineStr">
        <is>
          <t>ТСП 012.60 Pt100/B/3</t>
        </is>
      </c>
      <c r="D160" s="248" t="inlineStr">
        <is>
          <t>506</t>
        </is>
      </c>
      <c r="E160" s="248" t="inlineStr">
        <is>
          <t>2011</t>
        </is>
      </c>
      <c r="F160" s="248" t="inlineStr">
        <is>
          <t>-60…200 °С</t>
        </is>
      </c>
      <c r="G160" s="248" t="inlineStr">
        <is>
          <t>B</t>
        </is>
      </c>
      <c r="H160" s="243" t="inlineStr">
        <is>
          <t>Температура буферного газа на выходе подогревателя</t>
        </is>
      </c>
      <c r="I160" s="243" t="inlineStr">
        <is>
          <t>ГПА 63</t>
        </is>
      </c>
      <c r="J160" s="243" t="inlineStr">
        <is>
          <t>АСУ,А и ТМ (КЦ № 6)</t>
        </is>
      </c>
      <c r="K160" s="243" t="inlineStr">
        <is>
          <t>2012</t>
        </is>
      </c>
      <c r="L160" s="248" t="inlineStr">
        <is>
          <t>36</t>
        </is>
      </c>
      <c r="M160" s="246" t="inlineStr"/>
      <c r="N160" s="245" t="inlineStr"/>
    </row>
    <row r="161" ht="22.5" customFormat="1" customHeight="1" s="235">
      <c r="A161" s="243" t="n">
        <v>160</v>
      </c>
      <c r="B161" s="248" t="inlineStr">
        <is>
          <t>Термометр сопротивления</t>
        </is>
      </c>
      <c r="C161" s="245" t="inlineStr">
        <is>
          <t>ТСП 012.60 Pt100/B/3</t>
        </is>
      </c>
      <c r="D161" s="248" t="inlineStr">
        <is>
          <t>309</t>
        </is>
      </c>
      <c r="E161" s="248" t="inlineStr">
        <is>
          <t>2011</t>
        </is>
      </c>
      <c r="F161" s="248" t="inlineStr">
        <is>
          <t>-60…200 °С</t>
        </is>
      </c>
      <c r="G161" s="248" t="inlineStr">
        <is>
          <t>B</t>
        </is>
      </c>
      <c r="H161" s="243" t="inlineStr">
        <is>
          <t>Температура газа на входе в компрессор</t>
        </is>
      </c>
      <c r="I161" s="243" t="inlineStr">
        <is>
          <t>ГПА 63</t>
        </is>
      </c>
      <c r="J161" s="243" t="inlineStr">
        <is>
          <t>АСУ,А и ТМ (КЦ № 6)</t>
        </is>
      </c>
      <c r="K161" s="243" t="inlineStr">
        <is>
          <t>2012</t>
        </is>
      </c>
      <c r="L161" s="248" t="inlineStr">
        <is>
          <t>36</t>
        </is>
      </c>
      <c r="M161" s="246" t="inlineStr"/>
      <c r="N161" s="245" t="inlineStr"/>
    </row>
    <row r="162" ht="33.75" customHeight="1" s="236">
      <c r="A162" s="243" t="n">
        <v>161</v>
      </c>
      <c r="B162" s="248" t="inlineStr">
        <is>
          <t>Термометр сопротивления</t>
        </is>
      </c>
      <c r="C162" s="245" t="inlineStr">
        <is>
          <t>ТСП 319М.09 Pt100/B/3</t>
        </is>
      </c>
      <c r="D162" s="248" t="inlineStr">
        <is>
          <t>1264</t>
        </is>
      </c>
      <c r="E162" s="248" t="inlineStr">
        <is>
          <t>2010</t>
        </is>
      </c>
      <c r="F162" s="248" t="inlineStr">
        <is>
          <t>-60…180 °С</t>
        </is>
      </c>
      <c r="G162" s="248" t="inlineStr">
        <is>
          <t>B</t>
        </is>
      </c>
      <c r="H162" s="243" t="inlineStr">
        <is>
          <t>Температура электромагнита опорного подшипника со стороны привода</t>
        </is>
      </c>
      <c r="I162" s="243" t="inlineStr">
        <is>
          <t>ГПА 63</t>
        </is>
      </c>
      <c r="J162" s="243" t="inlineStr">
        <is>
          <t>АСУ,А и ТМ (КЦ № 6)</t>
        </is>
      </c>
      <c r="K162" s="243" t="inlineStr">
        <is>
          <t>2012</t>
        </is>
      </c>
      <c r="L162" s="248" t="inlineStr">
        <is>
          <t>24</t>
        </is>
      </c>
      <c r="M162" s="246" t="inlineStr"/>
      <c r="N162" s="245" t="inlineStr"/>
    </row>
    <row r="163" ht="33.75" customHeight="1" s="236">
      <c r="A163" s="243" t="n">
        <v>162</v>
      </c>
      <c r="B163" s="248" t="inlineStr">
        <is>
          <t>Термометр сопротивления</t>
        </is>
      </c>
      <c r="C163" s="245" t="inlineStr">
        <is>
          <t>ТСП 319М.09 Pt100/B/3</t>
        </is>
      </c>
      <c r="D163" s="248" t="inlineStr">
        <is>
          <t>1110</t>
        </is>
      </c>
      <c r="E163" s="248" t="inlineStr">
        <is>
          <t>2010</t>
        </is>
      </c>
      <c r="F163" s="248" t="inlineStr">
        <is>
          <t>-60…180 °С</t>
        </is>
      </c>
      <c r="G163" s="248" t="inlineStr">
        <is>
          <t>B</t>
        </is>
      </c>
      <c r="H163" s="243" t="inlineStr">
        <is>
          <t>Температура электромагнита опорного подшипника со стороны свободного конца</t>
        </is>
      </c>
      <c r="I163" s="243" t="inlineStr">
        <is>
          <t>ГПА 63</t>
        </is>
      </c>
      <c r="J163" s="243" t="inlineStr">
        <is>
          <t>АСУ,А и ТМ (КЦ № 6)</t>
        </is>
      </c>
      <c r="K163" s="243" t="inlineStr">
        <is>
          <t>2012</t>
        </is>
      </c>
      <c r="L163" s="248" t="inlineStr">
        <is>
          <t>24</t>
        </is>
      </c>
      <c r="M163" s="246" t="inlineStr"/>
      <c r="N163" s="245" t="inlineStr"/>
    </row>
    <row r="164" ht="22.5" customHeight="1" s="236">
      <c r="A164" s="243" t="n">
        <v>163</v>
      </c>
      <c r="B164" s="248" t="inlineStr">
        <is>
          <t>Термометр сопротивления</t>
        </is>
      </c>
      <c r="C164" s="245" t="inlineStr">
        <is>
          <t>ТСП 319М.09 Pt100/B/3</t>
        </is>
      </c>
      <c r="D164" s="248" t="inlineStr">
        <is>
          <t>1096</t>
        </is>
      </c>
      <c r="E164" s="248" t="inlineStr">
        <is>
          <t>2010</t>
        </is>
      </c>
      <c r="F164" s="248" t="inlineStr">
        <is>
          <t>-60..+180 °С</t>
        </is>
      </c>
      <c r="G164" s="248" t="inlineStr">
        <is>
          <t>B</t>
        </is>
      </c>
      <c r="H164" s="243" t="inlineStr">
        <is>
          <t>Температура левого осевого электромагнита</t>
        </is>
      </c>
      <c r="I164" s="243" t="inlineStr">
        <is>
          <t>ГПА 63</t>
        </is>
      </c>
      <c r="J164" s="243" t="inlineStr">
        <is>
          <t>АСУ,А и ТМ (КЦ № 6)</t>
        </is>
      </c>
      <c r="K164" s="243" t="inlineStr">
        <is>
          <t>2012</t>
        </is>
      </c>
      <c r="L164" s="248" t="inlineStr">
        <is>
          <t>24</t>
        </is>
      </c>
      <c r="M164" s="246" t="inlineStr"/>
      <c r="N164" s="245" t="inlineStr"/>
    </row>
    <row r="165" ht="22.5" customHeight="1" s="236">
      <c r="A165" s="243" t="n">
        <v>164</v>
      </c>
      <c r="B165" s="248" t="inlineStr">
        <is>
          <t>Термометр сопротивления</t>
        </is>
      </c>
      <c r="C165" s="245" t="inlineStr">
        <is>
          <t>ТСП 319М.09 Pt100/B/3</t>
        </is>
      </c>
      <c r="D165" s="248" t="inlineStr">
        <is>
          <t>1363</t>
        </is>
      </c>
      <c r="E165" s="248" t="inlineStr">
        <is>
          <t>2010</t>
        </is>
      </c>
      <c r="F165" s="248" t="inlineStr">
        <is>
          <t>-60..+180 °С</t>
        </is>
      </c>
      <c r="G165" s="248" t="inlineStr">
        <is>
          <t>B</t>
        </is>
      </c>
      <c r="H165" s="243" t="inlineStr">
        <is>
          <t>Температура правого осевого электромагнита</t>
        </is>
      </c>
      <c r="I165" s="243" t="inlineStr">
        <is>
          <t>ГПА 63</t>
        </is>
      </c>
      <c r="J165" s="243" t="inlineStr">
        <is>
          <t>АСУ,А и ТМ (КЦ № 6)</t>
        </is>
      </c>
      <c r="K165" s="243" t="inlineStr">
        <is>
          <t>2012</t>
        </is>
      </c>
      <c r="L165" s="248" t="inlineStr">
        <is>
          <t>24</t>
        </is>
      </c>
      <c r="M165" s="246" t="inlineStr"/>
      <c r="N165" s="245" t="inlineStr"/>
    </row>
    <row r="166" ht="15" customHeight="1" s="236">
      <c r="A166" s="243" t="n">
        <v>165</v>
      </c>
      <c r="B166" s="248" t="inlineStr">
        <is>
          <t>Термометр сопротивления</t>
        </is>
      </c>
      <c r="C166" s="245" t="inlineStr">
        <is>
          <t>ТСП 9204-06 100П/B/3</t>
        </is>
      </c>
      <c r="D166" s="248" t="inlineStr">
        <is>
          <t>4036</t>
        </is>
      </c>
      <c r="E166" s="248" t="inlineStr">
        <is>
          <t>2011</t>
        </is>
      </c>
      <c r="F166" s="248" t="inlineStr">
        <is>
          <t>-50…150 °С</t>
        </is>
      </c>
      <c r="G166" s="248" t="inlineStr">
        <is>
          <t>B</t>
        </is>
      </c>
      <c r="H166" s="243" t="inlineStr">
        <is>
          <t>Температура холодного спая в САУ</t>
        </is>
      </c>
      <c r="I166" s="243" t="inlineStr">
        <is>
          <t>ГПА 63</t>
        </is>
      </c>
      <c r="J166" s="243" t="inlineStr">
        <is>
          <t>АСУ,А и ТМ (КЦ № 6)</t>
        </is>
      </c>
      <c r="K166" s="243" t="inlineStr">
        <is>
          <t>2012</t>
        </is>
      </c>
      <c r="L166" s="248" t="inlineStr">
        <is>
          <t>24</t>
        </is>
      </c>
      <c r="M166" s="246" t="inlineStr"/>
      <c r="N166" s="245" t="inlineStr"/>
    </row>
    <row r="167" ht="22.5" customHeight="1" s="236">
      <c r="A167" s="243" t="n">
        <v>166</v>
      </c>
      <c r="B167" s="248" t="inlineStr">
        <is>
          <t>Термометр сопротивления</t>
        </is>
      </c>
      <c r="C167" s="245" t="inlineStr">
        <is>
          <t>ТСП 012.60 Pt100/B/3</t>
        </is>
      </c>
      <c r="D167" s="248" t="inlineStr">
        <is>
          <t>338</t>
        </is>
      </c>
      <c r="E167" s="248" t="inlineStr">
        <is>
          <t>2011</t>
        </is>
      </c>
      <c r="F167" s="248" t="inlineStr">
        <is>
          <t>-60…200 °С</t>
        </is>
      </c>
      <c r="G167" s="248" t="inlineStr">
        <is>
          <t>B</t>
        </is>
      </c>
      <c r="H167" s="243" t="inlineStr">
        <is>
          <t>Температура воздуха в отсеке пожаротушения</t>
        </is>
      </c>
      <c r="I167" s="243" t="inlineStr">
        <is>
          <t>ГПА 63</t>
        </is>
      </c>
      <c r="J167" s="243" t="inlineStr">
        <is>
          <t>АСУ,А и ТМ (КЦ № 6)</t>
        </is>
      </c>
      <c r="K167" s="243" t="inlineStr">
        <is>
          <t>2012</t>
        </is>
      </c>
      <c r="L167" s="248" t="inlineStr">
        <is>
          <t>36</t>
        </is>
      </c>
      <c r="M167" s="246" t="inlineStr"/>
      <c r="N167" s="245" t="inlineStr"/>
    </row>
    <row r="168" ht="22.5" customHeight="1" s="236">
      <c r="A168" s="243" t="n">
        <v>167</v>
      </c>
      <c r="B168" s="248" t="inlineStr">
        <is>
          <t>Термометр сопротивления</t>
        </is>
      </c>
      <c r="C168" s="245" t="inlineStr">
        <is>
          <t>ТСП 012.60 Pt100/B/3</t>
        </is>
      </c>
      <c r="D168" s="248" t="inlineStr">
        <is>
          <t>570</t>
        </is>
      </c>
      <c r="E168" s="248" t="inlineStr">
        <is>
          <t>2011</t>
        </is>
      </c>
      <c r="F168" s="248" t="inlineStr">
        <is>
          <t>-60…200 °С</t>
        </is>
      </c>
      <c r="G168" s="248" t="inlineStr">
        <is>
          <t>B</t>
        </is>
      </c>
      <c r="H168" s="243" t="inlineStr">
        <is>
          <t>Температура воздуха в отсеке пожаротушения</t>
        </is>
      </c>
      <c r="I168" s="243" t="inlineStr">
        <is>
          <t>ГПА 63</t>
        </is>
      </c>
      <c r="J168" s="243" t="inlineStr">
        <is>
          <t>АСУ,А и ТМ (КЦ № 6)</t>
        </is>
      </c>
      <c r="K168" s="243" t="inlineStr">
        <is>
          <t>2012</t>
        </is>
      </c>
      <c r="L168" s="248" t="inlineStr">
        <is>
          <t>36</t>
        </is>
      </c>
      <c r="M168" s="246" t="inlineStr"/>
      <c r="N168" s="245" t="inlineStr"/>
    </row>
    <row r="169" ht="22.5" customHeight="1" s="236">
      <c r="A169" s="243" t="n">
        <v>168</v>
      </c>
      <c r="B169" s="248" t="inlineStr">
        <is>
          <t>Термометр сопротивления</t>
        </is>
      </c>
      <c r="C169" s="245" t="inlineStr">
        <is>
          <t>ТСП 012.60 Pt100/B/3</t>
        </is>
      </c>
      <c r="D169" s="248" t="inlineStr">
        <is>
          <t>569</t>
        </is>
      </c>
      <c r="E169" s="248" t="inlineStr">
        <is>
          <t>2011</t>
        </is>
      </c>
      <c r="F169" s="248" t="inlineStr">
        <is>
          <t>-60…200 °С</t>
        </is>
      </c>
      <c r="G169" s="248" t="inlineStr">
        <is>
          <t>B</t>
        </is>
      </c>
      <c r="H169" s="243" t="inlineStr">
        <is>
          <t>Температура обогревателя в отсеке пожаротушения</t>
        </is>
      </c>
      <c r="I169" s="243" t="inlineStr">
        <is>
          <t>ГПА 63</t>
        </is>
      </c>
      <c r="J169" s="243" t="inlineStr">
        <is>
          <t>АСУ,А и ТМ (КЦ № 6)</t>
        </is>
      </c>
      <c r="K169" s="243" t="inlineStr">
        <is>
          <t>2012</t>
        </is>
      </c>
      <c r="L169" s="248" t="inlineStr">
        <is>
          <t>36</t>
        </is>
      </c>
      <c r="M169" s="246" t="inlineStr"/>
      <c r="N169" s="245" t="inlineStr"/>
    </row>
    <row r="170" ht="22.5" customHeight="1" s="236">
      <c r="A170" s="243" t="n">
        <v>169</v>
      </c>
      <c r="B170" s="248" t="inlineStr">
        <is>
          <t>Термометр сопротивления</t>
        </is>
      </c>
      <c r="C170" s="245" t="inlineStr">
        <is>
          <t>ТСП 319М.03 Pt100/B/3</t>
        </is>
      </c>
      <c r="D170" s="248" t="inlineStr">
        <is>
          <t>1115</t>
        </is>
      </c>
      <c r="E170" s="248" t="inlineStr">
        <is>
          <t>2011</t>
        </is>
      </c>
      <c r="F170" s="248" t="inlineStr">
        <is>
          <t>-60…180 °С</t>
        </is>
      </c>
      <c r="G170" s="248" t="inlineStr">
        <is>
          <t>B</t>
        </is>
      </c>
      <c r="H170" s="243" t="inlineStr">
        <is>
          <t>Температура воздуха в блоке автоматики</t>
        </is>
      </c>
      <c r="I170" s="243" t="inlineStr">
        <is>
          <t>ГПА 63</t>
        </is>
      </c>
      <c r="J170" s="243" t="inlineStr">
        <is>
          <t>АСУ,А и ТМ (КЦ № 6)</t>
        </is>
      </c>
      <c r="K170" s="243" t="inlineStr">
        <is>
          <t>2012</t>
        </is>
      </c>
      <c r="L170" s="248" t="inlineStr">
        <is>
          <t>24</t>
        </is>
      </c>
      <c r="M170" s="246" t="inlineStr"/>
      <c r="N170" s="245" t="inlineStr"/>
    </row>
    <row r="171" ht="15" customHeight="1" s="236">
      <c r="A171" s="243" t="n">
        <v>170</v>
      </c>
      <c r="B171" s="248" t="inlineStr">
        <is>
          <t>Термометр сопротивления</t>
        </is>
      </c>
      <c r="C171" s="245" t="inlineStr">
        <is>
          <t>ТСП 012.60Сп Pt100/B/3</t>
        </is>
      </c>
      <c r="D171" s="248" t="inlineStr">
        <is>
          <t>503</t>
        </is>
      </c>
      <c r="E171" s="248" t="inlineStr">
        <is>
          <t>2011</t>
        </is>
      </c>
      <c r="F171" s="248" t="inlineStr">
        <is>
          <t>-60…200 °С</t>
        </is>
      </c>
      <c r="G171" s="248" t="inlineStr">
        <is>
          <t>B</t>
        </is>
      </c>
      <c r="H171" s="243" t="inlineStr">
        <is>
          <t>Температура атмосферного воздуха</t>
        </is>
      </c>
      <c r="I171" s="243" t="inlineStr">
        <is>
          <t>ГПА 63</t>
        </is>
      </c>
      <c r="J171" s="243" t="inlineStr">
        <is>
          <t>АСУ,А и ТМ (КЦ № 6)</t>
        </is>
      </c>
      <c r="K171" s="243" t="inlineStr">
        <is>
          <t>2012</t>
        </is>
      </c>
      <c r="L171" s="248" t="inlineStr">
        <is>
          <t>36</t>
        </is>
      </c>
      <c r="M171" s="246" t="inlineStr"/>
      <c r="N171" s="245" t="inlineStr"/>
    </row>
    <row r="172" ht="22.5" customHeight="1" s="236">
      <c r="A172" s="243" t="n">
        <v>171</v>
      </c>
      <c r="B172" s="248" t="inlineStr">
        <is>
          <t>Термометр сопротивления</t>
        </is>
      </c>
      <c r="C172" s="245" t="inlineStr">
        <is>
          <t>ТСМ 319М-05.02 50М/B/3</t>
        </is>
      </c>
      <c r="D172" s="248" t="inlineStr">
        <is>
          <t>1310</t>
        </is>
      </c>
      <c r="E172" s="248" t="inlineStr">
        <is>
          <t>2011</t>
        </is>
      </c>
      <c r="F172" s="248" t="inlineStr">
        <is>
          <t>-60…180 °С</t>
        </is>
      </c>
      <c r="G172" s="248" t="inlineStr">
        <is>
          <t>B</t>
        </is>
      </c>
      <c r="H172" s="243" t="inlineStr">
        <is>
          <t>Температура в контейнере Atlas Copco</t>
        </is>
      </c>
      <c r="I172" s="243" t="inlineStr">
        <is>
          <t>ГПА 63</t>
        </is>
      </c>
      <c r="J172" s="243" t="inlineStr">
        <is>
          <t>АСУ,А и ТМ (КЦ № 6)</t>
        </is>
      </c>
      <c r="K172" s="243" t="inlineStr">
        <is>
          <t>2012</t>
        </is>
      </c>
      <c r="L172" s="248" t="inlineStr">
        <is>
          <t>24</t>
        </is>
      </c>
      <c r="M172" s="246" t="inlineStr"/>
      <c r="N172" s="245" t="inlineStr"/>
    </row>
    <row r="173" ht="22.5" customHeight="1" s="236">
      <c r="A173" s="243" t="n">
        <v>172</v>
      </c>
      <c r="B173" s="248" t="inlineStr">
        <is>
          <t>Датчик вибрации</t>
        </is>
      </c>
      <c r="C173" s="245" t="inlineStr">
        <is>
          <t>МВ-46Г</t>
        </is>
      </c>
      <c r="D173" s="248" t="inlineStr">
        <is>
          <t>112705</t>
        </is>
      </c>
      <c r="E173" s="248" t="inlineStr">
        <is>
          <t>2011</t>
        </is>
      </c>
      <c r="F173" s="248" t="inlineStr">
        <is>
          <t>0…100 мм/с</t>
        </is>
      </c>
      <c r="G173" s="248" t="inlineStr">
        <is>
          <t>2.5</t>
        </is>
      </c>
      <c r="H173" s="243" t="inlineStr">
        <is>
          <t>Виброскорость в зоне КНД (вертикаль)</t>
        </is>
      </c>
      <c r="I173" s="243" t="inlineStr">
        <is>
          <t>ГПА 63</t>
        </is>
      </c>
      <c r="J173" s="243" t="inlineStr">
        <is>
          <t>АСУ,А и ТМ (КЦ № 6)</t>
        </is>
      </c>
      <c r="K173" s="243" t="inlineStr">
        <is>
          <t>2012</t>
        </is>
      </c>
      <c r="L173" s="248" t="inlineStr">
        <is>
          <t>12</t>
        </is>
      </c>
      <c r="M173" s="246" t="inlineStr"/>
      <c r="N173" s="245" t="inlineStr"/>
    </row>
    <row r="174" ht="22.5" customHeight="1" s="236">
      <c r="A174" s="243" t="n">
        <v>173</v>
      </c>
      <c r="B174" s="248" t="inlineStr">
        <is>
          <t>Датчик вибрации</t>
        </is>
      </c>
      <c r="C174" s="245" t="inlineStr">
        <is>
          <t>МВ-46Г</t>
        </is>
      </c>
      <c r="D174" s="248" t="inlineStr">
        <is>
          <t>112684</t>
        </is>
      </c>
      <c r="E174" s="248" t="inlineStr">
        <is>
          <t>2011</t>
        </is>
      </c>
      <c r="F174" s="248" t="inlineStr">
        <is>
          <t>0…100 мм/с</t>
        </is>
      </c>
      <c r="G174" s="248" t="inlineStr">
        <is>
          <t>2.5</t>
        </is>
      </c>
      <c r="H174" s="243" t="inlineStr">
        <is>
          <t>Виброскорость в зоне КНД (горизонталь)</t>
        </is>
      </c>
      <c r="I174" s="243" t="inlineStr">
        <is>
          <t>ГПА 63</t>
        </is>
      </c>
      <c r="J174" s="243" t="inlineStr">
        <is>
          <t>АСУ,А и ТМ (КЦ № 6)</t>
        </is>
      </c>
      <c r="K174" s="243" t="inlineStr">
        <is>
          <t>2012</t>
        </is>
      </c>
      <c r="L174" s="248" t="inlineStr">
        <is>
          <t>12</t>
        </is>
      </c>
      <c r="M174" s="246" t="inlineStr"/>
      <c r="N174" s="245" t="inlineStr"/>
    </row>
    <row r="175" ht="22.5" customHeight="1" s="236">
      <c r="A175" s="243" t="n">
        <v>174</v>
      </c>
      <c r="B175" s="248" t="inlineStr">
        <is>
          <t>Датчик вибрации</t>
        </is>
      </c>
      <c r="C175" s="245" t="inlineStr">
        <is>
          <t>МВ-46Г</t>
        </is>
      </c>
      <c r="D175" s="248" t="inlineStr">
        <is>
          <t>112689</t>
        </is>
      </c>
      <c r="E175" s="248" t="inlineStr">
        <is>
          <t>2011</t>
        </is>
      </c>
      <c r="F175" s="248" t="inlineStr">
        <is>
          <t>0…100 мм/с</t>
        </is>
      </c>
      <c r="G175" s="248" t="inlineStr">
        <is>
          <t>2.5</t>
        </is>
      </c>
      <c r="H175" s="243" t="inlineStr">
        <is>
          <t>Виброскорость в зоне средней опоры (вертикаль)</t>
        </is>
      </c>
      <c r="I175" s="243" t="inlineStr">
        <is>
          <t>ГПА 63</t>
        </is>
      </c>
      <c r="J175" s="243" t="inlineStr">
        <is>
          <t>АСУ,А и ТМ (КЦ № 6)</t>
        </is>
      </c>
      <c r="K175" s="243" t="inlineStr">
        <is>
          <t>2012</t>
        </is>
      </c>
      <c r="L175" s="248" t="inlineStr">
        <is>
          <t>12</t>
        </is>
      </c>
      <c r="M175" s="246" t="inlineStr"/>
      <c r="N175" s="245" t="inlineStr"/>
    </row>
    <row r="176" ht="22.5" customHeight="1" s="236">
      <c r="A176" s="243" t="n">
        <v>175</v>
      </c>
      <c r="B176" s="248" t="inlineStr">
        <is>
          <t>Датчик вибрации</t>
        </is>
      </c>
      <c r="C176" s="245" t="inlineStr">
        <is>
          <t>МВ-46Г</t>
        </is>
      </c>
      <c r="D176" s="248" t="inlineStr">
        <is>
          <t>112696</t>
        </is>
      </c>
      <c r="E176" s="248" t="inlineStr">
        <is>
          <t>2011</t>
        </is>
      </c>
      <c r="F176" s="248" t="inlineStr">
        <is>
          <t>0…100 мм/с</t>
        </is>
      </c>
      <c r="G176" s="248" t="inlineStr">
        <is>
          <t>2.5</t>
        </is>
      </c>
      <c r="H176" s="243" t="inlineStr">
        <is>
          <t>Виброскорость в зоне средней опоры (горизонталь)</t>
        </is>
      </c>
      <c r="I176" s="243" t="inlineStr">
        <is>
          <t>ГПА 63</t>
        </is>
      </c>
      <c r="J176" s="243" t="inlineStr">
        <is>
          <t>АСУ,А и ТМ (КЦ № 6)</t>
        </is>
      </c>
      <c r="K176" s="243" t="inlineStr">
        <is>
          <t>2012</t>
        </is>
      </c>
      <c r="L176" s="248" t="inlineStr">
        <is>
          <t>12</t>
        </is>
      </c>
      <c r="M176" s="246" t="inlineStr"/>
      <c r="N176" s="245" t="inlineStr"/>
    </row>
    <row r="177" ht="22.5" customHeight="1" s="236">
      <c r="A177" s="243" t="n">
        <v>176</v>
      </c>
      <c r="B177" s="248" t="inlineStr">
        <is>
          <t>Датчик вибрации</t>
        </is>
      </c>
      <c r="C177" s="245" t="inlineStr">
        <is>
          <t>МВ-46Г</t>
        </is>
      </c>
      <c r="D177" s="248" t="inlineStr">
        <is>
          <t>112691</t>
        </is>
      </c>
      <c r="E177" s="248" t="inlineStr">
        <is>
          <t>2011</t>
        </is>
      </c>
      <c r="F177" s="248" t="inlineStr">
        <is>
          <t>0…100 мм/с</t>
        </is>
      </c>
      <c r="G177" s="248" t="inlineStr">
        <is>
          <t>2.5</t>
        </is>
      </c>
      <c r="H177" s="243" t="inlineStr">
        <is>
          <t>Виброскорость в зоне средней опоры (осевое направление)</t>
        </is>
      </c>
      <c r="I177" s="243" t="inlineStr">
        <is>
          <t>ГПА 63</t>
        </is>
      </c>
      <c r="J177" s="243" t="inlineStr">
        <is>
          <t>АСУ,А и ТМ (КЦ № 6)</t>
        </is>
      </c>
      <c r="K177" s="243" t="inlineStr">
        <is>
          <t>2012</t>
        </is>
      </c>
      <c r="L177" s="248" t="inlineStr">
        <is>
          <t>12</t>
        </is>
      </c>
      <c r="M177" s="246" t="inlineStr"/>
      <c r="N177" s="245" t="inlineStr"/>
    </row>
    <row r="178" ht="15" customHeight="1" s="236">
      <c r="A178" s="243" t="n">
        <v>177</v>
      </c>
      <c r="B178" s="248" t="inlineStr">
        <is>
          <t>Датчик вибрации</t>
        </is>
      </c>
      <c r="C178" s="245" t="inlineStr">
        <is>
          <t>МВ-44-1Г</t>
        </is>
      </c>
      <c r="D178" s="248" t="inlineStr">
        <is>
          <t>112863</t>
        </is>
      </c>
      <c r="E178" s="248" t="inlineStr">
        <is>
          <t>2011</t>
        </is>
      </c>
      <c r="F178" s="248" t="inlineStr">
        <is>
          <t>0…100 мм/с</t>
        </is>
      </c>
      <c r="G178" s="248" t="inlineStr">
        <is>
          <t>2.5</t>
        </is>
      </c>
      <c r="H178" s="243" t="inlineStr">
        <is>
          <t>Виброскорость в зоне СТ (вертикаль)</t>
        </is>
      </c>
      <c r="I178" s="243" t="inlineStr">
        <is>
          <t>ГПА 63</t>
        </is>
      </c>
      <c r="J178" s="243" t="inlineStr">
        <is>
          <t>АСУ,А и ТМ (КЦ № 6)</t>
        </is>
      </c>
      <c r="K178" s="243" t="inlineStr">
        <is>
          <t>2012</t>
        </is>
      </c>
      <c r="L178" s="248" t="inlineStr">
        <is>
          <t>12</t>
        </is>
      </c>
      <c r="M178" s="246" t="inlineStr"/>
      <c r="N178" s="245" t="inlineStr"/>
    </row>
    <row r="179" ht="22.5" customHeight="1" s="236">
      <c r="A179" s="243" t="n">
        <v>178</v>
      </c>
      <c r="B179" s="248" t="inlineStr">
        <is>
          <t>Датчик вибрации</t>
        </is>
      </c>
      <c r="C179" s="245" t="inlineStr">
        <is>
          <t>МВ-44-1Г</t>
        </is>
      </c>
      <c r="D179" s="248" t="inlineStr">
        <is>
          <t>113356</t>
        </is>
      </c>
      <c r="E179" s="248" t="inlineStr">
        <is>
          <t>2011</t>
        </is>
      </c>
      <c r="F179" s="248" t="inlineStr">
        <is>
          <t>0…100 мм/с</t>
        </is>
      </c>
      <c r="G179" s="248" t="inlineStr">
        <is>
          <t>2.5</t>
        </is>
      </c>
      <c r="H179" s="243" t="inlineStr">
        <is>
          <t>Виброскорость в зоне СТ (горизонталь)</t>
        </is>
      </c>
      <c r="I179" s="243" t="inlineStr">
        <is>
          <t>ГПА 63</t>
        </is>
      </c>
      <c r="J179" s="243" t="inlineStr">
        <is>
          <t>АСУ,А и ТМ (КЦ № 6)</t>
        </is>
      </c>
      <c r="K179" s="243" t="inlineStr">
        <is>
          <t>2012</t>
        </is>
      </c>
      <c r="L179" s="248" t="inlineStr">
        <is>
          <t>12</t>
        </is>
      </c>
      <c r="M179" s="246" t="inlineStr"/>
      <c r="N179" s="245" t="inlineStr"/>
    </row>
    <row r="180" ht="15" customHeight="1" s="236">
      <c r="A180" s="243" t="n">
        <v>179</v>
      </c>
      <c r="B180" s="244" t="inlineStr">
        <is>
          <t>Манометр технический</t>
        </is>
      </c>
      <c r="C180" s="245" t="inlineStr">
        <is>
          <t>МП4-УУ2</t>
        </is>
      </c>
      <c r="D180" s="248" t="inlineStr">
        <is>
          <t>15408</t>
        </is>
      </c>
      <c r="E180" s="248" t="inlineStr">
        <is>
          <t>2010</t>
        </is>
      </c>
      <c r="F180" s="248" t="inlineStr">
        <is>
          <t>0…160 кгс/см2</t>
        </is>
      </c>
      <c r="G180" s="248" t="inlineStr">
        <is>
          <t>1</t>
        </is>
      </c>
      <c r="H180" s="243" t="inlineStr">
        <is>
          <t>Р газа на входе компрессора</t>
        </is>
      </c>
      <c r="I180" s="243" t="inlineStr">
        <is>
          <t>ГПА 63</t>
        </is>
      </c>
      <c r="J180" s="243" t="inlineStr">
        <is>
          <t>АСУ,А и ТМ (КЦ № 6)</t>
        </is>
      </c>
      <c r="K180" s="243" t="inlineStr">
        <is>
          <t>2012</t>
        </is>
      </c>
      <c r="L180" s="248" t="inlineStr">
        <is>
          <t>12</t>
        </is>
      </c>
      <c r="M180" s="246" t="inlineStr">
        <is>
          <t>1К26</t>
        </is>
      </c>
      <c r="N180" s="245" t="inlineStr">
        <is>
          <t>К</t>
        </is>
      </c>
    </row>
    <row r="181" ht="15" customHeight="1" s="236">
      <c r="A181" s="243" t="n">
        <v>180</v>
      </c>
      <c r="B181" s="244" t="inlineStr">
        <is>
          <t>Манометр технический</t>
        </is>
      </c>
      <c r="C181" s="245" t="inlineStr">
        <is>
          <t>МП4-УУ2</t>
        </is>
      </c>
      <c r="D181" s="248" t="inlineStr">
        <is>
          <t>15182</t>
        </is>
      </c>
      <c r="E181" s="248" t="inlineStr">
        <is>
          <t>2010</t>
        </is>
      </c>
      <c r="F181" s="248" t="inlineStr">
        <is>
          <t>0…160 кгс/см3</t>
        </is>
      </c>
      <c r="G181" s="248" t="inlineStr">
        <is>
          <t>1.5</t>
        </is>
      </c>
      <c r="H181" s="243" t="inlineStr">
        <is>
          <t>Р газа на выходе компрессора</t>
        </is>
      </c>
      <c r="I181" s="243" t="inlineStr">
        <is>
          <t>ГПА 63</t>
        </is>
      </c>
      <c r="J181" s="243" t="inlineStr">
        <is>
          <t>АСУ,А и ТМ (КЦ № 6)</t>
        </is>
      </c>
      <c r="K181" s="243" t="inlineStr">
        <is>
          <t>2012</t>
        </is>
      </c>
      <c r="L181" s="248" t="inlineStr">
        <is>
          <t>12</t>
        </is>
      </c>
      <c r="M181" s="246" t="inlineStr">
        <is>
          <t>1К26</t>
        </is>
      </c>
      <c r="N181" s="245" t="inlineStr">
        <is>
          <t>К</t>
        </is>
      </c>
    </row>
    <row r="182" ht="15" customHeight="1" s="236">
      <c r="A182" s="243" t="n">
        <v>181</v>
      </c>
      <c r="B182" s="244" t="inlineStr">
        <is>
          <t>Манометр технический</t>
        </is>
      </c>
      <c r="C182" s="245" t="inlineStr">
        <is>
          <t>МП4-УУ2</t>
        </is>
      </c>
      <c r="D182" s="248" t="inlineStr">
        <is>
          <t>80515</t>
        </is>
      </c>
      <c r="E182" s="248" t="inlineStr">
        <is>
          <t>2010</t>
        </is>
      </c>
      <c r="F182" s="248" t="inlineStr">
        <is>
          <t>0…16 МПа</t>
        </is>
      </c>
      <c r="G182" s="248" t="inlineStr">
        <is>
          <t>1</t>
        </is>
      </c>
      <c r="H182" s="243" t="inlineStr">
        <is>
          <t>Р газа в Ф1</t>
        </is>
      </c>
      <c r="I182" s="243" t="inlineStr">
        <is>
          <t>ГПА 63</t>
        </is>
      </c>
      <c r="J182" s="243" t="inlineStr">
        <is>
          <t>АСУ,А и ТМ (КЦ № 6)</t>
        </is>
      </c>
      <c r="K182" s="243" t="inlineStr">
        <is>
          <t>2012</t>
        </is>
      </c>
      <c r="L182" s="248" t="inlineStr">
        <is>
          <t>12</t>
        </is>
      </c>
      <c r="M182" s="246" t="inlineStr">
        <is>
          <t>26ДЯУ</t>
        </is>
      </c>
      <c r="N182" s="245" t="inlineStr">
        <is>
          <t>П</t>
        </is>
      </c>
      <c r="O182" s="247" t="n"/>
    </row>
    <row r="183" ht="15" customHeight="1" s="236">
      <c r="A183" s="243" t="n">
        <v>182</v>
      </c>
      <c r="B183" s="244" t="inlineStr">
        <is>
          <t>Манометр технический</t>
        </is>
      </c>
      <c r="C183" s="245" t="inlineStr">
        <is>
          <t>МП4-УУ2</t>
        </is>
      </c>
      <c r="D183" s="248" t="inlineStr">
        <is>
          <t>15321</t>
        </is>
      </c>
      <c r="E183" s="248" t="inlineStr">
        <is>
          <t>2010</t>
        </is>
      </c>
      <c r="F183" s="248" t="inlineStr">
        <is>
          <t>0…160 кгс/см3</t>
        </is>
      </c>
      <c r="G183" s="248" t="inlineStr">
        <is>
          <t>1.5</t>
        </is>
      </c>
      <c r="H183" s="243" t="inlineStr">
        <is>
          <t>Р газа в Ф2</t>
        </is>
      </c>
      <c r="I183" s="243" t="inlineStr">
        <is>
          <t>ГПА 63</t>
        </is>
      </c>
      <c r="J183" s="243" t="inlineStr">
        <is>
          <t>АСУ,А и ТМ (КЦ № 6)</t>
        </is>
      </c>
      <c r="K183" s="243" t="inlineStr">
        <is>
          <t>2012</t>
        </is>
      </c>
      <c r="L183" s="248" t="inlineStr">
        <is>
          <t>12</t>
        </is>
      </c>
      <c r="M183" s="246" t="inlineStr">
        <is>
          <t>26ДЯУ</t>
        </is>
      </c>
      <c r="N183" s="245" t="inlineStr">
        <is>
          <t>П</t>
        </is>
      </c>
      <c r="O183" s="247" t="n"/>
    </row>
    <row r="184" ht="15" customHeight="1" s="236">
      <c r="A184" s="243" t="n">
        <v>183</v>
      </c>
      <c r="B184" s="244" t="inlineStr">
        <is>
          <t>Манометр технический</t>
        </is>
      </c>
      <c r="C184" s="245" t="inlineStr">
        <is>
          <t>МП4-УУ2</t>
        </is>
      </c>
      <c r="D184" s="248" t="inlineStr">
        <is>
          <t>15280</t>
        </is>
      </c>
      <c r="E184" s="248" t="inlineStr">
        <is>
          <t>2010</t>
        </is>
      </c>
      <c r="F184" s="248" t="inlineStr">
        <is>
          <t>0…0,6 кгс/см2</t>
        </is>
      </c>
      <c r="G184" s="248" t="inlineStr">
        <is>
          <t>1.5</t>
        </is>
      </c>
      <c r="H184" s="243" t="inlineStr">
        <is>
          <t>Р воздуха после РДВ</t>
        </is>
      </c>
      <c r="I184" s="243" t="inlineStr">
        <is>
          <t>ГПА 63</t>
        </is>
      </c>
      <c r="J184" s="243" t="inlineStr">
        <is>
          <t>АСУ,А и ТМ (КЦ № 6)</t>
        </is>
      </c>
      <c r="K184" s="243" t="inlineStr">
        <is>
          <t>2012</t>
        </is>
      </c>
      <c r="L184" s="248" t="inlineStr">
        <is>
          <t>12</t>
        </is>
      </c>
      <c r="M184" s="246" t="inlineStr">
        <is>
          <t>1К26</t>
        </is>
      </c>
      <c r="N184" s="245" t="inlineStr">
        <is>
          <t>К</t>
        </is>
      </c>
    </row>
    <row r="185" ht="15" customHeight="1" s="236">
      <c r="A185" s="243" t="n">
        <v>184</v>
      </c>
      <c r="B185" s="244" t="inlineStr">
        <is>
          <t>Манометр технический</t>
        </is>
      </c>
      <c r="C185" s="245" t="inlineStr">
        <is>
          <t>МП4-УУ2</t>
        </is>
      </c>
      <c r="D185" s="248" t="inlineStr">
        <is>
          <t>15299</t>
        </is>
      </c>
      <c r="E185" s="248" t="inlineStr">
        <is>
          <t>2010</t>
        </is>
      </c>
      <c r="F185" s="248" t="inlineStr">
        <is>
          <t>0…16 кгс/см2</t>
        </is>
      </c>
      <c r="G185" s="248" t="inlineStr">
        <is>
          <t>1.5</t>
        </is>
      </c>
      <c r="H185" s="243" t="inlineStr">
        <is>
          <t>Р воздуха на входе фильтров</t>
        </is>
      </c>
      <c r="I185" s="243" t="inlineStr">
        <is>
          <t>ГПА 63</t>
        </is>
      </c>
      <c r="J185" s="243" t="inlineStr">
        <is>
          <t>АСУ,А и ТМ (КЦ № 6)</t>
        </is>
      </c>
      <c r="K185" s="243" t="inlineStr">
        <is>
          <t>2012</t>
        </is>
      </c>
      <c r="L185" s="248" t="inlineStr">
        <is>
          <t>12</t>
        </is>
      </c>
      <c r="M185" s="246" t="inlineStr">
        <is>
          <t>1К26</t>
        </is>
      </c>
      <c r="N185" s="245" t="inlineStr">
        <is>
          <t>К</t>
        </is>
      </c>
    </row>
    <row r="186" ht="15" customHeight="1" s="236">
      <c r="A186" s="243" t="n">
        <v>185</v>
      </c>
      <c r="B186" s="244" t="inlineStr">
        <is>
          <t>Манометр технический</t>
        </is>
      </c>
      <c r="C186" s="245" t="inlineStr">
        <is>
          <t>МП4-УУ2</t>
        </is>
      </c>
      <c r="D186" s="248" t="inlineStr">
        <is>
          <t>15241</t>
        </is>
      </c>
      <c r="E186" s="248" t="inlineStr">
        <is>
          <t>2010</t>
        </is>
      </c>
      <c r="F186" s="248" t="inlineStr">
        <is>
          <t>0…16 кгс/см3</t>
        </is>
      </c>
      <c r="G186" s="248" t="inlineStr">
        <is>
          <t>1.5</t>
        </is>
      </c>
      <c r="H186" s="243" t="inlineStr">
        <is>
          <t>Р воздуха на выходе фильтров</t>
        </is>
      </c>
      <c r="I186" s="243" t="inlineStr">
        <is>
          <t>ГПА 63</t>
        </is>
      </c>
      <c r="J186" s="243" t="inlineStr">
        <is>
          <t>АСУ,А и ТМ (КЦ № 6)</t>
        </is>
      </c>
      <c r="K186" s="243" t="inlineStr">
        <is>
          <t>2012</t>
        </is>
      </c>
      <c r="L186" s="248" t="inlineStr">
        <is>
          <t>12</t>
        </is>
      </c>
      <c r="M186" s="246" t="inlineStr">
        <is>
          <t>1К26</t>
        </is>
      </c>
      <c r="N186" s="245" t="inlineStr">
        <is>
          <t>К</t>
        </is>
      </c>
    </row>
    <row r="187" ht="22.5" customHeight="1" s="236">
      <c r="A187" s="243" t="n">
        <v>186</v>
      </c>
      <c r="B187" s="244" t="inlineStr">
        <is>
          <t>Манометр технический</t>
        </is>
      </c>
      <c r="C187" s="245" t="inlineStr">
        <is>
          <t>МП4-УУ2</t>
        </is>
      </c>
      <c r="D187" s="248" t="inlineStr">
        <is>
          <t>050255</t>
        </is>
      </c>
      <c r="E187" s="248" t="inlineStr">
        <is>
          <t>2010</t>
        </is>
      </c>
      <c r="F187" s="248" t="inlineStr">
        <is>
          <t>0…6 кгс/см2</t>
        </is>
      </c>
      <c r="G187" s="248" t="inlineStr">
        <is>
          <t>1.5</t>
        </is>
      </c>
      <c r="H187" s="243" t="inlineStr">
        <is>
          <t>Р масла до фильтров подпитки двигателя</t>
        </is>
      </c>
      <c r="I187" s="243" t="inlineStr">
        <is>
          <t>ГПА 63</t>
        </is>
      </c>
      <c r="J187" s="243" t="inlineStr">
        <is>
          <t>АСУ,А и ТМ (КЦ № 6)</t>
        </is>
      </c>
      <c r="K187" s="243" t="inlineStr">
        <is>
          <t>2012</t>
        </is>
      </c>
      <c r="L187" s="248" t="inlineStr">
        <is>
          <t>12</t>
        </is>
      </c>
      <c r="M187" s="246" t="inlineStr">
        <is>
          <t>1К26</t>
        </is>
      </c>
      <c r="N187" s="245" t="inlineStr">
        <is>
          <t>К</t>
        </is>
      </c>
    </row>
    <row r="188" ht="22.5" customHeight="1" s="236">
      <c r="A188" s="243" t="n">
        <v>187</v>
      </c>
      <c r="B188" s="244" t="inlineStr">
        <is>
          <t>Манометр технический</t>
        </is>
      </c>
      <c r="C188" s="245" t="inlineStr">
        <is>
          <t>МП4-УУ2</t>
        </is>
      </c>
      <c r="D188" s="248" t="inlineStr">
        <is>
          <t>15290</t>
        </is>
      </c>
      <c r="E188" s="248" t="inlineStr">
        <is>
          <t>2010</t>
        </is>
      </c>
      <c r="F188" s="248" t="inlineStr">
        <is>
          <t>0…6 кгс/см2</t>
        </is>
      </c>
      <c r="G188" s="248" t="inlineStr">
        <is>
          <t>1.5</t>
        </is>
      </c>
      <c r="H188" s="243" t="inlineStr">
        <is>
          <t>Р масла после фильтров подпитки двигателя</t>
        </is>
      </c>
      <c r="I188" s="243" t="inlineStr">
        <is>
          <t>ГПА 63</t>
        </is>
      </c>
      <c r="J188" s="243" t="inlineStr">
        <is>
          <t>АСУ,А и ТМ (КЦ № 6)</t>
        </is>
      </c>
      <c r="K188" s="243" t="inlineStr">
        <is>
          <t>2012</t>
        </is>
      </c>
      <c r="L188" s="248" t="inlineStr">
        <is>
          <t>12</t>
        </is>
      </c>
      <c r="M188" s="246" t="inlineStr">
        <is>
          <t>1К26</t>
        </is>
      </c>
      <c r="N188" s="245" t="inlineStr">
        <is>
          <t>К</t>
        </is>
      </c>
    </row>
    <row r="189" ht="15" customHeight="1" s="236">
      <c r="A189" s="243" t="n">
        <v>188</v>
      </c>
      <c r="B189" s="244" t="inlineStr">
        <is>
          <t>Манометр технический</t>
        </is>
      </c>
      <c r="C189" s="245" t="inlineStr">
        <is>
          <t>МП4-УУ2</t>
        </is>
      </c>
      <c r="D189" s="248" t="inlineStr">
        <is>
          <t>15307</t>
        </is>
      </c>
      <c r="E189" s="248" t="inlineStr">
        <is>
          <t>2010</t>
        </is>
      </c>
      <c r="F189" s="248" t="inlineStr">
        <is>
          <t>0…6 кгс/см2</t>
        </is>
      </c>
      <c r="G189" s="248" t="inlineStr">
        <is>
          <t>1.5</t>
        </is>
      </c>
      <c r="H189" s="243" t="inlineStr">
        <is>
          <t>Р масла до фильтров смазки двигателя</t>
        </is>
      </c>
      <c r="I189" s="243" t="inlineStr">
        <is>
          <t>ГПА 63</t>
        </is>
      </c>
      <c r="J189" s="243" t="inlineStr">
        <is>
          <t>АСУ,А и ТМ (КЦ № 6)</t>
        </is>
      </c>
      <c r="K189" s="243" t="inlineStr">
        <is>
          <t>2012</t>
        </is>
      </c>
      <c r="L189" s="248" t="inlineStr">
        <is>
          <t>12</t>
        </is>
      </c>
      <c r="M189" s="246" t="inlineStr">
        <is>
          <t>1К26</t>
        </is>
      </c>
      <c r="N189" s="245" t="inlineStr">
        <is>
          <t>К</t>
        </is>
      </c>
    </row>
    <row r="190" ht="22.5" customHeight="1" s="236">
      <c r="A190" s="243" t="n">
        <v>189</v>
      </c>
      <c r="B190" s="244" t="inlineStr">
        <is>
          <t>Манометр технический</t>
        </is>
      </c>
      <c r="C190" s="245" t="inlineStr">
        <is>
          <t>МП4-УУ2</t>
        </is>
      </c>
      <c r="D190" s="248" t="inlineStr">
        <is>
          <t>15304</t>
        </is>
      </c>
      <c r="E190" s="248" t="inlineStr">
        <is>
          <t>2010</t>
        </is>
      </c>
      <c r="F190" s="248" t="inlineStr">
        <is>
          <t>0…6 кгс/см2</t>
        </is>
      </c>
      <c r="G190" s="248" t="inlineStr">
        <is>
          <t>1.5</t>
        </is>
      </c>
      <c r="H190" s="243" t="inlineStr">
        <is>
          <t>Р масла после фильтров смазки двигателя</t>
        </is>
      </c>
      <c r="I190" s="243" t="inlineStr">
        <is>
          <t>ГПА 63</t>
        </is>
      </c>
      <c r="J190" s="243" t="inlineStr">
        <is>
          <t>АСУ,А и ТМ (КЦ № 6)</t>
        </is>
      </c>
      <c r="K190" s="243" t="inlineStr">
        <is>
          <t>2012</t>
        </is>
      </c>
      <c r="L190" s="248" t="inlineStr">
        <is>
          <t>12</t>
        </is>
      </c>
      <c r="M190" s="246" t="inlineStr">
        <is>
          <t>1К26</t>
        </is>
      </c>
      <c r="N190" s="245" t="inlineStr">
        <is>
          <t>К</t>
        </is>
      </c>
    </row>
    <row r="191" ht="22.5" customHeight="1" s="236">
      <c r="A191" s="243" t="n">
        <v>190</v>
      </c>
      <c r="B191" s="244" t="inlineStr">
        <is>
          <t>Манометр технический</t>
        </is>
      </c>
      <c r="C191" s="245" t="inlineStr">
        <is>
          <t>МП4-УУ2</t>
        </is>
      </c>
      <c r="D191" s="248" t="inlineStr">
        <is>
          <t>15555</t>
        </is>
      </c>
      <c r="E191" s="248" t="inlineStr">
        <is>
          <t>2010</t>
        </is>
      </c>
      <c r="F191" s="248" t="inlineStr">
        <is>
          <t>0…0,6 кгс/см2</t>
        </is>
      </c>
      <c r="G191" s="248" t="inlineStr">
        <is>
          <t>1.5</t>
        </is>
      </c>
      <c r="H191" s="243" t="inlineStr">
        <is>
          <t>Р воздуха смешанного потока после эжектора С1</t>
        </is>
      </c>
      <c r="I191" s="243" t="inlineStr">
        <is>
          <t>ГПА 63</t>
        </is>
      </c>
      <c r="J191" s="243" t="inlineStr">
        <is>
          <t>АСУ,А и ТМ (КЦ № 6)</t>
        </is>
      </c>
      <c r="K191" s="243" t="inlineStr">
        <is>
          <t>2012</t>
        </is>
      </c>
      <c r="L191" s="248" t="inlineStr">
        <is>
          <t>12</t>
        </is>
      </c>
      <c r="M191" s="246" t="inlineStr">
        <is>
          <t>1К26</t>
        </is>
      </c>
      <c r="N191" s="245" t="inlineStr">
        <is>
          <t>К</t>
        </is>
      </c>
    </row>
    <row r="192" ht="22.5" customHeight="1" s="236">
      <c r="A192" s="243" t="n">
        <v>191</v>
      </c>
      <c r="B192" s="244" t="inlineStr">
        <is>
          <t>Манометр технический</t>
        </is>
      </c>
      <c r="C192" s="245" t="inlineStr">
        <is>
          <t>МВП4-УУ2</t>
        </is>
      </c>
      <c r="D192" s="248" t="inlineStr">
        <is>
          <t>6306</t>
        </is>
      </c>
      <c r="E192" s="248" t="inlineStr">
        <is>
          <t>2010</t>
        </is>
      </c>
      <c r="F192" s="248" t="inlineStr">
        <is>
          <t>-1…1,5 кгс/см2</t>
        </is>
      </c>
      <c r="G192" s="248" t="inlineStr">
        <is>
          <t>1.5</t>
        </is>
      </c>
      <c r="H192" s="243" t="inlineStr">
        <is>
          <t>Р воздуха инжектируемого потока перед фильтром Ф1</t>
        </is>
      </c>
      <c r="I192" s="243" t="inlineStr">
        <is>
          <t>ГПА 63</t>
        </is>
      </c>
      <c r="J192" s="243" t="inlineStr">
        <is>
          <t>АСУ,А и ТМ (КЦ № 6)</t>
        </is>
      </c>
      <c r="K192" s="243" t="inlineStr">
        <is>
          <t>2012</t>
        </is>
      </c>
      <c r="L192" s="248" t="inlineStr">
        <is>
          <t>12</t>
        </is>
      </c>
      <c r="M192" s="246" t="inlineStr">
        <is>
          <t>1К26</t>
        </is>
      </c>
      <c r="N192" s="245" t="inlineStr">
        <is>
          <t>К</t>
        </is>
      </c>
    </row>
    <row r="193" ht="15" customHeight="1" s="236">
      <c r="A193" s="243" t="n">
        <v>192</v>
      </c>
      <c r="B193" s="244" t="inlineStr">
        <is>
          <t>Манометр технический</t>
        </is>
      </c>
      <c r="C193" s="245" t="inlineStr">
        <is>
          <t>МП4-УУ2</t>
        </is>
      </c>
      <c r="D193" s="248" t="inlineStr">
        <is>
          <t>15143</t>
        </is>
      </c>
      <c r="E193" s="248" t="inlineStr">
        <is>
          <t>2010</t>
        </is>
      </c>
      <c r="F193" s="248" t="inlineStr">
        <is>
          <t>0…16 кгс/см2</t>
        </is>
      </c>
      <c r="G193" s="248" t="inlineStr">
        <is>
          <t>1.5</t>
        </is>
      </c>
      <c r="H193" s="243" t="inlineStr">
        <is>
          <t>Р воздуха активного потока перед Др1</t>
        </is>
      </c>
      <c r="I193" s="243" t="inlineStr">
        <is>
          <t>ГПА 63</t>
        </is>
      </c>
      <c r="J193" s="243" t="inlineStr">
        <is>
          <t>АСУ,А и ТМ (КЦ № 6)</t>
        </is>
      </c>
      <c r="K193" s="243" t="inlineStr">
        <is>
          <t>2012</t>
        </is>
      </c>
      <c r="L193" s="248" t="inlineStr">
        <is>
          <t>12</t>
        </is>
      </c>
      <c r="M193" s="246" t="inlineStr">
        <is>
          <t>1К26</t>
        </is>
      </c>
      <c r="N193" s="245" t="inlineStr">
        <is>
          <t>К</t>
        </is>
      </c>
    </row>
    <row r="194" ht="15" customHeight="1" s="236">
      <c r="A194" s="243" t="n">
        <v>193</v>
      </c>
      <c r="B194" s="244" t="inlineStr">
        <is>
          <t>Манометр технический</t>
        </is>
      </c>
      <c r="C194" s="245" t="inlineStr">
        <is>
          <t>МП4-УУ2</t>
        </is>
      </c>
      <c r="D194" s="248" t="inlineStr">
        <is>
          <t>7092</t>
        </is>
      </c>
      <c r="E194" s="248" t="inlineStr">
        <is>
          <t>2010</t>
        </is>
      </c>
      <c r="F194" s="248" t="inlineStr">
        <is>
          <t>0…10 кгс/см2</t>
        </is>
      </c>
      <c r="G194" s="248" t="inlineStr">
        <is>
          <t>1.5</t>
        </is>
      </c>
      <c r="H194" s="243" t="inlineStr">
        <is>
          <t>Р воздуха активного потока после Кр1</t>
        </is>
      </c>
      <c r="I194" s="243" t="inlineStr">
        <is>
          <t>ГПА 63</t>
        </is>
      </c>
      <c r="J194" s="243" t="inlineStr">
        <is>
          <t>АСУ,А и ТМ (КЦ № 6)</t>
        </is>
      </c>
      <c r="K194" s="243" t="inlineStr">
        <is>
          <t>2012</t>
        </is>
      </c>
      <c r="L194" s="248" t="inlineStr">
        <is>
          <t>12</t>
        </is>
      </c>
      <c r="M194" s="246" t="inlineStr">
        <is>
          <t>1К26</t>
        </is>
      </c>
      <c r="N194" s="245" t="inlineStr">
        <is>
          <t>К</t>
        </is>
      </c>
    </row>
    <row r="195" ht="22.5" customHeight="1" s="236">
      <c r="A195" s="243" t="n">
        <v>194</v>
      </c>
      <c r="B195" s="244" t="inlineStr">
        <is>
          <t>Манометр технический</t>
        </is>
      </c>
      <c r="C195" s="245" t="inlineStr">
        <is>
          <t>МВП4-УУ2</t>
        </is>
      </c>
      <c r="D195" s="248" t="inlineStr">
        <is>
          <t>15441</t>
        </is>
      </c>
      <c r="E195" s="248" t="inlineStr">
        <is>
          <t>2010</t>
        </is>
      </c>
      <c r="F195" s="248" t="inlineStr">
        <is>
          <t>-1…1,5 кгс/см2</t>
        </is>
      </c>
      <c r="G195" s="248" t="inlineStr">
        <is>
          <t>1.5</t>
        </is>
      </c>
      <c r="H195" s="243" t="inlineStr">
        <is>
          <t>Р воздуха инжектируемого потока после фильтра Ф1</t>
        </is>
      </c>
      <c r="I195" s="243" t="inlineStr">
        <is>
          <t>ГПА 63</t>
        </is>
      </c>
      <c r="J195" s="243" t="inlineStr">
        <is>
          <t>АСУ,А и ТМ (КЦ № 6)</t>
        </is>
      </c>
      <c r="K195" s="243" t="inlineStr">
        <is>
          <t>2012</t>
        </is>
      </c>
      <c r="L195" s="248" t="inlineStr">
        <is>
          <t>12</t>
        </is>
      </c>
      <c r="M195" s="246" t="inlineStr">
        <is>
          <t>1К26</t>
        </is>
      </c>
      <c r="N195" s="245" t="inlineStr">
        <is>
          <t>К</t>
        </is>
      </c>
    </row>
    <row r="196" ht="15" customHeight="1" s="236">
      <c r="A196" s="243" t="n">
        <v>195</v>
      </c>
      <c r="B196" s="244" t="inlineStr">
        <is>
          <t>Манометр технический</t>
        </is>
      </c>
      <c r="C196" s="245" t="inlineStr">
        <is>
          <t>МП3-УУ2</t>
        </is>
      </c>
      <c r="D196" s="248" t="inlineStr">
        <is>
          <t>211222551</t>
        </is>
      </c>
      <c r="E196" s="248" t="inlineStr"/>
      <c r="F196" s="248" t="inlineStr">
        <is>
          <t>0…1,6 МПа</t>
        </is>
      </c>
      <c r="G196" s="248" t="inlineStr">
        <is>
          <t>1.5</t>
        </is>
      </c>
      <c r="H196" s="243" t="inlineStr">
        <is>
          <t>Р воздуха в ресивере</t>
        </is>
      </c>
      <c r="I196" s="243" t="inlineStr">
        <is>
          <t>ГПА 63</t>
        </is>
      </c>
      <c r="J196" s="243" t="inlineStr">
        <is>
          <t>АСУ,А и ТМ (КЦ № 6)</t>
        </is>
      </c>
      <c r="K196" s="243" t="inlineStr">
        <is>
          <t>2012</t>
        </is>
      </c>
      <c r="L196" s="248" t="inlineStr">
        <is>
          <t>12</t>
        </is>
      </c>
      <c r="M196" s="246" t="inlineStr">
        <is>
          <t>26ДЯУ</t>
        </is>
      </c>
      <c r="N196" s="245" t="inlineStr">
        <is>
          <t>П</t>
        </is>
      </c>
      <c r="O196" s="247" t="n"/>
    </row>
    <row r="197" ht="22.5" customHeight="1" s="236">
      <c r="A197" s="243" t="n">
        <v>196</v>
      </c>
      <c r="B197" s="248" t="inlineStr">
        <is>
          <t>Термометр манометрический</t>
        </is>
      </c>
      <c r="C197" s="245" t="inlineStr">
        <is>
          <t>manotherm</t>
        </is>
      </c>
      <c r="D197" s="248" t="inlineStr">
        <is>
          <t>111502126</t>
        </is>
      </c>
      <c r="E197" s="248" t="inlineStr">
        <is>
          <t>2010</t>
        </is>
      </c>
      <c r="F197" s="248" t="inlineStr">
        <is>
          <t>­20…80°С</t>
        </is>
      </c>
      <c r="G197" s="248" t="inlineStr">
        <is>
          <t>1</t>
        </is>
      </c>
      <c r="H197" s="243" t="inlineStr">
        <is>
          <t>Тг на входе в нагнетатель</t>
        </is>
      </c>
      <c r="I197" s="243" t="inlineStr">
        <is>
          <t>ГПА 63</t>
        </is>
      </c>
      <c r="J197" s="243" t="inlineStr">
        <is>
          <t>АСУ,А и ТМ (КЦ № 6)</t>
        </is>
      </c>
      <c r="K197" s="243" t="inlineStr">
        <is>
          <t>2012</t>
        </is>
      </c>
      <c r="L197" s="248" t="inlineStr">
        <is>
          <t>24</t>
        </is>
      </c>
      <c r="M197" s="246" t="inlineStr">
        <is>
          <t>3К25</t>
        </is>
      </c>
      <c r="N197" s="245" t="inlineStr">
        <is>
          <t>К</t>
        </is>
      </c>
    </row>
    <row r="198" ht="22.5" customHeight="1" s="236">
      <c r="A198" s="243" t="n">
        <v>197</v>
      </c>
      <c r="B198" s="248" t="inlineStr">
        <is>
          <t>Термометр манометрический</t>
        </is>
      </c>
      <c r="C198" s="245" t="inlineStr">
        <is>
          <t>manotherm</t>
        </is>
      </c>
      <c r="D198" s="248" t="inlineStr">
        <is>
          <t>111502123</t>
        </is>
      </c>
      <c r="E198" s="248" t="inlineStr">
        <is>
          <t>2010</t>
        </is>
      </c>
      <c r="F198" s="248" t="inlineStr">
        <is>
          <t>0…100°С</t>
        </is>
      </c>
      <c r="G198" s="248" t="inlineStr">
        <is>
          <t>1</t>
        </is>
      </c>
      <c r="H198" s="243" t="inlineStr">
        <is>
          <t>Тг на выходе нагнетателя</t>
        </is>
      </c>
      <c r="I198" s="243" t="inlineStr">
        <is>
          <t>ГПА 63</t>
        </is>
      </c>
      <c r="J198" s="243" t="inlineStr">
        <is>
          <t>АСУ,А и ТМ (КЦ № 6)</t>
        </is>
      </c>
      <c r="K198" s="243" t="inlineStr">
        <is>
          <t>2012</t>
        </is>
      </c>
      <c r="L198" s="248" t="inlineStr">
        <is>
          <t>24</t>
        </is>
      </c>
      <c r="M198" s="246" t="inlineStr">
        <is>
          <t>3К25</t>
        </is>
      </c>
      <c r="N198" s="245" t="inlineStr">
        <is>
          <t>К</t>
        </is>
      </c>
    </row>
    <row r="199" ht="15" customHeight="1" s="236">
      <c r="A199" s="243" t="n">
        <v>198</v>
      </c>
      <c r="B199" s="248" t="inlineStr">
        <is>
          <t>Термометр сопротивления</t>
        </is>
      </c>
      <c r="C199" s="245" t="inlineStr">
        <is>
          <t>ТСП 012.60 Pt100/B/3</t>
        </is>
      </c>
      <c r="D199" s="248" t="inlineStr">
        <is>
          <t>311</t>
        </is>
      </c>
      <c r="E199" s="248" t="inlineStr">
        <is>
          <t>2011</t>
        </is>
      </c>
      <c r="F199" s="248" t="inlineStr">
        <is>
          <t>-60…200 °С</t>
        </is>
      </c>
      <c r="G199" s="248" t="inlineStr">
        <is>
          <t>B</t>
        </is>
      </c>
      <c r="H199" s="243" t="inlineStr">
        <is>
          <t>Температура воздуха продувки</t>
        </is>
      </c>
      <c r="I199" s="243" t="inlineStr">
        <is>
          <t>ГПА 63</t>
        </is>
      </c>
      <c r="J199" s="243" t="inlineStr">
        <is>
          <t>АСУ,А и ТМ (КЦ № 6)</t>
        </is>
      </c>
      <c r="K199" s="243" t="inlineStr">
        <is>
          <t>2012</t>
        </is>
      </c>
      <c r="L199" s="248" t="inlineStr">
        <is>
          <t>36</t>
        </is>
      </c>
      <c r="M199" s="246" t="inlineStr"/>
      <c r="N199" s="245" t="inlineStr"/>
    </row>
    <row r="200" ht="15" customHeight="1" s="236">
      <c r="A200" s="243" t="n">
        <v>199</v>
      </c>
      <c r="B200" s="244" t="inlineStr">
        <is>
          <t>Контроль загазованности</t>
        </is>
      </c>
      <c r="C200" s="245" t="inlineStr">
        <is>
          <t>Det-Tronics (PIRECL 21M)</t>
        </is>
      </c>
      <c r="D200" s="248" t="inlineStr">
        <is>
          <t>1105090</t>
        </is>
      </c>
      <c r="E200" s="248" t="inlineStr">
        <is>
          <t>2011</t>
        </is>
      </c>
      <c r="F200" s="248" t="inlineStr"/>
      <c r="G200" s="248" t="inlineStr"/>
      <c r="H200" s="243" t="inlineStr">
        <is>
          <t>Над нагнетателем (QT 201)</t>
        </is>
      </c>
      <c r="I200" s="243" t="inlineStr">
        <is>
          <t>ГПА 63</t>
        </is>
      </c>
      <c r="J200" s="243" t="inlineStr">
        <is>
          <t>АСУ,А и ТМ (КЦ № 6)</t>
        </is>
      </c>
      <c r="K200" s="243" t="inlineStr">
        <is>
          <t>2012</t>
        </is>
      </c>
      <c r="L200" s="248" t="inlineStr"/>
      <c r="M200" s="246" t="inlineStr"/>
      <c r="N200" s="245" t="inlineStr"/>
    </row>
    <row r="201" ht="15" customHeight="1" s="236">
      <c r="A201" s="243" t="n">
        <v>200</v>
      </c>
      <c r="B201" s="244" t="inlineStr">
        <is>
          <t>Контроль загазованности</t>
        </is>
      </c>
      <c r="C201" s="245" t="inlineStr">
        <is>
          <t>Det-Tronics (PIRECL 21M)</t>
        </is>
      </c>
      <c r="D201" s="248" t="inlineStr">
        <is>
          <t>1105092</t>
        </is>
      </c>
      <c r="E201" s="248" t="inlineStr">
        <is>
          <t>2011</t>
        </is>
      </c>
      <c r="F201" s="248" t="inlineStr"/>
      <c r="G201" s="248" t="inlineStr"/>
      <c r="H201" s="243" t="inlineStr">
        <is>
          <t>Над подогревателем буф.газа (QT 202)</t>
        </is>
      </c>
      <c r="I201" s="243" t="inlineStr">
        <is>
          <t>ГПА 63</t>
        </is>
      </c>
      <c r="J201" s="243" t="inlineStr">
        <is>
          <t>АСУ,А и ТМ (КЦ № 6)</t>
        </is>
      </c>
      <c r="K201" s="243" t="inlineStr">
        <is>
          <t>2012</t>
        </is>
      </c>
      <c r="L201" s="248" t="inlineStr"/>
      <c r="M201" s="246" t="inlineStr"/>
      <c r="N201" s="245" t="inlineStr"/>
    </row>
    <row r="202" ht="15" customHeight="1" s="236">
      <c r="A202" s="243" t="n">
        <v>201</v>
      </c>
      <c r="B202" s="244" t="inlineStr">
        <is>
          <t>Контроль загазованности</t>
        </is>
      </c>
      <c r="C202" s="245" t="inlineStr">
        <is>
          <t>Det-Tronics (PIRECL 21M)</t>
        </is>
      </c>
      <c r="D202" s="248" t="inlineStr">
        <is>
          <t>1105085</t>
        </is>
      </c>
      <c r="E202" s="248" t="inlineStr">
        <is>
          <t>2011</t>
        </is>
      </c>
      <c r="F202" s="248" t="inlineStr"/>
      <c r="G202" s="248" t="inlineStr"/>
      <c r="H202" s="243" t="inlineStr">
        <is>
          <t>Напротив масляной консоли (QT 203)</t>
        </is>
      </c>
      <c r="I202" s="243" t="inlineStr">
        <is>
          <t>ГПА 63</t>
        </is>
      </c>
      <c r="J202" s="243" t="inlineStr">
        <is>
          <t>АСУ,А и ТМ (КЦ № 6)</t>
        </is>
      </c>
      <c r="K202" s="243" t="inlineStr">
        <is>
          <t>2012</t>
        </is>
      </c>
      <c r="L202" s="248" t="inlineStr"/>
      <c r="M202" s="246" t="inlineStr"/>
      <c r="N202" s="245" t="inlineStr"/>
    </row>
    <row r="203" ht="15" customHeight="1" s="236">
      <c r="A203" s="243" t="n">
        <v>202</v>
      </c>
      <c r="B203" s="244" t="inlineStr">
        <is>
          <t>Контроль загазованности</t>
        </is>
      </c>
      <c r="C203" s="245" t="inlineStr">
        <is>
          <t>Det-Tronics (PIRECL 21M)</t>
        </is>
      </c>
      <c r="D203" s="248" t="inlineStr">
        <is>
          <t>1201049</t>
        </is>
      </c>
      <c r="E203" s="248" t="inlineStr">
        <is>
          <t>2011</t>
        </is>
      </c>
      <c r="F203" s="248" t="inlineStr"/>
      <c r="G203" s="248" t="inlineStr"/>
      <c r="H203" s="243" t="inlineStr">
        <is>
          <t>Под КШТ (QT100)</t>
        </is>
      </c>
      <c r="I203" s="243" t="inlineStr">
        <is>
          <t>ГПА 63</t>
        </is>
      </c>
      <c r="J203" s="243" t="inlineStr">
        <is>
          <t>АСУ,А и ТМ (КЦ № 6)</t>
        </is>
      </c>
      <c r="K203" s="243" t="inlineStr">
        <is>
          <t>2012</t>
        </is>
      </c>
      <c r="L203" s="248" t="inlineStr"/>
      <c r="M203" s="246" t="inlineStr"/>
      <c r="N203" s="245" t="inlineStr"/>
    </row>
    <row r="204" ht="22.5" customHeight="1" s="236">
      <c r="A204" s="243" t="n">
        <v>203</v>
      </c>
      <c r="B204" s="244" t="inlineStr">
        <is>
          <t>Извещатель тепловой пожарный</t>
        </is>
      </c>
      <c r="C204" s="245" t="inlineStr">
        <is>
          <t>12-х27/21-000</t>
        </is>
      </c>
      <c r="D204" s="248" t="inlineStr">
        <is>
          <t>1059</t>
        </is>
      </c>
      <c r="E204" s="248" t="inlineStr">
        <is>
          <t>2011</t>
        </is>
      </c>
      <c r="F204" s="248" t="inlineStr">
        <is>
          <t>-60…200 °С</t>
        </is>
      </c>
      <c r="G204" s="248" t="inlineStr"/>
      <c r="H204" s="243" t="inlineStr">
        <is>
          <t>Под КШТ (ВТК 101)</t>
        </is>
      </c>
      <c r="I204" s="243" t="inlineStr">
        <is>
          <t>ГПА 63</t>
        </is>
      </c>
      <c r="J204" s="243" t="inlineStr">
        <is>
          <t>АСУ,А и ТМ (КЦ № 6)</t>
        </is>
      </c>
      <c r="K204" s="243" t="inlineStr">
        <is>
          <t>2012</t>
        </is>
      </c>
      <c r="L204" s="248" t="inlineStr"/>
      <c r="M204" s="246" t="inlineStr"/>
      <c r="N204" s="245" t="inlineStr"/>
    </row>
    <row r="205" ht="22.5" customHeight="1" s="236">
      <c r="A205" s="243" t="n">
        <v>204</v>
      </c>
      <c r="B205" s="244" t="inlineStr">
        <is>
          <t>Извещатель тепловой пожарный</t>
        </is>
      </c>
      <c r="C205" s="245" t="inlineStr">
        <is>
          <t>12-х27/21-000</t>
        </is>
      </c>
      <c r="D205" s="248" t="inlineStr">
        <is>
          <t>1042</t>
        </is>
      </c>
      <c r="E205" s="248" t="inlineStr">
        <is>
          <t>2011</t>
        </is>
      </c>
      <c r="F205" s="248" t="inlineStr">
        <is>
          <t>-60…200 °С</t>
        </is>
      </c>
      <c r="G205" s="248" t="inlineStr"/>
      <c r="H205" s="243" t="inlineStr">
        <is>
          <t>Под КШТ (ВТК 102)</t>
        </is>
      </c>
      <c r="I205" s="243" t="inlineStr">
        <is>
          <t>ГПА 63</t>
        </is>
      </c>
      <c r="J205" s="243" t="inlineStr">
        <is>
          <t>АСУ,А и ТМ (КЦ № 6)</t>
        </is>
      </c>
      <c r="K205" s="243" t="inlineStr">
        <is>
          <t>2012</t>
        </is>
      </c>
      <c r="L205" s="248" t="inlineStr"/>
      <c r="M205" s="246" t="inlineStr"/>
      <c r="N205" s="245" t="inlineStr"/>
    </row>
    <row r="206" ht="22.5" customHeight="1" s="236">
      <c r="A206" s="243" t="n">
        <v>205</v>
      </c>
      <c r="B206" s="244" t="inlineStr">
        <is>
          <t>Извещатель тепловой пожарный</t>
        </is>
      </c>
      <c r="C206" s="245" t="inlineStr">
        <is>
          <t>12-х27/21-000</t>
        </is>
      </c>
      <c r="D206" s="248" t="inlineStr">
        <is>
          <t>1052</t>
        </is>
      </c>
      <c r="E206" s="248" t="inlineStr">
        <is>
          <t>2011</t>
        </is>
      </c>
      <c r="F206" s="248" t="inlineStr">
        <is>
          <t>-60…200 °С</t>
        </is>
      </c>
      <c r="G206" s="248" t="inlineStr"/>
      <c r="H206" s="243" t="inlineStr">
        <is>
          <t>Под КШТ (ВТК 103)</t>
        </is>
      </c>
      <c r="I206" s="243" t="inlineStr">
        <is>
          <t>ГПА 63</t>
        </is>
      </c>
      <c r="J206" s="243" t="inlineStr">
        <is>
          <t>АСУ,А и ТМ (КЦ № 6)</t>
        </is>
      </c>
      <c r="K206" s="243" t="inlineStr">
        <is>
          <t>2012</t>
        </is>
      </c>
      <c r="L206" s="248" t="inlineStr"/>
      <c r="M206" s="246" t="inlineStr"/>
      <c r="N206" s="245" t="inlineStr"/>
    </row>
    <row r="207" ht="22.5" customHeight="1" s="236">
      <c r="A207" s="243" t="n">
        <v>206</v>
      </c>
      <c r="B207" s="244" t="inlineStr">
        <is>
          <t>Извещатель тепловой пожарный</t>
        </is>
      </c>
      <c r="C207" s="245" t="inlineStr">
        <is>
          <t>12-х27/21-000</t>
        </is>
      </c>
      <c r="D207" s="248" t="inlineStr">
        <is>
          <t>1027</t>
        </is>
      </c>
      <c r="E207" s="248" t="inlineStr">
        <is>
          <t>2011</t>
        </is>
      </c>
      <c r="F207" s="248" t="inlineStr">
        <is>
          <t>-60…200 °С</t>
        </is>
      </c>
      <c r="G207" s="248" t="inlineStr"/>
      <c r="H207" s="243" t="inlineStr">
        <is>
          <t>Под КШТ (ВТК 104)</t>
        </is>
      </c>
      <c r="I207" s="243" t="inlineStr">
        <is>
          <t>ГПА 63</t>
        </is>
      </c>
      <c r="J207" s="243" t="inlineStr">
        <is>
          <t>АСУ,А и ТМ (КЦ № 6)</t>
        </is>
      </c>
      <c r="K207" s="243" t="inlineStr">
        <is>
          <t>2012</t>
        </is>
      </c>
      <c r="L207" s="248" t="inlineStr"/>
      <c r="M207" s="246" t="inlineStr"/>
      <c r="N207" s="245" t="inlineStr"/>
    </row>
    <row r="208" ht="15" customHeight="1" s="236">
      <c r="A208" s="243" t="n">
        <v>207</v>
      </c>
      <c r="B208" s="244" t="inlineStr">
        <is>
          <t>Датчик пламени</t>
        </is>
      </c>
      <c r="C208" s="245" t="inlineStr">
        <is>
          <t>ИП330/3-20-А1</t>
        </is>
      </c>
      <c r="D208" s="248" t="inlineStr">
        <is>
          <t>000904</t>
        </is>
      </c>
      <c r="E208" s="248" t="inlineStr">
        <is>
          <t>2011</t>
        </is>
      </c>
      <c r="F208" s="248" t="inlineStr"/>
      <c r="G208" s="248" t="inlineStr"/>
      <c r="H208" s="243" t="inlineStr">
        <is>
          <t>Над входом слева (BTF201)</t>
        </is>
      </c>
      <c r="I208" s="243" t="inlineStr">
        <is>
          <t>ГПА 63</t>
        </is>
      </c>
      <c r="J208" s="243" t="inlineStr">
        <is>
          <t>АСУ,А и ТМ (КЦ № 6)</t>
        </is>
      </c>
      <c r="K208" s="243" t="inlineStr">
        <is>
          <t>2012</t>
        </is>
      </c>
      <c r="L208" s="248" t="inlineStr"/>
      <c r="M208" s="246" t="inlineStr"/>
      <c r="N208" s="245" t="inlineStr"/>
    </row>
    <row r="209" ht="15" customHeight="1" s="236">
      <c r="A209" s="243" t="n">
        <v>208</v>
      </c>
      <c r="B209" s="244" t="inlineStr">
        <is>
          <t>Датчик пламени</t>
        </is>
      </c>
      <c r="C209" s="245" t="inlineStr">
        <is>
          <t>ИП330/3-20-А1</t>
        </is>
      </c>
      <c r="D209" s="248" t="inlineStr">
        <is>
          <t>000977</t>
        </is>
      </c>
      <c r="E209" s="248" t="inlineStr">
        <is>
          <t>2011</t>
        </is>
      </c>
      <c r="F209" s="248" t="inlineStr"/>
      <c r="G209" s="248" t="inlineStr"/>
      <c r="H209" s="243" t="inlineStr">
        <is>
          <t>Над входом с АВОг (BTF204)</t>
        </is>
      </c>
      <c r="I209" s="243" t="inlineStr">
        <is>
          <t>ГПА 63</t>
        </is>
      </c>
      <c r="J209" s="243" t="inlineStr">
        <is>
          <t>АСУ,А и ТМ (КЦ № 6)</t>
        </is>
      </c>
      <c r="K209" s="243" t="inlineStr">
        <is>
          <t>2012</t>
        </is>
      </c>
      <c r="L209" s="248" t="inlineStr"/>
      <c r="M209" s="246" t="inlineStr"/>
      <c r="N209" s="245" t="inlineStr"/>
    </row>
    <row r="210" ht="15" customHeight="1" s="236">
      <c r="A210" s="243" t="n">
        <v>209</v>
      </c>
      <c r="B210" s="244" t="inlineStr">
        <is>
          <t>Датчик пламени</t>
        </is>
      </c>
      <c r="C210" s="245" t="inlineStr">
        <is>
          <t>ИП330/3-20-А1</t>
        </is>
      </c>
      <c r="D210" s="248" t="inlineStr">
        <is>
          <t>001005</t>
        </is>
      </c>
      <c r="E210" s="248" t="inlineStr">
        <is>
          <t>2011</t>
        </is>
      </c>
      <c r="F210" s="248" t="inlineStr"/>
      <c r="G210" s="248" t="inlineStr"/>
      <c r="H210" s="243" t="inlineStr">
        <is>
          <t>На леснице слева (BTF202)</t>
        </is>
      </c>
      <c r="I210" s="243" t="inlineStr">
        <is>
          <t>ГПА 63</t>
        </is>
      </c>
      <c r="J210" s="243" t="inlineStr">
        <is>
          <t>АСУ,А и ТМ (КЦ № 6)</t>
        </is>
      </c>
      <c r="K210" s="243" t="inlineStr">
        <is>
          <t>2012</t>
        </is>
      </c>
      <c r="L210" s="248" t="inlineStr"/>
      <c r="M210" s="246" t="inlineStr"/>
      <c r="N210" s="245" t="inlineStr"/>
    </row>
    <row r="211" ht="15" customHeight="1" s="236">
      <c r="A211" s="243" t="n">
        <v>210</v>
      </c>
      <c r="B211" s="244" t="inlineStr">
        <is>
          <t>Датчик пламени</t>
        </is>
      </c>
      <c r="C211" s="245" t="inlineStr">
        <is>
          <t>ИП330/3-20-А1</t>
        </is>
      </c>
      <c r="D211" s="248" t="inlineStr">
        <is>
          <t>001010</t>
        </is>
      </c>
      <c r="E211" s="248" t="inlineStr">
        <is>
          <t>2011</t>
        </is>
      </c>
      <c r="F211" s="248" t="inlineStr"/>
      <c r="G211" s="248" t="inlineStr"/>
      <c r="H211" s="243" t="inlineStr">
        <is>
          <t>На леснице справа (BTF203)</t>
        </is>
      </c>
      <c r="I211" s="243" t="inlineStr">
        <is>
          <t>ГПА 63</t>
        </is>
      </c>
      <c r="J211" s="243" t="inlineStr">
        <is>
          <t>АСУ,А и ТМ (КЦ № 6)</t>
        </is>
      </c>
      <c r="K211" s="243" t="inlineStr">
        <is>
          <t>2012</t>
        </is>
      </c>
      <c r="L211" s="248" t="inlineStr"/>
      <c r="M211" s="246" t="inlineStr"/>
      <c r="N211" s="245" t="inlineStr"/>
    </row>
    <row r="212" ht="15" customHeight="1" s="236">
      <c r="A212" s="243" t="n">
        <v>211</v>
      </c>
      <c r="B212" s="244" t="inlineStr">
        <is>
          <t>Датчик пламени</t>
        </is>
      </c>
      <c r="C212" s="245" t="inlineStr">
        <is>
          <t>ИП330/3-20-А1</t>
        </is>
      </c>
      <c r="D212" s="248" t="inlineStr">
        <is>
          <t>000989</t>
        </is>
      </c>
      <c r="E212" s="248" t="inlineStr">
        <is>
          <t>2011</t>
        </is>
      </c>
      <c r="F212" s="248" t="inlineStr"/>
      <c r="G212" s="248" t="inlineStr"/>
      <c r="H212" s="243" t="inlineStr">
        <is>
          <t>Над т.г. (BTF207)</t>
        </is>
      </c>
      <c r="I212" s="243" t="inlineStr">
        <is>
          <t>ГПА 63</t>
        </is>
      </c>
      <c r="J212" s="243" t="inlineStr">
        <is>
          <t>АСУ,А и ТМ (КЦ № 6)</t>
        </is>
      </c>
      <c r="K212" s="243" t="inlineStr">
        <is>
          <t>2012</t>
        </is>
      </c>
      <c r="L212" s="248" t="inlineStr"/>
      <c r="M212" s="246" t="inlineStr"/>
      <c r="N212" s="245" t="inlineStr"/>
    </row>
    <row r="213" ht="15" customHeight="1" s="236">
      <c r="A213" s="243" t="n">
        <v>212</v>
      </c>
      <c r="B213" s="244" t="inlineStr">
        <is>
          <t>Датчик пламени</t>
        </is>
      </c>
      <c r="C213" s="245" t="inlineStr">
        <is>
          <t>ИП330/1-20-А1</t>
        </is>
      </c>
      <c r="D213" s="248" t="inlineStr">
        <is>
          <t>001328</t>
        </is>
      </c>
      <c r="E213" s="248" t="inlineStr">
        <is>
          <t>2011</t>
        </is>
      </c>
      <c r="F213" s="248" t="inlineStr"/>
      <c r="G213" s="248" t="inlineStr"/>
      <c r="H213" s="243" t="inlineStr">
        <is>
          <t>Под КШТ (BTF102)</t>
        </is>
      </c>
      <c r="I213" s="243" t="inlineStr">
        <is>
          <t>ГПА 63</t>
        </is>
      </c>
      <c r="J213" s="243" t="inlineStr">
        <is>
          <t>АСУ,А и ТМ (КЦ № 6)</t>
        </is>
      </c>
      <c r="K213" s="243" t="inlineStr">
        <is>
          <t>2012</t>
        </is>
      </c>
      <c r="L213" s="248" t="inlineStr"/>
      <c r="M213" s="246" t="inlineStr"/>
      <c r="N213" s="245" t="inlineStr"/>
    </row>
    <row r="214" ht="15" customHeight="1" s="236">
      <c r="A214" s="243" t="n">
        <v>213</v>
      </c>
      <c r="B214" s="244" t="inlineStr">
        <is>
          <t>Датчик пламени</t>
        </is>
      </c>
      <c r="C214" s="245" t="inlineStr">
        <is>
          <t>ИП330/1-20-А1</t>
        </is>
      </c>
      <c r="D214" s="248" t="inlineStr">
        <is>
          <t>001339</t>
        </is>
      </c>
      <c r="E214" s="248" t="inlineStr">
        <is>
          <t>2011</t>
        </is>
      </c>
      <c r="F214" s="248" t="inlineStr"/>
      <c r="G214" s="248" t="inlineStr"/>
      <c r="H214" s="243" t="inlineStr">
        <is>
          <t>Под КШТ (BTF101)</t>
        </is>
      </c>
      <c r="I214" s="243" t="inlineStr">
        <is>
          <t>ГПА 63</t>
        </is>
      </c>
      <c r="J214" s="243" t="inlineStr">
        <is>
          <t>АСУ,А и ТМ (КЦ № 6)</t>
        </is>
      </c>
      <c r="K214" s="243" t="inlineStr">
        <is>
          <t>2012</t>
        </is>
      </c>
      <c r="L214" s="248" t="inlineStr"/>
      <c r="M214" s="246" t="inlineStr"/>
      <c r="N214" s="245" t="inlineStr"/>
    </row>
    <row r="215" ht="15" customHeight="1" s="236">
      <c r="A215" s="243" t="n">
        <v>214</v>
      </c>
      <c r="B215" s="244" t="inlineStr">
        <is>
          <t>Датчик пламени</t>
        </is>
      </c>
      <c r="C215" s="245" t="inlineStr">
        <is>
          <t>ИП330/3-20-А1</t>
        </is>
      </c>
      <c r="D215" s="248" t="inlineStr">
        <is>
          <t>000908</t>
        </is>
      </c>
      <c r="E215" s="248" t="inlineStr">
        <is>
          <t>2011</t>
        </is>
      </c>
      <c r="F215" s="248" t="inlineStr"/>
      <c r="G215" s="248" t="inlineStr"/>
      <c r="H215" s="243" t="inlineStr">
        <is>
          <t>Масл.консоль (BTF211)</t>
        </is>
      </c>
      <c r="I215" s="243" t="inlineStr">
        <is>
          <t>ГПА 63</t>
        </is>
      </c>
      <c r="J215" s="243" t="inlineStr">
        <is>
          <t>АСУ,А и ТМ (КЦ № 6)</t>
        </is>
      </c>
      <c r="K215" s="243" t="inlineStr">
        <is>
          <t>2012</t>
        </is>
      </c>
      <c r="L215" s="248" t="inlineStr"/>
      <c r="M215" s="246" t="inlineStr"/>
      <c r="N215" s="245" t="inlineStr"/>
    </row>
    <row r="216" ht="15" customHeight="1" s="236">
      <c r="A216" s="243" t="n">
        <v>215</v>
      </c>
      <c r="B216" s="244" t="inlineStr">
        <is>
          <t>Датчик пламени</t>
        </is>
      </c>
      <c r="C216" s="245" t="inlineStr">
        <is>
          <t>ИП330/3-20-А1</t>
        </is>
      </c>
      <c r="D216" s="248" t="inlineStr">
        <is>
          <t>000970</t>
        </is>
      </c>
      <c r="E216" s="248" t="inlineStr">
        <is>
          <t>2011</t>
        </is>
      </c>
      <c r="F216" s="248" t="inlineStr"/>
      <c r="G216" s="248" t="inlineStr"/>
      <c r="H216" s="243" t="inlineStr">
        <is>
          <t>(BTF210)</t>
        </is>
      </c>
      <c r="I216" s="243" t="inlineStr">
        <is>
          <t>ГПА 63</t>
        </is>
      </c>
      <c r="J216" s="243" t="inlineStr">
        <is>
          <t>АСУ,А и ТМ (КЦ № 6)</t>
        </is>
      </c>
      <c r="K216" s="243" t="inlineStr">
        <is>
          <t>2012</t>
        </is>
      </c>
      <c r="L216" s="248" t="inlineStr"/>
      <c r="M216" s="246" t="inlineStr"/>
      <c r="N216" s="245" t="inlineStr"/>
    </row>
    <row r="217" ht="15" customHeight="1" s="236">
      <c r="A217" s="243" t="n">
        <v>216</v>
      </c>
      <c r="B217" s="244" t="inlineStr">
        <is>
          <t>Датчик пламени</t>
        </is>
      </c>
      <c r="C217" s="245" t="inlineStr">
        <is>
          <t>ИП330/3-20-А1</t>
        </is>
      </c>
      <c r="D217" s="248" t="inlineStr">
        <is>
          <t>000981</t>
        </is>
      </c>
      <c r="E217" s="248" t="inlineStr">
        <is>
          <t>2011</t>
        </is>
      </c>
      <c r="F217" s="248" t="inlineStr"/>
      <c r="G217" s="248" t="inlineStr"/>
      <c r="H217" s="243" t="inlineStr">
        <is>
          <t>(BTF208)</t>
        </is>
      </c>
      <c r="I217" s="243" t="inlineStr">
        <is>
          <t>ГПА 63</t>
        </is>
      </c>
      <c r="J217" s="243" t="inlineStr">
        <is>
          <t>АСУ,А и ТМ (КЦ № 6)</t>
        </is>
      </c>
      <c r="K217" s="243" t="inlineStr">
        <is>
          <t>2012</t>
        </is>
      </c>
      <c r="L217" s="248" t="inlineStr"/>
      <c r="M217" s="246" t="inlineStr"/>
      <c r="N217" s="245" t="inlineStr"/>
    </row>
    <row r="218" ht="15" customHeight="1" s="236">
      <c r="A218" s="239">
        <f>IF(B218&lt;&gt;"", COUNTA($B$2:B218), "")</f>
        <v/>
      </c>
      <c r="B218" s="241" t="inlineStr">
        <is>
          <t>Датчик пламени</t>
        </is>
      </c>
      <c r="C218" s="242" t="inlineStr">
        <is>
          <t>ИП330/3-20-А1</t>
        </is>
      </c>
      <c r="D218" s="277" t="n"/>
      <c r="E218" s="239" t="n">
        <v>2011</v>
      </c>
      <c r="F218" s="270" t="n"/>
      <c r="G218" s="270" t="n"/>
      <c r="H218" s="239" t="inlineStr">
        <is>
          <t>(BTF206)</t>
        </is>
      </c>
      <c r="I218" s="239" t="inlineStr">
        <is>
          <t>ГПА 63</t>
        </is>
      </c>
      <c r="J218" s="239" t="inlineStr">
        <is>
          <t>АСУ,А и ТМ (КЦ № 6)</t>
        </is>
      </c>
      <c r="K218" s="239" t="n">
        <v>2012</v>
      </c>
      <c r="L218" s="270" t="n"/>
      <c r="M218" s="270" t="n"/>
      <c r="N218" s="270" t="n"/>
    </row>
    <row r="219" ht="15" customHeight="1" s="236">
      <c r="A219" s="239">
        <f>IF(B219&lt;&gt;"", COUNTA($B$2:B219), "")</f>
        <v/>
      </c>
      <c r="B219" s="241" t="inlineStr">
        <is>
          <t>Датчик пламени</t>
        </is>
      </c>
      <c r="C219" s="242" t="inlineStr">
        <is>
          <t>ИП330/3-20-А1</t>
        </is>
      </c>
      <c r="D219" s="277" t="n"/>
      <c r="E219" s="239" t="n">
        <v>2011</v>
      </c>
      <c r="F219" s="270" t="n"/>
      <c r="G219" s="270" t="n"/>
      <c r="H219" s="239" t="inlineStr">
        <is>
          <t>(BTF205)</t>
        </is>
      </c>
      <c r="I219" s="239" t="inlineStr">
        <is>
          <t>ГПА 63</t>
        </is>
      </c>
      <c r="J219" s="239" t="inlineStr">
        <is>
          <t>АСУ,А и ТМ (КЦ № 6)</t>
        </is>
      </c>
      <c r="K219" s="239" t="n">
        <v>2012</v>
      </c>
      <c r="L219" s="270" t="n"/>
      <c r="M219" s="270" t="n"/>
      <c r="N219" s="270" t="n"/>
    </row>
    <row r="220" ht="15" customHeight="1" s="236">
      <c r="A220" s="239">
        <f>IF(B220&lt;&gt;"", COUNTA($B$2:B220), "")</f>
        <v/>
      </c>
      <c r="B220" s="241" t="inlineStr">
        <is>
          <t>Датчик пламени</t>
        </is>
      </c>
      <c r="C220" s="242" t="inlineStr">
        <is>
          <t>ИП330/3-20-А1</t>
        </is>
      </c>
      <c r="D220" s="277" t="n"/>
      <c r="E220" s="239" t="n">
        <v>2011</v>
      </c>
      <c r="F220" s="270" t="n"/>
      <c r="G220" s="270" t="n"/>
      <c r="H220" s="239" t="inlineStr">
        <is>
          <t>(BTF209)</t>
        </is>
      </c>
      <c r="I220" s="239" t="inlineStr">
        <is>
          <t>ГПА 63</t>
        </is>
      </c>
      <c r="J220" s="239" t="inlineStr">
        <is>
          <t>АСУ,А и ТМ (КЦ № 6)</t>
        </is>
      </c>
      <c r="K220" s="239" t="n">
        <v>2012</v>
      </c>
      <c r="L220" s="270" t="n"/>
      <c r="M220" s="270" t="n"/>
      <c r="N220" s="270" t="n"/>
    </row>
    <row r="221" ht="22.5" customHeight="1" s="236">
      <c r="A221" s="243" t="n">
        <v>220</v>
      </c>
      <c r="B221" s="248" t="inlineStr">
        <is>
          <t>Термометр сопротивления</t>
        </is>
      </c>
      <c r="C221" s="245" t="inlineStr">
        <is>
          <t>ТСП 012.60 Pt100/В/3</t>
        </is>
      </c>
      <c r="D221" s="273" t="inlineStr">
        <is>
          <t>452</t>
        </is>
      </c>
      <c r="E221" s="243" t="inlineStr">
        <is>
          <t>2011</t>
        </is>
      </c>
      <c r="F221" s="272" t="inlineStr">
        <is>
          <t>-60…200 °С</t>
        </is>
      </c>
      <c r="G221" s="272" t="inlineStr">
        <is>
          <t>B</t>
        </is>
      </c>
      <c r="H221" s="243" t="inlineStr">
        <is>
          <t>Температура воздуха во всасывающей камере</t>
        </is>
      </c>
      <c r="I221" s="243" t="inlineStr">
        <is>
          <t>ГПА 63</t>
        </is>
      </c>
      <c r="J221" s="243" t="inlineStr">
        <is>
          <t>АСУ,А и ТМ (КЦ № 6)</t>
        </is>
      </c>
      <c r="K221" s="243" t="inlineStr">
        <is>
          <t>2012</t>
        </is>
      </c>
      <c r="L221" s="272" t="inlineStr">
        <is>
          <t>36</t>
        </is>
      </c>
      <c r="M221" s="272" t="inlineStr"/>
      <c r="N221" s="272" t="inlineStr"/>
    </row>
    <row r="222" ht="22.5" customHeight="1" s="236">
      <c r="A222" s="243" t="n">
        <v>221</v>
      </c>
      <c r="B222" s="249" t="inlineStr">
        <is>
          <t>Преобразователь влажности и температуры</t>
        </is>
      </c>
      <c r="C222" s="245" t="inlineStr">
        <is>
          <t>RS-WS-20</t>
        </is>
      </c>
      <c r="D222" s="273" t="inlineStr">
        <is>
          <t>021623722</t>
        </is>
      </c>
      <c r="E222" s="243" t="inlineStr"/>
      <c r="F222" s="272" t="inlineStr">
        <is>
          <t>-40…110 °С 0…100%</t>
        </is>
      </c>
      <c r="G222" s="272" t="inlineStr">
        <is>
          <t>0,4% (температура) 2% (влажность)</t>
        </is>
      </c>
      <c r="H222" s="243" t="inlineStr">
        <is>
          <t>Температура ВОУ</t>
        </is>
      </c>
      <c r="I222" s="243" t="inlineStr">
        <is>
          <t>ГПА 63</t>
        </is>
      </c>
      <c r="J222" s="243" t="inlineStr">
        <is>
          <t>АСУ,А и ТМ (КЦ № 6)</t>
        </is>
      </c>
      <c r="K222" s="243" t="inlineStr">
        <is>
          <t>2012</t>
        </is>
      </c>
      <c r="L222" s="272" t="inlineStr">
        <is>
          <t>24</t>
        </is>
      </c>
      <c r="M222" s="272" t="inlineStr"/>
      <c r="N222" s="272" t="inlineStr"/>
    </row>
    <row r="223" ht="14.25" customHeight="1" s="236">
      <c r="A223" s="243" t="n">
        <v>222</v>
      </c>
      <c r="B223" s="249" t="inlineStr">
        <is>
          <t>Газоанализатор</t>
        </is>
      </c>
      <c r="C223" s="245" t="inlineStr">
        <is>
          <t>Даг - 510</t>
        </is>
      </c>
      <c r="D223" s="273" t="inlineStr">
        <is>
          <t>11091423</t>
        </is>
      </c>
      <c r="E223" s="243" t="inlineStr">
        <is>
          <t>2011</t>
        </is>
      </c>
      <c r="F223" s="272" t="inlineStr">
        <is>
          <t>10…400 ppm</t>
        </is>
      </c>
      <c r="G223" s="272" t="inlineStr">
        <is>
          <t>10%</t>
        </is>
      </c>
      <c r="H223" s="243" t="inlineStr">
        <is>
          <t>выхлопные газы</t>
        </is>
      </c>
      <c r="I223" s="243" t="inlineStr">
        <is>
          <t>ГПА 63</t>
        </is>
      </c>
      <c r="J223" s="243" t="inlineStr">
        <is>
          <t>АСУ,А и ТМ (КЦ № 6)</t>
        </is>
      </c>
      <c r="K223" s="243" t="inlineStr">
        <is>
          <t>2020</t>
        </is>
      </c>
      <c r="L223" s="272" t="inlineStr">
        <is>
          <t>12</t>
        </is>
      </c>
      <c r="M223" s="272" t="inlineStr">
        <is>
          <t>15.09.23</t>
        </is>
      </c>
      <c r="N223" s="272" t="inlineStr">
        <is>
          <t>П</t>
        </is>
      </c>
    </row>
    <row r="224" ht="15" customHeight="1" s="236">
      <c r="A224" s="243" t="n">
        <v>223</v>
      </c>
      <c r="B224" s="244" t="inlineStr">
        <is>
          <t>Манометр технический</t>
        </is>
      </c>
      <c r="C224" s="245" t="inlineStr">
        <is>
          <t>М-3ВУКсУХЛ1</t>
        </is>
      </c>
      <c r="D224" s="273" t="inlineStr">
        <is>
          <t>15610</t>
        </is>
      </c>
      <c r="E224" s="243" t="inlineStr">
        <is>
          <t>2011</t>
        </is>
      </c>
      <c r="F224" s="272" t="inlineStr">
        <is>
          <t>0…160 кгс/см2</t>
        </is>
      </c>
      <c r="G224" s="272" t="inlineStr">
        <is>
          <t>1</t>
        </is>
      </c>
      <c r="H224" s="243" t="inlineStr">
        <is>
          <t>Бустерная установка</t>
        </is>
      </c>
      <c r="I224" s="243" t="inlineStr">
        <is>
          <t>ГПА 63</t>
        </is>
      </c>
      <c r="J224" s="243" t="inlineStr">
        <is>
          <t>АСУ,А и ТМ (КЦ № 6)</t>
        </is>
      </c>
      <c r="K224" s="243" t="inlineStr">
        <is>
          <t>2019</t>
        </is>
      </c>
      <c r="L224" s="272" t="inlineStr">
        <is>
          <t>12</t>
        </is>
      </c>
      <c r="M224" s="272" t="inlineStr">
        <is>
          <t>3К26</t>
        </is>
      </c>
      <c r="N224" s="272" t="inlineStr">
        <is>
          <t>К</t>
        </is>
      </c>
    </row>
    <row r="225">
      <c r="A225" s="243" t="n">
        <v>72</v>
      </c>
      <c r="B225" s="248" t="inlineStr">
        <is>
          <t>Выключатель давления</t>
        </is>
      </c>
      <c r="C225" s="245" t="inlineStr">
        <is>
          <t>Садко 44 ТЖИУ 406422.004</t>
        </is>
      </c>
      <c r="D225" s="273" t="inlineStr"/>
      <c r="E225" s="245" t="inlineStr">
        <is>
          <t>2011</t>
        </is>
      </c>
      <c r="F225" s="245" t="inlineStr">
        <is>
          <t>0,04…0,15 МПа</t>
        </is>
      </c>
      <c r="G225" s="245" t="inlineStr"/>
      <c r="H225" s="243" t="inlineStr">
        <is>
          <t>Перепад давления масла на фильтрах смазки после МОД</t>
        </is>
      </c>
      <c r="I225" s="245" t="inlineStr">
        <is>
          <t>ГПА 63</t>
        </is>
      </c>
      <c r="J225" s="243" t="inlineStr">
        <is>
          <t>АСУ,А и ТМ (КЦ № 6)</t>
        </is>
      </c>
      <c r="K225" s="243" t="inlineStr">
        <is>
          <t>2012</t>
        </is>
      </c>
      <c r="L225" s="243" t="inlineStr"/>
      <c r="M225" s="246" t="inlineStr"/>
      <c r="N225" s="245" t="inlineStr"/>
    </row>
    <row r="226">
      <c r="A226" s="243" t="n">
        <v>139</v>
      </c>
      <c r="B226" s="248" t="inlineStr">
        <is>
          <t>Расходомер</t>
        </is>
      </c>
      <c r="C226" s="245" t="inlineStr">
        <is>
          <t>Micrp Motion F200S-366-C-C-A-Z-E-ZZZ-Z (170011AFFEZZZ)</t>
        </is>
      </c>
      <c r="D226" s="273" t="inlineStr">
        <is>
          <t>sensor 14232344 (голова 3812735)</t>
        </is>
      </c>
      <c r="E226" s="245" t="inlineStr">
        <is>
          <t>2011</t>
        </is>
      </c>
      <c r="F226" s="245" t="inlineStr">
        <is>
          <t>0…6300 кг/час</t>
        </is>
      </c>
      <c r="G226" s="245" t="inlineStr">
        <is>
          <t>±0,5 (для газа)</t>
        </is>
      </c>
      <c r="H226" s="243" t="inlineStr">
        <is>
          <t>Расход топливного газа (коммерческий учет)</t>
        </is>
      </c>
      <c r="I226" s="245" t="inlineStr">
        <is>
          <t>ГПА 63</t>
        </is>
      </c>
      <c r="J226" s="243" t="inlineStr">
        <is>
          <t>АСУ,А и ТМ (КЦ № 6)</t>
        </is>
      </c>
      <c r="K226" s="243" t="inlineStr">
        <is>
          <t>2012</t>
        </is>
      </c>
      <c r="L226" s="243" t="inlineStr">
        <is>
          <t>48</t>
        </is>
      </c>
      <c r="M226" s="246" t="inlineStr"/>
      <c r="N226" s="245" t="inlineStr"/>
    </row>
    <row r="227">
      <c r="A227" s="243" t="n">
        <v>217</v>
      </c>
      <c r="B227" s="248" t="inlineStr">
        <is>
          <t>Датчик пламени</t>
        </is>
      </c>
      <c r="C227" s="245" t="inlineStr">
        <is>
          <t>ИП330/3-20-А1</t>
        </is>
      </c>
      <c r="D227" s="273" t="inlineStr"/>
      <c r="E227" s="245" t="inlineStr">
        <is>
          <t>2011</t>
        </is>
      </c>
      <c r="F227" s="245" t="inlineStr"/>
      <c r="G227" s="245" t="inlineStr"/>
      <c r="H227" s="243" t="inlineStr">
        <is>
          <t>(BTF206)</t>
        </is>
      </c>
      <c r="I227" s="245" t="inlineStr">
        <is>
          <t>ГПА 63</t>
        </is>
      </c>
      <c r="J227" s="243" t="inlineStr">
        <is>
          <t>АСУ,А и ТМ (КЦ № 6)</t>
        </is>
      </c>
      <c r="K227" s="243" t="inlineStr">
        <is>
          <t>2012</t>
        </is>
      </c>
      <c r="L227" s="243" t="inlineStr"/>
      <c r="M227" s="246" t="inlineStr"/>
      <c r="N227" s="245" t="inlineStr"/>
    </row>
    <row r="228">
      <c r="A228" s="243" t="n">
        <v>218</v>
      </c>
      <c r="B228" s="248" t="inlineStr">
        <is>
          <t>Датчик пламени</t>
        </is>
      </c>
      <c r="C228" s="245" t="inlineStr">
        <is>
          <t>ИП330/3-20-А1</t>
        </is>
      </c>
      <c r="D228" s="273" t="inlineStr"/>
      <c r="E228" s="245" t="inlineStr">
        <is>
          <t>2011</t>
        </is>
      </c>
      <c r="F228" s="245" t="inlineStr"/>
      <c r="G228" s="245" t="inlineStr"/>
      <c r="H228" s="243" t="inlineStr">
        <is>
          <t>(BTF205)</t>
        </is>
      </c>
      <c r="I228" s="245" t="inlineStr">
        <is>
          <t>ГПА 63</t>
        </is>
      </c>
      <c r="J228" s="243" t="inlineStr">
        <is>
          <t>АСУ,А и ТМ (КЦ № 6)</t>
        </is>
      </c>
      <c r="K228" s="243" t="inlineStr">
        <is>
          <t>2012</t>
        </is>
      </c>
      <c r="L228" s="243" t="inlineStr"/>
      <c r="M228" s="246" t="inlineStr"/>
      <c r="N228" s="245" t="inlineStr"/>
    </row>
    <row r="229">
      <c r="A229" s="243" t="n">
        <v>219</v>
      </c>
      <c r="B229" s="248" t="inlineStr">
        <is>
          <t>Датчик пламени</t>
        </is>
      </c>
      <c r="C229" s="245" t="inlineStr">
        <is>
          <t>ИП330/3-20-А1</t>
        </is>
      </c>
      <c r="D229" s="273" t="inlineStr"/>
      <c r="E229" s="245" t="inlineStr">
        <is>
          <t>2011</t>
        </is>
      </c>
      <c r="F229" s="245" t="inlineStr"/>
      <c r="G229" s="245" t="inlineStr"/>
      <c r="H229" s="243" t="inlineStr">
        <is>
          <t>(BTF209)</t>
        </is>
      </c>
      <c r="I229" s="245" t="inlineStr">
        <is>
          <t>ГПА 63</t>
        </is>
      </c>
      <c r="J229" s="243" t="inlineStr">
        <is>
          <t>АСУ,А и ТМ (КЦ № 6)</t>
        </is>
      </c>
      <c r="K229" s="243" t="inlineStr">
        <is>
          <t>2012</t>
        </is>
      </c>
      <c r="L229" s="243" t="inlineStr"/>
      <c r="M229" s="246" t="inlineStr"/>
      <c r="N229" s="245" t="inlineStr"/>
    </row>
  </sheetData>
  <conditionalFormatting sqref="M1:M1048576">
    <cfRule type="expression" rank="0" priority="2" equalAverage="0" aboveAverage="0" dxfId="1" text="" percent="0" bottom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orizontalCentered="0" verticalCentered="0" headings="0" gridLines="0" gridLinesSet="1"/>
  <pageMargins left="0.236111111111111" right="0.236111111111111" top="0.236111111111111" bottom="0.236111111111111" header="0.511805555555555" footer="0.511805555555555"/>
  <pageSetup orientation="landscape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O230"/>
  <sheetViews>
    <sheetView showFormulas="0" showGridLines="1" showRowColHeaders="1" showZeros="1" rightToLeft="0" tabSelected="1" showOutlineSymbols="1" defaultGridColor="1" view="normal" topLeftCell="C1" colorId="64" zoomScale="110" zoomScaleNormal="110" zoomScalePageLayoutView="100" workbookViewId="0">
      <pane xSplit="0" ySplit="1" topLeftCell="A17" activePane="bottomLeft" state="frozen"/>
      <selection pane="topLeft" activeCell="C1" activeCellId="0" sqref="C1"/>
      <selection pane="bottomLeft" activeCell="H12" activeCellId="0" sqref="H12"/>
    </sheetView>
  </sheetViews>
  <sheetFormatPr baseColWidth="8" defaultColWidth="9.15625" defaultRowHeight="15" zeroHeight="0" outlineLevelRow="0"/>
  <cols>
    <col width="3.57" customWidth="1" style="235" min="1" max="1"/>
    <col width="21.43" customWidth="1" style="235" min="2" max="2"/>
    <col width="26.42" customWidth="1" style="235" min="3" max="3"/>
    <col width="15.29" customWidth="1" style="235" min="4" max="4"/>
    <col width="7" customWidth="1" style="235" min="5" max="5"/>
    <col width="15.42" customWidth="1" style="235" min="6" max="7"/>
    <col width="28.57" customWidth="1" style="235" min="8" max="8"/>
    <col width="12.57" customWidth="1" style="235" min="9" max="9"/>
    <col width="17.58" customWidth="1" style="235" min="10" max="10"/>
    <col width="8.710000000000001" customWidth="1" style="235" min="11" max="11"/>
    <col width="7.57" customWidth="1" style="235" min="12" max="12"/>
    <col width="8" customWidth="1" style="235" min="13" max="13"/>
    <col width="9" customWidth="1" style="235" min="14" max="14"/>
    <col width="9.140000000000001" customWidth="1" style="235" min="15" max="1024"/>
  </cols>
  <sheetData>
    <row r="1" ht="56.25" customHeight="1" s="236">
      <c r="A1" s="239" t="inlineStr">
        <is>
          <t>№ п/п</t>
        </is>
      </c>
      <c r="B1" s="239" t="inlineStr">
        <is>
          <t>Наименование</t>
        </is>
      </c>
      <c r="C1" s="239" t="inlineStr">
        <is>
          <t>Тип</t>
        </is>
      </c>
      <c r="D1" s="239" t="inlineStr">
        <is>
          <t>Заводской номер</t>
        </is>
      </c>
      <c r="E1" s="240" t="inlineStr">
        <is>
          <t>Год
выпуска</t>
        </is>
      </c>
      <c r="F1" s="239" t="inlineStr">
        <is>
          <t>Диапазон измерений</t>
        </is>
      </c>
      <c r="G1" s="239" t="inlineStr">
        <is>
          <t>Класс точности</t>
        </is>
      </c>
      <c r="H1" s="239" t="inlineStr">
        <is>
          <t>Место установки СИ</t>
        </is>
      </c>
      <c r="I1" s="239" t="inlineStr">
        <is>
          <t>Объект установки</t>
        </is>
      </c>
      <c r="J1" s="239" t="inlineStr">
        <is>
          <t>Подразделение</t>
        </is>
      </c>
      <c r="K1" s="239" t="inlineStr">
        <is>
          <t>Дата установки</t>
        </is>
      </c>
      <c r="L1" s="239" t="inlineStr">
        <is>
          <t>Межповерочный интервал, мес.</t>
        </is>
      </c>
      <c r="M1" s="240" t="inlineStr">
        <is>
          <t>Дата последней поверки / калибровки</t>
        </is>
      </c>
      <c r="N1" s="239" t="inlineStr">
        <is>
          <t>Поверка (П)/ Калибровка (К)</t>
        </is>
      </c>
    </row>
    <row r="2" ht="15" customHeight="1" s="236">
      <c r="A2" s="239" t="n">
        <v>1</v>
      </c>
      <c r="B2" s="241" t="inlineStr">
        <is>
          <t>Манометр технический</t>
        </is>
      </c>
      <c r="C2" s="242" t="inlineStr">
        <is>
          <t>МП4-УУ2</t>
        </is>
      </c>
      <c r="D2" s="242" t="inlineStr">
        <is>
          <t>15136</t>
        </is>
      </c>
      <c r="E2" s="242" t="inlineStr">
        <is>
          <t>2010</t>
        </is>
      </c>
      <c r="F2" s="242" t="inlineStr">
        <is>
          <t>0…160 кгс/см2</t>
        </is>
      </c>
      <c r="G2" s="242" t="inlineStr">
        <is>
          <t>1.5</t>
        </is>
      </c>
      <c r="H2" s="239" t="inlineStr">
        <is>
          <t>P газа перед КШ 731/1,2</t>
        </is>
      </c>
      <c r="I2" s="242" t="inlineStr">
        <is>
          <t>ГПА 64 БПТГ</t>
        </is>
      </c>
      <c r="J2" s="239" t="inlineStr">
        <is>
          <t>АСУ,А и ТМ (КЦ № 6)</t>
        </is>
      </c>
      <c r="K2" s="239" t="inlineStr">
        <is>
          <t>2012</t>
        </is>
      </c>
      <c r="L2" s="239" t="inlineStr">
        <is>
          <t>12</t>
        </is>
      </c>
      <c r="M2" s="240" t="inlineStr">
        <is>
          <t>1К26</t>
        </is>
      </c>
      <c r="N2" s="242" t="inlineStr">
        <is>
          <t>К</t>
        </is>
      </c>
    </row>
    <row r="3" ht="15" customHeight="1" s="236">
      <c r="A3" s="243" t="n">
        <v>2</v>
      </c>
      <c r="B3" s="244" t="inlineStr">
        <is>
          <t>Манометр технический</t>
        </is>
      </c>
      <c r="C3" s="245" t="inlineStr">
        <is>
          <t>МП4-УУ2</t>
        </is>
      </c>
      <c r="D3" s="245" t="inlineStr">
        <is>
          <t>6312</t>
        </is>
      </c>
      <c r="E3" s="245" t="inlineStr">
        <is>
          <t>2010</t>
        </is>
      </c>
      <c r="F3" s="245" t="inlineStr">
        <is>
          <t>0…160 кгс/см3</t>
        </is>
      </c>
      <c r="G3" s="245" t="inlineStr">
        <is>
          <t>1.5</t>
        </is>
      </c>
      <c r="H3" s="243" t="inlineStr">
        <is>
          <t>P газа после КРД 730/1</t>
        </is>
      </c>
      <c r="I3" s="245" t="inlineStr">
        <is>
          <t>ГПА 64 БПТГ</t>
        </is>
      </c>
      <c r="J3" s="243" t="inlineStr">
        <is>
          <t>АСУ,А и ТМ (КЦ № 6)</t>
        </is>
      </c>
      <c r="K3" s="243" t="inlineStr">
        <is>
          <t>2012</t>
        </is>
      </c>
      <c r="L3" s="243" t="inlineStr">
        <is>
          <t>12</t>
        </is>
      </c>
      <c r="M3" s="246" t="inlineStr">
        <is>
          <t>1К26</t>
        </is>
      </c>
      <c r="N3" s="245" t="inlineStr">
        <is>
          <t>К</t>
        </is>
      </c>
    </row>
    <row r="4" ht="15" customHeight="1" s="236">
      <c r="A4" s="243" t="n">
        <v>3</v>
      </c>
      <c r="B4" s="244" t="inlineStr">
        <is>
          <t>Манометр технический</t>
        </is>
      </c>
      <c r="C4" s="245" t="inlineStr">
        <is>
          <t>МП4-УУХЛ1</t>
        </is>
      </c>
      <c r="D4" s="245" t="inlineStr">
        <is>
          <t>11067</t>
        </is>
      </c>
      <c r="E4" s="245" t="inlineStr">
        <is>
          <t>2010</t>
        </is>
      </c>
      <c r="F4" s="245" t="inlineStr">
        <is>
          <t>0…16 МПа</t>
        </is>
      </c>
      <c r="G4" s="245" t="inlineStr">
        <is>
          <t>1</t>
        </is>
      </c>
      <c r="H4" s="243" t="inlineStr">
        <is>
          <t>P газа в C 701</t>
        </is>
      </c>
      <c r="I4" s="245" t="inlineStr">
        <is>
          <t>ГПА 64 БПТГ</t>
        </is>
      </c>
      <c r="J4" s="243" t="inlineStr">
        <is>
          <t>АСУ,А и ТМ (КЦ № 6)</t>
        </is>
      </c>
      <c r="K4" s="243" t="inlineStr">
        <is>
          <t>2012</t>
        </is>
      </c>
      <c r="L4" s="243" t="inlineStr">
        <is>
          <t>12</t>
        </is>
      </c>
      <c r="M4" s="246" t="inlineStr">
        <is>
          <t>26ДЯУ</t>
        </is>
      </c>
      <c r="N4" s="245" t="inlineStr">
        <is>
          <t>П</t>
        </is>
      </c>
      <c r="O4" s="247" t="n"/>
    </row>
    <row r="5" ht="15" customHeight="1" s="236">
      <c r="A5" s="243" t="n">
        <v>4</v>
      </c>
      <c r="B5" s="244" t="inlineStr">
        <is>
          <t>Манометр технический</t>
        </is>
      </c>
      <c r="C5" s="245" t="inlineStr">
        <is>
          <t>МП4-УУ2</t>
        </is>
      </c>
      <c r="D5" s="245" t="inlineStr">
        <is>
          <t>15137</t>
        </is>
      </c>
      <c r="E5" s="245" t="inlineStr">
        <is>
          <t>2010</t>
        </is>
      </c>
      <c r="F5" s="245" t="inlineStr">
        <is>
          <t>0…160 кгс/см5</t>
        </is>
      </c>
      <c r="G5" s="245" t="inlineStr">
        <is>
          <t>1.5</t>
        </is>
      </c>
      <c r="H5" s="243" t="inlineStr">
        <is>
          <t>P газа на выходе ЭПГ 700/1</t>
        </is>
      </c>
      <c r="I5" s="245" t="inlineStr">
        <is>
          <t>ГПА 64 БПТГ</t>
        </is>
      </c>
      <c r="J5" s="243" t="inlineStr">
        <is>
          <t>АСУ,А и ТМ (КЦ № 6)</t>
        </is>
      </c>
      <c r="K5" s="243" t="inlineStr">
        <is>
          <t>2012</t>
        </is>
      </c>
      <c r="L5" s="243" t="inlineStr">
        <is>
          <t>12</t>
        </is>
      </c>
      <c r="M5" s="246" t="inlineStr">
        <is>
          <t>1К26</t>
        </is>
      </c>
      <c r="N5" s="245" t="inlineStr">
        <is>
          <t>К</t>
        </is>
      </c>
    </row>
    <row r="6" ht="15" customHeight="1" s="236">
      <c r="A6" s="243" t="n">
        <v>5</v>
      </c>
      <c r="B6" s="244" t="inlineStr">
        <is>
          <t>Манометр технический</t>
        </is>
      </c>
      <c r="C6" s="245" t="inlineStr">
        <is>
          <t>МП4-УУ2</t>
        </is>
      </c>
      <c r="D6" s="245" t="inlineStr">
        <is>
          <t>15239</t>
        </is>
      </c>
      <c r="E6" s="245" t="inlineStr">
        <is>
          <t>2010</t>
        </is>
      </c>
      <c r="F6" s="245" t="inlineStr">
        <is>
          <t>0…160 кгс/см6</t>
        </is>
      </c>
      <c r="G6" s="245" t="inlineStr">
        <is>
          <t>1.5</t>
        </is>
      </c>
      <c r="H6" s="243" t="inlineStr">
        <is>
          <t>P газа после КРД 730/2</t>
        </is>
      </c>
      <c r="I6" s="245" t="inlineStr">
        <is>
          <t>ГПА 64 БПТГ</t>
        </is>
      </c>
      <c r="J6" s="243" t="inlineStr">
        <is>
          <t>АСУ,А и ТМ (КЦ № 6)</t>
        </is>
      </c>
      <c r="K6" s="243" t="inlineStr">
        <is>
          <t>2012</t>
        </is>
      </c>
      <c r="L6" s="243" t="inlineStr">
        <is>
          <t>12</t>
        </is>
      </c>
      <c r="M6" s="246" t="inlineStr">
        <is>
          <t>1К26</t>
        </is>
      </c>
      <c r="N6" s="245" t="inlineStr">
        <is>
          <t>К</t>
        </is>
      </c>
    </row>
    <row r="7" ht="15" customHeight="1" s="236">
      <c r="A7" s="243" t="n">
        <v>6</v>
      </c>
      <c r="B7" s="244" t="inlineStr">
        <is>
          <t>Манометр технический</t>
        </is>
      </c>
      <c r="C7" s="245" t="inlineStr">
        <is>
          <t>МП4-УУ2</t>
        </is>
      </c>
      <c r="D7" s="245" t="inlineStr">
        <is>
          <t>15197</t>
        </is>
      </c>
      <c r="E7" s="245" t="inlineStr">
        <is>
          <t>2010</t>
        </is>
      </c>
      <c r="F7" s="245" t="inlineStr">
        <is>
          <t>0…160 кгс/см7</t>
        </is>
      </c>
      <c r="G7" s="245" t="inlineStr">
        <is>
          <t>1.5</t>
        </is>
      </c>
      <c r="H7" s="243" t="inlineStr">
        <is>
          <t>P газа на выходе ЭПГ 700/2</t>
        </is>
      </c>
      <c r="I7" s="245" t="inlineStr">
        <is>
          <t>ГПА 64 БПТГ</t>
        </is>
      </c>
      <c r="J7" s="243" t="inlineStr">
        <is>
          <t>АСУ,А и ТМ (КЦ № 6)</t>
        </is>
      </c>
      <c r="K7" s="243" t="inlineStr">
        <is>
          <t>2012</t>
        </is>
      </c>
      <c r="L7" s="243" t="inlineStr">
        <is>
          <t>12</t>
        </is>
      </c>
      <c r="M7" s="246" t="inlineStr">
        <is>
          <t>1К26</t>
        </is>
      </c>
      <c r="N7" s="245" t="inlineStr">
        <is>
          <t>К</t>
        </is>
      </c>
    </row>
    <row r="8" ht="15" customHeight="1" s="236">
      <c r="A8" s="243" t="n">
        <v>7</v>
      </c>
      <c r="B8" s="248" t="inlineStr">
        <is>
          <t>Термометр биметаллический</t>
        </is>
      </c>
      <c r="C8" s="245" t="inlineStr">
        <is>
          <t>ТБ-2</t>
        </is>
      </c>
      <c r="D8" s="245" t="inlineStr">
        <is>
          <t>8529</t>
        </is>
      </c>
      <c r="E8" s="245" t="inlineStr">
        <is>
          <t>2015</t>
        </is>
      </c>
      <c r="F8" s="245" t="inlineStr">
        <is>
          <t>0…100 °С</t>
        </is>
      </c>
      <c r="G8" s="245" t="inlineStr">
        <is>
          <t>1.5</t>
        </is>
      </c>
      <c r="H8" s="243" t="inlineStr">
        <is>
          <t>Тг на выходе ЭПГ 700/1</t>
        </is>
      </c>
      <c r="I8" s="245" t="inlineStr">
        <is>
          <t>ГПА 64 БПТГ</t>
        </is>
      </c>
      <c r="J8" s="243" t="inlineStr">
        <is>
          <t>АСУ,А и ТМ (КЦ № 6)</t>
        </is>
      </c>
      <c r="K8" s="243" t="inlineStr">
        <is>
          <t>2012</t>
        </is>
      </c>
      <c r="L8" s="243" t="inlineStr">
        <is>
          <t>24</t>
        </is>
      </c>
      <c r="M8" s="246" t="inlineStr">
        <is>
          <t>2К26</t>
        </is>
      </c>
      <c r="N8" s="245" t="inlineStr">
        <is>
          <t>К</t>
        </is>
      </c>
    </row>
    <row r="9" ht="15" customHeight="1" s="236">
      <c r="A9" s="243" t="n">
        <v>8</v>
      </c>
      <c r="B9" s="248" t="inlineStr">
        <is>
          <t>Термометр биметаллический</t>
        </is>
      </c>
      <c r="C9" s="245" t="inlineStr">
        <is>
          <t>ТБ-2</t>
        </is>
      </c>
      <c r="D9" s="245" t="inlineStr">
        <is>
          <t>6714</t>
        </is>
      </c>
      <c r="E9" s="245" t="inlineStr">
        <is>
          <t>2015</t>
        </is>
      </c>
      <c r="F9" s="245" t="inlineStr">
        <is>
          <t>0…100 °С</t>
        </is>
      </c>
      <c r="G9" s="245" t="inlineStr">
        <is>
          <t>1.5</t>
        </is>
      </c>
      <c r="H9" s="243" t="inlineStr">
        <is>
          <t>Тг на выходе ЭПГ 700/2</t>
        </is>
      </c>
      <c r="I9" s="245" t="inlineStr">
        <is>
          <t>ГПА 64 БПТГ</t>
        </is>
      </c>
      <c r="J9" s="243" t="inlineStr">
        <is>
          <t>АСУ,А и ТМ (КЦ № 6)</t>
        </is>
      </c>
      <c r="K9" s="243" t="inlineStr">
        <is>
          <t>2012</t>
        </is>
      </c>
      <c r="L9" s="243" t="inlineStr">
        <is>
          <t>24</t>
        </is>
      </c>
      <c r="M9" s="246" t="inlineStr">
        <is>
          <t>2К26</t>
        </is>
      </c>
      <c r="N9" s="245" t="inlineStr">
        <is>
          <t>К</t>
        </is>
      </c>
    </row>
    <row r="10" ht="15" customHeight="1" s="236">
      <c r="A10" s="243" t="n">
        <v>9</v>
      </c>
      <c r="B10" s="248" t="inlineStr">
        <is>
          <t>Уравнемер</t>
        </is>
      </c>
      <c r="C10" s="245" t="inlineStr">
        <is>
          <t>KROHNE BM-26A/C/RR</t>
        </is>
      </c>
      <c r="D10" s="245" t="inlineStr">
        <is>
          <t>447006647.20.01</t>
        </is>
      </c>
      <c r="E10" s="245" t="inlineStr">
        <is>
          <t>2011</t>
        </is>
      </c>
      <c r="F10" s="245" t="inlineStr">
        <is>
          <t>0…100 %</t>
        </is>
      </c>
      <c r="G10" s="245" t="inlineStr">
        <is>
          <t>±10 мм</t>
        </is>
      </c>
      <c r="H10" s="243" t="inlineStr">
        <is>
          <t>Уровень жидкости в сепараторе С701</t>
        </is>
      </c>
      <c r="I10" s="245" t="inlineStr">
        <is>
          <t>ГПА 64 БПТГ</t>
        </is>
      </c>
      <c r="J10" s="243" t="inlineStr">
        <is>
          <t>АСУ,А и ТМ (КЦ № 6)</t>
        </is>
      </c>
      <c r="K10" s="243" t="inlineStr">
        <is>
          <t>2012</t>
        </is>
      </c>
      <c r="L10" s="243" t="inlineStr">
        <is>
          <t>48</t>
        </is>
      </c>
      <c r="M10" s="246" t="inlineStr"/>
      <c r="N10" s="245" t="inlineStr"/>
    </row>
    <row r="11" ht="22.5" customHeight="1" s="236">
      <c r="A11" s="243" t="n">
        <v>10</v>
      </c>
      <c r="B11" s="249" t="inlineStr">
        <is>
          <t>Преобразователь избыточного давления</t>
        </is>
      </c>
      <c r="C11" s="245" t="inlineStr">
        <is>
          <t>Honeywell STG-97L</t>
        </is>
      </c>
      <c r="D11" s="245" t="inlineStr">
        <is>
          <t>11W03 C3287149003065</t>
        </is>
      </c>
      <c r="E11" s="245" t="inlineStr">
        <is>
          <t>2011</t>
        </is>
      </c>
      <c r="F11" s="245" t="inlineStr">
        <is>
          <t>0…10 MПa</t>
        </is>
      </c>
      <c r="G11" s="245" t="inlineStr">
        <is>
          <t>0.075</t>
        </is>
      </c>
      <c r="H11" s="243" t="inlineStr">
        <is>
          <t>Давление газа перед С701 (на входе в блок БПТГ)</t>
        </is>
      </c>
      <c r="I11" s="245" t="inlineStr">
        <is>
          <t>ГПА 64 БПТГ</t>
        </is>
      </c>
      <c r="J11" s="243" t="inlineStr">
        <is>
          <t>АСУ,А и ТМ (КЦ № 6)</t>
        </is>
      </c>
      <c r="K11" s="243" t="inlineStr">
        <is>
          <t>2012</t>
        </is>
      </c>
      <c r="L11" s="243" t="inlineStr">
        <is>
          <t>36</t>
        </is>
      </c>
      <c r="M11" s="246" t="inlineStr">
        <is>
          <t>16.02.2016</t>
        </is>
      </c>
      <c r="N11" s="245" t="inlineStr">
        <is>
          <t>К</t>
        </is>
      </c>
    </row>
    <row r="12" ht="22.5" customHeight="1" s="236">
      <c r="A12" s="243" t="n">
        <v>11</v>
      </c>
      <c r="B12" s="249" t="inlineStr">
        <is>
          <t>Преобразователь избыточного давления</t>
        </is>
      </c>
      <c r="C12" s="245" t="inlineStr">
        <is>
          <t>Honeywell STG-97L</t>
        </is>
      </c>
      <c r="D12" s="245" t="inlineStr">
        <is>
          <t>11W18 C331369003010</t>
        </is>
      </c>
      <c r="E12" s="245" t="inlineStr">
        <is>
          <t>2011</t>
        </is>
      </c>
      <c r="F12" s="245" t="inlineStr">
        <is>
          <t>0…10 MПa</t>
        </is>
      </c>
      <c r="G12" s="245" t="inlineStr">
        <is>
          <t>0.075</t>
        </is>
      </c>
      <c r="H12" s="243" t="inlineStr">
        <is>
          <t>Давление газа на выходе блока БПТГ перед КШ12</t>
        </is>
      </c>
      <c r="I12" s="245" t="inlineStr">
        <is>
          <t>ГПА 64 БПТГ</t>
        </is>
      </c>
      <c r="J12" s="243" t="inlineStr">
        <is>
          <t>АСУ,А и ТМ (КЦ № 6)</t>
        </is>
      </c>
      <c r="K12" s="243" t="inlineStr">
        <is>
          <t>2012</t>
        </is>
      </c>
      <c r="L12" s="243" t="inlineStr">
        <is>
          <t>36</t>
        </is>
      </c>
      <c r="M12" s="246" t="inlineStr">
        <is>
          <t>16.02.2016</t>
        </is>
      </c>
      <c r="N12" s="245" t="inlineStr">
        <is>
          <t>К</t>
        </is>
      </c>
    </row>
    <row r="13" ht="22.5" customHeight="1" s="236">
      <c r="A13" s="243" t="n">
        <v>12</v>
      </c>
      <c r="B13" s="248" t="inlineStr">
        <is>
          <t>Термометр сопротивления</t>
        </is>
      </c>
      <c r="C13" s="245" t="inlineStr">
        <is>
          <t>Метран 256-04 100П/В/3</t>
        </is>
      </c>
      <c r="D13" s="245" t="inlineStr">
        <is>
          <t>522399</t>
        </is>
      </c>
      <c r="E13" s="245" t="inlineStr">
        <is>
          <t>2005</t>
        </is>
      </c>
      <c r="F13" s="245" t="inlineStr">
        <is>
          <t>-60…200 °С</t>
        </is>
      </c>
      <c r="G13" s="245" t="inlineStr">
        <is>
          <t>B</t>
        </is>
      </c>
      <c r="H13" s="243" t="inlineStr">
        <is>
          <t>Температура антифриза в подогревателе ЭПГ700/2</t>
        </is>
      </c>
      <c r="I13" s="245" t="inlineStr">
        <is>
          <t>ГПА 64 БПТГ</t>
        </is>
      </c>
      <c r="J13" s="243" t="inlineStr">
        <is>
          <t>АСУ,А и ТМ (КЦ № 6)</t>
        </is>
      </c>
      <c r="K13" s="243" t="inlineStr"/>
      <c r="L13" s="243" t="inlineStr"/>
      <c r="M13" s="246" t="inlineStr"/>
      <c r="N13" s="245" t="inlineStr"/>
    </row>
    <row r="14" ht="22.5" customHeight="1" s="236">
      <c r="A14" s="243" t="n">
        <v>13</v>
      </c>
      <c r="B14" s="248" t="inlineStr">
        <is>
          <t>Термометр сопротивления</t>
        </is>
      </c>
      <c r="C14" s="245" t="inlineStr">
        <is>
          <t>Метран 256-04 100П/В/3</t>
        </is>
      </c>
      <c r="D14" s="245" t="inlineStr">
        <is>
          <t>522402</t>
        </is>
      </c>
      <c r="E14" s="245" t="inlineStr">
        <is>
          <t>2005</t>
        </is>
      </c>
      <c r="F14" s="245" t="inlineStr">
        <is>
          <t>-60…200 °С</t>
        </is>
      </c>
      <c r="G14" s="245" t="inlineStr">
        <is>
          <t>B</t>
        </is>
      </c>
      <c r="H14" s="243" t="inlineStr">
        <is>
          <t>Температура антифриза в подогревателе ЭПГ700/1</t>
        </is>
      </c>
      <c r="I14" s="245" t="inlineStr">
        <is>
          <t>ГПА 64 БПТГ</t>
        </is>
      </c>
      <c r="J14" s="243" t="inlineStr">
        <is>
          <t>АСУ,А и ТМ (КЦ № 6)</t>
        </is>
      </c>
      <c r="K14" s="243" t="inlineStr"/>
      <c r="L14" s="243" t="inlineStr"/>
      <c r="M14" s="246" t="inlineStr"/>
      <c r="N14" s="245" t="inlineStr"/>
    </row>
    <row r="15" ht="22.5" customHeight="1" s="236">
      <c r="A15" s="243" t="n">
        <v>14</v>
      </c>
      <c r="B15" s="248" t="inlineStr">
        <is>
          <t>Термометр сопротивления</t>
        </is>
      </c>
      <c r="C15" s="245" t="inlineStr">
        <is>
          <t>ТСП 012.60 Pt100/В/3</t>
        </is>
      </c>
      <c r="D15" s="245" t="inlineStr">
        <is>
          <t>377</t>
        </is>
      </c>
      <c r="E15" s="245" t="inlineStr">
        <is>
          <t>2011</t>
        </is>
      </c>
      <c r="F15" s="245" t="inlineStr">
        <is>
          <t>-60…200 °С</t>
        </is>
      </c>
      <c r="G15" s="245" t="inlineStr">
        <is>
          <t>B</t>
        </is>
      </c>
      <c r="H15" s="243" t="inlineStr">
        <is>
          <t>Температура воздуха в контейнере блока БПТГ т.1</t>
        </is>
      </c>
      <c r="I15" s="245" t="inlineStr">
        <is>
          <t>ГПА 64 БПТГ</t>
        </is>
      </c>
      <c r="J15" s="243" t="inlineStr">
        <is>
          <t>АСУ,А и ТМ (КЦ № 6)</t>
        </is>
      </c>
      <c r="K15" s="243" t="inlineStr">
        <is>
          <t>2012</t>
        </is>
      </c>
      <c r="L15" s="243" t="inlineStr">
        <is>
          <t>36</t>
        </is>
      </c>
      <c r="M15" s="246" t="inlineStr"/>
      <c r="N15" s="245" t="inlineStr"/>
    </row>
    <row r="16" ht="22.5" customHeight="1" s="236">
      <c r="A16" s="243" t="n">
        <v>15</v>
      </c>
      <c r="B16" s="248" t="inlineStr">
        <is>
          <t>Термометр сопротивления</t>
        </is>
      </c>
      <c r="C16" s="245" t="inlineStr">
        <is>
          <t>ТСП 012.60 Pt100/В/3</t>
        </is>
      </c>
      <c r="D16" s="245" t="inlineStr">
        <is>
          <t>369</t>
        </is>
      </c>
      <c r="E16" s="245" t="inlineStr">
        <is>
          <t>2011</t>
        </is>
      </c>
      <c r="F16" s="245" t="inlineStr">
        <is>
          <t>-60…200 °С</t>
        </is>
      </c>
      <c r="G16" s="245" t="inlineStr">
        <is>
          <t>B</t>
        </is>
      </c>
      <c r="H16" s="243" t="inlineStr">
        <is>
          <t>Температура воздуха в контейнере блока БПТГ т.2</t>
        </is>
      </c>
      <c r="I16" s="245" t="inlineStr">
        <is>
          <t>ГПА 64 БПТГ</t>
        </is>
      </c>
      <c r="J16" s="243" t="inlineStr">
        <is>
          <t>АСУ,А и ТМ (КЦ № 6)</t>
        </is>
      </c>
      <c r="K16" s="243" t="inlineStr">
        <is>
          <t>2012</t>
        </is>
      </c>
      <c r="L16" s="243" t="inlineStr">
        <is>
          <t>36</t>
        </is>
      </c>
      <c r="M16" s="246" t="inlineStr"/>
      <c r="N16" s="245" t="inlineStr"/>
    </row>
    <row r="17" ht="15" customHeight="1" s="236">
      <c r="A17" s="243" t="n">
        <v>16</v>
      </c>
      <c r="B17" s="248" t="inlineStr">
        <is>
          <t>Термометр сопротивления</t>
        </is>
      </c>
      <c r="C17" s="245" t="inlineStr">
        <is>
          <t>ТСП 012.60 Pt100/В/3</t>
        </is>
      </c>
      <c r="D17" s="245" t="inlineStr">
        <is>
          <t>374</t>
        </is>
      </c>
      <c r="E17" s="245" t="inlineStr">
        <is>
          <t>2011</t>
        </is>
      </c>
      <c r="F17" s="245" t="inlineStr">
        <is>
          <t>-60…200 °С</t>
        </is>
      </c>
      <c r="G17" s="245" t="inlineStr">
        <is>
          <t>B</t>
        </is>
      </c>
      <c r="H17" s="243" t="inlineStr">
        <is>
          <t>Температура масла EK225</t>
        </is>
      </c>
      <c r="I17" s="245" t="inlineStr">
        <is>
          <t>ГПА 64 БПТГ</t>
        </is>
      </c>
      <c r="J17" s="243" t="inlineStr">
        <is>
          <t>АСУ,А и ТМ (КЦ № 6)</t>
        </is>
      </c>
      <c r="K17" s="243" t="inlineStr">
        <is>
          <t>2012</t>
        </is>
      </c>
      <c r="L17" s="243" t="inlineStr">
        <is>
          <t>36</t>
        </is>
      </c>
      <c r="M17" s="246" t="inlineStr"/>
      <c r="N17" s="245" t="inlineStr"/>
    </row>
    <row r="18" ht="15" customHeight="1" s="236">
      <c r="A18" s="243" t="n">
        <v>17</v>
      </c>
      <c r="B18" s="248" t="inlineStr">
        <is>
          <t>Термометр сопротивления</t>
        </is>
      </c>
      <c r="C18" s="245" t="inlineStr">
        <is>
          <t>ТСП 012.60 Pt100/В/3</t>
        </is>
      </c>
      <c r="D18" s="245" t="inlineStr">
        <is>
          <t>376</t>
        </is>
      </c>
      <c r="E18" s="245" t="inlineStr">
        <is>
          <t>2011</t>
        </is>
      </c>
      <c r="F18" s="245" t="inlineStr">
        <is>
          <t>-60…200 °С</t>
        </is>
      </c>
      <c r="G18" s="245" t="inlineStr">
        <is>
          <t>B</t>
        </is>
      </c>
      <c r="H18" s="243" t="inlineStr">
        <is>
          <t>Температура масла EK226</t>
        </is>
      </c>
      <c r="I18" s="245" t="inlineStr">
        <is>
          <t>ГПА 64 БПТГ</t>
        </is>
      </c>
      <c r="J18" s="243" t="inlineStr">
        <is>
          <t>АСУ,А и ТМ (КЦ № 6)</t>
        </is>
      </c>
      <c r="K18" s="243" t="inlineStr">
        <is>
          <t>2012</t>
        </is>
      </c>
      <c r="L18" s="243" t="inlineStr">
        <is>
          <t>36</t>
        </is>
      </c>
      <c r="M18" s="246" t="inlineStr"/>
      <c r="N18" s="245" t="inlineStr"/>
    </row>
    <row r="19" ht="15" customHeight="1" s="236">
      <c r="A19" s="243" t="n">
        <v>18</v>
      </c>
      <c r="B19" s="248" t="inlineStr">
        <is>
          <t>Термометр сопротивления</t>
        </is>
      </c>
      <c r="C19" s="245" t="inlineStr">
        <is>
          <t>ТСП 012.60 Pt100/В/3</t>
        </is>
      </c>
      <c r="D19" s="245" t="inlineStr">
        <is>
          <t>365</t>
        </is>
      </c>
      <c r="E19" s="245" t="inlineStr">
        <is>
          <t>2011</t>
        </is>
      </c>
      <c r="F19" s="245" t="inlineStr">
        <is>
          <t>-60…200 °С</t>
        </is>
      </c>
      <c r="G19" s="245" t="inlineStr">
        <is>
          <t>B</t>
        </is>
      </c>
      <c r="H19" s="243" t="inlineStr">
        <is>
          <t>Температура газа перед С701</t>
        </is>
      </c>
      <c r="I19" s="245" t="inlineStr">
        <is>
          <t>ГПА 64 БПТГ</t>
        </is>
      </c>
      <c r="J19" s="243" t="inlineStr">
        <is>
          <t>АСУ,А и ТМ (КЦ № 6)</t>
        </is>
      </c>
      <c r="K19" s="243" t="inlineStr">
        <is>
          <t>2012</t>
        </is>
      </c>
      <c r="L19" s="243" t="inlineStr">
        <is>
          <t>36</t>
        </is>
      </c>
      <c r="M19" s="246" t="inlineStr"/>
      <c r="N19" s="245" t="inlineStr"/>
    </row>
    <row r="20" ht="15" customHeight="1" s="236">
      <c r="A20" s="243" t="n">
        <v>19</v>
      </c>
      <c r="B20" s="248" t="inlineStr">
        <is>
          <t>Термометр сопротивления</t>
        </is>
      </c>
      <c r="C20" s="245" t="inlineStr">
        <is>
          <t>ТСП 012.60 Pt100/В/3</t>
        </is>
      </c>
      <c r="D20" s="245" t="inlineStr">
        <is>
          <t>360</t>
        </is>
      </c>
      <c r="E20" s="245" t="inlineStr">
        <is>
          <t>2011</t>
        </is>
      </c>
      <c r="F20" s="245" t="inlineStr">
        <is>
          <t>-60…200 °С</t>
        </is>
      </c>
      <c r="G20" s="245" t="inlineStr">
        <is>
          <t>B</t>
        </is>
      </c>
      <c r="H20" s="243" t="inlineStr">
        <is>
          <t>Температура газа после ЭПГ700/2</t>
        </is>
      </c>
      <c r="I20" s="245" t="inlineStr">
        <is>
          <t>ГПА 64 БПТГ</t>
        </is>
      </c>
      <c r="J20" s="243" t="inlineStr">
        <is>
          <t>АСУ,А и ТМ (КЦ № 6)</t>
        </is>
      </c>
      <c r="K20" s="243" t="inlineStr">
        <is>
          <t>2012</t>
        </is>
      </c>
      <c r="L20" s="243" t="inlineStr">
        <is>
          <t>36</t>
        </is>
      </c>
      <c r="M20" s="246" t="inlineStr"/>
      <c r="N20" s="245" t="inlineStr"/>
    </row>
    <row r="21" ht="15" customHeight="1" s="236">
      <c r="A21" s="243" t="n">
        <v>20</v>
      </c>
      <c r="B21" s="248" t="inlineStr">
        <is>
          <t>Термометр сопротивления</t>
        </is>
      </c>
      <c r="C21" s="245" t="inlineStr">
        <is>
          <t>ТСП 012.60 Pt100/В/3</t>
        </is>
      </c>
      <c r="D21" s="245" t="inlineStr">
        <is>
          <t>449</t>
        </is>
      </c>
      <c r="E21" s="245" t="inlineStr">
        <is>
          <t>2011</t>
        </is>
      </c>
      <c r="F21" s="245" t="inlineStr">
        <is>
          <t>-60…200 °С</t>
        </is>
      </c>
      <c r="G21" s="245" t="inlineStr">
        <is>
          <t>B</t>
        </is>
      </c>
      <c r="H21" s="243" t="inlineStr">
        <is>
          <t>Температура газа после ЭПГ700/1</t>
        </is>
      </c>
      <c r="I21" s="245" t="inlineStr">
        <is>
          <t>ГПА 64 БПТГ</t>
        </is>
      </c>
      <c r="J21" s="243" t="inlineStr">
        <is>
          <t>АСУ,А и ТМ (КЦ № 6)</t>
        </is>
      </c>
      <c r="K21" s="243" t="inlineStr">
        <is>
          <t>2012</t>
        </is>
      </c>
      <c r="L21" s="243" t="inlineStr">
        <is>
          <t>36</t>
        </is>
      </c>
      <c r="M21" s="246" t="inlineStr"/>
      <c r="N21" s="245" t="inlineStr"/>
    </row>
    <row r="22" ht="15" customHeight="1" s="236">
      <c r="A22" s="243" t="n">
        <v>21</v>
      </c>
      <c r="B22" s="248" t="inlineStr">
        <is>
          <t>Датчик уровня</t>
        </is>
      </c>
      <c r="C22" s="245" t="inlineStr">
        <is>
          <t>KROHNE Optiswitch 5200C</t>
        </is>
      </c>
      <c r="D22" s="245" t="inlineStr">
        <is>
          <t>20543599</t>
        </is>
      </c>
      <c r="E22" s="245" t="inlineStr">
        <is>
          <t>2011</t>
        </is>
      </c>
      <c r="F22" s="245" t="inlineStr">
        <is>
          <t>0…400 мм</t>
        </is>
      </c>
      <c r="G22" s="245" t="inlineStr"/>
      <c r="H22" s="243" t="inlineStr">
        <is>
          <t>Уровень антифриза в ЭПГ 700/1</t>
        </is>
      </c>
      <c r="I22" s="245" t="inlineStr">
        <is>
          <t>ГПА 64 БПТГ</t>
        </is>
      </c>
      <c r="J22" s="243" t="inlineStr">
        <is>
          <t>АСУ,А и ТМ (КЦ № 6)</t>
        </is>
      </c>
      <c r="K22" s="243" t="inlineStr"/>
      <c r="L22" s="243" t="inlineStr"/>
      <c r="M22" s="246" t="inlineStr"/>
      <c r="N22" s="245" t="inlineStr"/>
    </row>
    <row r="23" ht="15" customHeight="1" s="236">
      <c r="A23" s="243" t="n">
        <v>22</v>
      </c>
      <c r="B23" s="248" t="inlineStr">
        <is>
          <t>Датчик уровня</t>
        </is>
      </c>
      <c r="C23" s="245" t="inlineStr">
        <is>
          <t>KROHNE Optiswitch 5200C</t>
        </is>
      </c>
      <c r="D23" s="245" t="inlineStr">
        <is>
          <t>20543606</t>
        </is>
      </c>
      <c r="E23" s="245" t="inlineStr">
        <is>
          <t>2011</t>
        </is>
      </c>
      <c r="F23" s="245" t="inlineStr">
        <is>
          <t>0…400 мм</t>
        </is>
      </c>
      <c r="G23" s="245" t="inlineStr"/>
      <c r="H23" s="243" t="inlineStr">
        <is>
          <t>Уровень антифриза в ЭПГ 700/2</t>
        </is>
      </c>
      <c r="I23" s="245" t="inlineStr">
        <is>
          <t>ГПА 64 БПТГ</t>
        </is>
      </c>
      <c r="J23" s="243" t="inlineStr">
        <is>
          <t>АСУ,А и ТМ (КЦ № 6)</t>
        </is>
      </c>
      <c r="K23" s="243" t="inlineStr"/>
      <c r="L23" s="243" t="inlineStr"/>
      <c r="M23" s="246" t="inlineStr"/>
      <c r="N23" s="245" t="inlineStr"/>
    </row>
    <row r="24" ht="15" customFormat="1" customHeight="1" s="235">
      <c r="A24" s="243" t="n">
        <v>23</v>
      </c>
      <c r="B24" s="244" t="inlineStr">
        <is>
          <t>Контроль загазованности</t>
        </is>
      </c>
      <c r="C24" s="245" t="inlineStr">
        <is>
          <t>ОГС-ПГП/М-СН4-А</t>
        </is>
      </c>
      <c r="D24" s="245" t="inlineStr">
        <is>
          <t>25527</t>
        </is>
      </c>
      <c r="E24" s="245" t="inlineStr">
        <is>
          <t>2025</t>
        </is>
      </c>
      <c r="F24" s="245" t="inlineStr"/>
      <c r="G24" s="245" t="inlineStr"/>
      <c r="H24" s="243" t="inlineStr">
        <is>
          <t>ЭП 700/2 (QT 502)</t>
        </is>
      </c>
      <c r="I24" s="245" t="inlineStr">
        <is>
          <t>ГПА 64 БПТГ</t>
        </is>
      </c>
      <c r="J24" s="243" t="inlineStr">
        <is>
          <t>АСУ,А и ТМ (КЦ № 6)</t>
        </is>
      </c>
      <c r="K24" s="243" t="inlineStr">
        <is>
          <t>2012</t>
        </is>
      </c>
      <c r="L24" s="243" t="inlineStr"/>
      <c r="M24" s="246" t="inlineStr"/>
      <c r="N24" s="245" t="inlineStr"/>
    </row>
    <row r="25" ht="15" customFormat="1" customHeight="1" s="235">
      <c r="A25" s="243" t="n">
        <v>24</v>
      </c>
      <c r="B25" s="244" t="inlineStr">
        <is>
          <t>Контроль загазованности</t>
        </is>
      </c>
      <c r="C25" s="245" t="inlineStr">
        <is>
          <t>ОГС-ПГП/М-СН4-А</t>
        </is>
      </c>
      <c r="D25" s="245" t="inlineStr">
        <is>
          <t>25522</t>
        </is>
      </c>
      <c r="E25" s="245" t="inlineStr">
        <is>
          <t>2025</t>
        </is>
      </c>
      <c r="F25" s="245" t="inlineStr"/>
      <c r="G25" s="245" t="inlineStr"/>
      <c r="H25" s="243" t="inlineStr">
        <is>
          <t>ЭП 700/1 (QT 501)</t>
        </is>
      </c>
      <c r="I25" s="245" t="inlineStr">
        <is>
          <t>ГПА 64 БПТГ</t>
        </is>
      </c>
      <c r="J25" s="243" t="inlineStr">
        <is>
          <t>АСУ,А и ТМ (КЦ № 6)</t>
        </is>
      </c>
      <c r="K25" s="243" t="inlineStr">
        <is>
          <t>2012</t>
        </is>
      </c>
      <c r="L25" s="243" t="inlineStr"/>
      <c r="M25" s="246" t="inlineStr"/>
      <c r="N25" s="245" t="inlineStr"/>
    </row>
    <row r="26" ht="15" customHeight="1" s="236">
      <c r="A26" s="243" t="n">
        <v>25</v>
      </c>
      <c r="B26" s="244" t="inlineStr">
        <is>
          <t>Датчик пламени</t>
        </is>
      </c>
      <c r="C26" s="245" t="inlineStr">
        <is>
          <t>ИП330/3-20-А1</t>
        </is>
      </c>
      <c r="D26" s="245" t="inlineStr">
        <is>
          <t>000971</t>
        </is>
      </c>
      <c r="E26" s="245" t="inlineStr">
        <is>
          <t>2011</t>
        </is>
      </c>
      <c r="F26" s="245" t="inlineStr"/>
      <c r="G26" s="245" t="inlineStr"/>
      <c r="H26" s="243" t="inlineStr">
        <is>
          <t>(BTF501)</t>
        </is>
      </c>
      <c r="I26" s="245" t="inlineStr">
        <is>
          <t>ГПА 64 БПТГ</t>
        </is>
      </c>
      <c r="J26" s="243" t="inlineStr">
        <is>
          <t>АСУ,А и ТМ (КЦ № 6)</t>
        </is>
      </c>
      <c r="K26" s="243" t="inlineStr">
        <is>
          <t>2012</t>
        </is>
      </c>
      <c r="L26" s="243" t="inlineStr"/>
      <c r="M26" s="246" t="inlineStr"/>
      <c r="N26" s="245" t="inlineStr"/>
    </row>
    <row r="27" ht="15" customHeight="1" s="236">
      <c r="A27" s="243" t="n">
        <v>26</v>
      </c>
      <c r="B27" s="244" t="inlineStr">
        <is>
          <t>Датчик пламени</t>
        </is>
      </c>
      <c r="C27" s="245" t="inlineStr">
        <is>
          <t>ИП330/3-20-А1</t>
        </is>
      </c>
      <c r="D27" s="245" t="inlineStr">
        <is>
          <t>000982</t>
        </is>
      </c>
      <c r="E27" s="245" t="inlineStr">
        <is>
          <t>2011</t>
        </is>
      </c>
      <c r="F27" s="245" t="inlineStr"/>
      <c r="G27" s="245" t="inlineStr"/>
      <c r="H27" s="243" t="inlineStr">
        <is>
          <t>(BTF502)</t>
        </is>
      </c>
      <c r="I27" s="245" t="inlineStr">
        <is>
          <t>ГПА 64 БПТГ</t>
        </is>
      </c>
      <c r="J27" s="243" t="inlineStr">
        <is>
          <t>АСУ,А и ТМ (КЦ № 6)</t>
        </is>
      </c>
      <c r="K27" s="243" t="inlineStr">
        <is>
          <t>2012</t>
        </is>
      </c>
      <c r="L27" s="243" t="inlineStr"/>
      <c r="M27" s="246" t="inlineStr"/>
      <c r="N27" s="245" t="inlineStr"/>
    </row>
    <row r="28" ht="15" customHeight="1" s="236">
      <c r="A28" s="243" t="n">
        <v>27</v>
      </c>
      <c r="B28" s="244" t="inlineStr">
        <is>
          <t>Датчик пламени</t>
        </is>
      </c>
      <c r="C28" s="245" t="inlineStr">
        <is>
          <t>ИП330/3-20-А1</t>
        </is>
      </c>
      <c r="D28" s="245" t="inlineStr">
        <is>
          <t>000985</t>
        </is>
      </c>
      <c r="E28" s="245" t="inlineStr">
        <is>
          <t>2011</t>
        </is>
      </c>
      <c r="F28" s="245" t="inlineStr"/>
      <c r="G28" s="245" t="inlineStr"/>
      <c r="H28" s="243" t="inlineStr">
        <is>
          <t>(BTF503)</t>
        </is>
      </c>
      <c r="I28" s="245" t="inlineStr">
        <is>
          <t>ГПА 64 БПТГ</t>
        </is>
      </c>
      <c r="J28" s="243" t="inlineStr">
        <is>
          <t>АСУ,А и ТМ (КЦ № 6)</t>
        </is>
      </c>
      <c r="K28" s="243" t="inlineStr">
        <is>
          <t>2012</t>
        </is>
      </c>
      <c r="L28" s="243" t="inlineStr"/>
      <c r="M28" s="246" t="inlineStr"/>
      <c r="N28" s="245" t="inlineStr"/>
    </row>
    <row r="29" ht="15" customHeight="1" s="236">
      <c r="A29" s="243" t="n">
        <v>28</v>
      </c>
      <c r="B29" s="244" t="inlineStr">
        <is>
          <t>Датчик пламени</t>
        </is>
      </c>
      <c r="C29" s="245" t="inlineStr">
        <is>
          <t>ИП330/3-20-А1</t>
        </is>
      </c>
      <c r="D29" s="245" t="inlineStr">
        <is>
          <t>000976</t>
        </is>
      </c>
      <c r="E29" s="245" t="inlineStr">
        <is>
          <t>2011</t>
        </is>
      </c>
      <c r="F29" s="245" t="inlineStr"/>
      <c r="G29" s="245" t="inlineStr"/>
      <c r="H29" s="243" t="inlineStr">
        <is>
          <t>(BTF504)</t>
        </is>
      </c>
      <c r="I29" s="245" t="inlineStr">
        <is>
          <t>ГПА 64 БПТГ</t>
        </is>
      </c>
      <c r="J29" s="243" t="inlineStr">
        <is>
          <t>АСУ,А и ТМ (КЦ № 6)</t>
        </is>
      </c>
      <c r="K29" s="243" t="inlineStr">
        <is>
          <t>2012</t>
        </is>
      </c>
      <c r="L29" s="243" t="inlineStr"/>
      <c r="M29" s="246" t="inlineStr"/>
      <c r="N29" s="245" t="inlineStr"/>
    </row>
    <row r="30" ht="15" customHeight="1" s="236">
      <c r="A30" s="243" t="n">
        <v>29</v>
      </c>
      <c r="B30" s="248" t="inlineStr">
        <is>
          <t>Термометр сопротивления</t>
        </is>
      </c>
      <c r="C30" s="245" t="inlineStr">
        <is>
          <t>ТСПУ-Л 22322 УХЛ3.1</t>
        </is>
      </c>
      <c r="D30" s="245" t="inlineStr">
        <is>
          <t>40</t>
        </is>
      </c>
      <c r="E30" s="245" t="inlineStr">
        <is>
          <t>2011</t>
        </is>
      </c>
      <c r="F30" s="245" t="inlineStr">
        <is>
          <t>-60…100 °С</t>
        </is>
      </c>
      <c r="G30" s="245" t="inlineStr">
        <is>
          <t>±0,5 %</t>
        </is>
      </c>
      <c r="H30" s="243" t="inlineStr">
        <is>
          <t>Т нагретого воздуха</t>
        </is>
      </c>
      <c r="I30" s="245" t="inlineStr">
        <is>
          <t>ГПА 64 АВГМ</t>
        </is>
      </c>
      <c r="J30" s="243" t="inlineStr">
        <is>
          <t>АСУ,А и ТМ (КЦ № 6)</t>
        </is>
      </c>
      <c r="K30" s="243" t="inlineStr">
        <is>
          <t>2012</t>
        </is>
      </c>
      <c r="L30" s="243" t="inlineStr">
        <is>
          <t>24</t>
        </is>
      </c>
      <c r="M30" s="246" t="inlineStr"/>
      <c r="N30" s="245" t="inlineStr"/>
    </row>
    <row r="31" ht="15" customHeight="1" s="236">
      <c r="A31" s="243" t="n">
        <v>30</v>
      </c>
      <c r="B31" s="248" t="inlineStr">
        <is>
          <t>Термометр сопротивления</t>
        </is>
      </c>
      <c r="C31" s="245" t="inlineStr">
        <is>
          <t>ТСПУ-Л 22322 УХЛ3.1</t>
        </is>
      </c>
      <c r="D31" s="245" t="inlineStr">
        <is>
          <t>2</t>
        </is>
      </c>
      <c r="E31" s="245" t="inlineStr">
        <is>
          <t>2011</t>
        </is>
      </c>
      <c r="F31" s="245" t="inlineStr">
        <is>
          <t>-60…100 °С</t>
        </is>
      </c>
      <c r="G31" s="245" t="inlineStr">
        <is>
          <t>±0,5 %</t>
        </is>
      </c>
      <c r="H31" s="243" t="inlineStr">
        <is>
          <t>Тг на газовом счетчике</t>
        </is>
      </c>
      <c r="I31" s="245" t="inlineStr">
        <is>
          <t>ГПА 64 АВГМ</t>
        </is>
      </c>
      <c r="J31" s="243" t="inlineStr">
        <is>
          <t>АСУ,А и ТМ (КЦ № 6)</t>
        </is>
      </c>
      <c r="K31" s="243" t="inlineStr">
        <is>
          <t>2012</t>
        </is>
      </c>
      <c r="L31" s="243" t="inlineStr">
        <is>
          <t>24</t>
        </is>
      </c>
      <c r="M31" s="246" t="inlineStr"/>
      <c r="N31" s="245" t="inlineStr"/>
    </row>
    <row r="32" ht="15" customHeight="1" s="236">
      <c r="A32" s="243" t="n">
        <v>31</v>
      </c>
      <c r="B32" s="248" t="inlineStr">
        <is>
          <t>Термометр сопротивления</t>
        </is>
      </c>
      <c r="C32" s="245" t="inlineStr">
        <is>
          <t>ТСПУ-Л 22322 УХЛ3.1</t>
        </is>
      </c>
      <c r="D32" s="245" t="inlineStr">
        <is>
          <t>27</t>
        </is>
      </c>
      <c r="E32" s="245" t="inlineStr">
        <is>
          <t>2011</t>
        </is>
      </c>
      <c r="F32" s="245" t="inlineStr">
        <is>
          <t>-60…350 °С</t>
        </is>
      </c>
      <c r="G32" s="245" t="inlineStr">
        <is>
          <t>±0,5 %</t>
        </is>
      </c>
      <c r="H32" s="243" t="inlineStr">
        <is>
          <t>Т теплообменника 1</t>
        </is>
      </c>
      <c r="I32" s="245" t="inlineStr">
        <is>
          <t>ГПА 64 АВГМ</t>
        </is>
      </c>
      <c r="J32" s="243" t="inlineStr">
        <is>
          <t>АСУ,А и ТМ (КЦ № 6)</t>
        </is>
      </c>
      <c r="K32" s="243" t="inlineStr">
        <is>
          <t>2012</t>
        </is>
      </c>
      <c r="L32" s="243" t="inlineStr">
        <is>
          <t>24</t>
        </is>
      </c>
      <c r="M32" s="246" t="inlineStr"/>
      <c r="N32" s="245" t="inlineStr"/>
    </row>
    <row r="33" ht="15" customHeight="1" s="236">
      <c r="A33" s="243" t="n">
        <v>32</v>
      </c>
      <c r="B33" s="248" t="inlineStr">
        <is>
          <t>Термометр сопротивления</t>
        </is>
      </c>
      <c r="C33" s="245" t="inlineStr">
        <is>
          <t>ТСПУ-Л 22322 УХЛ3.1</t>
        </is>
      </c>
      <c r="D33" s="245" t="inlineStr">
        <is>
          <t>36</t>
        </is>
      </c>
      <c r="E33" s="245" t="inlineStr">
        <is>
          <t>2011</t>
        </is>
      </c>
      <c r="F33" s="245" t="inlineStr">
        <is>
          <t>-60…350 °С</t>
        </is>
      </c>
      <c r="G33" s="245" t="inlineStr">
        <is>
          <t>±0,5 %</t>
        </is>
      </c>
      <c r="H33" s="243" t="inlineStr">
        <is>
          <t>Т теплообменника 2</t>
        </is>
      </c>
      <c r="I33" s="245" t="inlineStr">
        <is>
          <t>ГПА 64 АВГМ</t>
        </is>
      </c>
      <c r="J33" s="243" t="inlineStr">
        <is>
          <t>АСУ,А и ТМ (КЦ № 6)</t>
        </is>
      </c>
      <c r="K33" s="243" t="inlineStr">
        <is>
          <t>2012</t>
        </is>
      </c>
      <c r="L33" s="243" t="inlineStr">
        <is>
          <t>24</t>
        </is>
      </c>
      <c r="M33" s="246" t="inlineStr"/>
      <c r="N33" s="245" t="inlineStr"/>
    </row>
    <row r="34" ht="15" customHeight="1" s="236">
      <c r="A34" s="243" t="n">
        <v>33</v>
      </c>
      <c r="B34" s="248" t="inlineStr">
        <is>
          <t>Термометр сопротивления</t>
        </is>
      </c>
      <c r="C34" s="245" t="inlineStr">
        <is>
          <t>ТСПУ-Л 22322 УХЛ3.1</t>
        </is>
      </c>
      <c r="D34" s="245" t="inlineStr">
        <is>
          <t>16</t>
        </is>
      </c>
      <c r="E34" s="245" t="inlineStr">
        <is>
          <t>2011</t>
        </is>
      </c>
      <c r="F34" s="245" t="inlineStr">
        <is>
          <t>-60…100 °С</t>
        </is>
      </c>
      <c r="G34" s="245" t="inlineStr">
        <is>
          <t>±0,5 %</t>
        </is>
      </c>
      <c r="H34" s="243" t="inlineStr">
        <is>
          <t>Тг на входе</t>
        </is>
      </c>
      <c r="I34" s="245" t="inlineStr">
        <is>
          <t>ГПА 64 АВГМ</t>
        </is>
      </c>
      <c r="J34" s="243" t="inlineStr">
        <is>
          <t>АСУ,А и ТМ (КЦ № 6)</t>
        </is>
      </c>
      <c r="K34" s="243" t="inlineStr">
        <is>
          <t>2012</t>
        </is>
      </c>
      <c r="L34" s="243" t="inlineStr">
        <is>
          <t>24</t>
        </is>
      </c>
      <c r="M34" s="246" t="inlineStr"/>
      <c r="N34" s="245" t="inlineStr"/>
    </row>
    <row r="35" ht="15" customHeight="1" s="236">
      <c r="A35" s="243" t="n">
        <v>34</v>
      </c>
      <c r="B35" s="248" t="inlineStr">
        <is>
          <t>Термометр сопротивления</t>
        </is>
      </c>
      <c r="C35" s="245" t="inlineStr">
        <is>
          <t>ТСПУ-Л 22322 УХЛ3.1</t>
        </is>
      </c>
      <c r="D35" s="245" t="inlineStr">
        <is>
          <t>12</t>
        </is>
      </c>
      <c r="E35" s="245" t="inlineStr">
        <is>
          <t>2011</t>
        </is>
      </c>
      <c r="F35" s="245" t="inlineStr">
        <is>
          <t>-60…100 °С</t>
        </is>
      </c>
      <c r="G35" s="245" t="inlineStr">
        <is>
          <t>±0,5 %</t>
        </is>
      </c>
      <c r="H35" s="243" t="inlineStr">
        <is>
          <t>Тв в секции обслуживания</t>
        </is>
      </c>
      <c r="I35" s="245" t="inlineStr">
        <is>
          <t>ГПА 64 АВГМ</t>
        </is>
      </c>
      <c r="J35" s="243" t="inlineStr">
        <is>
          <t>АСУ,А и ТМ (КЦ № 6)</t>
        </is>
      </c>
      <c r="K35" s="243" t="inlineStr">
        <is>
          <t>2012</t>
        </is>
      </c>
      <c r="L35" s="243" t="inlineStr">
        <is>
          <t>24</t>
        </is>
      </c>
      <c r="M35" s="246" t="inlineStr"/>
      <c r="N35" s="245" t="inlineStr"/>
    </row>
    <row r="36" ht="15" customHeight="1" s="236">
      <c r="A36" s="243" t="n">
        <v>35</v>
      </c>
      <c r="B36" s="244" t="inlineStr">
        <is>
          <t>Манометр технический</t>
        </is>
      </c>
      <c r="C36" s="245" t="inlineStr">
        <is>
          <t>МП4-УУ2</t>
        </is>
      </c>
      <c r="D36" s="245" t="inlineStr">
        <is>
          <t>15251</t>
        </is>
      </c>
      <c r="E36" s="245" t="inlineStr">
        <is>
          <t>2010</t>
        </is>
      </c>
      <c r="F36" s="245" t="inlineStr">
        <is>
          <t>0…0,6 кгс/см2</t>
        </is>
      </c>
      <c r="G36" s="245" t="inlineStr">
        <is>
          <t>1.5</t>
        </is>
      </c>
      <c r="H36" s="243" t="inlineStr">
        <is>
          <t>Р газа после счетчика АВГМ</t>
        </is>
      </c>
      <c r="I36" s="245" t="inlineStr">
        <is>
          <t>ГПА 64 АВГМ</t>
        </is>
      </c>
      <c r="J36" s="243" t="inlineStr">
        <is>
          <t>АСУ,А и ТМ (КЦ № 6)</t>
        </is>
      </c>
      <c r="K36" s="243" t="inlineStr">
        <is>
          <t>2012</t>
        </is>
      </c>
      <c r="L36" s="243" t="inlineStr">
        <is>
          <t>12</t>
        </is>
      </c>
      <c r="M36" s="246" t="inlineStr">
        <is>
          <t>1К26</t>
        </is>
      </c>
      <c r="N36" s="245" t="inlineStr">
        <is>
          <t>К</t>
        </is>
      </c>
    </row>
    <row r="37" ht="15" customHeight="1" s="236">
      <c r="A37" s="243" t="n">
        <v>36</v>
      </c>
      <c r="B37" s="244" t="inlineStr">
        <is>
          <t>Манометр технический</t>
        </is>
      </c>
      <c r="C37" s="245" t="inlineStr">
        <is>
          <t>ДМ8008-ВУ-У2</t>
        </is>
      </c>
      <c r="D37" s="245" t="inlineStr">
        <is>
          <t>15157</t>
        </is>
      </c>
      <c r="E37" s="245" t="inlineStr">
        <is>
          <t>2010</t>
        </is>
      </c>
      <c r="F37" s="245" t="inlineStr">
        <is>
          <t>0…6 кгс/см2</t>
        </is>
      </c>
      <c r="G37" s="245" t="inlineStr">
        <is>
          <t>1.5</t>
        </is>
      </c>
      <c r="H37" s="243" t="inlineStr">
        <is>
          <t>Р газа на входе АВГМ</t>
        </is>
      </c>
      <c r="I37" s="245" t="inlineStr">
        <is>
          <t>ГПА 64 АВГМ</t>
        </is>
      </c>
      <c r="J37" s="243" t="inlineStr">
        <is>
          <t>АСУ,А и ТМ (КЦ № 6)</t>
        </is>
      </c>
      <c r="K37" s="243" t="inlineStr">
        <is>
          <t>2012</t>
        </is>
      </c>
      <c r="L37" s="243" t="inlineStr">
        <is>
          <t>12</t>
        </is>
      </c>
      <c r="M37" s="246" t="inlineStr">
        <is>
          <t>1К26</t>
        </is>
      </c>
      <c r="N37" s="245" t="inlineStr">
        <is>
          <t>К</t>
        </is>
      </c>
    </row>
    <row r="38" ht="15" customFormat="1" customHeight="1" s="235">
      <c r="A38" s="243" t="n">
        <v>37</v>
      </c>
      <c r="B38" s="244" t="inlineStr">
        <is>
          <t>Контроль загазованности</t>
        </is>
      </c>
      <c r="C38" s="245" t="inlineStr">
        <is>
          <t>Det-Tronics (PIRECL 21M)</t>
        </is>
      </c>
      <c r="D38" s="245" t="inlineStr">
        <is>
          <t>1105278</t>
        </is>
      </c>
      <c r="E38" s="245" t="inlineStr">
        <is>
          <t>2011</t>
        </is>
      </c>
      <c r="F38" s="245" t="inlineStr"/>
      <c r="G38" s="245" t="inlineStr"/>
      <c r="H38" s="243" t="inlineStr">
        <is>
          <t>QT 701</t>
        </is>
      </c>
      <c r="I38" s="245" t="inlineStr">
        <is>
          <t>ГПА 64 АВГМ</t>
        </is>
      </c>
      <c r="J38" s="243" t="inlineStr">
        <is>
          <t>АСУ,А и ТМ (КЦ № 6)</t>
        </is>
      </c>
      <c r="K38" s="243" t="inlineStr">
        <is>
          <t>2012</t>
        </is>
      </c>
      <c r="L38" s="243" t="inlineStr"/>
      <c r="M38" s="246" t="inlineStr"/>
      <c r="N38" s="245" t="inlineStr"/>
    </row>
    <row r="39" ht="22.5" customHeight="1" s="236">
      <c r="A39" s="243" t="n">
        <v>38</v>
      </c>
      <c r="B39" s="244" t="inlineStr">
        <is>
          <t>Извещатель тепловой пожарный</t>
        </is>
      </c>
      <c r="C39" s="245" t="inlineStr">
        <is>
          <t>Fenwal 12-X27121-000</t>
        </is>
      </c>
      <c r="D39" s="245" t="inlineStr">
        <is>
          <t>1927</t>
        </is>
      </c>
      <c r="E39" s="245" t="inlineStr">
        <is>
          <t>2011</t>
        </is>
      </c>
      <c r="F39" s="245" t="inlineStr">
        <is>
          <t>-55…150 °С</t>
        </is>
      </c>
      <c r="G39" s="245" t="inlineStr"/>
      <c r="H39" s="243" t="inlineStr">
        <is>
          <t>BTK 501</t>
        </is>
      </c>
      <c r="I39" s="245" t="inlineStr">
        <is>
          <t>ГПА 64 АВГМ</t>
        </is>
      </c>
      <c r="J39" s="243" t="inlineStr">
        <is>
          <t>АСУ,А и ТМ (КЦ № 6)</t>
        </is>
      </c>
      <c r="K39" s="243" t="inlineStr">
        <is>
          <t>2012</t>
        </is>
      </c>
      <c r="L39" s="243" t="inlineStr"/>
      <c r="M39" s="246" t="inlineStr"/>
      <c r="N39" s="245" t="inlineStr"/>
    </row>
    <row r="40" ht="22.5" customHeight="1" s="236">
      <c r="A40" s="243" t="n">
        <v>39</v>
      </c>
      <c r="B40" s="244" t="inlineStr">
        <is>
          <t>Извещатель тепловой пожарный</t>
        </is>
      </c>
      <c r="C40" s="245" t="inlineStr">
        <is>
          <t>Fenwal 12-X27121-000</t>
        </is>
      </c>
      <c r="D40" s="245" t="inlineStr">
        <is>
          <t>1928</t>
        </is>
      </c>
      <c r="E40" s="245" t="inlineStr">
        <is>
          <t>2011</t>
        </is>
      </c>
      <c r="F40" s="245" t="inlineStr">
        <is>
          <t>-55…150 °С</t>
        </is>
      </c>
      <c r="G40" s="245" t="inlineStr"/>
      <c r="H40" s="243" t="inlineStr">
        <is>
          <t>BTK 502</t>
        </is>
      </c>
      <c r="I40" s="245" t="inlineStr">
        <is>
          <t>ГПА 64 АВГМ</t>
        </is>
      </c>
      <c r="J40" s="243" t="inlineStr">
        <is>
          <t>АСУ,А и ТМ (КЦ № 6)</t>
        </is>
      </c>
      <c r="K40" s="243" t="inlineStr">
        <is>
          <t>2012</t>
        </is>
      </c>
      <c r="L40" s="243" t="inlineStr"/>
      <c r="M40" s="246" t="inlineStr"/>
      <c r="N40" s="245" t="inlineStr"/>
    </row>
    <row r="41" ht="22.5" customHeight="1" s="236">
      <c r="A41" s="243" t="n">
        <v>40</v>
      </c>
      <c r="B41" s="244" t="inlineStr">
        <is>
          <t>Извещатель тепловой пожарный</t>
        </is>
      </c>
      <c r="C41" s="245" t="inlineStr">
        <is>
          <t>Fenwal 12-X27121-000</t>
        </is>
      </c>
      <c r="D41" s="245" t="inlineStr">
        <is>
          <t>1929</t>
        </is>
      </c>
      <c r="E41" s="245" t="inlineStr">
        <is>
          <t>2011</t>
        </is>
      </c>
      <c r="F41" s="245" t="inlineStr">
        <is>
          <t>-55…150 °С</t>
        </is>
      </c>
      <c r="G41" s="245" t="inlineStr"/>
      <c r="H41" s="243" t="inlineStr">
        <is>
          <t>BTK 503</t>
        </is>
      </c>
      <c r="I41" s="245" t="inlineStr">
        <is>
          <t>ГПА 64 АВГМ</t>
        </is>
      </c>
      <c r="J41" s="243" t="inlineStr">
        <is>
          <t>АСУ,А и ТМ (КЦ № 6)</t>
        </is>
      </c>
      <c r="K41" s="243" t="inlineStr">
        <is>
          <t>2012</t>
        </is>
      </c>
      <c r="L41" s="243" t="inlineStr"/>
      <c r="M41" s="246" t="inlineStr"/>
      <c r="N41" s="245" t="inlineStr"/>
    </row>
    <row r="42" ht="22.5" customHeight="1" s="236">
      <c r="A42" s="243" t="n">
        <v>41</v>
      </c>
      <c r="B42" s="249" t="inlineStr">
        <is>
          <t>Преобразователь избыточного давления</t>
        </is>
      </c>
      <c r="C42" s="245" t="inlineStr">
        <is>
          <t>Dunas LGW 3 A2</t>
        </is>
      </c>
      <c r="D42" s="245" t="inlineStr">
        <is>
          <t>СЕ-0085 АQ0673</t>
        </is>
      </c>
      <c r="E42" s="245" t="inlineStr"/>
      <c r="F42" s="245" t="inlineStr">
        <is>
          <t>0…500 мбар</t>
        </is>
      </c>
      <c r="G42" s="245" t="inlineStr"/>
      <c r="H42" s="243" t="inlineStr">
        <is>
          <t>Перепад давления</t>
        </is>
      </c>
      <c r="I42" s="245" t="inlineStr">
        <is>
          <t>ГПА 64 АВГМ</t>
        </is>
      </c>
      <c r="J42" s="243" t="inlineStr">
        <is>
          <t>АСУ,А и ТМ (КЦ № 6)</t>
        </is>
      </c>
      <c r="K42" s="243" t="inlineStr">
        <is>
          <t>2012</t>
        </is>
      </c>
      <c r="L42" s="243" t="inlineStr"/>
      <c r="M42" s="246" t="inlineStr"/>
      <c r="N42" s="245" t="inlineStr"/>
    </row>
    <row r="43" ht="22.5" customHeight="1" s="236">
      <c r="A43" s="243" t="n">
        <v>42</v>
      </c>
      <c r="B43" s="249" t="inlineStr">
        <is>
          <t>Преобразователь избыточного давления</t>
        </is>
      </c>
      <c r="C43" s="245" t="inlineStr">
        <is>
          <t>ПРОМА-ИДМ-(В)</t>
        </is>
      </c>
      <c r="D43" s="245" t="inlineStr">
        <is>
          <t>03-740</t>
        </is>
      </c>
      <c r="E43" s="245" t="inlineStr">
        <is>
          <t>2011</t>
        </is>
      </c>
      <c r="F43" s="245" t="inlineStr">
        <is>
          <t>0…1 кПа</t>
        </is>
      </c>
      <c r="G43" s="245" t="inlineStr"/>
      <c r="H43" s="243" t="inlineStr">
        <is>
          <t>Р воздуха на входе (датчик и прибор)</t>
        </is>
      </c>
      <c r="I43" s="245" t="inlineStr">
        <is>
          <t>ГПА 64 АВГМ</t>
        </is>
      </c>
      <c r="J43" s="243" t="inlineStr">
        <is>
          <t>АСУ,А и ТМ (КЦ № 6)</t>
        </is>
      </c>
      <c r="K43" s="243" t="inlineStr">
        <is>
          <t>2012</t>
        </is>
      </c>
      <c r="L43" s="243" t="inlineStr"/>
      <c r="M43" s="246" t="inlineStr"/>
      <c r="N43" s="245" t="inlineStr"/>
    </row>
    <row r="44" ht="22.5" customHeight="1" s="236">
      <c r="A44" s="243" t="n">
        <v>43</v>
      </c>
      <c r="B44" s="249" t="inlineStr">
        <is>
          <t>Преобразователь избыточного давления</t>
        </is>
      </c>
      <c r="C44" s="245" t="inlineStr">
        <is>
          <t>ДДМ-03-ДИ</t>
        </is>
      </c>
      <c r="D44" s="245" t="inlineStr">
        <is>
          <t>303054</t>
        </is>
      </c>
      <c r="E44" s="245" t="inlineStr"/>
      <c r="F44" s="245" t="inlineStr">
        <is>
          <t>0…40 кПа</t>
        </is>
      </c>
      <c r="G44" s="245" t="inlineStr"/>
      <c r="H44" s="243" t="inlineStr">
        <is>
          <t>Р газа полсе РД</t>
        </is>
      </c>
      <c r="I44" s="245" t="inlineStr">
        <is>
          <t>ГПА 64 АВГМ</t>
        </is>
      </c>
      <c r="J44" s="243" t="inlineStr">
        <is>
          <t>АСУ,А и ТМ (КЦ № 6)</t>
        </is>
      </c>
      <c r="K44" s="243" t="inlineStr">
        <is>
          <t>2012</t>
        </is>
      </c>
      <c r="L44" s="243" t="inlineStr"/>
      <c r="M44" s="246" t="inlineStr"/>
      <c r="N44" s="245" t="inlineStr"/>
    </row>
    <row r="45" ht="15" customHeight="1" s="236">
      <c r="A45" s="243" t="n">
        <v>44</v>
      </c>
      <c r="B45" s="248" t="inlineStr">
        <is>
          <t>Счетчик газа</t>
        </is>
      </c>
      <c r="C45" s="245" t="inlineStr">
        <is>
          <t>Elster ПГТИ G65</t>
        </is>
      </c>
      <c r="D45" s="245" t="inlineStr">
        <is>
          <t>11035111</t>
        </is>
      </c>
      <c r="E45" s="245" t="inlineStr">
        <is>
          <t>2011</t>
        </is>
      </c>
      <c r="F45" s="245" t="inlineStr">
        <is>
          <t>3…100 м3/ч</t>
        </is>
      </c>
      <c r="G45" s="245" t="inlineStr"/>
      <c r="H45" s="243" t="inlineStr">
        <is>
          <t>Счетчик газа</t>
        </is>
      </c>
      <c r="I45" s="245" t="inlineStr">
        <is>
          <t>ГПА 64 АВГМ</t>
        </is>
      </c>
      <c r="J45" s="243" t="inlineStr">
        <is>
          <t>АСУ,А и ТМ (КЦ № 6)</t>
        </is>
      </c>
      <c r="K45" s="243" t="inlineStr">
        <is>
          <t>2012</t>
        </is>
      </c>
      <c r="L45" s="243" t="inlineStr"/>
      <c r="M45" s="246" t="inlineStr"/>
      <c r="N45" s="245" t="inlineStr"/>
    </row>
    <row r="46" ht="15" customHeight="1" s="236">
      <c r="A46" s="243" t="n">
        <v>45</v>
      </c>
      <c r="B46" s="244" t="inlineStr">
        <is>
          <t>Манометр технический</t>
        </is>
      </c>
      <c r="C46" s="245" t="inlineStr">
        <is>
          <t>МП3-УУХЛ1</t>
        </is>
      </c>
      <c r="D46" s="245" t="inlineStr">
        <is>
          <t>15256</t>
        </is>
      </c>
      <c r="E46" s="245" t="inlineStr">
        <is>
          <t>2010</t>
        </is>
      </c>
      <c r="F46" s="245" t="inlineStr">
        <is>
          <t>0…160 кгс/см2</t>
        </is>
      </c>
      <c r="G46" s="245" t="inlineStr">
        <is>
          <t>1.5</t>
        </is>
      </c>
      <c r="H46" s="243" t="inlineStr">
        <is>
          <t>Р газа 1 секции</t>
        </is>
      </c>
      <c r="I46" s="245" t="inlineStr">
        <is>
          <t>ГПА 64 АВОГ</t>
        </is>
      </c>
      <c r="J46" s="243" t="inlineStr">
        <is>
          <t>АСУ,А и ТМ (КЦ № 6)</t>
        </is>
      </c>
      <c r="K46" s="243" t="inlineStr">
        <is>
          <t>2012</t>
        </is>
      </c>
      <c r="L46" s="243" t="inlineStr">
        <is>
          <t>12</t>
        </is>
      </c>
      <c r="M46" s="246" t="inlineStr">
        <is>
          <t>1К26</t>
        </is>
      </c>
      <c r="N46" s="245" t="inlineStr">
        <is>
          <t>К</t>
        </is>
      </c>
    </row>
    <row r="47" ht="15" customHeight="1" s="236">
      <c r="A47" s="243" t="n">
        <v>46</v>
      </c>
      <c r="B47" s="244" t="inlineStr">
        <is>
          <t>Манометр технический</t>
        </is>
      </c>
      <c r="C47" s="245" t="inlineStr">
        <is>
          <t>МП3-УУХЛ1</t>
        </is>
      </c>
      <c r="D47" s="245" t="inlineStr">
        <is>
          <t>15261</t>
        </is>
      </c>
      <c r="E47" s="245" t="inlineStr">
        <is>
          <t>2010</t>
        </is>
      </c>
      <c r="F47" s="245" t="inlineStr">
        <is>
          <t>0…160 кгс/см3</t>
        </is>
      </c>
      <c r="G47" s="245" t="inlineStr">
        <is>
          <t>1.5</t>
        </is>
      </c>
      <c r="H47" s="243" t="inlineStr">
        <is>
          <t>Р газа 2 секции</t>
        </is>
      </c>
      <c r="I47" s="245" t="inlineStr">
        <is>
          <t>ГПА 64 АВОГ</t>
        </is>
      </c>
      <c r="J47" s="243" t="inlineStr">
        <is>
          <t>АСУ,А и ТМ (КЦ № 6)</t>
        </is>
      </c>
      <c r="K47" s="243" t="inlineStr">
        <is>
          <t>2012</t>
        </is>
      </c>
      <c r="L47" s="243" t="inlineStr">
        <is>
          <t>12</t>
        </is>
      </c>
      <c r="M47" s="246" t="inlineStr">
        <is>
          <t>1К26</t>
        </is>
      </c>
      <c r="N47" s="245" t="inlineStr">
        <is>
          <t>К</t>
        </is>
      </c>
    </row>
    <row r="48" ht="15" customHeight="1" s="236">
      <c r="A48" s="243" t="n">
        <v>47</v>
      </c>
      <c r="B48" s="244" t="inlineStr">
        <is>
          <t>Манометр технический</t>
        </is>
      </c>
      <c r="C48" s="245" t="inlineStr">
        <is>
          <t>МП3-УУХЛ1</t>
        </is>
      </c>
      <c r="D48" s="245" t="inlineStr">
        <is>
          <t>15240</t>
        </is>
      </c>
      <c r="E48" s="245" t="inlineStr">
        <is>
          <t>2010</t>
        </is>
      </c>
      <c r="F48" s="245" t="inlineStr">
        <is>
          <t>0…160 кгс/см4</t>
        </is>
      </c>
      <c r="G48" s="245" t="inlineStr">
        <is>
          <t>1.5</t>
        </is>
      </c>
      <c r="H48" s="243" t="inlineStr">
        <is>
          <t>Р газа 3 секции</t>
        </is>
      </c>
      <c r="I48" s="245" t="inlineStr">
        <is>
          <t>ГПА 64 АВОГ</t>
        </is>
      </c>
      <c r="J48" s="243" t="inlineStr">
        <is>
          <t>АСУ,А и ТМ (КЦ № 6)</t>
        </is>
      </c>
      <c r="K48" s="243" t="inlineStr">
        <is>
          <t>2012</t>
        </is>
      </c>
      <c r="L48" s="243" t="inlineStr">
        <is>
          <t>12</t>
        </is>
      </c>
      <c r="M48" s="246" t="inlineStr">
        <is>
          <t>1К26</t>
        </is>
      </c>
      <c r="N48" s="245" t="inlineStr">
        <is>
          <t>К</t>
        </is>
      </c>
    </row>
    <row r="49" ht="15" customHeight="1" s="236">
      <c r="A49" s="243" t="n">
        <v>48</v>
      </c>
      <c r="B49" s="244" t="inlineStr">
        <is>
          <t>Манометр технический</t>
        </is>
      </c>
      <c r="C49" s="245" t="inlineStr">
        <is>
          <t>МП3-УУХЛ1</t>
        </is>
      </c>
      <c r="D49" s="245" t="inlineStr">
        <is>
          <t>15203</t>
        </is>
      </c>
      <c r="E49" s="245" t="inlineStr">
        <is>
          <t>2010</t>
        </is>
      </c>
      <c r="F49" s="245" t="inlineStr">
        <is>
          <t>0…160 кгс/см5</t>
        </is>
      </c>
      <c r="G49" s="245" t="inlineStr">
        <is>
          <t>1.5</t>
        </is>
      </c>
      <c r="H49" s="243" t="inlineStr">
        <is>
          <t>Р газа 4 секции</t>
        </is>
      </c>
      <c r="I49" s="245" t="inlineStr">
        <is>
          <t>ГПА 64 АВОГ</t>
        </is>
      </c>
      <c r="J49" s="243" t="inlineStr">
        <is>
          <t>АСУ,А и ТМ (КЦ № 6)</t>
        </is>
      </c>
      <c r="K49" s="243" t="inlineStr">
        <is>
          <t>2012</t>
        </is>
      </c>
      <c r="L49" s="243" t="inlineStr">
        <is>
          <t>12</t>
        </is>
      </c>
      <c r="M49" s="246" t="inlineStr">
        <is>
          <t>1К26</t>
        </is>
      </c>
      <c r="N49" s="245" t="inlineStr">
        <is>
          <t>К</t>
        </is>
      </c>
    </row>
    <row r="50" ht="15" customHeight="1" s="236">
      <c r="A50" s="243" t="n">
        <v>49</v>
      </c>
      <c r="B50" s="244" t="inlineStr">
        <is>
          <t>Манометр технический</t>
        </is>
      </c>
      <c r="C50" s="245" t="inlineStr">
        <is>
          <t>МП3-УУХЛ1</t>
        </is>
      </c>
      <c r="D50" s="245" t="inlineStr">
        <is>
          <t>15210</t>
        </is>
      </c>
      <c r="E50" s="245" t="inlineStr">
        <is>
          <t>2010</t>
        </is>
      </c>
      <c r="F50" s="245" t="inlineStr">
        <is>
          <t>0…160 кгс/см6</t>
        </is>
      </c>
      <c r="G50" s="245" t="inlineStr">
        <is>
          <t>1.5</t>
        </is>
      </c>
      <c r="H50" s="243" t="inlineStr">
        <is>
          <t>Р газа 5 секции</t>
        </is>
      </c>
      <c r="I50" s="245" t="inlineStr">
        <is>
          <t>ГПА 64 АВОГ</t>
        </is>
      </c>
      <c r="J50" s="243" t="inlineStr">
        <is>
          <t>АСУ,А и ТМ (КЦ № 6)</t>
        </is>
      </c>
      <c r="K50" s="243" t="inlineStr">
        <is>
          <t>2012</t>
        </is>
      </c>
      <c r="L50" s="243" t="inlineStr">
        <is>
          <t>12</t>
        </is>
      </c>
      <c r="M50" s="246" t="inlineStr">
        <is>
          <t>1К26</t>
        </is>
      </c>
      <c r="N50" s="245" t="inlineStr">
        <is>
          <t>К</t>
        </is>
      </c>
    </row>
    <row r="51" ht="15" customHeight="1" s="236">
      <c r="A51" s="243" t="n">
        <v>50</v>
      </c>
      <c r="B51" s="244" t="inlineStr">
        <is>
          <t>Манометр технический</t>
        </is>
      </c>
      <c r="C51" s="245" t="inlineStr">
        <is>
          <t>МП3-УУХЛ1</t>
        </is>
      </c>
      <c r="D51" s="245" t="inlineStr">
        <is>
          <t>15219</t>
        </is>
      </c>
      <c r="E51" s="245" t="inlineStr">
        <is>
          <t>2010</t>
        </is>
      </c>
      <c r="F51" s="245" t="inlineStr">
        <is>
          <t>0…160 кгс/см7</t>
        </is>
      </c>
      <c r="G51" s="245" t="inlineStr">
        <is>
          <t>1.5</t>
        </is>
      </c>
      <c r="H51" s="243" t="inlineStr">
        <is>
          <t>Р газа 6 секции</t>
        </is>
      </c>
      <c r="I51" s="245" t="inlineStr">
        <is>
          <t>ГПА 64 АВОГ</t>
        </is>
      </c>
      <c r="J51" s="243" t="inlineStr">
        <is>
          <t>АСУ,А и ТМ (КЦ № 6)</t>
        </is>
      </c>
      <c r="K51" s="243" t="inlineStr">
        <is>
          <t>2012</t>
        </is>
      </c>
      <c r="L51" s="243" t="inlineStr">
        <is>
          <t>12</t>
        </is>
      </c>
      <c r="M51" s="246" t="inlineStr">
        <is>
          <t>1К26</t>
        </is>
      </c>
      <c r="N51" s="245" t="inlineStr">
        <is>
          <t>К</t>
        </is>
      </c>
    </row>
    <row r="52" ht="15" customHeight="1" s="236">
      <c r="A52" s="243" t="n">
        <v>51</v>
      </c>
      <c r="B52" s="244" t="inlineStr">
        <is>
          <t>Манометр технический</t>
        </is>
      </c>
      <c r="C52" s="245" t="inlineStr">
        <is>
          <t>МП3-УУХЛ1</t>
        </is>
      </c>
      <c r="D52" s="245" t="inlineStr">
        <is>
          <t>15223</t>
        </is>
      </c>
      <c r="E52" s="245" t="inlineStr">
        <is>
          <t>2010</t>
        </is>
      </c>
      <c r="F52" s="245" t="inlineStr">
        <is>
          <t>0…160 кгс/см8</t>
        </is>
      </c>
      <c r="G52" s="245" t="inlineStr">
        <is>
          <t>1.5</t>
        </is>
      </c>
      <c r="H52" s="243" t="inlineStr">
        <is>
          <t>Р газа 7 секции</t>
        </is>
      </c>
      <c r="I52" s="245" t="inlineStr">
        <is>
          <t>ГПА 64 АВОГ</t>
        </is>
      </c>
      <c r="J52" s="243" t="inlineStr">
        <is>
          <t>АСУ,А и ТМ (КЦ № 6)</t>
        </is>
      </c>
      <c r="K52" s="243" t="inlineStr">
        <is>
          <t>2012</t>
        </is>
      </c>
      <c r="L52" s="243" t="inlineStr">
        <is>
          <t>12</t>
        </is>
      </c>
      <c r="M52" s="246" t="inlineStr">
        <is>
          <t>1К26</t>
        </is>
      </c>
      <c r="N52" s="245" t="inlineStr">
        <is>
          <t>К</t>
        </is>
      </c>
    </row>
    <row r="53" ht="15" customHeight="1" s="236">
      <c r="A53" s="243" t="n">
        <v>52</v>
      </c>
      <c r="B53" s="244" t="inlineStr">
        <is>
          <t>Манометр технический</t>
        </is>
      </c>
      <c r="C53" s="245" t="inlineStr">
        <is>
          <t>МП3-УУХЛ1</t>
        </is>
      </c>
      <c r="D53" s="245" t="inlineStr">
        <is>
          <t>15265</t>
        </is>
      </c>
      <c r="E53" s="245" t="inlineStr">
        <is>
          <t>2010</t>
        </is>
      </c>
      <c r="F53" s="245" t="inlineStr">
        <is>
          <t>0…160 кгс/см9</t>
        </is>
      </c>
      <c r="G53" s="245" t="inlineStr">
        <is>
          <t>1.5</t>
        </is>
      </c>
      <c r="H53" s="243" t="inlineStr">
        <is>
          <t>Р газа 8 секции</t>
        </is>
      </c>
      <c r="I53" s="245" t="inlineStr">
        <is>
          <t>ГПА 64 АВОГ</t>
        </is>
      </c>
      <c r="J53" s="243" t="inlineStr">
        <is>
          <t>АСУ,А и ТМ (КЦ № 6)</t>
        </is>
      </c>
      <c r="K53" s="243" t="inlineStr">
        <is>
          <t>2012</t>
        </is>
      </c>
      <c r="L53" s="243" t="inlineStr">
        <is>
          <t>12</t>
        </is>
      </c>
      <c r="M53" s="246" t="inlineStr">
        <is>
          <t>1К26</t>
        </is>
      </c>
      <c r="N53" s="245" t="inlineStr">
        <is>
          <t>К</t>
        </is>
      </c>
    </row>
    <row r="54" ht="15" customHeight="1" s="236">
      <c r="A54" s="243" t="n">
        <v>53</v>
      </c>
      <c r="B54" s="248" t="inlineStr">
        <is>
          <t>Термометр биметаллический</t>
        </is>
      </c>
      <c r="C54" s="245" t="inlineStr">
        <is>
          <t>ТБ-2</t>
        </is>
      </c>
      <c r="D54" s="245" t="inlineStr">
        <is>
          <t>751</t>
        </is>
      </c>
      <c r="E54" s="245" t="inlineStr">
        <is>
          <t>2010</t>
        </is>
      </c>
      <c r="F54" s="245" t="inlineStr">
        <is>
          <t>­50…100 °C</t>
        </is>
      </c>
      <c r="G54" s="245" t="inlineStr">
        <is>
          <t>1</t>
        </is>
      </c>
      <c r="H54" s="243" t="inlineStr">
        <is>
          <t>Тг на выходе 1 секции АВО</t>
        </is>
      </c>
      <c r="I54" s="245" t="inlineStr">
        <is>
          <t>ГПА 64 АВОГ</t>
        </is>
      </c>
      <c r="J54" s="243" t="inlineStr">
        <is>
          <t>АСУ,А и ТМ (КЦ № 6)</t>
        </is>
      </c>
      <c r="K54" s="243" t="inlineStr">
        <is>
          <t>2012</t>
        </is>
      </c>
      <c r="L54" s="243" t="inlineStr">
        <is>
          <t>24</t>
        </is>
      </c>
      <c r="M54" s="246" t="inlineStr">
        <is>
          <t>3К26</t>
        </is>
      </c>
      <c r="N54" s="245" t="inlineStr">
        <is>
          <t>К</t>
        </is>
      </c>
    </row>
    <row r="55" ht="15" customHeight="1" s="236">
      <c r="A55" s="243" t="n">
        <v>54</v>
      </c>
      <c r="B55" s="248" t="inlineStr">
        <is>
          <t>Термометр биметаллический</t>
        </is>
      </c>
      <c r="C55" s="245" t="inlineStr">
        <is>
          <t>ТБ-2</t>
        </is>
      </c>
      <c r="D55" s="245" t="inlineStr">
        <is>
          <t>755</t>
        </is>
      </c>
      <c r="E55" s="245" t="inlineStr">
        <is>
          <t>2010</t>
        </is>
      </c>
      <c r="F55" s="245" t="inlineStr">
        <is>
          <t>­50…100 °C</t>
        </is>
      </c>
      <c r="G55" s="245" t="inlineStr">
        <is>
          <t>1</t>
        </is>
      </c>
      <c r="H55" s="243" t="inlineStr">
        <is>
          <t>Тг на выходе 2 секции АВО</t>
        </is>
      </c>
      <c r="I55" s="245" t="inlineStr">
        <is>
          <t>ГПА 64 АВОГ</t>
        </is>
      </c>
      <c r="J55" s="243" t="inlineStr">
        <is>
          <t>АСУ,А и ТМ (КЦ № 6)</t>
        </is>
      </c>
      <c r="K55" s="243" t="inlineStr">
        <is>
          <t>2012</t>
        </is>
      </c>
      <c r="L55" s="243" t="inlineStr">
        <is>
          <t>24</t>
        </is>
      </c>
      <c r="M55" s="246" t="inlineStr">
        <is>
          <t>3К26</t>
        </is>
      </c>
      <c r="N55" s="245" t="inlineStr">
        <is>
          <t>К</t>
        </is>
      </c>
    </row>
    <row r="56" ht="15" customHeight="1" s="236">
      <c r="A56" s="243" t="n">
        <v>55</v>
      </c>
      <c r="B56" s="248" t="inlineStr">
        <is>
          <t>Термометр биметаллический</t>
        </is>
      </c>
      <c r="C56" s="245" t="inlineStr">
        <is>
          <t>ТБ-2</t>
        </is>
      </c>
      <c r="D56" s="245" t="inlineStr">
        <is>
          <t>761</t>
        </is>
      </c>
      <c r="E56" s="245" t="inlineStr">
        <is>
          <t>2010</t>
        </is>
      </c>
      <c r="F56" s="245" t="inlineStr">
        <is>
          <t>­50…100 °C</t>
        </is>
      </c>
      <c r="G56" s="245" t="inlineStr">
        <is>
          <t>1</t>
        </is>
      </c>
      <c r="H56" s="243" t="inlineStr">
        <is>
          <t>Тг на выходе 3 секции АВО</t>
        </is>
      </c>
      <c r="I56" s="245" t="inlineStr">
        <is>
          <t>ГПА 64 АВОГ</t>
        </is>
      </c>
      <c r="J56" s="243" t="inlineStr">
        <is>
          <t>АСУ,А и ТМ (КЦ № 6)</t>
        </is>
      </c>
      <c r="K56" s="243" t="inlineStr">
        <is>
          <t>2012</t>
        </is>
      </c>
      <c r="L56" s="243" t="inlineStr">
        <is>
          <t>24</t>
        </is>
      </c>
      <c r="M56" s="246" t="inlineStr">
        <is>
          <t>3К26</t>
        </is>
      </c>
      <c r="N56" s="245" t="inlineStr">
        <is>
          <t>К</t>
        </is>
      </c>
    </row>
    <row r="57" ht="15" customHeight="1" s="236">
      <c r="A57" s="243" t="n">
        <v>56</v>
      </c>
      <c r="B57" s="248" t="inlineStr">
        <is>
          <t>Термометр биметаллический</t>
        </is>
      </c>
      <c r="C57" s="245" t="inlineStr">
        <is>
          <t>ТБ-2</t>
        </is>
      </c>
      <c r="D57" s="245" t="inlineStr">
        <is>
          <t>832</t>
        </is>
      </c>
      <c r="E57" s="245" t="inlineStr">
        <is>
          <t>2010</t>
        </is>
      </c>
      <c r="F57" s="245" t="inlineStr">
        <is>
          <t>­50…100 °C</t>
        </is>
      </c>
      <c r="G57" s="245" t="inlineStr">
        <is>
          <t>1</t>
        </is>
      </c>
      <c r="H57" s="243" t="inlineStr">
        <is>
          <t>Тг на выходе 4 секции АВО</t>
        </is>
      </c>
      <c r="I57" s="245" t="inlineStr">
        <is>
          <t>ГПА 64 АВОГ</t>
        </is>
      </c>
      <c r="J57" s="243" t="inlineStr">
        <is>
          <t>АСУ,А и ТМ (КЦ № 6)</t>
        </is>
      </c>
      <c r="K57" s="243" t="inlineStr">
        <is>
          <t>2012</t>
        </is>
      </c>
      <c r="L57" s="243" t="inlineStr">
        <is>
          <t>24</t>
        </is>
      </c>
      <c r="M57" s="246" t="inlineStr">
        <is>
          <t>3К26</t>
        </is>
      </c>
      <c r="N57" s="245" t="inlineStr">
        <is>
          <t>К</t>
        </is>
      </c>
    </row>
    <row r="58" ht="15" customHeight="1" s="236">
      <c r="A58" s="243" t="n">
        <v>57</v>
      </c>
      <c r="B58" s="248" t="inlineStr">
        <is>
          <t>Термометр биметаллический</t>
        </is>
      </c>
      <c r="C58" s="245" t="inlineStr">
        <is>
          <t>ТБ-2</t>
        </is>
      </c>
      <c r="D58" s="245" t="inlineStr">
        <is>
          <t>781</t>
        </is>
      </c>
      <c r="E58" s="245" t="inlineStr">
        <is>
          <t>2010</t>
        </is>
      </c>
      <c r="F58" s="245" t="inlineStr">
        <is>
          <t>­50…100 °C</t>
        </is>
      </c>
      <c r="G58" s="245" t="inlineStr">
        <is>
          <t>1</t>
        </is>
      </c>
      <c r="H58" s="243" t="inlineStr">
        <is>
          <t>Тг на выходе 5 секции АВО</t>
        </is>
      </c>
      <c r="I58" s="245" t="inlineStr">
        <is>
          <t>ГПА 64 АВОГ</t>
        </is>
      </c>
      <c r="J58" s="243" t="inlineStr">
        <is>
          <t>АСУ,А и ТМ (КЦ № 6)</t>
        </is>
      </c>
      <c r="K58" s="243" t="inlineStr">
        <is>
          <t>2012</t>
        </is>
      </c>
      <c r="L58" s="243" t="inlineStr">
        <is>
          <t>24</t>
        </is>
      </c>
      <c r="M58" s="246" t="inlineStr">
        <is>
          <t>3К26</t>
        </is>
      </c>
      <c r="N58" s="245" t="inlineStr">
        <is>
          <t>К</t>
        </is>
      </c>
    </row>
    <row r="59" ht="15" customHeight="1" s="236">
      <c r="A59" s="243" t="n">
        <v>58</v>
      </c>
      <c r="B59" s="248" t="inlineStr">
        <is>
          <t>Термометр биметаллический</t>
        </is>
      </c>
      <c r="C59" s="245" t="inlineStr">
        <is>
          <t>ТБ-2</t>
        </is>
      </c>
      <c r="D59" s="245" t="inlineStr">
        <is>
          <t>783</t>
        </is>
      </c>
      <c r="E59" s="245" t="inlineStr">
        <is>
          <t>2010</t>
        </is>
      </c>
      <c r="F59" s="245" t="inlineStr">
        <is>
          <t>­50…100 °C</t>
        </is>
      </c>
      <c r="G59" s="245" t="inlineStr">
        <is>
          <t>1</t>
        </is>
      </c>
      <c r="H59" s="243" t="inlineStr">
        <is>
          <t>Тг на выходе 6 секции АВО</t>
        </is>
      </c>
      <c r="I59" s="245" t="inlineStr">
        <is>
          <t>ГПА 64 АВОГ</t>
        </is>
      </c>
      <c r="J59" s="243" t="inlineStr">
        <is>
          <t>АСУ,А и ТМ (КЦ № 6)</t>
        </is>
      </c>
      <c r="K59" s="243" t="inlineStr">
        <is>
          <t>2012</t>
        </is>
      </c>
      <c r="L59" s="243" t="inlineStr">
        <is>
          <t>24</t>
        </is>
      </c>
      <c r="M59" s="246" t="inlineStr">
        <is>
          <t>3К26</t>
        </is>
      </c>
      <c r="N59" s="245" t="inlineStr">
        <is>
          <t>К</t>
        </is>
      </c>
    </row>
    <row r="60" ht="15" customHeight="1" s="236">
      <c r="A60" s="243" t="n">
        <v>59</v>
      </c>
      <c r="B60" s="248" t="inlineStr">
        <is>
          <t>Термометр биметаллический</t>
        </is>
      </c>
      <c r="C60" s="245" t="inlineStr">
        <is>
          <t>ТБ-2</t>
        </is>
      </c>
      <c r="D60" s="245" t="inlineStr">
        <is>
          <t>785</t>
        </is>
      </c>
      <c r="E60" s="245" t="inlineStr">
        <is>
          <t>2010</t>
        </is>
      </c>
      <c r="F60" s="245" t="inlineStr">
        <is>
          <t>­50…100 °C</t>
        </is>
      </c>
      <c r="G60" s="245" t="inlineStr">
        <is>
          <t>1</t>
        </is>
      </c>
      <c r="H60" s="243" t="inlineStr">
        <is>
          <t>Тг на выходе 7 секции АВО</t>
        </is>
      </c>
      <c r="I60" s="245" t="inlineStr">
        <is>
          <t>ГПА 64 АВОГ</t>
        </is>
      </c>
      <c r="J60" s="243" t="inlineStr">
        <is>
          <t>АСУ,А и ТМ (КЦ № 6)</t>
        </is>
      </c>
      <c r="K60" s="243" t="inlineStr">
        <is>
          <t>2012</t>
        </is>
      </c>
      <c r="L60" s="243" t="inlineStr">
        <is>
          <t>24</t>
        </is>
      </c>
      <c r="M60" s="246" t="inlineStr">
        <is>
          <t>3К26</t>
        </is>
      </c>
      <c r="N60" s="245" t="inlineStr">
        <is>
          <t>К</t>
        </is>
      </c>
    </row>
    <row r="61" ht="15" customHeight="1" s="236">
      <c r="A61" s="243" t="n">
        <v>60</v>
      </c>
      <c r="B61" s="248" t="inlineStr">
        <is>
          <t>Термометр биметаллический</t>
        </is>
      </c>
      <c r="C61" s="245" t="inlineStr">
        <is>
          <t>ТБ-2</t>
        </is>
      </c>
      <c r="D61" s="245" t="inlineStr">
        <is>
          <t>818</t>
        </is>
      </c>
      <c r="E61" s="245" t="inlineStr">
        <is>
          <t>2010</t>
        </is>
      </c>
      <c r="F61" s="245" t="inlineStr">
        <is>
          <t>­50…100 °C</t>
        </is>
      </c>
      <c r="G61" s="245" t="inlineStr">
        <is>
          <t>1</t>
        </is>
      </c>
      <c r="H61" s="243" t="inlineStr">
        <is>
          <t>Тг на выходе 8 секции АВО</t>
        </is>
      </c>
      <c r="I61" s="245" t="inlineStr">
        <is>
          <t>ГПА 64 АВОГ</t>
        </is>
      </c>
      <c r="J61" s="243" t="inlineStr">
        <is>
          <t>АСУ,А и ТМ (КЦ № 6)</t>
        </is>
      </c>
      <c r="K61" s="243" t="inlineStr">
        <is>
          <t>2012</t>
        </is>
      </c>
      <c r="L61" s="243" t="inlineStr">
        <is>
          <t>24</t>
        </is>
      </c>
      <c r="M61" s="246" t="inlineStr">
        <is>
          <t>3К26</t>
        </is>
      </c>
      <c r="N61" s="245" t="inlineStr">
        <is>
          <t>К</t>
        </is>
      </c>
    </row>
    <row r="62" ht="15" customHeight="1" s="236">
      <c r="A62" s="243" t="n">
        <v>61</v>
      </c>
      <c r="B62" s="244" t="inlineStr">
        <is>
          <t>Манометр технический</t>
        </is>
      </c>
      <c r="C62" s="245" t="inlineStr">
        <is>
          <t>МП4-УУ2</t>
        </is>
      </c>
      <c r="D62" s="245" t="inlineStr">
        <is>
          <t>80360</t>
        </is>
      </c>
      <c r="E62" s="245" t="inlineStr">
        <is>
          <t>2010</t>
        </is>
      </c>
      <c r="F62" s="245" t="inlineStr">
        <is>
          <t>0…160 кгс/см2</t>
        </is>
      </c>
      <c r="G62" s="245" t="inlineStr">
        <is>
          <t>1.5</t>
        </is>
      </c>
      <c r="H62" s="243" t="inlineStr">
        <is>
          <t>Р газа на входе АВО</t>
        </is>
      </c>
      <c r="I62" s="245" t="inlineStr">
        <is>
          <t>ГПА 64 АВОГ</t>
        </is>
      </c>
      <c r="J62" s="243" t="inlineStr">
        <is>
          <t>АСУ,А и ТМ (КЦ № 6)</t>
        </is>
      </c>
      <c r="K62" s="243" t="inlineStr">
        <is>
          <t>2012</t>
        </is>
      </c>
      <c r="L62" s="243" t="inlineStr">
        <is>
          <t>12</t>
        </is>
      </c>
      <c r="M62" s="246" t="inlineStr">
        <is>
          <t>1К26</t>
        </is>
      </c>
      <c r="N62" s="245" t="inlineStr">
        <is>
          <t>К</t>
        </is>
      </c>
    </row>
    <row r="63" ht="15" customHeight="1" s="236">
      <c r="A63" s="243" t="n">
        <v>62</v>
      </c>
      <c r="B63" s="244" t="inlineStr">
        <is>
          <t>Манометр технический</t>
        </is>
      </c>
      <c r="C63" s="245" t="inlineStr">
        <is>
          <t>МП4-УУ2</t>
        </is>
      </c>
      <c r="D63" s="245" t="inlineStr">
        <is>
          <t>15142</t>
        </is>
      </c>
      <c r="E63" s="245" t="inlineStr">
        <is>
          <t>2010</t>
        </is>
      </c>
      <c r="F63" s="245" t="inlineStr">
        <is>
          <t>0…160 кгс/см3</t>
        </is>
      </c>
      <c r="G63" s="245" t="inlineStr">
        <is>
          <t>1.5</t>
        </is>
      </c>
      <c r="H63" s="243" t="inlineStr">
        <is>
          <t>Р газа на выходе АВО</t>
        </is>
      </c>
      <c r="I63" s="245" t="inlineStr">
        <is>
          <t>ГПА 64 АВОГ</t>
        </is>
      </c>
      <c r="J63" s="243" t="inlineStr">
        <is>
          <t>АСУ,А и ТМ (КЦ № 6)</t>
        </is>
      </c>
      <c r="K63" s="243" t="inlineStr">
        <is>
          <t>2012</t>
        </is>
      </c>
      <c r="L63" s="243" t="inlineStr">
        <is>
          <t>12</t>
        </is>
      </c>
      <c r="M63" s="246" t="inlineStr">
        <is>
          <t>1К26</t>
        </is>
      </c>
      <c r="N63" s="245" t="inlineStr">
        <is>
          <t>К</t>
        </is>
      </c>
    </row>
    <row r="64" ht="15" customHeight="1" s="236">
      <c r="A64" s="243" t="n">
        <v>63</v>
      </c>
      <c r="B64" s="244" t="inlineStr">
        <is>
          <t>Манометр технический</t>
        </is>
      </c>
      <c r="C64" s="245" t="inlineStr">
        <is>
          <t>МП4-УУ2</t>
        </is>
      </c>
      <c r="D64" s="245" t="inlineStr">
        <is>
          <t>15116</t>
        </is>
      </c>
      <c r="E64" s="245" t="inlineStr">
        <is>
          <t>2010</t>
        </is>
      </c>
      <c r="F64" s="245" t="inlineStr">
        <is>
          <t>0…16 кгс/см2</t>
        </is>
      </c>
      <c r="G64" s="245" t="inlineStr">
        <is>
          <t>1.5</t>
        </is>
      </c>
      <c r="H64" s="243" t="inlineStr">
        <is>
          <t>Р имп. воздуха кр. 6к</t>
        </is>
      </c>
      <c r="I64" s="245" t="inlineStr">
        <is>
          <t>ГПА 64 АВОГ</t>
        </is>
      </c>
      <c r="J64" s="243" t="inlineStr">
        <is>
          <t>АСУ,А и ТМ (КЦ № 6)</t>
        </is>
      </c>
      <c r="K64" s="243" t="inlineStr">
        <is>
          <t>2012</t>
        </is>
      </c>
      <c r="L64" s="243" t="inlineStr">
        <is>
          <t>12</t>
        </is>
      </c>
      <c r="M64" s="246" t="inlineStr">
        <is>
          <t>1К26</t>
        </is>
      </c>
      <c r="N64" s="245" t="inlineStr">
        <is>
          <t>К</t>
        </is>
      </c>
    </row>
    <row r="65" ht="22.5" customHeight="1" s="236">
      <c r="A65" s="243" t="n">
        <v>64</v>
      </c>
      <c r="B65" s="248" t="inlineStr">
        <is>
          <t>Термометр сопротивления</t>
        </is>
      </c>
      <c r="C65" s="245" t="inlineStr">
        <is>
          <t>ТСП 012.56ОВ 100П/А/4</t>
        </is>
      </c>
      <c r="D65" s="245" t="inlineStr">
        <is>
          <t>6</t>
        </is>
      </c>
      <c r="E65" s="245" t="inlineStr">
        <is>
          <t>2013</t>
        </is>
      </c>
      <c r="F65" s="245" t="inlineStr">
        <is>
          <t>-60…200 °С</t>
        </is>
      </c>
      <c r="G65" s="245" t="inlineStr">
        <is>
          <t>B</t>
        </is>
      </c>
      <c r="H65" s="243" t="inlineStr">
        <is>
          <t>Температура газа на выходе АВО перед краном 6к</t>
        </is>
      </c>
      <c r="I65" s="245" t="inlineStr">
        <is>
          <t>ГПА 64 АВОГ</t>
        </is>
      </c>
      <c r="J65" s="243" t="inlineStr">
        <is>
          <t>АСУ,А и ТМ (КЦ № 6)</t>
        </is>
      </c>
      <c r="K65" s="243" t="inlineStr"/>
      <c r="L65" s="243" t="inlineStr"/>
      <c r="M65" s="246" t="inlineStr"/>
      <c r="N65" s="245" t="inlineStr"/>
    </row>
    <row r="66" ht="22.5" customHeight="1" s="236">
      <c r="A66" s="243" t="n">
        <v>65</v>
      </c>
      <c r="B66" s="248" t="inlineStr">
        <is>
          <t>Термометр сопротивления</t>
        </is>
      </c>
      <c r="C66" s="245" t="inlineStr">
        <is>
          <t>ТСП 012.56ОВ 100П/А/4</t>
        </is>
      </c>
      <c r="D66" s="245" t="inlineStr">
        <is>
          <t>3</t>
        </is>
      </c>
      <c r="E66" s="245" t="inlineStr">
        <is>
          <t>2013</t>
        </is>
      </c>
      <c r="F66" s="245" t="inlineStr">
        <is>
          <t>-60…200 °С</t>
        </is>
      </c>
      <c r="G66" s="245" t="inlineStr">
        <is>
          <t>B</t>
        </is>
      </c>
      <c r="H66" s="243" t="inlineStr">
        <is>
          <t>Температура газа на выходе АВО перед краном 2</t>
        </is>
      </c>
      <c r="I66" s="245" t="inlineStr">
        <is>
          <t>ГПА 64 АВОГ</t>
        </is>
      </c>
      <c r="J66" s="243" t="inlineStr">
        <is>
          <t>АСУ,А и ТМ (КЦ № 6)</t>
        </is>
      </c>
      <c r="K66" s="243" t="inlineStr"/>
      <c r="L66" s="243" t="inlineStr"/>
      <c r="M66" s="246" t="inlineStr"/>
      <c r="N66" s="245" t="inlineStr"/>
    </row>
    <row r="67" ht="22.5" customHeight="1" s="236">
      <c r="A67" s="243" t="n">
        <v>66</v>
      </c>
      <c r="B67" s="249" t="inlineStr">
        <is>
          <t>Преобразователь избыточного давления</t>
        </is>
      </c>
      <c r="C67" s="245" t="inlineStr">
        <is>
          <t>YOKOGAVA EJX110А-EНS5J-B19DM/KF21/QR</t>
        </is>
      </c>
      <c r="D67" s="245" t="inlineStr">
        <is>
          <t>91M439682.217</t>
        </is>
      </c>
      <c r="E67" s="245" t="inlineStr">
        <is>
          <t>2012</t>
        </is>
      </c>
      <c r="F67" s="245" t="inlineStr">
        <is>
          <t>0…160 кПa</t>
        </is>
      </c>
      <c r="G67" s="245" t="inlineStr">
        <is>
          <t>0,04</t>
        </is>
      </c>
      <c r="H67" s="243" t="inlineStr">
        <is>
          <t>Перепад давления на АВО газа</t>
        </is>
      </c>
      <c r="I67" s="245" t="inlineStr">
        <is>
          <t>ГПА 64 АВОГ</t>
        </is>
      </c>
      <c r="J67" s="243" t="inlineStr">
        <is>
          <t>АСУ,А и ТМ (КЦ № 6)</t>
        </is>
      </c>
      <c r="K67" s="243" t="inlineStr">
        <is>
          <t>2012</t>
        </is>
      </c>
      <c r="L67" s="243" t="inlineStr">
        <is>
          <t>60</t>
        </is>
      </c>
      <c r="M67" s="246" t="inlineStr">
        <is>
          <t>15.02.2016</t>
        </is>
      </c>
      <c r="N67" s="245" t="inlineStr">
        <is>
          <t>К</t>
        </is>
      </c>
    </row>
    <row r="68" ht="22.5" customHeight="1" s="236">
      <c r="A68" s="243" t="n">
        <v>67</v>
      </c>
      <c r="B68" s="249" t="inlineStr">
        <is>
          <t>Преобразователь избыточного давления</t>
        </is>
      </c>
      <c r="C68" s="245" t="inlineStr">
        <is>
          <t>YOKOGAVA EJX530А-EDS9N-019DL/KF21/QR</t>
        </is>
      </c>
      <c r="D68" s="245" t="inlineStr">
        <is>
          <t>91M439731.217</t>
        </is>
      </c>
      <c r="E68" s="245" t="inlineStr">
        <is>
          <t>2012</t>
        </is>
      </c>
      <c r="F68" s="245" t="inlineStr">
        <is>
          <t>0…16 МПа</t>
        </is>
      </c>
      <c r="G68" s="245" t="inlineStr">
        <is>
          <t>0,1</t>
        </is>
      </c>
      <c r="H68" s="243" t="inlineStr">
        <is>
          <t>Давление газа на выходе АВО (до крана №2)</t>
        </is>
      </c>
      <c r="I68" s="245" t="inlineStr">
        <is>
          <t>ГПА 64 АВОГ</t>
        </is>
      </c>
      <c r="J68" s="243" t="inlineStr">
        <is>
          <t>АСУ,А и ТМ (КЦ № 6)</t>
        </is>
      </c>
      <c r="K68" s="243" t="inlineStr">
        <is>
          <t>2012</t>
        </is>
      </c>
      <c r="L68" s="243" t="inlineStr">
        <is>
          <t>60</t>
        </is>
      </c>
      <c r="M68" s="246" t="inlineStr">
        <is>
          <t>15.02.2016</t>
        </is>
      </c>
      <c r="N68" s="245" t="inlineStr">
        <is>
          <t>К</t>
        </is>
      </c>
    </row>
    <row r="69" ht="15" customHeight="1" s="236">
      <c r="A69" s="243" t="n">
        <v>68</v>
      </c>
      <c r="B69" s="248" t="inlineStr">
        <is>
          <t>Термометр сопротивления</t>
        </is>
      </c>
      <c r="C69" s="245" t="inlineStr">
        <is>
          <t>Метран 256-04 100П/В/3</t>
        </is>
      </c>
      <c r="D69" s="245" t="inlineStr">
        <is>
          <t>2025080</t>
        </is>
      </c>
      <c r="E69" s="245" t="inlineStr">
        <is>
          <t>2011</t>
        </is>
      </c>
      <c r="F69" s="245" t="inlineStr">
        <is>
          <t>-50…130 °С</t>
        </is>
      </c>
      <c r="G69" s="245" t="inlineStr">
        <is>
          <t>B</t>
        </is>
      </c>
      <c r="H69" s="243" t="inlineStr">
        <is>
          <t>Температура масла на выходе МОД</t>
        </is>
      </c>
      <c r="I69" s="245" t="inlineStr">
        <is>
          <t>ГПА 64</t>
        </is>
      </c>
      <c r="J69" s="243" t="inlineStr">
        <is>
          <t>АСУ,А и ТМ (КЦ № 6)</t>
        </is>
      </c>
      <c r="K69" s="243" t="inlineStr"/>
      <c r="L69" s="243" t="inlineStr"/>
      <c r="M69" s="246" t="inlineStr"/>
      <c r="N69" s="245" t="inlineStr"/>
    </row>
    <row r="70" ht="15" customHeight="1" s="236">
      <c r="A70" s="243" t="n">
        <v>69</v>
      </c>
      <c r="B70" s="248" t="inlineStr">
        <is>
          <t>Термометр сопротивления</t>
        </is>
      </c>
      <c r="C70" s="245" t="inlineStr">
        <is>
          <t>Метран 256-04 100П/В/3</t>
        </is>
      </c>
      <c r="D70" s="245" t="inlineStr">
        <is>
          <t>2025075</t>
        </is>
      </c>
      <c r="E70" s="245" t="inlineStr">
        <is>
          <t>2011</t>
        </is>
      </c>
      <c r="F70" s="245" t="inlineStr">
        <is>
          <t>-50…200 °С</t>
        </is>
      </c>
      <c r="G70" s="245" t="inlineStr">
        <is>
          <t>B</t>
        </is>
      </c>
      <c r="H70" s="243" t="inlineStr">
        <is>
          <t>Температура масла на входе в МОД</t>
        </is>
      </c>
      <c r="I70" s="245" t="inlineStr">
        <is>
          <t>ГПА 64</t>
        </is>
      </c>
      <c r="J70" s="243" t="inlineStr">
        <is>
          <t>АСУ,А и ТМ (КЦ № 6)</t>
        </is>
      </c>
      <c r="K70" s="243" t="inlineStr">
        <is>
          <t>2012</t>
        </is>
      </c>
      <c r="L70" s="243" t="inlineStr">
        <is>
          <t>36</t>
        </is>
      </c>
      <c r="M70" s="246" t="inlineStr"/>
      <c r="N70" s="245" t="inlineStr"/>
    </row>
    <row r="71" ht="15" customHeight="1" s="236">
      <c r="A71" s="243" t="n">
        <v>70</v>
      </c>
      <c r="B71" s="248" t="inlineStr">
        <is>
          <t>Термометр сопротивления</t>
        </is>
      </c>
      <c r="C71" s="245" t="inlineStr">
        <is>
          <t>ТСП 011.101</t>
        </is>
      </c>
      <c r="D71" s="245" t="inlineStr">
        <is>
          <t>26</t>
        </is>
      </c>
      <c r="E71" s="245" t="inlineStr">
        <is>
          <t>2011</t>
        </is>
      </c>
      <c r="F71" s="245" t="inlineStr">
        <is>
          <t>-50…130 °С</t>
        </is>
      </c>
      <c r="G71" s="245" t="inlineStr">
        <is>
          <t>B</t>
        </is>
      </c>
      <c r="H71" s="243" t="inlineStr">
        <is>
          <t>Температура секции МОД</t>
        </is>
      </c>
      <c r="I71" s="245" t="inlineStr">
        <is>
          <t>ГПА 64</t>
        </is>
      </c>
      <c r="J71" s="243" t="inlineStr">
        <is>
          <t>АСУ,А и ТМ (КЦ № 6)</t>
        </is>
      </c>
      <c r="K71" s="243" t="inlineStr"/>
      <c r="L71" s="243" t="inlineStr"/>
      <c r="M71" s="246" t="inlineStr"/>
      <c r="N71" s="245" t="inlineStr"/>
    </row>
    <row r="72" ht="22.5" customHeight="1" s="236">
      <c r="A72" s="239">
        <f>IF(B72&lt;&gt;"", COUNTA($B$2:B72), "")</f>
        <v/>
      </c>
      <c r="B72" s="240" t="inlineStr">
        <is>
          <t>Термометр сопротивления</t>
        </is>
      </c>
      <c r="C72" s="252" t="inlineStr">
        <is>
          <t>ТСП 012П 100П/В/4</t>
        </is>
      </c>
      <c r="D72" s="239" t="n">
        <v>10</v>
      </c>
      <c r="E72" s="239" t="n">
        <v>2013</v>
      </c>
      <c r="F72" s="252" t="inlineStr">
        <is>
          <t>-50…200 °С</t>
        </is>
      </c>
      <c r="G72" s="252" t="inlineStr">
        <is>
          <t>B</t>
        </is>
      </c>
      <c r="H72" s="252" t="inlineStr">
        <is>
          <t>Температура поверхности электронагревателей МОД</t>
        </is>
      </c>
      <c r="I72" s="239" t="inlineStr">
        <is>
          <t>ГПА 64</t>
        </is>
      </c>
      <c r="J72" s="239" t="inlineStr">
        <is>
          <t>АСУ,А и ТМ (КЦ № 6)</t>
        </is>
      </c>
      <c r="K72" s="239" t="n">
        <v>2012</v>
      </c>
      <c r="L72" s="251" t="n">
        <v>24</v>
      </c>
      <c r="M72" s="240" t="n"/>
      <c r="N72" s="242" t="n"/>
    </row>
    <row r="73" ht="22.5" customHeight="1" s="236">
      <c r="A73" s="243" t="n">
        <v>72</v>
      </c>
      <c r="B73" s="253" t="inlineStr">
        <is>
          <t>Выключатель давления</t>
        </is>
      </c>
      <c r="C73" s="254" t="inlineStr">
        <is>
          <t>Садко 44 ТЖИУ 406422.004</t>
        </is>
      </c>
      <c r="D73" s="243" t="inlineStr">
        <is>
          <t>124602</t>
        </is>
      </c>
      <c r="E73" s="243" t="inlineStr">
        <is>
          <t>2011</t>
        </is>
      </c>
      <c r="F73" s="254" t="inlineStr">
        <is>
          <t>0,04…0,15 МПа</t>
        </is>
      </c>
      <c r="G73" s="254" t="inlineStr"/>
      <c r="H73" s="254" t="inlineStr">
        <is>
          <t>Перепад давления масла на фильтрах смазки после МОД</t>
        </is>
      </c>
      <c r="I73" s="243" t="inlineStr">
        <is>
          <t>ГПА 64</t>
        </is>
      </c>
      <c r="J73" s="243" t="inlineStr">
        <is>
          <t>АСУ,А и ТМ (КЦ № 6)</t>
        </is>
      </c>
      <c r="K73" s="243" t="inlineStr">
        <is>
          <t>2012</t>
        </is>
      </c>
      <c r="L73" s="248" t="inlineStr"/>
      <c r="M73" s="246" t="inlineStr"/>
      <c r="N73" s="245" t="inlineStr"/>
    </row>
    <row r="74" ht="22.5" customHeight="1" s="236">
      <c r="A74" s="243" t="n">
        <v>73</v>
      </c>
      <c r="B74" s="253" t="inlineStr">
        <is>
          <t>Выключатель давления</t>
        </is>
      </c>
      <c r="C74" s="254" t="inlineStr">
        <is>
          <t>Садко 44 ТЖИУ 406422.004</t>
        </is>
      </c>
      <c r="D74" s="243" t="inlineStr">
        <is>
          <t>124780</t>
        </is>
      </c>
      <c r="E74" s="243" t="inlineStr">
        <is>
          <t>2011</t>
        </is>
      </c>
      <c r="F74" s="254" t="inlineStr">
        <is>
          <t>0,01…0,04 МПа</t>
        </is>
      </c>
      <c r="G74" s="254" t="inlineStr"/>
      <c r="H74" s="254" t="inlineStr">
        <is>
          <t>Перепад давления масла на фильтрах двигателя</t>
        </is>
      </c>
      <c r="I74" s="243" t="inlineStr">
        <is>
          <t>ГПА 64</t>
        </is>
      </c>
      <c r="J74" s="243" t="inlineStr">
        <is>
          <t>АСУ,А и ТМ (КЦ № 6)</t>
        </is>
      </c>
      <c r="K74" s="243" t="inlineStr">
        <is>
          <t>2012</t>
        </is>
      </c>
      <c r="L74" s="248" t="inlineStr"/>
      <c r="M74" s="246" t="inlineStr"/>
      <c r="N74" s="245" t="inlineStr"/>
    </row>
    <row r="75" ht="22.5" customHeight="1" s="236">
      <c r="A75" s="243" t="n">
        <v>74</v>
      </c>
      <c r="B75" s="253" t="inlineStr">
        <is>
          <t>Выключатель давления</t>
        </is>
      </c>
      <c r="C75" s="254" t="inlineStr">
        <is>
          <t>Садко 107 ТЖИУ 406423.004</t>
        </is>
      </c>
      <c r="D75" s="243" t="inlineStr">
        <is>
          <t>257619</t>
        </is>
      </c>
      <c r="E75" s="243" t="inlineStr">
        <is>
          <t>2015</t>
        </is>
      </c>
      <c r="F75" s="254" t="inlineStr">
        <is>
          <t>0,09…0,5 МПа</t>
        </is>
      </c>
      <c r="G75" s="254" t="inlineStr"/>
      <c r="H75" s="254" t="inlineStr">
        <is>
          <t>Давление масла на входе в фильтр маслобака</t>
        </is>
      </c>
      <c r="I75" s="243" t="inlineStr">
        <is>
          <t>ГПА 64</t>
        </is>
      </c>
      <c r="J75" s="243" t="inlineStr">
        <is>
          <t>АСУ,А и ТМ (КЦ № 6)</t>
        </is>
      </c>
      <c r="K75" s="243" t="inlineStr">
        <is>
          <t>2012</t>
        </is>
      </c>
      <c r="L75" s="248" t="inlineStr"/>
      <c r="M75" s="246" t="inlineStr"/>
      <c r="N75" s="245" t="inlineStr"/>
    </row>
    <row r="76" ht="22.5" customHeight="1" s="236">
      <c r="A76" s="243" t="n">
        <v>75</v>
      </c>
      <c r="B76" s="253" t="inlineStr">
        <is>
          <t>Выключатель давления</t>
        </is>
      </c>
      <c r="C76" s="254" t="inlineStr">
        <is>
          <t>Садко 44 ТЖИУ 406422.004</t>
        </is>
      </c>
      <c r="D76" s="243" t="inlineStr">
        <is>
          <t>124601</t>
        </is>
      </c>
      <c r="E76" s="243" t="inlineStr">
        <is>
          <t>2011</t>
        </is>
      </c>
      <c r="F76" s="254" t="inlineStr">
        <is>
          <t>0,04…0,15 МПа</t>
        </is>
      </c>
      <c r="G76" s="254" t="inlineStr"/>
      <c r="H76" s="254" t="inlineStr">
        <is>
          <t>Перепад давления запирающего воздуха на фильтре</t>
        </is>
      </c>
      <c r="I76" s="243" t="inlineStr">
        <is>
          <t>ГПА 64</t>
        </is>
      </c>
      <c r="J76" s="243" t="inlineStr">
        <is>
          <t>АСУ,А и ТМ (КЦ № 6)</t>
        </is>
      </c>
      <c r="K76" s="243" t="inlineStr">
        <is>
          <t>2012</t>
        </is>
      </c>
      <c r="L76" s="248" t="inlineStr"/>
      <c r="M76" s="246" t="inlineStr"/>
      <c r="N76" s="245" t="inlineStr"/>
    </row>
    <row r="77" ht="15" customHeight="1" s="236">
      <c r="A77" s="243" t="n">
        <v>76</v>
      </c>
      <c r="B77" s="253" t="inlineStr">
        <is>
          <t>Выключатель давления</t>
        </is>
      </c>
      <c r="C77" s="254" t="inlineStr">
        <is>
          <t>Садко 107 ТЖИУ 406423.004</t>
        </is>
      </c>
      <c r="D77" s="243" t="inlineStr">
        <is>
          <t>122937</t>
        </is>
      </c>
      <c r="E77" s="243" t="inlineStr">
        <is>
          <t>2011</t>
        </is>
      </c>
      <c r="F77" s="254" t="inlineStr">
        <is>
          <t>3…6 МПа</t>
        </is>
      </c>
      <c r="G77" s="254" t="inlineStr"/>
      <c r="H77" s="254" t="inlineStr">
        <is>
          <t>Сигнализатор обрыва металлорукава</t>
        </is>
      </c>
      <c r="I77" s="243" t="inlineStr">
        <is>
          <t>ГПА 64</t>
        </is>
      </c>
      <c r="J77" s="243" t="inlineStr">
        <is>
          <t>АСУ,А и ТМ (КЦ № 6)</t>
        </is>
      </c>
      <c r="K77" s="243" t="inlineStr">
        <is>
          <t>2012</t>
        </is>
      </c>
      <c r="L77" s="248" t="inlineStr"/>
      <c r="M77" s="246" t="inlineStr"/>
      <c r="N77" s="245" t="inlineStr"/>
    </row>
    <row r="78" ht="33.75" customHeight="1" s="236">
      <c r="A78" s="243" t="n">
        <v>77</v>
      </c>
      <c r="B78" s="246" t="inlineStr">
        <is>
          <t>Термометр сопротивления</t>
        </is>
      </c>
      <c r="C78" s="254" t="inlineStr">
        <is>
          <t>ТСП 012.60 Pt100/В/3</t>
        </is>
      </c>
      <c r="D78" s="243" t="inlineStr">
        <is>
          <t>505</t>
        </is>
      </c>
      <c r="E78" s="243" t="inlineStr">
        <is>
          <t>2011</t>
        </is>
      </c>
      <c r="F78" s="254" t="inlineStr">
        <is>
          <t>-60…200 °С</t>
        </is>
      </c>
      <c r="G78" s="254" t="inlineStr">
        <is>
          <t>B</t>
        </is>
      </c>
      <c r="H78" s="254" t="inlineStr">
        <is>
          <t>Температура защитного воздуха на выходе оболочки опорно-упорного подшипника (задний)</t>
        </is>
      </c>
      <c r="I78" s="243" t="inlineStr">
        <is>
          <t>ГПА 64</t>
        </is>
      </c>
      <c r="J78" s="243" t="inlineStr">
        <is>
          <t>АСУ,А и ТМ (КЦ № 6)</t>
        </is>
      </c>
      <c r="K78" s="243" t="inlineStr"/>
      <c r="L78" s="248" t="inlineStr"/>
      <c r="M78" s="246" t="inlineStr"/>
      <c r="N78" s="245" t="inlineStr"/>
    </row>
    <row r="79" ht="15" customHeight="1" s="236">
      <c r="A79" s="243" t="n">
        <v>78</v>
      </c>
      <c r="B79" s="246" t="inlineStr">
        <is>
          <t>Расходомер</t>
        </is>
      </c>
      <c r="C79" s="254" t="inlineStr">
        <is>
          <t>СУРГ 1.000</t>
        </is>
      </c>
      <c r="D79" s="243" t="inlineStr">
        <is>
          <t>01.1361</t>
        </is>
      </c>
      <c r="E79" s="243" t="inlineStr">
        <is>
          <t>2011</t>
        </is>
      </c>
      <c r="F79" s="254" t="inlineStr">
        <is>
          <t>0…100000 кг/час</t>
        </is>
      </c>
      <c r="G79" s="254" t="inlineStr">
        <is>
          <t>3%</t>
        </is>
      </c>
      <c r="H79" s="254" t="inlineStr">
        <is>
          <t>(Наддув) под кожухом двигателя</t>
        </is>
      </c>
      <c r="I79" s="243" t="inlineStr">
        <is>
          <t>ГПА 64</t>
        </is>
      </c>
      <c r="J79" s="243" t="inlineStr">
        <is>
          <t>АСУ,А и ТМ (КЦ № 6)</t>
        </is>
      </c>
      <c r="K79" s="243" t="inlineStr">
        <is>
          <t>2012</t>
        </is>
      </c>
      <c r="L79" s="248" t="inlineStr">
        <is>
          <t>36</t>
        </is>
      </c>
      <c r="M79" s="246" t="inlineStr"/>
      <c r="N79" s="245" t="inlineStr"/>
    </row>
    <row r="80" ht="22.5" customHeight="1" s="236">
      <c r="A80" s="243" t="n">
        <v>79</v>
      </c>
      <c r="B80" s="255" t="inlineStr">
        <is>
          <t>Преобразователь избыточного давления</t>
        </is>
      </c>
      <c r="C80" s="254" t="inlineStr">
        <is>
          <t>Метран 150 TG2</t>
        </is>
      </c>
      <c r="D80" s="243" t="inlineStr">
        <is>
          <t>1009062</t>
        </is>
      </c>
      <c r="E80" s="243" t="inlineStr">
        <is>
          <t>2011</t>
        </is>
      </c>
      <c r="F80" s="254" t="inlineStr">
        <is>
          <t>0…600 кПa</t>
        </is>
      </c>
      <c r="G80" s="254" t="inlineStr">
        <is>
          <t>0,075</t>
        </is>
      </c>
      <c r="H80" s="254" t="inlineStr">
        <is>
          <t>Давление газа на выходе 1-ой ступени ТУ ПКВ</t>
        </is>
      </c>
      <c r="I80" s="243" t="inlineStr">
        <is>
          <t>ГПА 64</t>
        </is>
      </c>
      <c r="J80" s="243" t="inlineStr">
        <is>
          <t>АСУ,А и ТМ (КЦ № 6)</t>
        </is>
      </c>
      <c r="K80" s="243" t="inlineStr">
        <is>
          <t>2012</t>
        </is>
      </c>
      <c r="L80" s="248" t="inlineStr">
        <is>
          <t>36</t>
        </is>
      </c>
      <c r="M80" s="246" t="inlineStr">
        <is>
          <t>15.02.2016</t>
        </is>
      </c>
      <c r="N80" s="245" t="inlineStr">
        <is>
          <t>К</t>
        </is>
      </c>
    </row>
    <row r="81" ht="22.5" customHeight="1" s="236">
      <c r="A81" s="243" t="n">
        <v>80</v>
      </c>
      <c r="B81" s="255" t="inlineStr">
        <is>
          <t>Преобразователь избыточного давления</t>
        </is>
      </c>
      <c r="C81" s="254" t="inlineStr">
        <is>
          <t>Метран 150 TG2</t>
        </is>
      </c>
      <c r="D81" s="243" t="inlineStr">
        <is>
          <t>1066249</t>
        </is>
      </c>
      <c r="E81" s="243" t="inlineStr">
        <is>
          <t>2011</t>
        </is>
      </c>
      <c r="F81" s="254" t="inlineStr">
        <is>
          <t>0…600 кПa</t>
        </is>
      </c>
      <c r="G81" s="254" t="inlineStr">
        <is>
          <t>0,075</t>
        </is>
      </c>
      <c r="H81" s="254" t="inlineStr">
        <is>
          <t>Давление газа на выходе 1-ой ступени ТУ ЗКВ</t>
        </is>
      </c>
      <c r="I81" s="243" t="inlineStr">
        <is>
          <t>ГПА 64</t>
        </is>
      </c>
      <c r="J81" s="243" t="inlineStr">
        <is>
          <t>АСУ,А и ТМ (КЦ № 6)</t>
        </is>
      </c>
      <c r="K81" s="243" t="inlineStr">
        <is>
          <t>2012</t>
        </is>
      </c>
      <c r="L81" s="248" t="inlineStr">
        <is>
          <t>36</t>
        </is>
      </c>
      <c r="M81" s="246" t="inlineStr">
        <is>
          <t>15.02.2016</t>
        </is>
      </c>
      <c r="N81" s="245" t="inlineStr">
        <is>
          <t>К</t>
        </is>
      </c>
    </row>
    <row r="82" ht="22.5" customHeight="1" s="236">
      <c r="A82" s="243" t="n">
        <v>81</v>
      </c>
      <c r="B82" s="255" t="inlineStr">
        <is>
          <t>Преобразователь избыточного давления</t>
        </is>
      </c>
      <c r="C82" s="254" t="inlineStr">
        <is>
          <t>Метран 150 TG4</t>
        </is>
      </c>
      <c r="D82" s="243" t="inlineStr">
        <is>
          <t>6112273</t>
        </is>
      </c>
      <c r="E82" s="243" t="inlineStr">
        <is>
          <t>2019</t>
        </is>
      </c>
      <c r="F82" s="254" t="inlineStr">
        <is>
          <t>0…16 МПа</t>
        </is>
      </c>
      <c r="G82" s="254" t="inlineStr">
        <is>
          <t>0,075</t>
        </is>
      </c>
      <c r="H82" s="254" t="inlineStr">
        <is>
          <t>Давление газа на выходе бустерной компрессорной установки</t>
        </is>
      </c>
      <c r="I82" s="243" t="inlineStr">
        <is>
          <t>ГПА 64</t>
        </is>
      </c>
      <c r="J82" s="243" t="inlineStr">
        <is>
          <t>АСУ,А и ТМ (КЦ № 6)</t>
        </is>
      </c>
      <c r="K82" s="243" t="inlineStr">
        <is>
          <t>2019</t>
        </is>
      </c>
      <c r="L82" s="248" t="inlineStr"/>
      <c r="M82" s="246" t="inlineStr"/>
      <c r="N82" s="245" t="inlineStr"/>
    </row>
    <row r="83" ht="22.5" customHeight="1" s="236">
      <c r="A83" s="243" t="n">
        <v>82</v>
      </c>
      <c r="B83" s="255" t="inlineStr">
        <is>
          <t>Преобразователь избыточного давления</t>
        </is>
      </c>
      <c r="C83" s="254" t="inlineStr">
        <is>
          <t>Метран 150 CD4</t>
        </is>
      </c>
      <c r="D83" s="243" t="inlineStr">
        <is>
          <t>6112270</t>
        </is>
      </c>
      <c r="E83" s="243" t="inlineStr">
        <is>
          <t>2019</t>
        </is>
      </c>
      <c r="F83" s="254" t="inlineStr">
        <is>
          <t>0…500 кПа</t>
        </is>
      </c>
      <c r="G83" s="254" t="inlineStr">
        <is>
          <t>0,075</t>
        </is>
      </c>
      <c r="H83" s="254" t="inlineStr">
        <is>
          <t>Перепад давления газа на фильтре бустерной компрессорной установки</t>
        </is>
      </c>
      <c r="I83" s="243" t="inlineStr">
        <is>
          <t>ГПА 64</t>
        </is>
      </c>
      <c r="J83" s="243" t="inlineStr">
        <is>
          <t>АСУ,А и ТМ (КЦ № 6)</t>
        </is>
      </c>
      <c r="K83" s="243" t="inlineStr">
        <is>
          <t>2019</t>
        </is>
      </c>
      <c r="L83" s="248" t="inlineStr"/>
      <c r="M83" s="246" t="inlineStr"/>
      <c r="N83" s="245" t="inlineStr"/>
    </row>
    <row r="84" ht="22.5" customHeight="1" s="236">
      <c r="A84" s="243" t="n">
        <v>83</v>
      </c>
      <c r="B84" s="255" t="inlineStr">
        <is>
          <t>Преобразователь избыточного давления</t>
        </is>
      </c>
      <c r="C84" s="254" t="inlineStr">
        <is>
          <t>Метран 150 CD2</t>
        </is>
      </c>
      <c r="D84" s="243" t="inlineStr">
        <is>
          <t>1372838</t>
        </is>
      </c>
      <c r="E84" s="243" t="inlineStr">
        <is>
          <t>2011</t>
        </is>
      </c>
      <c r="F84" s="254" t="inlineStr">
        <is>
          <t>0…25 кПa</t>
        </is>
      </c>
      <c r="G84" s="254" t="inlineStr">
        <is>
          <t>0,075</t>
        </is>
      </c>
      <c r="H84" s="254" t="inlineStr">
        <is>
          <t>Перепад давления газ-газ</t>
        </is>
      </c>
      <c r="I84" s="243" t="inlineStr">
        <is>
          <t>ГПА 64</t>
        </is>
      </c>
      <c r="J84" s="243" t="inlineStr">
        <is>
          <t>АСУ,А и ТМ (КЦ № 6)</t>
        </is>
      </c>
      <c r="K84" s="243" t="inlineStr">
        <is>
          <t>2012</t>
        </is>
      </c>
      <c r="L84" s="248" t="inlineStr">
        <is>
          <t>36</t>
        </is>
      </c>
      <c r="M84" s="246" t="inlineStr">
        <is>
          <t>15.02.2016</t>
        </is>
      </c>
      <c r="N84" s="245" t="inlineStr">
        <is>
          <t>К</t>
        </is>
      </c>
    </row>
    <row r="85" ht="22.5" customHeight="1" s="236">
      <c r="A85" s="243" t="n">
        <v>84</v>
      </c>
      <c r="B85" s="255" t="inlineStr">
        <is>
          <t>Преобразователь избыточного давления</t>
        </is>
      </c>
      <c r="C85" s="254" t="inlineStr">
        <is>
          <t>Метран 150 CD3</t>
        </is>
      </c>
      <c r="D85" s="243" t="inlineStr">
        <is>
          <t>1051197</t>
        </is>
      </c>
      <c r="E85" s="243" t="inlineStr">
        <is>
          <t>2011</t>
        </is>
      </c>
      <c r="F85" s="254" t="inlineStr">
        <is>
          <t>0…250 кПа</t>
        </is>
      </c>
      <c r="G85" s="254" t="inlineStr">
        <is>
          <t>0,075</t>
        </is>
      </c>
      <c r="H85" s="254" t="inlineStr">
        <is>
          <t>Перепад давления газа на фильтрах панели ТГДУ</t>
        </is>
      </c>
      <c r="I85" s="243" t="inlineStr">
        <is>
          <t>ГПА 64</t>
        </is>
      </c>
      <c r="J85" s="243" t="inlineStr">
        <is>
          <t>АСУ,А и ТМ (КЦ № 6)</t>
        </is>
      </c>
      <c r="K85" s="243" t="inlineStr">
        <is>
          <t>2012</t>
        </is>
      </c>
      <c r="L85" s="248" t="inlineStr">
        <is>
          <t>36</t>
        </is>
      </c>
      <c r="M85" s="246" t="inlineStr">
        <is>
          <t>15.02.2016</t>
        </is>
      </c>
      <c r="N85" s="245" t="inlineStr">
        <is>
          <t>К</t>
        </is>
      </c>
    </row>
    <row r="86" ht="22.5" customHeight="1" s="236">
      <c r="A86" s="243" t="n">
        <v>85</v>
      </c>
      <c r="B86" s="255" t="inlineStr">
        <is>
          <t>Преобразователь избыточного давления</t>
        </is>
      </c>
      <c r="C86" s="254" t="inlineStr">
        <is>
          <t>Метран 150 CD1</t>
        </is>
      </c>
      <c r="D86" s="243" t="inlineStr">
        <is>
          <t>1372828</t>
        </is>
      </c>
      <c r="E86" s="243" t="inlineStr">
        <is>
          <t>2011</t>
        </is>
      </c>
      <c r="F86" s="254" t="inlineStr">
        <is>
          <t>0…0,63 кПа</t>
        </is>
      </c>
      <c r="G86" s="254" t="inlineStr">
        <is>
          <t>0,075</t>
        </is>
      </c>
      <c r="H86" s="254" t="inlineStr">
        <is>
          <t>Перепад давления воздуха на мультициклонных блоках (фильтрах)</t>
        </is>
      </c>
      <c r="I86" s="243" t="inlineStr">
        <is>
          <t>ГПА 64</t>
        </is>
      </c>
      <c r="J86" s="243" t="inlineStr">
        <is>
          <t>АСУ,А и ТМ (КЦ № 6)</t>
        </is>
      </c>
      <c r="K86" s="243" t="inlineStr">
        <is>
          <t>2012</t>
        </is>
      </c>
      <c r="L86" s="248" t="inlineStr">
        <is>
          <t>36</t>
        </is>
      </c>
      <c r="M86" s="246" t="inlineStr">
        <is>
          <t>15.02.2016</t>
        </is>
      </c>
      <c r="N86" s="245" t="inlineStr">
        <is>
          <t>К</t>
        </is>
      </c>
    </row>
    <row r="87" ht="22.5" customHeight="1" s="236">
      <c r="A87" s="243" t="n">
        <v>86</v>
      </c>
      <c r="B87" s="255" t="inlineStr">
        <is>
          <t>Преобразователь избыточного давления</t>
        </is>
      </c>
      <c r="C87" s="254" t="inlineStr">
        <is>
          <t>Метран 150 CD1</t>
        </is>
      </c>
      <c r="D87" s="243" t="inlineStr">
        <is>
          <t>1372830</t>
        </is>
      </c>
      <c r="E87" s="243" t="inlineStr">
        <is>
          <t>2011</t>
        </is>
      </c>
      <c r="F87" s="254" t="inlineStr">
        <is>
          <t>0…1,6 кПа</t>
        </is>
      </c>
      <c r="G87" s="254" t="inlineStr">
        <is>
          <t>0,075</t>
        </is>
      </c>
      <c r="H87" s="254" t="inlineStr">
        <is>
          <t>Перепад давления воздуха на кассетных фильтрах</t>
        </is>
      </c>
      <c r="I87" s="243" t="inlineStr">
        <is>
          <t>ГПА 64</t>
        </is>
      </c>
      <c r="J87" s="243" t="inlineStr">
        <is>
          <t>АСУ,А и ТМ (КЦ № 6)</t>
        </is>
      </c>
      <c r="K87" s="243" t="inlineStr">
        <is>
          <t>2012</t>
        </is>
      </c>
      <c r="L87" s="248" t="inlineStr">
        <is>
          <t>36</t>
        </is>
      </c>
      <c r="M87" s="246" t="inlineStr">
        <is>
          <t>15.02.2016</t>
        </is>
      </c>
      <c r="N87" s="245" t="inlineStr">
        <is>
          <t>К</t>
        </is>
      </c>
    </row>
    <row r="88" ht="22.5" customHeight="1" s="236">
      <c r="A88" s="243" t="n">
        <v>87</v>
      </c>
      <c r="B88" s="255" t="inlineStr">
        <is>
          <t>Преобразователь избыточного давления</t>
        </is>
      </c>
      <c r="C88" s="254" t="inlineStr">
        <is>
          <t>YOKOGAVA EJX530А-EDS9N-019DL/KF21/QR</t>
        </is>
      </c>
      <c r="D88" s="243" t="inlineStr">
        <is>
          <t>91M439729.217</t>
        </is>
      </c>
      <c r="E88" s="243" t="inlineStr">
        <is>
          <t>2012</t>
        </is>
      </c>
      <c r="F88" s="254" t="inlineStr">
        <is>
          <t>0…16 МПа</t>
        </is>
      </c>
      <c r="G88" s="254" t="inlineStr">
        <is>
          <t>0,1</t>
        </is>
      </c>
      <c r="H88" s="254" t="inlineStr">
        <is>
          <t>Давление газа на выходе АВО (после крана №2)</t>
        </is>
      </c>
      <c r="I88" s="243" t="inlineStr">
        <is>
          <t>ГПА 64</t>
        </is>
      </c>
      <c r="J88" s="243" t="inlineStr">
        <is>
          <t>АСУ,А и ТМ (КЦ № 6)</t>
        </is>
      </c>
      <c r="K88" s="243" t="inlineStr">
        <is>
          <t>2012</t>
        </is>
      </c>
      <c r="L88" s="248" t="inlineStr">
        <is>
          <t>60</t>
        </is>
      </c>
      <c r="M88" s="246" t="inlineStr">
        <is>
          <t>15.02.2016</t>
        </is>
      </c>
      <c r="N88" s="245" t="inlineStr">
        <is>
          <t>К</t>
        </is>
      </c>
    </row>
    <row r="89" ht="22.5" customHeight="1" s="236">
      <c r="A89" s="243" t="n">
        <v>88</v>
      </c>
      <c r="B89" s="255" t="inlineStr">
        <is>
          <t>Преобразователь избыточного давления</t>
        </is>
      </c>
      <c r="C89" s="254" t="inlineStr">
        <is>
          <t>YOKOGAVA EJX110А-EНS5J-B19DM/KF21/QR</t>
        </is>
      </c>
      <c r="D89" s="243" t="inlineStr">
        <is>
          <t>91M439685.217</t>
        </is>
      </c>
      <c r="E89" s="243" t="inlineStr">
        <is>
          <t>2012</t>
        </is>
      </c>
      <c r="F89" s="254" t="inlineStr">
        <is>
          <t>0…0,16 МПа</t>
        </is>
      </c>
      <c r="G89" s="254" t="inlineStr">
        <is>
          <t>0,04</t>
        </is>
      </c>
      <c r="H89" s="254" t="inlineStr">
        <is>
          <t>Перепад давлений газа на сетке перед компрессором (защитная решетка)</t>
        </is>
      </c>
      <c r="I89" s="243" t="inlineStr">
        <is>
          <t>ГПА 64</t>
        </is>
      </c>
      <c r="J89" s="243" t="inlineStr">
        <is>
          <t>АСУ,А и ТМ (КЦ № 6)</t>
        </is>
      </c>
      <c r="K89" s="243" t="inlineStr">
        <is>
          <t>2012</t>
        </is>
      </c>
      <c r="L89" s="248" t="inlineStr">
        <is>
          <t>60</t>
        </is>
      </c>
      <c r="M89" s="246" t="inlineStr">
        <is>
          <t>15.02.2016</t>
        </is>
      </c>
      <c r="N89" s="245" t="inlineStr">
        <is>
          <t>К</t>
        </is>
      </c>
    </row>
    <row r="90" ht="22.5" customHeight="1" s="236">
      <c r="A90" s="243" t="n">
        <v>89</v>
      </c>
      <c r="B90" s="255" t="inlineStr">
        <is>
          <t>Преобразователь избыточного давления</t>
        </is>
      </c>
      <c r="C90" s="254" t="inlineStr">
        <is>
          <t>YOKOGAVA EJX110А-EНS5J-B19DM/KF21/QR</t>
        </is>
      </c>
      <c r="D90" s="243" t="inlineStr">
        <is>
          <t>91M439688.217</t>
        </is>
      </c>
      <c r="E90" s="243" t="inlineStr">
        <is>
          <t>2012</t>
        </is>
      </c>
      <c r="F90" s="254" t="inlineStr">
        <is>
          <t>0…400 кПа</t>
        </is>
      </c>
      <c r="G90" s="254" t="inlineStr">
        <is>
          <t>0,04</t>
        </is>
      </c>
      <c r="H90" s="254" t="inlineStr">
        <is>
          <t>Перепад давления газа на кране №1</t>
        </is>
      </c>
      <c r="I90" s="243" t="inlineStr">
        <is>
          <t>ГПА 64</t>
        </is>
      </c>
      <c r="J90" s="243" t="inlineStr">
        <is>
          <t>АСУ,А и ТМ (КЦ № 6)</t>
        </is>
      </c>
      <c r="K90" s="243" t="inlineStr">
        <is>
          <t>2012</t>
        </is>
      </c>
      <c r="L90" s="248" t="inlineStr">
        <is>
          <t>60</t>
        </is>
      </c>
      <c r="M90" s="246" t="inlineStr">
        <is>
          <t>15.02.2016</t>
        </is>
      </c>
      <c r="N90" s="245" t="inlineStr">
        <is>
          <t>К</t>
        </is>
      </c>
    </row>
    <row r="91" ht="22.5" customHeight="1" s="236">
      <c r="A91" s="243" t="n">
        <v>90</v>
      </c>
      <c r="B91" s="255" t="inlineStr">
        <is>
          <t>Преобразователь избыточного давления</t>
        </is>
      </c>
      <c r="C91" s="254" t="inlineStr">
        <is>
          <t>Honeywell STG-97L</t>
        </is>
      </c>
      <c r="D91" s="243" t="inlineStr">
        <is>
          <t>10W46 C3278548003002</t>
        </is>
      </c>
      <c r="E91" s="243" t="inlineStr">
        <is>
          <t>2010</t>
        </is>
      </c>
      <c r="F91" s="254" t="inlineStr">
        <is>
          <t>0…4 МПа</t>
        </is>
      </c>
      <c r="G91" s="254" t="inlineStr">
        <is>
          <t>0.075</t>
        </is>
      </c>
      <c r="H91" s="254" t="inlineStr">
        <is>
          <t>Давление воздуха за КВД</t>
        </is>
      </c>
      <c r="I91" s="243" t="inlineStr">
        <is>
          <t>ГПА 64</t>
        </is>
      </c>
      <c r="J91" s="243" t="inlineStr">
        <is>
          <t>АСУ,А и ТМ (КЦ № 6)</t>
        </is>
      </c>
      <c r="K91" s="243" t="inlineStr">
        <is>
          <t>2012</t>
        </is>
      </c>
      <c r="L91" s="248" t="inlineStr">
        <is>
          <t>36</t>
        </is>
      </c>
      <c r="M91" s="246" t="inlineStr">
        <is>
          <t>16.02.2016</t>
        </is>
      </c>
      <c r="N91" s="245" t="inlineStr">
        <is>
          <t>К</t>
        </is>
      </c>
    </row>
    <row r="92" ht="22.5" customHeight="1" s="236">
      <c r="A92" s="243" t="n">
        <v>91</v>
      </c>
      <c r="B92" s="255" t="inlineStr">
        <is>
          <t>Преобразователь избыточного давления</t>
        </is>
      </c>
      <c r="C92" s="254" t="inlineStr">
        <is>
          <t>Honeywell STG-97L</t>
        </is>
      </c>
      <c r="D92" s="243" t="inlineStr">
        <is>
          <t>11W03 C3287149003072</t>
        </is>
      </c>
      <c r="E92" s="243" t="inlineStr">
        <is>
          <t>2011</t>
        </is>
      </c>
      <c r="F92" s="254" t="inlineStr">
        <is>
          <t>0…10 МПа</t>
        </is>
      </c>
      <c r="G92" s="254" t="inlineStr">
        <is>
          <t>0.075</t>
        </is>
      </c>
      <c r="H92" s="254" t="inlineStr">
        <is>
          <t>Давление газа на входе компрессора</t>
        </is>
      </c>
      <c r="I92" s="243" t="inlineStr">
        <is>
          <t>ГПА 64</t>
        </is>
      </c>
      <c r="J92" s="243" t="inlineStr">
        <is>
          <t>АСУ,А и ТМ (КЦ № 6)</t>
        </is>
      </c>
      <c r="K92" s="243" t="inlineStr">
        <is>
          <t>2012</t>
        </is>
      </c>
      <c r="L92" s="248" t="inlineStr">
        <is>
          <t>36</t>
        </is>
      </c>
      <c r="M92" s="246" t="inlineStr">
        <is>
          <t>16.02.2016</t>
        </is>
      </c>
      <c r="N92" s="245" t="inlineStr">
        <is>
          <t>К</t>
        </is>
      </c>
    </row>
    <row r="93" ht="22.5" customHeight="1" s="236">
      <c r="A93" s="243" t="n">
        <v>92</v>
      </c>
      <c r="B93" s="255" t="inlineStr">
        <is>
          <t>Преобразователь избыточного давления</t>
        </is>
      </c>
      <c r="C93" s="254" t="inlineStr">
        <is>
          <t>Honeywell STG-97L</t>
        </is>
      </c>
      <c r="D93" s="243" t="inlineStr">
        <is>
          <t>11W18 C3313690003001</t>
        </is>
      </c>
      <c r="E93" s="243" t="inlineStr">
        <is>
          <t>2011</t>
        </is>
      </c>
      <c r="F93" s="254" t="inlineStr">
        <is>
          <t>0…16 МПа</t>
        </is>
      </c>
      <c r="G93" s="254" t="inlineStr">
        <is>
          <t>0.075</t>
        </is>
      </c>
      <c r="H93" s="254" t="inlineStr">
        <is>
          <t>Давление газа на выходе компрессора</t>
        </is>
      </c>
      <c r="I93" s="243" t="inlineStr">
        <is>
          <t>ГПА 64</t>
        </is>
      </c>
      <c r="J93" s="243" t="inlineStr">
        <is>
          <t>АСУ,А и ТМ (КЦ № 6)</t>
        </is>
      </c>
      <c r="K93" s="243" t="inlineStr">
        <is>
          <t>2012</t>
        </is>
      </c>
      <c r="L93" s="248" t="inlineStr">
        <is>
          <t>36</t>
        </is>
      </c>
      <c r="M93" s="246" t="inlineStr">
        <is>
          <t>16.02.2016</t>
        </is>
      </c>
      <c r="N93" s="245" t="inlineStr">
        <is>
          <t>К</t>
        </is>
      </c>
    </row>
    <row r="94" ht="22.5" customHeight="1" s="236">
      <c r="A94" s="243" t="n">
        <v>93</v>
      </c>
      <c r="B94" s="255" t="inlineStr">
        <is>
          <t>Преобразователь избыточного давления</t>
        </is>
      </c>
      <c r="C94" s="254" t="inlineStr">
        <is>
          <t>Honeywell STG-97L</t>
        </is>
      </c>
      <c r="D94" s="243" t="inlineStr">
        <is>
          <t>10W44 C3273987003054</t>
        </is>
      </c>
      <c r="E94" s="243" t="inlineStr">
        <is>
          <t>2010</t>
        </is>
      </c>
      <c r="F94" s="254" t="inlineStr">
        <is>
          <t>0…10 МПа</t>
        </is>
      </c>
      <c r="G94" s="254" t="inlineStr">
        <is>
          <t>0.075</t>
        </is>
      </c>
      <c r="H94" s="254" t="inlineStr">
        <is>
          <t>Давление топливного газа после отсечного клапана</t>
        </is>
      </c>
      <c r="I94" s="243" t="inlineStr">
        <is>
          <t>ГПА 64</t>
        </is>
      </c>
      <c r="J94" s="243" t="inlineStr">
        <is>
          <t>АСУ,А и ТМ (КЦ № 6)</t>
        </is>
      </c>
      <c r="K94" s="243" t="inlineStr">
        <is>
          <t>2012</t>
        </is>
      </c>
      <c r="L94" s="248" t="inlineStr">
        <is>
          <t>36</t>
        </is>
      </c>
      <c r="M94" s="246" t="inlineStr">
        <is>
          <t>16.02.2016</t>
        </is>
      </c>
      <c r="N94" s="245" t="inlineStr">
        <is>
          <t>К</t>
        </is>
      </c>
    </row>
    <row r="95" ht="22.5" customHeight="1" s="236">
      <c r="A95" s="243" t="n">
        <v>94</v>
      </c>
      <c r="B95" s="255" t="inlineStr">
        <is>
          <t>Преобразователь избыточного давления</t>
        </is>
      </c>
      <c r="C95" s="254" t="inlineStr">
        <is>
          <t>Honeywell STG-97L</t>
        </is>
      </c>
      <c r="D95" s="243" t="inlineStr">
        <is>
          <t>10W44 C3273987003049</t>
        </is>
      </c>
      <c r="E95" s="243" t="inlineStr">
        <is>
          <t>2011</t>
        </is>
      </c>
      <c r="F95" s="254" t="inlineStr">
        <is>
          <t>0…10 МПа</t>
        </is>
      </c>
      <c r="G95" s="254" t="inlineStr">
        <is>
          <t>0.075</t>
        </is>
      </c>
      <c r="H95" s="254" t="inlineStr">
        <is>
          <t>Давление топливного газа перед расходомерным устройством</t>
        </is>
      </c>
      <c r="I95" s="243" t="inlineStr">
        <is>
          <t>ГПА 64</t>
        </is>
      </c>
      <c r="J95" s="243" t="inlineStr">
        <is>
          <t>АСУ,А и ТМ (КЦ № 6)</t>
        </is>
      </c>
      <c r="K95" s="243" t="inlineStr">
        <is>
          <t>2012</t>
        </is>
      </c>
      <c r="L95" s="248" t="inlineStr">
        <is>
          <t>36</t>
        </is>
      </c>
      <c r="M95" s="246" t="inlineStr">
        <is>
          <t>16.02.2016</t>
        </is>
      </c>
      <c r="N95" s="245" t="inlineStr">
        <is>
          <t>К</t>
        </is>
      </c>
    </row>
    <row r="96" ht="33.75" customHeight="1" s="236">
      <c r="A96" s="243" t="n">
        <v>95</v>
      </c>
      <c r="B96" s="255" t="inlineStr">
        <is>
          <t>Преобразователь избыточного давления</t>
        </is>
      </c>
      <c r="C96" s="254" t="inlineStr">
        <is>
          <t>Honeywell STG-97L</t>
        </is>
      </c>
      <c r="D96" s="243" t="inlineStr">
        <is>
          <t>10W43 C3273987003066</t>
        </is>
      </c>
      <c r="E96" s="243" t="inlineStr">
        <is>
          <t>2011</t>
        </is>
      </c>
      <c r="F96" s="254" t="inlineStr">
        <is>
          <t>0…10 МПа</t>
        </is>
      </c>
      <c r="G96" s="254" t="inlineStr">
        <is>
          <t>0.075</t>
        </is>
      </c>
      <c r="H96" s="254" t="inlineStr">
        <is>
          <t>Давление топливного газа перед форсунками камеры сгорания (после СК)</t>
        </is>
      </c>
      <c r="I96" s="243" t="inlineStr">
        <is>
          <t>ГПА 64</t>
        </is>
      </c>
      <c r="J96" s="243" t="inlineStr">
        <is>
          <t>АСУ,А и ТМ (КЦ № 6)</t>
        </is>
      </c>
      <c r="K96" s="243" t="inlineStr">
        <is>
          <t>2012</t>
        </is>
      </c>
      <c r="L96" s="248" t="inlineStr">
        <is>
          <t>36</t>
        </is>
      </c>
      <c r="M96" s="246" t="inlineStr">
        <is>
          <t>16.02.2016</t>
        </is>
      </c>
      <c r="N96" s="245" t="inlineStr">
        <is>
          <t>К</t>
        </is>
      </c>
    </row>
    <row r="97" ht="22.5" customHeight="1" s="236">
      <c r="A97" s="243" t="n">
        <v>96</v>
      </c>
      <c r="B97" s="255" t="inlineStr">
        <is>
          <t>Преобразователь избыточного давления</t>
        </is>
      </c>
      <c r="C97" s="254" t="inlineStr">
        <is>
          <t>Honeywell STG-97L</t>
        </is>
      </c>
      <c r="D97" s="243" t="inlineStr">
        <is>
          <t>10W43 C3273987003060</t>
        </is>
      </c>
      <c r="E97" s="243" t="inlineStr">
        <is>
          <t>2010</t>
        </is>
      </c>
      <c r="F97" s="254" t="inlineStr">
        <is>
          <t>0…2 МПа</t>
        </is>
      </c>
      <c r="G97" s="254" t="inlineStr">
        <is>
          <t>0.075</t>
        </is>
      </c>
      <c r="H97" s="254" t="inlineStr">
        <is>
          <t>Давление воздуха в разгрузочной полости</t>
        </is>
      </c>
      <c r="I97" s="243" t="inlineStr">
        <is>
          <t>ГПА 64</t>
        </is>
      </c>
      <c r="J97" s="243" t="inlineStr">
        <is>
          <t>АСУ,А и ТМ (КЦ № 6)</t>
        </is>
      </c>
      <c r="K97" s="243" t="inlineStr">
        <is>
          <t>2012</t>
        </is>
      </c>
      <c r="L97" s="248" t="inlineStr">
        <is>
          <t>36</t>
        </is>
      </c>
      <c r="M97" s="246" t="inlineStr">
        <is>
          <t>16.02.2016</t>
        </is>
      </c>
      <c r="N97" s="245" t="inlineStr">
        <is>
          <t>К</t>
        </is>
      </c>
    </row>
    <row r="98" ht="22.5" customHeight="1" s="236">
      <c r="A98" s="243" t="n">
        <v>97</v>
      </c>
      <c r="B98" s="255" t="inlineStr">
        <is>
          <t>Преобразователь избыточного давления</t>
        </is>
      </c>
      <c r="C98" s="254" t="inlineStr">
        <is>
          <t>Honeywell STG-94L</t>
        </is>
      </c>
      <c r="D98" s="243" t="inlineStr">
        <is>
          <t>11W18 C3313690002030</t>
        </is>
      </c>
      <c r="E98" s="243" t="inlineStr">
        <is>
          <t>2011</t>
        </is>
      </c>
      <c r="F98" s="254" t="inlineStr">
        <is>
          <t>0…0,63 МПа</t>
        </is>
      </c>
      <c r="G98" s="254" t="inlineStr">
        <is>
          <t>0.075</t>
        </is>
      </c>
      <c r="H98" s="254" t="inlineStr">
        <is>
          <t>Давление масла на выходе из двигателя</t>
        </is>
      </c>
      <c r="I98" s="243" t="inlineStr">
        <is>
          <t>ГПА 64</t>
        </is>
      </c>
      <c r="J98" s="243" t="inlineStr">
        <is>
          <t>АСУ,А и ТМ (КЦ № 6)</t>
        </is>
      </c>
      <c r="K98" s="243" t="inlineStr">
        <is>
          <t>2012</t>
        </is>
      </c>
      <c r="L98" s="248" t="inlineStr">
        <is>
          <t>36</t>
        </is>
      </c>
      <c r="M98" s="246" t="inlineStr">
        <is>
          <t>16.02.2016</t>
        </is>
      </c>
      <c r="N98" s="245" t="inlineStr">
        <is>
          <t>К</t>
        </is>
      </c>
    </row>
    <row r="99" ht="22.5" customHeight="1" s="236">
      <c r="A99" s="243" t="n">
        <v>98</v>
      </c>
      <c r="B99" s="255" t="inlineStr">
        <is>
          <t>Преобразователь избыточного давления</t>
        </is>
      </c>
      <c r="C99" s="254" t="inlineStr">
        <is>
          <t>Honeywell STG-94L</t>
        </is>
      </c>
      <c r="D99" s="243" t="inlineStr">
        <is>
          <t>11W17 C3313690002001</t>
        </is>
      </c>
      <c r="E99" s="243" t="inlineStr">
        <is>
          <t>2011</t>
        </is>
      </c>
      <c r="F99" s="254" t="inlineStr">
        <is>
          <t>0…0,63 МПа</t>
        </is>
      </c>
      <c r="G99" s="254" t="inlineStr">
        <is>
          <t>0.075</t>
        </is>
      </c>
      <c r="H99" s="254" t="inlineStr">
        <is>
          <t>Давление масла на входе двигателя</t>
        </is>
      </c>
      <c r="I99" s="243" t="inlineStr">
        <is>
          <t>ГПА 64</t>
        </is>
      </c>
      <c r="J99" s="243" t="inlineStr">
        <is>
          <t>АСУ,А и ТМ (КЦ № 6)</t>
        </is>
      </c>
      <c r="K99" s="243" t="inlineStr">
        <is>
          <t>2012</t>
        </is>
      </c>
      <c r="L99" s="248" t="inlineStr">
        <is>
          <t>36</t>
        </is>
      </c>
      <c r="M99" s="246" t="inlineStr">
        <is>
          <t>16.02.2016</t>
        </is>
      </c>
      <c r="N99" s="245" t="inlineStr">
        <is>
          <t>К</t>
        </is>
      </c>
    </row>
    <row r="100" ht="22.5" customHeight="1" s="236">
      <c r="A100" s="243" t="n">
        <v>99</v>
      </c>
      <c r="B100" s="255" t="inlineStr">
        <is>
          <t>Преобразователь избыточного давления</t>
        </is>
      </c>
      <c r="C100" s="254" t="inlineStr">
        <is>
          <t>Honeywell STG-94L</t>
        </is>
      </c>
      <c r="D100" s="243" t="inlineStr">
        <is>
          <t>11W18 C3313690002027</t>
        </is>
      </c>
      <c r="E100" s="243" t="inlineStr">
        <is>
          <t>2011</t>
        </is>
      </c>
      <c r="F100" s="254" t="inlineStr">
        <is>
          <t>-100…530 кПа</t>
        </is>
      </c>
      <c r="G100" s="254" t="inlineStr">
        <is>
          <t>0.075</t>
        </is>
      </c>
      <c r="H100" s="254" t="inlineStr">
        <is>
          <t>Давление воздуха в средней опоре</t>
        </is>
      </c>
      <c r="I100" s="243" t="inlineStr">
        <is>
          <t>ГПА 64</t>
        </is>
      </c>
      <c r="J100" s="243" t="inlineStr">
        <is>
          <t>АСУ,А и ТМ (КЦ № 6)</t>
        </is>
      </c>
      <c r="K100" s="243" t="inlineStr">
        <is>
          <t>2012</t>
        </is>
      </c>
      <c r="L100" s="248" t="inlineStr">
        <is>
          <t>36</t>
        </is>
      </c>
      <c r="M100" s="246" t="inlineStr">
        <is>
          <t>16.02.2016</t>
        </is>
      </c>
      <c r="N100" s="245" t="inlineStr">
        <is>
          <t>К</t>
        </is>
      </c>
    </row>
    <row r="101" ht="33.75" customHeight="1" s="236">
      <c r="A101" s="243" t="n">
        <v>100</v>
      </c>
      <c r="B101" s="255" t="inlineStr">
        <is>
          <t>Преобразователь избыточного давления</t>
        </is>
      </c>
      <c r="C101" s="254" t="inlineStr">
        <is>
          <t>Honeywell STG-94L</t>
        </is>
      </c>
      <c r="D101" s="243" t="inlineStr">
        <is>
          <t>11W13 C3303059004002</t>
        </is>
      </c>
      <c r="E101" s="243" t="inlineStr">
        <is>
          <t>2011</t>
        </is>
      </c>
      <c r="F101" s="254" t="inlineStr">
        <is>
          <t>0…1 МПа</t>
        </is>
      </c>
      <c r="G101" s="254" t="inlineStr">
        <is>
          <t>0.075</t>
        </is>
      </c>
      <c r="H101" s="254" t="inlineStr">
        <is>
          <t>Давление защиного воздуха на выходе ресивера Р1 (после воздушного компрессора)</t>
        </is>
      </c>
      <c r="I101" s="243" t="inlineStr">
        <is>
          <t>ГПА 64</t>
        </is>
      </c>
      <c r="J101" s="243" t="inlineStr">
        <is>
          <t>АСУ,А и ТМ (КЦ № 6)</t>
        </is>
      </c>
      <c r="K101" s="243" t="inlineStr">
        <is>
          <t>2012</t>
        </is>
      </c>
      <c r="L101" s="248" t="inlineStr">
        <is>
          <t>36</t>
        </is>
      </c>
      <c r="M101" s="246" t="inlineStr">
        <is>
          <t>16.02.2016</t>
        </is>
      </c>
      <c r="N101" s="245" t="inlineStr">
        <is>
          <t>К</t>
        </is>
      </c>
    </row>
    <row r="102" ht="22.5" customHeight="1" s="236">
      <c r="A102" s="243" t="n">
        <v>101</v>
      </c>
      <c r="B102" s="255" t="inlineStr">
        <is>
          <t>Преобразователь избыточного давления</t>
        </is>
      </c>
      <c r="C102" s="254" t="inlineStr">
        <is>
          <t>Honeywell STD-930</t>
        </is>
      </c>
      <c r="D102" s="243" t="inlineStr">
        <is>
          <t>11W04 C3287149005009</t>
        </is>
      </c>
      <c r="E102" s="243" t="inlineStr">
        <is>
          <t>2011</t>
        </is>
      </c>
      <c r="F102" s="254" t="inlineStr">
        <is>
          <t>-34…689 кПа</t>
        </is>
      </c>
      <c r="G102" s="254" t="inlineStr">
        <is>
          <t>0.075</t>
        </is>
      </c>
      <c r="H102" s="254" t="inlineStr">
        <is>
          <t>Перепад воздуха на шайбе</t>
        </is>
      </c>
      <c r="I102" s="243" t="inlineStr">
        <is>
          <t>ГПА 64</t>
        </is>
      </c>
      <c r="J102" s="243" t="inlineStr">
        <is>
          <t>АСУ,А и ТМ (КЦ № 6)</t>
        </is>
      </c>
      <c r="K102" s="243" t="inlineStr">
        <is>
          <t>2012</t>
        </is>
      </c>
      <c r="L102" s="248" t="inlineStr">
        <is>
          <t>36</t>
        </is>
      </c>
      <c r="M102" s="246" t="inlineStr">
        <is>
          <t>16.02.2016</t>
        </is>
      </c>
      <c r="N102" s="245" t="inlineStr">
        <is>
          <t>К</t>
        </is>
      </c>
    </row>
    <row r="103" ht="22.5" customHeight="1" s="236">
      <c r="A103" s="243" t="n">
        <v>102</v>
      </c>
      <c r="B103" s="255" t="inlineStr">
        <is>
          <t>Преобразователь избыточного давления</t>
        </is>
      </c>
      <c r="C103" s="254" t="inlineStr">
        <is>
          <t>Honeywell STD-924</t>
        </is>
      </c>
      <c r="D103" s="243" t="inlineStr">
        <is>
          <t>11W18 C3313690001036</t>
        </is>
      </c>
      <c r="E103" s="243" t="inlineStr">
        <is>
          <t>2011</t>
        </is>
      </c>
      <c r="F103" s="254" t="inlineStr">
        <is>
          <t>0…63 кПа</t>
        </is>
      </c>
      <c r="G103" s="254" t="inlineStr">
        <is>
          <t>0.075</t>
        </is>
      </c>
      <c r="H103" s="254" t="inlineStr">
        <is>
          <t>Перепад давления газа на всасывающем патрубке (конфузоре)</t>
        </is>
      </c>
      <c r="I103" s="243" t="inlineStr">
        <is>
          <t>ГПА 64</t>
        </is>
      </c>
      <c r="J103" s="243" t="inlineStr">
        <is>
          <t>АСУ,А и ТМ (КЦ № 6)</t>
        </is>
      </c>
      <c r="K103" s="243" t="inlineStr">
        <is>
          <t>2012</t>
        </is>
      </c>
      <c r="L103" s="248" t="inlineStr">
        <is>
          <t>36</t>
        </is>
      </c>
      <c r="M103" s="246" t="inlineStr">
        <is>
          <t>16.02.2016</t>
        </is>
      </c>
      <c r="N103" s="245" t="inlineStr">
        <is>
          <t>К</t>
        </is>
      </c>
    </row>
    <row r="104" ht="33.75" customHeight="1" s="236">
      <c r="A104" s="243" t="n">
        <v>103</v>
      </c>
      <c r="B104" s="255" t="inlineStr">
        <is>
          <t>Преобразователь избыточного давления</t>
        </is>
      </c>
      <c r="C104" s="254" t="inlineStr">
        <is>
          <t>Honeywell STD-924</t>
        </is>
      </c>
      <c r="D104" s="243" t="inlineStr">
        <is>
          <t>11W18 C3313690001047</t>
        </is>
      </c>
      <c r="E104" s="243" t="inlineStr">
        <is>
          <t>2011</t>
        </is>
      </c>
      <c r="F104" s="254" t="inlineStr">
        <is>
          <t>0…4 кПа</t>
        </is>
      </c>
      <c r="G104" s="254" t="inlineStr">
        <is>
          <t>0.075</t>
        </is>
      </c>
      <c r="H104" s="254" t="inlineStr">
        <is>
          <t>Перепад давления между оболочкой опорного подшипника и 2-ой супенью ТУ</t>
        </is>
      </c>
      <c r="I104" s="243" t="inlineStr">
        <is>
          <t>ГПА 64</t>
        </is>
      </c>
      <c r="J104" s="243" t="inlineStr">
        <is>
          <t>АСУ,А и ТМ (КЦ № 6)</t>
        </is>
      </c>
      <c r="K104" s="243" t="inlineStr">
        <is>
          <t>2012</t>
        </is>
      </c>
      <c r="L104" s="248" t="inlineStr">
        <is>
          <t>36</t>
        </is>
      </c>
      <c r="M104" s="246" t="inlineStr">
        <is>
          <t>16.02.2016</t>
        </is>
      </c>
      <c r="N104" s="245" t="inlineStr">
        <is>
          <t>К</t>
        </is>
      </c>
    </row>
    <row r="105" ht="33.75" customHeight="1" s="236">
      <c r="A105" s="243" t="n">
        <v>104</v>
      </c>
      <c r="B105" s="255" t="inlineStr">
        <is>
          <t>Преобразователь избыточного давления</t>
        </is>
      </c>
      <c r="C105" s="254" t="inlineStr">
        <is>
          <t>Honeywell STD-924</t>
        </is>
      </c>
      <c r="D105" s="243" t="inlineStr">
        <is>
          <t>11W17 C3313690001007</t>
        </is>
      </c>
      <c r="E105" s="243" t="inlineStr">
        <is>
          <t>2011</t>
        </is>
      </c>
      <c r="F105" s="254" t="inlineStr">
        <is>
          <t>0…4 кПа</t>
        </is>
      </c>
      <c r="G105" s="254" t="inlineStr">
        <is>
          <t>0.075</t>
        </is>
      </c>
      <c r="H105" s="254" t="inlineStr">
        <is>
          <t>Перепад давления между оболочкой опорно-упорного подшипника и 2-ой супенью ТУ</t>
        </is>
      </c>
      <c r="I105" s="243" t="inlineStr">
        <is>
          <t>ГПА 64</t>
        </is>
      </c>
      <c r="J105" s="243" t="inlineStr">
        <is>
          <t>АСУ,А и ТМ (КЦ № 6)</t>
        </is>
      </c>
      <c r="K105" s="243" t="inlineStr">
        <is>
          <t>2012</t>
        </is>
      </c>
      <c r="L105" s="248" t="inlineStr">
        <is>
          <t>36</t>
        </is>
      </c>
      <c r="M105" s="246" t="inlineStr">
        <is>
          <t>16.02.2016</t>
        </is>
      </c>
      <c r="N105" s="245" t="inlineStr">
        <is>
          <t>К</t>
        </is>
      </c>
    </row>
    <row r="106" ht="22.5" customHeight="1" s="236">
      <c r="A106" s="243" t="n">
        <v>105</v>
      </c>
      <c r="B106" s="255" t="inlineStr">
        <is>
          <t>Преобразователь избыточного давления</t>
        </is>
      </c>
      <c r="C106" s="254" t="inlineStr">
        <is>
          <t>Honeywell STD-924</t>
        </is>
      </c>
      <c r="D106" s="243" t="inlineStr">
        <is>
          <t>11W17 C3313690001017</t>
        </is>
      </c>
      <c r="E106" s="243" t="inlineStr">
        <is>
          <t>2011</t>
        </is>
      </c>
      <c r="F106" s="254" t="inlineStr">
        <is>
          <t>0…1,6 кПа</t>
        </is>
      </c>
      <c r="G106" s="254" t="inlineStr">
        <is>
          <t>0.075</t>
        </is>
      </c>
      <c r="H106" s="254" t="inlineStr">
        <is>
          <t>Давление во входном сечении лемнискаты ГТД</t>
        </is>
      </c>
      <c r="I106" s="243" t="inlineStr">
        <is>
          <t>ГПА 64</t>
        </is>
      </c>
      <c r="J106" s="243" t="inlineStr">
        <is>
          <t>АСУ,А и ТМ (КЦ № 6)</t>
        </is>
      </c>
      <c r="K106" s="243" t="inlineStr">
        <is>
          <t>2012</t>
        </is>
      </c>
      <c r="L106" s="248" t="inlineStr">
        <is>
          <t>36</t>
        </is>
      </c>
      <c r="M106" s="246" t="inlineStr">
        <is>
          <t>16.02.2016</t>
        </is>
      </c>
      <c r="N106" s="245" t="inlineStr">
        <is>
          <t>К</t>
        </is>
      </c>
    </row>
    <row r="107" ht="22.5" customHeight="1" s="236">
      <c r="A107" s="243" t="n">
        <v>106</v>
      </c>
      <c r="B107" s="255" t="inlineStr">
        <is>
          <t>Преобразователь избыточного давления</t>
        </is>
      </c>
      <c r="C107" s="254" t="inlineStr">
        <is>
          <t>Honeywell STD-924</t>
        </is>
      </c>
      <c r="D107" s="243" t="inlineStr">
        <is>
          <t>11W17 C3313690001014</t>
        </is>
      </c>
      <c r="E107" s="243" t="inlineStr">
        <is>
          <t>2011</t>
        </is>
      </c>
      <c r="F107" s="254" t="inlineStr">
        <is>
          <t>-5…100 кПа</t>
        </is>
      </c>
      <c r="G107" s="254" t="inlineStr">
        <is>
          <t>0.075</t>
        </is>
      </c>
      <c r="H107" s="254" t="inlineStr">
        <is>
          <t>Давление на срезе улитки ГТД</t>
        </is>
      </c>
      <c r="I107" s="243" t="inlineStr">
        <is>
          <t>ГПА 64</t>
        </is>
      </c>
      <c r="J107" s="243" t="inlineStr">
        <is>
          <t>АСУ,А и ТМ (КЦ № 6)</t>
        </is>
      </c>
      <c r="K107" s="243" t="inlineStr">
        <is>
          <t>2012</t>
        </is>
      </c>
      <c r="L107" s="248" t="inlineStr">
        <is>
          <t>36</t>
        </is>
      </c>
      <c r="M107" s="246" t="inlineStr">
        <is>
          <t>16.02.2016</t>
        </is>
      </c>
      <c r="N107" s="245" t="inlineStr">
        <is>
          <t>К</t>
        </is>
      </c>
    </row>
    <row r="108" ht="22.5" customHeight="1" s="236">
      <c r="A108" s="243" t="n">
        <v>107</v>
      </c>
      <c r="B108" s="255" t="inlineStr">
        <is>
          <t>Преобразователь избыточного давления</t>
        </is>
      </c>
      <c r="C108" s="254" t="inlineStr">
        <is>
          <t>Honeywell STD-924</t>
        </is>
      </c>
      <c r="D108" s="243" t="inlineStr">
        <is>
          <t>11W17 C3313690001011</t>
        </is>
      </c>
      <c r="E108" s="243" t="inlineStr">
        <is>
          <t>2011</t>
        </is>
      </c>
      <c r="F108" s="254" t="inlineStr">
        <is>
          <t>0…1158,4 мм</t>
        </is>
      </c>
      <c r="G108" s="254" t="inlineStr">
        <is>
          <t>0.075</t>
        </is>
      </c>
      <c r="H108" s="254" t="inlineStr">
        <is>
          <t>Уровень масла в маслобаке двигателя</t>
        </is>
      </c>
      <c r="I108" s="243" t="inlineStr">
        <is>
          <t>ГПА 64</t>
        </is>
      </c>
      <c r="J108" s="243" t="inlineStr">
        <is>
          <t>АСУ,А и ТМ (КЦ № 6)</t>
        </is>
      </c>
      <c r="K108" s="243" t="inlineStr">
        <is>
          <t>2012</t>
        </is>
      </c>
      <c r="L108" s="248" t="inlineStr">
        <is>
          <t>36</t>
        </is>
      </c>
      <c r="M108" s="246" t="inlineStr">
        <is>
          <t>17.02.2016</t>
        </is>
      </c>
      <c r="N108" s="245" t="inlineStr">
        <is>
          <t>К</t>
        </is>
      </c>
    </row>
    <row r="109" ht="22.5" customHeight="1" s="236">
      <c r="A109" s="243" t="n">
        <v>108</v>
      </c>
      <c r="B109" s="255" t="inlineStr">
        <is>
          <t>Преобразователь избыточного давления</t>
        </is>
      </c>
      <c r="C109" s="254" t="inlineStr">
        <is>
          <t>Honeywell STD-924</t>
        </is>
      </c>
      <c r="D109" s="243" t="inlineStr">
        <is>
          <t>11W18 C3313690001050</t>
        </is>
      </c>
      <c r="E109" s="243" t="inlineStr">
        <is>
          <t>2011</t>
        </is>
      </c>
      <c r="F109" s="254" t="inlineStr">
        <is>
          <t>0…2000 мм</t>
        </is>
      </c>
      <c r="G109" s="254" t="inlineStr">
        <is>
          <t>0.075</t>
        </is>
      </c>
      <c r="H109" s="254" t="inlineStr">
        <is>
          <t>Уровеь масла в расходном баке</t>
        </is>
      </c>
      <c r="I109" s="243" t="inlineStr">
        <is>
          <t>ГПА 64</t>
        </is>
      </c>
      <c r="J109" s="243" t="inlineStr">
        <is>
          <t>АСУ,А и ТМ (КЦ № 6)</t>
        </is>
      </c>
      <c r="K109" s="243" t="inlineStr">
        <is>
          <t>2012</t>
        </is>
      </c>
      <c r="L109" s="248" t="inlineStr">
        <is>
          <t>36</t>
        </is>
      </c>
      <c r="M109" s="246" t="inlineStr">
        <is>
          <t>17.02.2016</t>
        </is>
      </c>
      <c r="N109" s="245" t="inlineStr">
        <is>
          <t>К</t>
        </is>
      </c>
    </row>
    <row r="110" ht="22.5" customHeight="1" s="236">
      <c r="A110" s="243" t="n">
        <v>109</v>
      </c>
      <c r="B110" s="255" t="inlineStr">
        <is>
          <t>Преобразователь избыточного давления</t>
        </is>
      </c>
      <c r="C110" s="254" t="inlineStr">
        <is>
          <t>Honeywell STD-924</t>
        </is>
      </c>
      <c r="D110" s="243" t="inlineStr">
        <is>
          <t>11W17 C3313690001006</t>
        </is>
      </c>
      <c r="E110" s="243" t="inlineStr">
        <is>
          <t>2011</t>
        </is>
      </c>
      <c r="F110" s="254" t="inlineStr">
        <is>
          <t>0…100 кПа</t>
        </is>
      </c>
      <c r="G110" s="254" t="inlineStr">
        <is>
          <t>0.075</t>
        </is>
      </c>
      <c r="H110" s="254" t="inlineStr">
        <is>
          <t>Перепад давлений между входной и выходной камерами Ф1</t>
        </is>
      </c>
      <c r="I110" s="243" t="inlineStr">
        <is>
          <t>ГПА 64</t>
        </is>
      </c>
      <c r="J110" s="243" t="inlineStr">
        <is>
          <t>АСУ,А и ТМ (КЦ № 6)</t>
        </is>
      </c>
      <c r="K110" s="243" t="inlineStr">
        <is>
          <t>2012</t>
        </is>
      </c>
      <c r="L110" s="248" t="inlineStr">
        <is>
          <t>36</t>
        </is>
      </c>
      <c r="M110" s="246" t="inlineStr">
        <is>
          <t>17.02.2016</t>
        </is>
      </c>
      <c r="N110" s="245" t="inlineStr">
        <is>
          <t>К</t>
        </is>
      </c>
    </row>
    <row r="111" ht="22.5" customHeight="1" s="236">
      <c r="A111" s="243" t="n">
        <v>110</v>
      </c>
      <c r="B111" s="255" t="inlineStr">
        <is>
          <t>Преобразователь избыточного давления</t>
        </is>
      </c>
      <c r="C111" s="254" t="inlineStr">
        <is>
          <t>Honeywell STD-924</t>
        </is>
      </c>
      <c r="D111" s="243" t="inlineStr">
        <is>
          <t>11W17 C3313690001001</t>
        </is>
      </c>
      <c r="E111" s="243" t="inlineStr">
        <is>
          <t>2011</t>
        </is>
      </c>
      <c r="F111" s="254" t="inlineStr">
        <is>
          <t>0…100 кПа</t>
        </is>
      </c>
      <c r="G111" s="254" t="inlineStr">
        <is>
          <t>0.075</t>
        </is>
      </c>
      <c r="H111" s="254" t="inlineStr">
        <is>
          <t>Перепад давлений между входной и выходной камерами Ф2</t>
        </is>
      </c>
      <c r="I111" s="243" t="inlineStr">
        <is>
          <t>ГПА 64</t>
        </is>
      </c>
      <c r="J111" s="243" t="inlineStr">
        <is>
          <t>АСУ,А и ТМ (КЦ № 6)</t>
        </is>
      </c>
      <c r="K111" s="243" t="inlineStr">
        <is>
          <t>2012</t>
        </is>
      </c>
      <c r="L111" s="248" t="inlineStr">
        <is>
          <t>36</t>
        </is>
      </c>
      <c r="M111" s="246" t="inlineStr">
        <is>
          <t>17.02.2016</t>
        </is>
      </c>
      <c r="N111" s="245" t="inlineStr">
        <is>
          <t>К</t>
        </is>
      </c>
    </row>
    <row r="112" ht="22.5" customHeight="1" s="236">
      <c r="A112" s="243" t="n">
        <v>111</v>
      </c>
      <c r="B112" s="255" t="inlineStr">
        <is>
          <t>Преобразователь избыточного давления</t>
        </is>
      </c>
      <c r="C112" s="254" t="inlineStr">
        <is>
          <t>Honeywell STD-120</t>
        </is>
      </c>
      <c r="D112" s="243" t="inlineStr">
        <is>
          <t>10W45 C3273987001098</t>
        </is>
      </c>
      <c r="E112" s="243" t="inlineStr">
        <is>
          <t>2010</t>
        </is>
      </c>
      <c r="F112" s="254" t="inlineStr">
        <is>
          <t>-1000…2500 Па</t>
        </is>
      </c>
      <c r="G112" s="254" t="inlineStr">
        <is>
          <t>0.075</t>
        </is>
      </c>
      <c r="H112" s="254" t="inlineStr">
        <is>
          <t>Давление инжектируемого потока перед сепаратором С1</t>
        </is>
      </c>
      <c r="I112" s="243" t="inlineStr">
        <is>
          <t>ГПА 64</t>
        </is>
      </c>
      <c r="J112" s="243" t="inlineStr">
        <is>
          <t>АСУ,А и ТМ (КЦ № 6)</t>
        </is>
      </c>
      <c r="K112" s="243" t="inlineStr">
        <is>
          <t>2012</t>
        </is>
      </c>
      <c r="L112" s="248" t="inlineStr">
        <is>
          <t>36</t>
        </is>
      </c>
      <c r="M112" s="246" t="inlineStr">
        <is>
          <t>17.02.2016</t>
        </is>
      </c>
      <c r="N112" s="245" t="inlineStr">
        <is>
          <t>К</t>
        </is>
      </c>
    </row>
    <row r="113" ht="22.5" customHeight="1" s="236">
      <c r="A113" s="243" t="n">
        <v>112</v>
      </c>
      <c r="B113" s="255" t="inlineStr">
        <is>
          <t>Преобразователь избыточного давления</t>
        </is>
      </c>
      <c r="C113" s="254" t="inlineStr">
        <is>
          <t>Honeywell STD-120</t>
        </is>
      </c>
      <c r="D113" s="243" t="inlineStr">
        <is>
          <t>10W45 C3273987001079</t>
        </is>
      </c>
      <c r="E113" s="243" t="inlineStr">
        <is>
          <t>2010</t>
        </is>
      </c>
      <c r="F113" s="254" t="inlineStr">
        <is>
          <t>0…400 Па</t>
        </is>
      </c>
      <c r="G113" s="254" t="inlineStr">
        <is>
          <t>0.075</t>
        </is>
      </c>
      <c r="H113" s="254" t="inlineStr">
        <is>
          <t>Избыточное давление воздуха под кожухом двигателя</t>
        </is>
      </c>
      <c r="I113" s="243" t="inlineStr">
        <is>
          <t>ГПА 64</t>
        </is>
      </c>
      <c r="J113" s="243" t="inlineStr">
        <is>
          <t>АСУ,А и ТМ (КЦ № 6)</t>
        </is>
      </c>
      <c r="K113" s="243" t="inlineStr">
        <is>
          <t>2012</t>
        </is>
      </c>
      <c r="L113" s="248" t="inlineStr">
        <is>
          <t>36</t>
        </is>
      </c>
      <c r="M113" s="246" t="inlineStr">
        <is>
          <t>17.02.2016</t>
        </is>
      </c>
      <c r="N113" s="245" t="inlineStr">
        <is>
          <t>К</t>
        </is>
      </c>
    </row>
    <row r="114" ht="22.5" customHeight="1" s="236">
      <c r="A114" s="243" t="n">
        <v>113</v>
      </c>
      <c r="B114" s="255" t="inlineStr">
        <is>
          <t>Преобразователь избыточного давления</t>
        </is>
      </c>
      <c r="C114" s="254" t="inlineStr">
        <is>
          <t>Honeywell STD-120</t>
        </is>
      </c>
      <c r="D114" s="243" t="inlineStr">
        <is>
          <t>10W45 C3273987001062</t>
        </is>
      </c>
      <c r="E114" s="243" t="inlineStr">
        <is>
          <t>2010</t>
        </is>
      </c>
      <c r="F114" s="254" t="inlineStr">
        <is>
          <t>0…10 кПа</t>
        </is>
      </c>
      <c r="G114" s="254" t="inlineStr">
        <is>
          <t>0.075</t>
        </is>
      </c>
      <c r="H114" s="254" t="inlineStr">
        <is>
          <t>Давление защитного воздуха на входе опорного подшипника</t>
        </is>
      </c>
      <c r="I114" s="243" t="inlineStr">
        <is>
          <t>ГПА 64</t>
        </is>
      </c>
      <c r="J114" s="243" t="inlineStr">
        <is>
          <t>АСУ,А и ТМ (КЦ № 6)</t>
        </is>
      </c>
      <c r="K114" s="243" t="inlineStr">
        <is>
          <t>2012</t>
        </is>
      </c>
      <c r="L114" s="248" t="inlineStr">
        <is>
          <t>36</t>
        </is>
      </c>
      <c r="M114" s="246" t="inlineStr">
        <is>
          <t>17.02.2016</t>
        </is>
      </c>
      <c r="N114" s="245" t="inlineStr">
        <is>
          <t>К</t>
        </is>
      </c>
    </row>
    <row r="115" ht="22.5" customHeight="1" s="236">
      <c r="A115" s="243" t="n">
        <v>114</v>
      </c>
      <c r="B115" s="255" t="inlineStr">
        <is>
          <t>Преобразователь избыточного давления</t>
        </is>
      </c>
      <c r="C115" s="254" t="inlineStr">
        <is>
          <t>Honeywell STD-120</t>
        </is>
      </c>
      <c r="D115" s="243" t="inlineStr">
        <is>
          <t>10W45 C3273987001059</t>
        </is>
      </c>
      <c r="E115" s="243" t="inlineStr">
        <is>
          <t>2011</t>
        </is>
      </c>
      <c r="F115" s="254" t="inlineStr">
        <is>
          <t>0…4 кПа</t>
        </is>
      </c>
      <c r="G115" s="254" t="inlineStr">
        <is>
          <t>0.075</t>
        </is>
      </c>
      <c r="H115" s="254" t="inlineStr">
        <is>
          <t>Давление защитного воздуха на входе опорно-упорного подшипника</t>
        </is>
      </c>
      <c r="I115" s="243" t="inlineStr">
        <is>
          <t>ГПА 64</t>
        </is>
      </c>
      <c r="J115" s="243" t="inlineStr">
        <is>
          <t>АСУ,А и ТМ (КЦ № 6)</t>
        </is>
      </c>
      <c r="K115" s="243" t="inlineStr">
        <is>
          <t>2012</t>
        </is>
      </c>
      <c r="L115" s="248" t="inlineStr">
        <is>
          <t>36</t>
        </is>
      </c>
      <c r="M115" s="246" t="inlineStr">
        <is>
          <t>17.02.2016</t>
        </is>
      </c>
      <c r="N115" s="245" t="inlineStr">
        <is>
          <t>К</t>
        </is>
      </c>
    </row>
    <row r="116" ht="22.5" customHeight="1" s="236">
      <c r="A116" s="243" t="n">
        <v>115</v>
      </c>
      <c r="B116" s="255" t="inlineStr">
        <is>
          <t>Преобразователь избыточного давления</t>
        </is>
      </c>
      <c r="C116" s="254" t="inlineStr">
        <is>
          <t>Honeywell STD-120</t>
        </is>
      </c>
      <c r="D116" s="243" t="inlineStr">
        <is>
          <t>10W45 C3273987001078</t>
        </is>
      </c>
      <c r="E116" s="243" t="inlineStr">
        <is>
          <t>2010</t>
        </is>
      </c>
      <c r="F116" s="254" t="inlineStr">
        <is>
          <t>0…10 кПа</t>
        </is>
      </c>
      <c r="G116" s="254" t="inlineStr">
        <is>
          <t>0.075</t>
        </is>
      </c>
      <c r="H116" s="254" t="inlineStr">
        <is>
          <t>Давление защитного воздуха на выходе оболочки опорного подшипника</t>
        </is>
      </c>
      <c r="I116" s="243" t="inlineStr">
        <is>
          <t>ГПА 64</t>
        </is>
      </c>
      <c r="J116" s="243" t="inlineStr">
        <is>
          <t>АСУ,А и ТМ (КЦ № 6)</t>
        </is>
      </c>
      <c r="K116" s="243" t="inlineStr">
        <is>
          <t>2012</t>
        </is>
      </c>
      <c r="L116" s="248" t="inlineStr">
        <is>
          <t>36</t>
        </is>
      </c>
      <c r="M116" s="246" t="inlineStr">
        <is>
          <t>17.02.2016</t>
        </is>
      </c>
      <c r="N116" s="245" t="inlineStr">
        <is>
          <t>К</t>
        </is>
      </c>
    </row>
    <row r="117" ht="33.75" customHeight="1" s="236">
      <c r="A117" s="243" t="n">
        <v>116</v>
      </c>
      <c r="B117" s="255" t="inlineStr">
        <is>
          <t>Преобразователь избыточного давления</t>
        </is>
      </c>
      <c r="C117" s="254" t="inlineStr">
        <is>
          <t>Honeywell STD-120</t>
        </is>
      </c>
      <c r="D117" s="243" t="inlineStr">
        <is>
          <t>10W45 C3273987001063</t>
        </is>
      </c>
      <c r="E117" s="243" t="inlineStr">
        <is>
          <t>2010</t>
        </is>
      </c>
      <c r="F117" s="254" t="inlineStr">
        <is>
          <t>0…4 кПа</t>
        </is>
      </c>
      <c r="G117" s="254" t="inlineStr">
        <is>
          <t>0.075</t>
        </is>
      </c>
      <c r="H117" s="254" t="inlineStr">
        <is>
          <t>Давление защитного воздуха на выходе оболочки опорно-упорного подшипника</t>
        </is>
      </c>
      <c r="I117" s="243" t="inlineStr">
        <is>
          <t>ГПА 64</t>
        </is>
      </c>
      <c r="J117" s="243" t="inlineStr">
        <is>
          <t>АСУ,А и ТМ (КЦ № 6)</t>
        </is>
      </c>
      <c r="K117" s="243" t="inlineStr">
        <is>
          <t>2012</t>
        </is>
      </c>
      <c r="L117" s="248" t="inlineStr">
        <is>
          <t>36</t>
        </is>
      </c>
      <c r="M117" s="246" t="inlineStr">
        <is>
          <t>17.02.2016</t>
        </is>
      </c>
      <c r="N117" s="245" t="inlineStr">
        <is>
          <t>К</t>
        </is>
      </c>
    </row>
    <row r="118" ht="22.5" customHeight="1" s="236">
      <c r="A118" s="243" t="n">
        <v>117</v>
      </c>
      <c r="B118" s="255" t="inlineStr">
        <is>
          <t>Преобразователь избыточного давления</t>
        </is>
      </c>
      <c r="C118" s="254" t="inlineStr">
        <is>
          <t>Honeywell STD-120</t>
        </is>
      </c>
      <c r="D118" s="243" t="inlineStr">
        <is>
          <t>10W45 C3273987001105</t>
        </is>
      </c>
      <c r="E118" s="243" t="inlineStr">
        <is>
          <t>2010</t>
        </is>
      </c>
      <c r="F118" s="254" t="inlineStr">
        <is>
          <t>0…1 кПа</t>
        </is>
      </c>
      <c r="G118" s="254" t="inlineStr">
        <is>
          <t>0.075</t>
        </is>
      </c>
      <c r="H118" s="254" t="inlineStr">
        <is>
          <t>Давление воздуха на входе Д (разрежение во всас. камере)</t>
        </is>
      </c>
      <c r="I118" s="243" t="inlineStr">
        <is>
          <t>ГПА 64</t>
        </is>
      </c>
      <c r="J118" s="243" t="inlineStr">
        <is>
          <t>АСУ,А и ТМ (КЦ № 6)</t>
        </is>
      </c>
      <c r="K118" s="243" t="inlineStr">
        <is>
          <t>2012</t>
        </is>
      </c>
      <c r="L118" s="248" t="inlineStr">
        <is>
          <t>36</t>
        </is>
      </c>
      <c r="M118" s="246" t="inlineStr">
        <is>
          <t>17.02.2016</t>
        </is>
      </c>
      <c r="N118" s="245" t="inlineStr">
        <is>
          <t>К</t>
        </is>
      </c>
    </row>
    <row r="119" ht="22.5" customHeight="1" s="236">
      <c r="A119" s="243" t="n">
        <v>118</v>
      </c>
      <c r="B119" s="246" t="inlineStr">
        <is>
          <t>Расходомер</t>
        </is>
      </c>
      <c r="C119" s="254" t="inlineStr">
        <is>
          <t>KROHNE OPTISWIRL 4070/C</t>
        </is>
      </c>
      <c r="D119" s="243" t="inlineStr">
        <is>
          <t>D110000000199392</t>
        </is>
      </c>
      <c r="E119" s="243" t="inlineStr">
        <is>
          <t>2011</t>
        </is>
      </c>
      <c r="F119" s="254" t="inlineStr">
        <is>
          <t>1,5…15 Нм3/мин</t>
        </is>
      </c>
      <c r="G119" s="254" t="inlineStr">
        <is>
          <t>1</t>
        </is>
      </c>
      <c r="H119" s="254" t="inlineStr">
        <is>
          <t>Расход воздуха на выходе из оболочки опорно-упорного подшипника</t>
        </is>
      </c>
      <c r="I119" s="243" t="inlineStr">
        <is>
          <t>ГПА 64</t>
        </is>
      </c>
      <c r="J119" s="243" t="inlineStr">
        <is>
          <t>АСУ,А и ТМ (КЦ № 6)</t>
        </is>
      </c>
      <c r="K119" s="243" t="inlineStr">
        <is>
          <t>2012</t>
        </is>
      </c>
      <c r="L119" s="248" t="inlineStr">
        <is>
          <t>36</t>
        </is>
      </c>
      <c r="M119" s="246" t="inlineStr"/>
      <c r="N119" s="245" t="inlineStr"/>
    </row>
    <row r="120" ht="22.5" customHeight="1" s="236">
      <c r="A120" s="243" t="n">
        <v>119</v>
      </c>
      <c r="B120" s="246" t="inlineStr">
        <is>
          <t>Расходомер</t>
        </is>
      </c>
      <c r="C120" s="254" t="inlineStr">
        <is>
          <t>KROHNE OPTISWIRL 4070/C</t>
        </is>
      </c>
      <c r="D120" s="243" t="inlineStr">
        <is>
          <t>D110000000199394</t>
        </is>
      </c>
      <c r="E120" s="243" t="inlineStr">
        <is>
          <t>2011</t>
        </is>
      </c>
      <c r="F120" s="254" t="inlineStr">
        <is>
          <t>1,5…15 Нм3/мин</t>
        </is>
      </c>
      <c r="G120" s="254" t="inlineStr">
        <is>
          <t>1</t>
        </is>
      </c>
      <c r="H120" s="254" t="inlineStr">
        <is>
          <t>Расход воздуха на выходе из оболочки опорного подшипника</t>
        </is>
      </c>
      <c r="I120" s="243" t="inlineStr">
        <is>
          <t>ГПА 64</t>
        </is>
      </c>
      <c r="J120" s="243" t="inlineStr">
        <is>
          <t>АСУ,А и ТМ (КЦ № 6)</t>
        </is>
      </c>
      <c r="K120" s="243" t="inlineStr">
        <is>
          <t>2012</t>
        </is>
      </c>
      <c r="L120" s="248" t="inlineStr">
        <is>
          <t>36</t>
        </is>
      </c>
      <c r="M120" s="246" t="inlineStr"/>
      <c r="N120" s="245" t="inlineStr"/>
    </row>
    <row r="121" ht="22.5" customHeight="1" s="236">
      <c r="A121" s="243" t="n">
        <v>120</v>
      </c>
      <c r="B121" s="246" t="inlineStr">
        <is>
          <t>Расходомер</t>
        </is>
      </c>
      <c r="C121" s="254" t="inlineStr">
        <is>
          <t>KROHNE/H250</t>
        </is>
      </c>
      <c r="D121" s="243" t="inlineStr">
        <is>
          <t>D110000000182273</t>
        </is>
      </c>
      <c r="E121" s="243" t="inlineStr">
        <is>
          <t>2011</t>
        </is>
      </c>
      <c r="F121" s="254" t="inlineStr">
        <is>
          <t>6…60 Нм3/час</t>
        </is>
      </c>
      <c r="G121" s="254" t="inlineStr">
        <is>
          <t>1,6</t>
        </is>
      </c>
      <c r="H121" s="254" t="inlineStr">
        <is>
          <t>Расход газа на выходе первой ступени ЗКВ</t>
        </is>
      </c>
      <c r="I121" s="243" t="inlineStr">
        <is>
          <t>ГПА 64</t>
        </is>
      </c>
      <c r="J121" s="243" t="inlineStr">
        <is>
          <t>АСУ,А и ТМ (КЦ № 6)</t>
        </is>
      </c>
      <c r="K121" s="243" t="inlineStr">
        <is>
          <t>2012</t>
        </is>
      </c>
      <c r="L121" s="248" t="inlineStr">
        <is>
          <t>36</t>
        </is>
      </c>
      <c r="M121" s="246" t="inlineStr"/>
      <c r="N121" s="245" t="inlineStr"/>
    </row>
    <row r="122" ht="22.5" customHeight="1" s="236">
      <c r="A122" s="243" t="n">
        <v>121</v>
      </c>
      <c r="B122" s="246" t="inlineStr">
        <is>
          <t>Расходомер</t>
        </is>
      </c>
      <c r="C122" s="254" t="inlineStr">
        <is>
          <t>KROHNE/H250</t>
        </is>
      </c>
      <c r="D122" s="243" t="inlineStr">
        <is>
          <t>D110000000182277</t>
        </is>
      </c>
      <c r="E122" s="243" t="inlineStr">
        <is>
          <t>2011</t>
        </is>
      </c>
      <c r="F122" s="254" t="inlineStr">
        <is>
          <t>6…60 Нм3/час</t>
        </is>
      </c>
      <c r="G122" s="254" t="inlineStr">
        <is>
          <t>1.6</t>
        </is>
      </c>
      <c r="H122" s="254" t="inlineStr">
        <is>
          <t>Расход газа на выходе первой ступени ПКВ</t>
        </is>
      </c>
      <c r="I122" s="243" t="inlineStr">
        <is>
          <t>ГПА 64</t>
        </is>
      </c>
      <c r="J122" s="243" t="inlineStr">
        <is>
          <t>АСУ,А и ТМ (КЦ № 6)</t>
        </is>
      </c>
      <c r="K122" s="243" t="inlineStr">
        <is>
          <t>2012</t>
        </is>
      </c>
      <c r="L122" s="248" t="inlineStr">
        <is>
          <t>36</t>
        </is>
      </c>
      <c r="M122" s="246" t="inlineStr"/>
      <c r="N122" s="245" t="inlineStr"/>
    </row>
    <row r="123" ht="22.5" customHeight="1" s="236">
      <c r="A123" s="243" t="n">
        <v>122</v>
      </c>
      <c r="B123" s="246" t="inlineStr">
        <is>
          <t>Уравнемер</t>
        </is>
      </c>
      <c r="C123" s="254" t="inlineStr">
        <is>
          <t>KROHNE BM-26A</t>
        </is>
      </c>
      <c r="D123" s="243" t="inlineStr">
        <is>
          <t>447006647/10.13</t>
        </is>
      </c>
      <c r="E123" s="243" t="inlineStr">
        <is>
          <t>2011</t>
        </is>
      </c>
      <c r="F123" s="254" t="inlineStr">
        <is>
          <t>0…100 %</t>
        </is>
      </c>
      <c r="G123" s="254" t="inlineStr">
        <is>
          <t>±10 мм</t>
        </is>
      </c>
      <c r="H123" s="254" t="inlineStr">
        <is>
          <t>Уровень жидкости во входной камере Ф1/1</t>
        </is>
      </c>
      <c r="I123" s="243" t="inlineStr">
        <is>
          <t>ГПА 64</t>
        </is>
      </c>
      <c r="J123" s="243" t="inlineStr">
        <is>
          <t>АСУ,А и ТМ (КЦ № 6)</t>
        </is>
      </c>
      <c r="K123" s="243" t="inlineStr">
        <is>
          <t>2012</t>
        </is>
      </c>
      <c r="L123" s="248" t="inlineStr">
        <is>
          <t>48</t>
        </is>
      </c>
      <c r="M123" s="246" t="inlineStr"/>
      <c r="N123" s="245" t="inlineStr"/>
    </row>
    <row r="124" ht="15" customHeight="1" s="236">
      <c r="A124" s="243" t="n">
        <v>123</v>
      </c>
      <c r="B124" s="246" t="inlineStr">
        <is>
          <t>Уравнемер</t>
        </is>
      </c>
      <c r="C124" s="254" t="inlineStr">
        <is>
          <t>KROHNE MS15</t>
        </is>
      </c>
      <c r="D124" s="243" t="inlineStr">
        <is>
          <t>447006647.10.18</t>
        </is>
      </c>
      <c r="E124" s="243" t="inlineStr">
        <is>
          <t>2011</t>
        </is>
      </c>
      <c r="F124" s="254" t="inlineStr"/>
      <c r="G124" s="254" t="inlineStr"/>
      <c r="H124" s="254" t="inlineStr">
        <is>
          <t>Нижний уровень SQ2 (Ф1/1)</t>
        </is>
      </c>
      <c r="I124" s="243" t="inlineStr">
        <is>
          <t>ГПА 64</t>
        </is>
      </c>
      <c r="J124" s="243" t="inlineStr">
        <is>
          <t>АСУ,А и ТМ (КЦ № 6)</t>
        </is>
      </c>
      <c r="K124" s="243" t="inlineStr">
        <is>
          <t>2012</t>
        </is>
      </c>
      <c r="L124" s="248" t="inlineStr"/>
      <c r="M124" s="246" t="inlineStr"/>
      <c r="N124" s="245" t="inlineStr"/>
    </row>
    <row r="125" ht="15" customHeight="1" s="236">
      <c r="A125" s="243" t="n">
        <v>124</v>
      </c>
      <c r="B125" s="246" t="inlineStr">
        <is>
          <t>Уравнемер</t>
        </is>
      </c>
      <c r="C125" s="254" t="inlineStr">
        <is>
          <t>KROHNE MS15</t>
        </is>
      </c>
      <c r="D125" s="243" t="inlineStr">
        <is>
          <t>447006647.10.17</t>
        </is>
      </c>
      <c r="E125" s="243" t="inlineStr">
        <is>
          <t>2011</t>
        </is>
      </c>
      <c r="F125" s="254" t="inlineStr"/>
      <c r="G125" s="254" t="inlineStr"/>
      <c r="H125" s="254" t="inlineStr">
        <is>
          <t>Верхний уровень SQ1 (Ф1/1)</t>
        </is>
      </c>
      <c r="I125" s="243" t="inlineStr">
        <is>
          <t>ГПА 64</t>
        </is>
      </c>
      <c r="J125" s="243" t="inlineStr">
        <is>
          <t>АСУ,А и ТМ (КЦ № 6)</t>
        </is>
      </c>
      <c r="K125" s="243" t="inlineStr">
        <is>
          <t>2012</t>
        </is>
      </c>
      <c r="L125" s="248" t="inlineStr"/>
      <c r="M125" s="246" t="inlineStr"/>
      <c r="N125" s="245" t="inlineStr"/>
    </row>
    <row r="126" ht="15" customHeight="1" s="236">
      <c r="A126" s="243" t="n">
        <v>125</v>
      </c>
      <c r="B126" s="246" t="inlineStr">
        <is>
          <t>Уравнемер</t>
        </is>
      </c>
      <c r="C126" s="254" t="inlineStr">
        <is>
          <t>KROHNE ER/EXD/AL/D</t>
        </is>
      </c>
      <c r="D126" s="243" t="inlineStr">
        <is>
          <t>447006647.10.13</t>
        </is>
      </c>
      <c r="E126" s="243" t="inlineStr">
        <is>
          <t>2011</t>
        </is>
      </c>
      <c r="F126" s="254" t="inlineStr"/>
      <c r="G126" s="254" t="inlineStr"/>
      <c r="H126" s="254" t="inlineStr">
        <is>
          <t>Уровень конденсата BL710 (Ф1/1)</t>
        </is>
      </c>
      <c r="I126" s="243" t="inlineStr">
        <is>
          <t>ГПА 64</t>
        </is>
      </c>
      <c r="J126" s="243" t="inlineStr">
        <is>
          <t>АСУ,А и ТМ (КЦ № 6)</t>
        </is>
      </c>
      <c r="K126" s="243" t="inlineStr">
        <is>
          <t>2012</t>
        </is>
      </c>
      <c r="L126" s="248" t="inlineStr"/>
      <c r="M126" s="246" t="inlineStr"/>
      <c r="N126" s="245" t="inlineStr"/>
    </row>
    <row r="127" ht="22.5" customHeight="1" s="236">
      <c r="A127" s="243" t="n">
        <v>126</v>
      </c>
      <c r="B127" s="246" t="inlineStr">
        <is>
          <t>Уравнемер</t>
        </is>
      </c>
      <c r="C127" s="254" t="inlineStr">
        <is>
          <t>KROHNE BM-26A</t>
        </is>
      </c>
      <c r="D127" s="243" t="inlineStr">
        <is>
          <t>447006647/10.16</t>
        </is>
      </c>
      <c r="E127" s="243" t="inlineStr">
        <is>
          <t>2011</t>
        </is>
      </c>
      <c r="F127" s="254" t="inlineStr">
        <is>
          <t>0…100 %</t>
        </is>
      </c>
      <c r="G127" s="254" t="inlineStr">
        <is>
          <t>±10 мм</t>
        </is>
      </c>
      <c r="H127" s="254" t="inlineStr">
        <is>
          <t>Уровень жидкости в выходной камере Ф1/2</t>
        </is>
      </c>
      <c r="I127" s="243" t="inlineStr">
        <is>
          <t>ГПА 64</t>
        </is>
      </c>
      <c r="J127" s="243" t="inlineStr">
        <is>
          <t>АСУ,А и ТМ (КЦ № 6)</t>
        </is>
      </c>
      <c r="K127" s="243" t="inlineStr">
        <is>
          <t>2012</t>
        </is>
      </c>
      <c r="L127" s="248" t="inlineStr">
        <is>
          <t>48</t>
        </is>
      </c>
      <c r="M127" s="246" t="inlineStr"/>
      <c r="N127" s="245" t="inlineStr"/>
    </row>
    <row r="128" ht="15" customHeight="1" s="236">
      <c r="A128" s="243" t="n">
        <v>127</v>
      </c>
      <c r="B128" s="246" t="inlineStr">
        <is>
          <t>Уравнемер</t>
        </is>
      </c>
      <c r="C128" s="254" t="inlineStr">
        <is>
          <t>KROHNE MS15</t>
        </is>
      </c>
      <c r="D128" s="243" t="inlineStr">
        <is>
          <t>447006647.10.20</t>
        </is>
      </c>
      <c r="E128" s="243" t="inlineStr">
        <is>
          <t>2011</t>
        </is>
      </c>
      <c r="F128" s="254" t="inlineStr"/>
      <c r="G128" s="254" t="inlineStr"/>
      <c r="H128" s="254" t="inlineStr">
        <is>
          <t>Нижний уровень SQ2 (Ф1/2)</t>
        </is>
      </c>
      <c r="I128" s="243" t="inlineStr">
        <is>
          <t>ГПА 64</t>
        </is>
      </c>
      <c r="J128" s="243" t="inlineStr">
        <is>
          <t>АСУ,А и ТМ (КЦ № 6)</t>
        </is>
      </c>
      <c r="K128" s="243" t="inlineStr">
        <is>
          <t>2012</t>
        </is>
      </c>
      <c r="L128" s="248" t="inlineStr"/>
      <c r="M128" s="246" t="inlineStr"/>
      <c r="N128" s="245" t="inlineStr"/>
    </row>
    <row r="129" ht="15" customHeight="1" s="236">
      <c r="A129" s="243" t="n">
        <v>128</v>
      </c>
      <c r="B129" s="246" t="inlineStr">
        <is>
          <t>Уравнемер</t>
        </is>
      </c>
      <c r="C129" s="254" t="inlineStr">
        <is>
          <t>KROHNE MS15</t>
        </is>
      </c>
      <c r="D129" s="243" t="inlineStr">
        <is>
          <t>447006647.10.19</t>
        </is>
      </c>
      <c r="E129" s="243" t="inlineStr">
        <is>
          <t>2011</t>
        </is>
      </c>
      <c r="F129" s="254" t="inlineStr"/>
      <c r="G129" s="254" t="inlineStr"/>
      <c r="H129" s="254" t="inlineStr">
        <is>
          <t>Верхний уровень SQ1 (Ф1/2)</t>
        </is>
      </c>
      <c r="I129" s="243" t="inlineStr">
        <is>
          <t>ГПА 64</t>
        </is>
      </c>
      <c r="J129" s="243" t="inlineStr">
        <is>
          <t>АСУ,А и ТМ (КЦ № 6)</t>
        </is>
      </c>
      <c r="K129" s="243" t="inlineStr">
        <is>
          <t>2012</t>
        </is>
      </c>
      <c r="L129" s="248" t="inlineStr"/>
      <c r="M129" s="246" t="inlineStr"/>
      <c r="N129" s="245" t="inlineStr"/>
    </row>
    <row r="130" ht="15" customHeight="1" s="236">
      <c r="A130" s="243" t="n">
        <v>129</v>
      </c>
      <c r="B130" s="246" t="inlineStr">
        <is>
          <t>Уравнемер</t>
        </is>
      </c>
      <c r="C130" s="254" t="inlineStr">
        <is>
          <t>KROHNE ER/EXD/AL/D</t>
        </is>
      </c>
      <c r="D130" s="243" t="inlineStr">
        <is>
          <t>447006647.10.16</t>
        </is>
      </c>
      <c r="E130" s="243" t="inlineStr">
        <is>
          <t>2011</t>
        </is>
      </c>
      <c r="F130" s="254" t="inlineStr"/>
      <c r="G130" s="254" t="inlineStr"/>
      <c r="H130" s="254" t="inlineStr">
        <is>
          <t>Уровень конденсата BL711 (Ф1/2)</t>
        </is>
      </c>
      <c r="I130" s="243" t="inlineStr">
        <is>
          <t>ГПА 64</t>
        </is>
      </c>
      <c r="J130" s="243" t="inlineStr">
        <is>
          <t>АСУ,А и ТМ (КЦ № 6)</t>
        </is>
      </c>
      <c r="K130" s="243" t="inlineStr">
        <is>
          <t>2012</t>
        </is>
      </c>
      <c r="L130" s="248" t="inlineStr"/>
      <c r="M130" s="246" t="inlineStr"/>
      <c r="N130" s="245" t="inlineStr"/>
    </row>
    <row r="131" ht="22.5" customHeight="1" s="236">
      <c r="A131" s="243" t="n">
        <v>130</v>
      </c>
      <c r="B131" s="246" t="inlineStr">
        <is>
          <t>Уравнемер</t>
        </is>
      </c>
      <c r="C131" s="254" t="inlineStr">
        <is>
          <t>KROHNE BM-26A</t>
        </is>
      </c>
      <c r="D131" s="243" t="inlineStr">
        <is>
          <t>447006647/10.09</t>
        </is>
      </c>
      <c r="E131" s="243" t="inlineStr">
        <is>
          <t>2011</t>
        </is>
      </c>
      <c r="F131" s="254" t="inlineStr">
        <is>
          <t>0…100 %</t>
        </is>
      </c>
      <c r="G131" s="254" t="inlineStr">
        <is>
          <t>±10 мм</t>
        </is>
      </c>
      <c r="H131" s="254" t="inlineStr">
        <is>
          <t>Уровень жидкости во входной камере Ф2/1</t>
        </is>
      </c>
      <c r="I131" s="243" t="inlineStr">
        <is>
          <t>ГПА 64</t>
        </is>
      </c>
      <c r="J131" s="243" t="inlineStr">
        <is>
          <t>АСУ,А и ТМ (КЦ № 6)</t>
        </is>
      </c>
      <c r="K131" s="243" t="inlineStr">
        <is>
          <t>2012</t>
        </is>
      </c>
      <c r="L131" s="248" t="inlineStr">
        <is>
          <t>48</t>
        </is>
      </c>
      <c r="M131" s="246" t="inlineStr"/>
      <c r="N131" s="245" t="inlineStr"/>
    </row>
    <row r="132" ht="15" customHeight="1" s="236">
      <c r="A132" s="243" t="n">
        <v>131</v>
      </c>
      <c r="B132" s="246" t="inlineStr">
        <is>
          <t>Уравнемер</t>
        </is>
      </c>
      <c r="C132" s="254" t="inlineStr">
        <is>
          <t>KROHNE MS15</t>
        </is>
      </c>
      <c r="D132" s="243" t="inlineStr">
        <is>
          <t>447006647.10.24</t>
        </is>
      </c>
      <c r="E132" s="243" t="inlineStr">
        <is>
          <t>2011</t>
        </is>
      </c>
      <c r="F132" s="254" t="inlineStr"/>
      <c r="G132" s="254" t="inlineStr"/>
      <c r="H132" s="254" t="inlineStr">
        <is>
          <t>Нижний уровень SQ2 (Ф2/1)</t>
        </is>
      </c>
      <c r="I132" s="243" t="inlineStr">
        <is>
          <t>ГПА 64</t>
        </is>
      </c>
      <c r="J132" s="243" t="inlineStr">
        <is>
          <t>АСУ,А и ТМ (КЦ № 6)</t>
        </is>
      </c>
      <c r="K132" s="243" t="inlineStr">
        <is>
          <t>2012</t>
        </is>
      </c>
      <c r="L132" s="248" t="inlineStr"/>
      <c r="M132" s="246" t="inlineStr"/>
      <c r="N132" s="245" t="inlineStr"/>
    </row>
    <row r="133" ht="15" customHeight="1" s="236">
      <c r="A133" s="243" t="n">
        <v>132</v>
      </c>
      <c r="B133" s="246" t="inlineStr">
        <is>
          <t>Уравнемер</t>
        </is>
      </c>
      <c r="C133" s="254" t="inlineStr">
        <is>
          <t>KROHNE MS15</t>
        </is>
      </c>
      <c r="D133" s="243" t="inlineStr">
        <is>
          <t>447006647.10.23</t>
        </is>
      </c>
      <c r="E133" s="243" t="inlineStr">
        <is>
          <t>2011</t>
        </is>
      </c>
      <c r="F133" s="254" t="inlineStr"/>
      <c r="G133" s="254" t="inlineStr"/>
      <c r="H133" s="254" t="inlineStr">
        <is>
          <t>Верхний уровень SQ1 (Ф2/1)</t>
        </is>
      </c>
      <c r="I133" s="243" t="inlineStr">
        <is>
          <t>ГПА 64</t>
        </is>
      </c>
      <c r="J133" s="243" t="inlineStr">
        <is>
          <t>АСУ,А и ТМ (КЦ № 6)</t>
        </is>
      </c>
      <c r="K133" s="243" t="inlineStr">
        <is>
          <t>2012</t>
        </is>
      </c>
      <c r="L133" s="248" t="inlineStr"/>
      <c r="M133" s="246" t="inlineStr"/>
      <c r="N133" s="245" t="inlineStr"/>
    </row>
    <row r="134" ht="15" customHeight="1" s="236">
      <c r="A134" s="243" t="n">
        <v>133</v>
      </c>
      <c r="B134" s="246" t="inlineStr">
        <is>
          <t>Уравнемер</t>
        </is>
      </c>
      <c r="C134" s="254" t="inlineStr">
        <is>
          <t>KROHNE ER/EXD/AL/D</t>
        </is>
      </c>
      <c r="D134" s="243" t="inlineStr">
        <is>
          <t>447006647.10.09</t>
        </is>
      </c>
      <c r="E134" s="243" t="inlineStr">
        <is>
          <t>2011</t>
        </is>
      </c>
      <c r="F134" s="254" t="inlineStr"/>
      <c r="G134" s="254" t="inlineStr"/>
      <c r="H134" s="254" t="inlineStr">
        <is>
          <t>Уровень конденсата BL712 (Ф2/1)</t>
        </is>
      </c>
      <c r="I134" s="243" t="inlineStr">
        <is>
          <t>ГПА 64</t>
        </is>
      </c>
      <c r="J134" s="243" t="inlineStr">
        <is>
          <t>АСУ,А и ТМ (КЦ № 6)</t>
        </is>
      </c>
      <c r="K134" s="243" t="inlineStr">
        <is>
          <t>2012</t>
        </is>
      </c>
      <c r="L134" s="248" t="inlineStr"/>
      <c r="M134" s="246" t="inlineStr"/>
      <c r="N134" s="245" t="inlineStr"/>
    </row>
    <row r="135" ht="22.5" customHeight="1" s="236">
      <c r="A135" s="243" t="n">
        <v>134</v>
      </c>
      <c r="B135" s="246" t="inlineStr">
        <is>
          <t>Уравнемер</t>
        </is>
      </c>
      <c r="C135" s="254" t="inlineStr">
        <is>
          <t>KROHNE BM-26A</t>
        </is>
      </c>
      <c r="D135" s="243" t="inlineStr">
        <is>
          <t>447006647/10.14</t>
        </is>
      </c>
      <c r="E135" s="243" t="inlineStr">
        <is>
          <t>2011</t>
        </is>
      </c>
      <c r="F135" s="254" t="inlineStr">
        <is>
          <t>0…100 %</t>
        </is>
      </c>
      <c r="G135" s="254" t="inlineStr">
        <is>
          <t>±10 мм</t>
        </is>
      </c>
      <c r="H135" s="254" t="inlineStr">
        <is>
          <t>Уровень жидкости в выходной камере Ф2/2</t>
        </is>
      </c>
      <c r="I135" s="243" t="inlineStr">
        <is>
          <t>ГПА 64</t>
        </is>
      </c>
      <c r="J135" s="243" t="inlineStr">
        <is>
          <t>АСУ,А и ТМ (КЦ № 6)</t>
        </is>
      </c>
      <c r="K135" s="243" t="inlineStr">
        <is>
          <t>2012</t>
        </is>
      </c>
      <c r="L135" s="248" t="inlineStr">
        <is>
          <t>48</t>
        </is>
      </c>
      <c r="M135" s="246" t="inlineStr"/>
      <c r="N135" s="245" t="inlineStr"/>
    </row>
    <row r="136" ht="15" customHeight="1" s="236">
      <c r="A136" s="243" t="n">
        <v>135</v>
      </c>
      <c r="B136" s="246" t="inlineStr">
        <is>
          <t>Уравнемер</t>
        </is>
      </c>
      <c r="C136" s="254" t="inlineStr">
        <is>
          <t>KROHNE MS15</t>
        </is>
      </c>
      <c r="D136" s="243" t="inlineStr">
        <is>
          <t>447006647.10.22</t>
        </is>
      </c>
      <c r="E136" s="243" t="inlineStr">
        <is>
          <t>2011</t>
        </is>
      </c>
      <c r="F136" s="254" t="inlineStr"/>
      <c r="G136" s="254" t="inlineStr"/>
      <c r="H136" s="254" t="inlineStr">
        <is>
          <t>Нижний уровень SQ2 (Ф2/2)</t>
        </is>
      </c>
      <c r="I136" s="243" t="inlineStr">
        <is>
          <t>ГПА 64</t>
        </is>
      </c>
      <c r="J136" s="243" t="inlineStr">
        <is>
          <t>АСУ,А и ТМ (КЦ № 6)</t>
        </is>
      </c>
      <c r="K136" s="243" t="inlineStr">
        <is>
          <t>2012</t>
        </is>
      </c>
      <c r="L136" s="248" t="inlineStr"/>
      <c r="M136" s="246" t="inlineStr"/>
      <c r="N136" s="245" t="inlineStr"/>
    </row>
    <row r="137" ht="15" customHeight="1" s="236">
      <c r="A137" s="243" t="n">
        <v>136</v>
      </c>
      <c r="B137" s="246" t="inlineStr">
        <is>
          <t>Уравнемер</t>
        </is>
      </c>
      <c r="C137" s="254" t="inlineStr">
        <is>
          <t>KROHNE MS15</t>
        </is>
      </c>
      <c r="D137" s="243" t="inlineStr">
        <is>
          <t>447006647.10.21</t>
        </is>
      </c>
      <c r="E137" s="243" t="inlineStr">
        <is>
          <t>2011</t>
        </is>
      </c>
      <c r="F137" s="254" t="inlineStr"/>
      <c r="G137" s="254" t="inlineStr"/>
      <c r="H137" s="254" t="inlineStr">
        <is>
          <t>Верхний уровень SQ1 (Ф2/2)</t>
        </is>
      </c>
      <c r="I137" s="243" t="inlineStr">
        <is>
          <t>ГПА 64</t>
        </is>
      </c>
      <c r="J137" s="243" t="inlineStr">
        <is>
          <t>АСУ,А и ТМ (КЦ № 6)</t>
        </is>
      </c>
      <c r="K137" s="243" t="inlineStr">
        <is>
          <t>2012</t>
        </is>
      </c>
      <c r="L137" s="248" t="inlineStr"/>
      <c r="M137" s="246" t="inlineStr"/>
      <c r="N137" s="245" t="inlineStr"/>
    </row>
    <row r="138" ht="15" customHeight="1" s="236">
      <c r="A138" s="243" t="n">
        <v>137</v>
      </c>
      <c r="B138" s="246" t="inlineStr">
        <is>
          <t>Уравнемер</t>
        </is>
      </c>
      <c r="C138" s="254" t="inlineStr">
        <is>
          <t>KROHNE ER/EXD/AL/D</t>
        </is>
      </c>
      <c r="D138" s="243" t="inlineStr">
        <is>
          <t>447006647.10.14</t>
        </is>
      </c>
      <c r="E138" s="243" t="inlineStr">
        <is>
          <t>2011</t>
        </is>
      </c>
      <c r="F138" s="254" t="inlineStr"/>
      <c r="G138" s="254" t="inlineStr"/>
      <c r="H138" s="254" t="inlineStr">
        <is>
          <t>Уровень конденсата BL713 (Ф2/2)</t>
        </is>
      </c>
      <c r="I138" s="243" t="inlineStr">
        <is>
          <t>ГПА 64</t>
        </is>
      </c>
      <c r="J138" s="243" t="inlineStr">
        <is>
          <t>АСУ,А и ТМ (КЦ № 6)</t>
        </is>
      </c>
      <c r="K138" s="243" t="inlineStr">
        <is>
          <t>2012</t>
        </is>
      </c>
      <c r="L138" s="248" t="inlineStr"/>
      <c r="M138" s="246" t="inlineStr"/>
      <c r="N138" s="245" t="inlineStr"/>
    </row>
    <row r="139" ht="22.5" customHeight="1" s="236">
      <c r="A139" s="243" t="n">
        <v>138</v>
      </c>
      <c r="B139" s="246" t="inlineStr">
        <is>
          <t>Уравнемер</t>
        </is>
      </c>
      <c r="C139" s="254" t="inlineStr">
        <is>
          <t>KROHNE optiswitch 5200C</t>
        </is>
      </c>
      <c r="D139" s="243" t="inlineStr">
        <is>
          <t>20408758</t>
        </is>
      </c>
      <c r="E139" s="243" t="inlineStr">
        <is>
          <t>2011</t>
        </is>
      </c>
      <c r="F139" s="254" t="inlineStr">
        <is>
          <t>0…400 мм</t>
        </is>
      </c>
      <c r="G139" s="254" t="inlineStr"/>
      <c r="H139" s="254" t="inlineStr">
        <is>
          <t>Уровень теплоносителя в подогревателе BL1</t>
        </is>
      </c>
      <c r="I139" s="243" t="inlineStr">
        <is>
          <t>ГПА 64</t>
        </is>
      </c>
      <c r="J139" s="243" t="inlineStr">
        <is>
          <t>АСУ,А и ТМ (КЦ № 6)</t>
        </is>
      </c>
      <c r="K139" s="243" t="inlineStr">
        <is>
          <t>2012</t>
        </is>
      </c>
      <c r="L139" s="248" t="inlineStr"/>
      <c r="M139" s="246" t="inlineStr"/>
      <c r="N139" s="245" t="inlineStr"/>
    </row>
    <row r="140" ht="33.75" customHeight="1" s="236">
      <c r="A140" s="239">
        <f>IF(B140&lt;&gt;"", COUNTA($B$2:B140), "")</f>
        <v/>
      </c>
      <c r="B140" s="240" t="inlineStr">
        <is>
          <t xml:space="preserve">Расходомер                 </t>
        </is>
      </c>
      <c r="C140" s="251" t="inlineStr">
        <is>
          <t>Micrp Motion F200S-366-C-C-A-Z-E-ZZZ-Z (170011AFFEZZZ)</t>
        </is>
      </c>
      <c r="D140" s="251" t="inlineStr">
        <is>
          <t>sensor       14232615    (голова            3812486)</t>
        </is>
      </c>
      <c r="E140" s="239" t="n">
        <v>2011</v>
      </c>
      <c r="F140" s="251" t="inlineStr">
        <is>
          <t xml:space="preserve">0…6300 кг/час </t>
        </is>
      </c>
      <c r="G140" s="251" t="inlineStr">
        <is>
          <t>±0,5 (для газа)</t>
        </is>
      </c>
      <c r="H140" s="239" t="inlineStr">
        <is>
          <t>Расход топливного газа (коммерческий учет)</t>
        </is>
      </c>
      <c r="I140" s="239" t="inlineStr">
        <is>
          <t>ГПА 64</t>
        </is>
      </c>
      <c r="J140" s="239" t="inlineStr">
        <is>
          <t>АСУ,А и ТМ (КЦ № 6)</t>
        </is>
      </c>
      <c r="K140" s="239" t="n">
        <v>2012</v>
      </c>
      <c r="L140" s="251" t="n">
        <v>48</v>
      </c>
      <c r="M140" s="240" t="n"/>
      <c r="N140" s="242" t="n"/>
    </row>
    <row r="141" ht="33.75" customHeight="1" s="236">
      <c r="A141" s="243" t="n">
        <v>140</v>
      </c>
      <c r="B141" s="246" t="inlineStr">
        <is>
          <t>Датчик вибрации</t>
        </is>
      </c>
      <c r="C141" s="248" t="inlineStr">
        <is>
          <t>ВПД 10-1,0/8,0</t>
        </is>
      </c>
      <c r="D141" s="248" t="inlineStr">
        <is>
          <t>110285</t>
        </is>
      </c>
      <c r="E141" s="243" t="inlineStr">
        <is>
          <t>2010</t>
        </is>
      </c>
      <c r="F141" s="248" t="inlineStr">
        <is>
          <t>0…500 мкм (канал)</t>
        </is>
      </c>
      <c r="G141" s="248" t="inlineStr">
        <is>
          <t>нормируется для канала измерения</t>
        </is>
      </c>
      <c r="H141" s="243" t="inlineStr">
        <is>
          <t>Размах виброперемещения со стороны привода (горизонтальная составляющая)</t>
        </is>
      </c>
      <c r="I141" s="243" t="inlineStr">
        <is>
          <t>ГПА 64</t>
        </is>
      </c>
      <c r="J141" s="243" t="inlineStr">
        <is>
          <t>АСУ,А и ТМ (КЦ № 6)</t>
        </is>
      </c>
      <c r="K141" s="243" t="inlineStr">
        <is>
          <t>2012</t>
        </is>
      </c>
      <c r="L141" s="248" t="inlineStr">
        <is>
          <t>24</t>
        </is>
      </c>
      <c r="M141" s="246" t="inlineStr"/>
      <c r="N141" s="245" t="inlineStr"/>
    </row>
    <row r="142" ht="22.5" customHeight="1" s="236">
      <c r="A142" s="243" t="n">
        <v>141</v>
      </c>
      <c r="B142" s="246" t="inlineStr">
        <is>
          <t>Датчик вибрации</t>
        </is>
      </c>
      <c r="C142" s="248" t="inlineStr">
        <is>
          <t>ВПД 10-1,0/8,0</t>
        </is>
      </c>
      <c r="D142" s="248" t="inlineStr">
        <is>
          <t>110300</t>
        </is>
      </c>
      <c r="E142" s="243" t="inlineStr">
        <is>
          <t>2010</t>
        </is>
      </c>
      <c r="F142" s="248" t="inlineStr">
        <is>
          <t>0…500 мкм (канал)</t>
        </is>
      </c>
      <c r="G142" s="248" t="inlineStr">
        <is>
          <t>нормируется для канала измерения</t>
        </is>
      </c>
      <c r="H142" s="243" t="inlineStr">
        <is>
          <t>Размах виброперемещения со стороны привода (вертикальная составляющая)</t>
        </is>
      </c>
      <c r="I142" s="243" t="inlineStr">
        <is>
          <t>ГПА 64</t>
        </is>
      </c>
      <c r="J142" s="243" t="inlineStr">
        <is>
          <t>АСУ,А и ТМ (КЦ № 6)</t>
        </is>
      </c>
      <c r="K142" s="243" t="inlineStr">
        <is>
          <t>2012</t>
        </is>
      </c>
      <c r="L142" s="248" t="inlineStr">
        <is>
          <t>24</t>
        </is>
      </c>
      <c r="M142" s="246" t="inlineStr"/>
      <c r="N142" s="245" t="inlineStr"/>
    </row>
    <row r="143" ht="33.75" customHeight="1" s="236">
      <c r="A143" s="243" t="n">
        <v>142</v>
      </c>
      <c r="B143" s="246" t="inlineStr">
        <is>
          <t>Датчик вибрации</t>
        </is>
      </c>
      <c r="C143" s="248" t="inlineStr">
        <is>
          <t>ВПД 10-1,0/8,0</t>
        </is>
      </c>
      <c r="D143" s="248" t="inlineStr">
        <is>
          <t>110288</t>
        </is>
      </c>
      <c r="E143" s="243" t="inlineStr">
        <is>
          <t>2010</t>
        </is>
      </c>
      <c r="F143" s="248" t="inlineStr">
        <is>
          <t>0…500 мкм (канал)</t>
        </is>
      </c>
      <c r="G143" s="248" t="inlineStr">
        <is>
          <t>нормируется для канала измерения</t>
        </is>
      </c>
      <c r="H143" s="243" t="inlineStr">
        <is>
          <t>Размах виброперемещения со стороны свободного конца (горизонтальная составляющая)</t>
        </is>
      </c>
      <c r="I143" s="243" t="inlineStr">
        <is>
          <t>ГПА 64</t>
        </is>
      </c>
      <c r="J143" s="243" t="inlineStr">
        <is>
          <t>АСУ,А и ТМ (КЦ № 6)</t>
        </is>
      </c>
      <c r="K143" s="243" t="inlineStr">
        <is>
          <t>2012</t>
        </is>
      </c>
      <c r="L143" s="248" t="inlineStr">
        <is>
          <t>24</t>
        </is>
      </c>
      <c r="M143" s="246" t="inlineStr"/>
      <c r="N143" s="245" t="inlineStr"/>
    </row>
    <row r="144" ht="33.75" customHeight="1" s="236">
      <c r="A144" s="243" t="n">
        <v>143</v>
      </c>
      <c r="B144" s="246" t="inlineStr">
        <is>
          <t>Датчик вибрации</t>
        </is>
      </c>
      <c r="C144" s="248" t="inlineStr">
        <is>
          <t>ВПД 10-1,0/8,0</t>
        </is>
      </c>
      <c r="D144" s="248" t="inlineStr">
        <is>
          <t>110286</t>
        </is>
      </c>
      <c r="E144" s="243" t="inlineStr">
        <is>
          <t>2010</t>
        </is>
      </c>
      <c r="F144" s="248" t="inlineStr">
        <is>
          <t>0…500 мкм (канал)</t>
        </is>
      </c>
      <c r="G144" s="248" t="inlineStr">
        <is>
          <t>нормируется для канала измерения</t>
        </is>
      </c>
      <c r="H144" s="243" t="inlineStr">
        <is>
          <t>Размах виброперемещения со стороны свободного конца (вертикальная составляющая)</t>
        </is>
      </c>
      <c r="I144" s="243" t="inlineStr">
        <is>
          <t>ГПА 64</t>
        </is>
      </c>
      <c r="J144" s="243" t="inlineStr">
        <is>
          <t>АСУ,А и ТМ (КЦ № 6)</t>
        </is>
      </c>
      <c r="K144" s="243" t="inlineStr">
        <is>
          <t>2012</t>
        </is>
      </c>
      <c r="L144" s="248" t="inlineStr">
        <is>
          <t>24</t>
        </is>
      </c>
      <c r="M144" s="246" t="inlineStr"/>
      <c r="N144" s="245" t="inlineStr"/>
    </row>
    <row r="145" ht="22.5" customHeight="1" s="236">
      <c r="A145" s="243" t="n">
        <v>144</v>
      </c>
      <c r="B145" s="246" t="inlineStr">
        <is>
          <t>Датчик вибрации</t>
        </is>
      </c>
      <c r="C145" s="248" t="inlineStr">
        <is>
          <t>ВПД 10-1,0/8,0</t>
        </is>
      </c>
      <c r="D145" s="248" t="inlineStr">
        <is>
          <t>110273</t>
        </is>
      </c>
      <c r="E145" s="243" t="inlineStr">
        <is>
          <t>2010</t>
        </is>
      </c>
      <c r="F145" s="248" t="inlineStr">
        <is>
          <t>0…500 мкм (канал)</t>
        </is>
      </c>
      <c r="G145" s="248" t="inlineStr">
        <is>
          <t>нормируется для канала измерения</t>
        </is>
      </c>
      <c r="H145" s="243" t="inlineStr">
        <is>
          <t>Размах виброперемещения в осевом направлении</t>
        </is>
      </c>
      <c r="I145" s="243" t="inlineStr">
        <is>
          <t>ГПА 64</t>
        </is>
      </c>
      <c r="J145" s="243" t="inlineStr">
        <is>
          <t>АСУ,А и ТМ (КЦ № 6)</t>
        </is>
      </c>
      <c r="K145" s="243" t="inlineStr">
        <is>
          <t>2012</t>
        </is>
      </c>
      <c r="L145" s="248" t="inlineStr">
        <is>
          <t>24</t>
        </is>
      </c>
      <c r="M145" s="246" t="inlineStr"/>
      <c r="N145" s="245" t="inlineStr"/>
    </row>
    <row r="146" ht="22.5" customHeight="1" s="236">
      <c r="A146" s="243" t="n">
        <v>145</v>
      </c>
      <c r="B146" s="246" t="inlineStr">
        <is>
          <t>Датчик вибрации</t>
        </is>
      </c>
      <c r="C146" s="248" t="inlineStr">
        <is>
          <t>ВПД 10-1,0/7,0Р</t>
        </is>
      </c>
      <c r="D146" s="248" t="inlineStr">
        <is>
          <t>120434</t>
        </is>
      </c>
      <c r="E146" s="243" t="inlineStr">
        <is>
          <t>2010</t>
        </is>
      </c>
      <c r="F146" s="248" t="inlineStr">
        <is>
          <t>0…1000 мкм (канал)</t>
        </is>
      </c>
      <c r="G146" s="248" t="inlineStr">
        <is>
          <t>нормируется для канала измерения</t>
        </is>
      </c>
      <c r="H146" s="243" t="inlineStr">
        <is>
          <t>Датчик оборотов ротора нагнетателя</t>
        </is>
      </c>
      <c r="I146" s="243" t="inlineStr">
        <is>
          <t>ГПА 64</t>
        </is>
      </c>
      <c r="J146" s="243" t="inlineStr">
        <is>
          <t>АСУ,А и ТМ (КЦ № 6)</t>
        </is>
      </c>
      <c r="K146" s="243" t="inlineStr">
        <is>
          <t>2012</t>
        </is>
      </c>
      <c r="L146" s="248" t="inlineStr">
        <is>
          <t>24</t>
        </is>
      </c>
      <c r="M146" s="246" t="inlineStr"/>
      <c r="N146" s="245" t="inlineStr"/>
    </row>
    <row r="147" ht="22.5" customHeight="1" s="236">
      <c r="A147" s="243" t="n">
        <v>146</v>
      </c>
      <c r="B147" s="246" t="inlineStr">
        <is>
          <t>Термометр сопротивления</t>
        </is>
      </c>
      <c r="C147" s="248" t="inlineStr">
        <is>
          <t>ТСП 012.60 Pt100/B/3</t>
        </is>
      </c>
      <c r="D147" s="248" t="inlineStr">
        <is>
          <t>458</t>
        </is>
      </c>
      <c r="E147" s="243" t="inlineStr">
        <is>
          <t>2011</t>
        </is>
      </c>
      <c r="F147" s="248" t="inlineStr">
        <is>
          <t>-60…200 °С</t>
        </is>
      </c>
      <c r="G147" s="248" t="inlineStr">
        <is>
          <t>B</t>
        </is>
      </c>
      <c r="H147" s="243" t="inlineStr">
        <is>
          <t>Температура масла после охладителя (на входе в двигатель)</t>
        </is>
      </c>
      <c r="I147" s="243" t="inlineStr">
        <is>
          <t>ГПА 64</t>
        </is>
      </c>
      <c r="J147" s="243" t="inlineStr">
        <is>
          <t>АСУ,А и ТМ (КЦ № 6)</t>
        </is>
      </c>
      <c r="K147" s="243" t="inlineStr">
        <is>
          <t>2012</t>
        </is>
      </c>
      <c r="L147" s="248" t="inlineStr">
        <is>
          <t>36</t>
        </is>
      </c>
      <c r="M147" s="246" t="inlineStr"/>
      <c r="N147" s="245" t="inlineStr"/>
    </row>
    <row r="148" ht="22.5" customHeight="1" s="236">
      <c r="A148" s="243" t="n">
        <v>147</v>
      </c>
      <c r="B148" s="246" t="inlineStr">
        <is>
          <t>Термометр сопротивления</t>
        </is>
      </c>
      <c r="C148" s="248" t="inlineStr">
        <is>
          <t>ТСП 012.60 Pt100/B/3</t>
        </is>
      </c>
      <c r="D148" s="248" t="inlineStr">
        <is>
          <t>455</t>
        </is>
      </c>
      <c r="E148" s="243" t="inlineStr">
        <is>
          <t>2011</t>
        </is>
      </c>
      <c r="F148" s="248" t="inlineStr">
        <is>
          <t>-60…200 °С</t>
        </is>
      </c>
      <c r="G148" s="248" t="inlineStr">
        <is>
          <t>B</t>
        </is>
      </c>
      <c r="H148" s="243" t="inlineStr">
        <is>
          <t>Температура масла на выходе двигателя (перед маслоохладителем)</t>
        </is>
      </c>
      <c r="I148" s="243" t="inlineStr">
        <is>
          <t>ГПА 64</t>
        </is>
      </c>
      <c r="J148" s="243" t="inlineStr">
        <is>
          <t>АСУ,А и ТМ (КЦ № 6)</t>
        </is>
      </c>
      <c r="K148" s="243" t="inlineStr">
        <is>
          <t>2012</t>
        </is>
      </c>
      <c r="L148" s="248" t="inlineStr">
        <is>
          <t>36</t>
        </is>
      </c>
      <c r="M148" s="246" t="inlineStr"/>
      <c r="N148" s="245" t="inlineStr"/>
    </row>
    <row r="149" ht="15" customHeight="1" s="236">
      <c r="A149" s="243" t="n">
        <v>148</v>
      </c>
      <c r="B149" s="246" t="inlineStr">
        <is>
          <t>Термометр сопротивления</t>
        </is>
      </c>
      <c r="C149" s="248" t="inlineStr">
        <is>
          <t>ТСП 012.60 Pt100/B/3</t>
        </is>
      </c>
      <c r="D149" s="248" t="inlineStr">
        <is>
          <t>573</t>
        </is>
      </c>
      <c r="E149" s="243" t="inlineStr">
        <is>
          <t>2011</t>
        </is>
      </c>
      <c r="F149" s="248" t="inlineStr">
        <is>
          <t>-60…200 °С</t>
        </is>
      </c>
      <c r="G149" s="248" t="inlineStr">
        <is>
          <t>B</t>
        </is>
      </c>
      <c r="H149" s="243" t="inlineStr">
        <is>
          <t>Температра масла в баке двигателя</t>
        </is>
      </c>
      <c r="I149" s="243" t="inlineStr">
        <is>
          <t>ГПА 64</t>
        </is>
      </c>
      <c r="J149" s="243" t="inlineStr">
        <is>
          <t>АСУ,А и ТМ (КЦ № 6)</t>
        </is>
      </c>
      <c r="K149" s="243" t="inlineStr">
        <is>
          <t>2012</t>
        </is>
      </c>
      <c r="L149" s="248" t="inlineStr">
        <is>
          <t>36</t>
        </is>
      </c>
      <c r="M149" s="246" t="inlineStr"/>
      <c r="N149" s="245" t="inlineStr"/>
    </row>
    <row r="150" ht="22.5" customHeight="1" s="236">
      <c r="A150" s="243" t="n">
        <v>149</v>
      </c>
      <c r="B150" s="246" t="inlineStr">
        <is>
          <t>Термометр сопротивления</t>
        </is>
      </c>
      <c r="C150" s="248" t="inlineStr">
        <is>
          <t>ТСП 012.60 Pt100/B/3</t>
        </is>
      </c>
      <c r="D150" s="248" t="inlineStr">
        <is>
          <t>453</t>
        </is>
      </c>
      <c r="E150" s="243" t="inlineStr">
        <is>
          <t>2011</t>
        </is>
      </c>
      <c r="F150" s="248" t="inlineStr">
        <is>
          <t>-60…200 °С</t>
        </is>
      </c>
      <c r="G150" s="248" t="inlineStr">
        <is>
          <t>B</t>
        </is>
      </c>
      <c r="H150" s="243" t="inlineStr">
        <is>
          <t>Температура топливного газа перед расходомерным устройством</t>
        </is>
      </c>
      <c r="I150" s="243" t="inlineStr">
        <is>
          <t>ГПА 64</t>
        </is>
      </c>
      <c r="J150" s="243" t="inlineStr">
        <is>
          <t>АСУ,А и ТМ (КЦ № 6)</t>
        </is>
      </c>
      <c r="K150" s="243" t="inlineStr">
        <is>
          <t>2012</t>
        </is>
      </c>
      <c r="L150" s="248" t="inlineStr">
        <is>
          <t>36</t>
        </is>
      </c>
      <c r="M150" s="246" t="inlineStr"/>
      <c r="N150" s="245" t="inlineStr"/>
    </row>
    <row r="151" ht="22.5" customHeight="1" s="236">
      <c r="A151" s="243" t="n">
        <v>150</v>
      </c>
      <c r="B151" s="246" t="inlineStr">
        <is>
          <t>Термометр сопротивления</t>
        </is>
      </c>
      <c r="C151" s="248" t="inlineStr">
        <is>
          <t>ТСП 012.60Сп Pt100/B/3</t>
        </is>
      </c>
      <c r="D151" s="248" t="inlineStr">
        <is>
          <t>340</t>
        </is>
      </c>
      <c r="E151" s="243" t="inlineStr">
        <is>
          <t>2011</t>
        </is>
      </c>
      <c r="F151" s="248" t="inlineStr">
        <is>
          <t>-60…200 °С</t>
        </is>
      </c>
      <c r="G151" s="248" t="inlineStr">
        <is>
          <t>B</t>
        </is>
      </c>
      <c r="H151" s="243" t="inlineStr">
        <is>
          <t>Температура воздуха под кожухом Д т.1</t>
        </is>
      </c>
      <c r="I151" s="243" t="inlineStr">
        <is>
          <t>ГПА 64</t>
        </is>
      </c>
      <c r="J151" s="243" t="inlineStr">
        <is>
          <t>АСУ,А и ТМ (КЦ № 6)</t>
        </is>
      </c>
      <c r="K151" s="243" t="inlineStr">
        <is>
          <t>2012</t>
        </is>
      </c>
      <c r="L151" s="248" t="inlineStr">
        <is>
          <t>36</t>
        </is>
      </c>
      <c r="M151" s="246" t="inlineStr"/>
      <c r="N151" s="245" t="inlineStr"/>
    </row>
    <row r="152" ht="22.5" customHeight="1" s="236">
      <c r="A152" s="243" t="n">
        <v>151</v>
      </c>
      <c r="B152" s="246" t="inlineStr">
        <is>
          <t>Термометр сопротивления</t>
        </is>
      </c>
      <c r="C152" s="248" t="inlineStr">
        <is>
          <t>ТСП 012.60Сп Pt100/B/3</t>
        </is>
      </c>
      <c r="D152" s="248" t="inlineStr">
        <is>
          <t>341</t>
        </is>
      </c>
      <c r="E152" s="243" t="inlineStr">
        <is>
          <t>2011</t>
        </is>
      </c>
      <c r="F152" s="248" t="inlineStr">
        <is>
          <t>-60…200 °С</t>
        </is>
      </c>
      <c r="G152" s="248" t="inlineStr">
        <is>
          <t>B</t>
        </is>
      </c>
      <c r="H152" s="243" t="inlineStr">
        <is>
          <t>Температура воздуха под кожухом Д т.2</t>
        </is>
      </c>
      <c r="I152" s="243" t="inlineStr">
        <is>
          <t>ГПА 64</t>
        </is>
      </c>
      <c r="J152" s="243" t="inlineStr">
        <is>
          <t>АСУ,А и ТМ (КЦ № 6)</t>
        </is>
      </c>
      <c r="K152" s="243" t="inlineStr">
        <is>
          <t>2012</t>
        </is>
      </c>
      <c r="L152" s="248" t="inlineStr">
        <is>
          <t>36</t>
        </is>
      </c>
      <c r="M152" s="246" t="inlineStr"/>
      <c r="N152" s="245" t="inlineStr"/>
    </row>
    <row r="153" ht="22.5" customHeight="1" s="236">
      <c r="A153" s="243" t="n">
        <v>152</v>
      </c>
      <c r="B153" s="246" t="inlineStr">
        <is>
          <t>Термометр сопротивления</t>
        </is>
      </c>
      <c r="C153" s="248" t="inlineStr">
        <is>
          <t>ТСП 012.60Сп Pt100/B/3</t>
        </is>
      </c>
      <c r="D153" s="248" t="inlineStr">
        <is>
          <t>352</t>
        </is>
      </c>
      <c r="E153" s="243" t="inlineStr">
        <is>
          <t>2011</t>
        </is>
      </c>
      <c r="F153" s="248" t="inlineStr">
        <is>
          <t>-60…200 °С</t>
        </is>
      </c>
      <c r="G153" s="248" t="inlineStr">
        <is>
          <t>B</t>
        </is>
      </c>
      <c r="H153" s="243" t="inlineStr">
        <is>
          <t>Температура воздуха под кожухом Д т.3</t>
        </is>
      </c>
      <c r="I153" s="243" t="inlineStr">
        <is>
          <t>ГПА 64</t>
        </is>
      </c>
      <c r="J153" s="243" t="inlineStr">
        <is>
          <t>АСУ,А и ТМ (КЦ № 6)</t>
        </is>
      </c>
      <c r="K153" s="243" t="inlineStr">
        <is>
          <t>2012</t>
        </is>
      </c>
      <c r="L153" s="248" t="inlineStr">
        <is>
          <t>36</t>
        </is>
      </c>
      <c r="M153" s="246" t="inlineStr"/>
      <c r="N153" s="245" t="inlineStr"/>
    </row>
    <row r="154" ht="22.5" customHeight="1" s="236">
      <c r="A154" s="243" t="n">
        <v>153</v>
      </c>
      <c r="B154" s="246" t="inlineStr">
        <is>
          <t>Термометр сопротивления</t>
        </is>
      </c>
      <c r="C154" s="248" t="inlineStr">
        <is>
          <t>ТСП 012.60Сп Pt100/B/3</t>
        </is>
      </c>
      <c r="D154" s="248" t="inlineStr">
        <is>
          <t>348</t>
        </is>
      </c>
      <c r="E154" s="243" t="inlineStr">
        <is>
          <t>2011</t>
        </is>
      </c>
      <c r="F154" s="248" t="inlineStr">
        <is>
          <t>-60…200 °С</t>
        </is>
      </c>
      <c r="G154" s="248" t="inlineStr">
        <is>
          <t>B</t>
        </is>
      </c>
      <c r="H154" s="243" t="inlineStr">
        <is>
          <t>Температура воздуха под кожухом Д т.4</t>
        </is>
      </c>
      <c r="I154" s="243" t="inlineStr">
        <is>
          <t>ГПА 64</t>
        </is>
      </c>
      <c r="J154" s="243" t="inlineStr">
        <is>
          <t>АСУ,А и ТМ (КЦ № 6)</t>
        </is>
      </c>
      <c r="K154" s="243" t="inlineStr">
        <is>
          <t>2012</t>
        </is>
      </c>
      <c r="L154" s="248" t="inlineStr">
        <is>
          <t>36</t>
        </is>
      </c>
      <c r="M154" s="246" t="inlineStr"/>
      <c r="N154" s="245" t="inlineStr"/>
    </row>
    <row r="155" ht="33.75" customHeight="1" s="236">
      <c r="A155" s="243" t="n">
        <v>154</v>
      </c>
      <c r="B155" s="246" t="inlineStr">
        <is>
          <t>Термометр сопротивления</t>
        </is>
      </c>
      <c r="C155" s="248" t="inlineStr">
        <is>
          <t>ТСП 012.60 Pt100/B/3</t>
        </is>
      </c>
      <c r="D155" s="248" t="inlineStr">
        <is>
          <t>572</t>
        </is>
      </c>
      <c r="E155" s="243" t="inlineStr">
        <is>
          <t>2011</t>
        </is>
      </c>
      <c r="F155" s="248" t="inlineStr">
        <is>
          <t>-60…200 °С</t>
        </is>
      </c>
      <c r="G155" s="248" t="inlineStr">
        <is>
          <t>B</t>
        </is>
      </c>
      <c r="H155" s="243" t="inlineStr">
        <is>
          <t>Температура защитного воздуха на выходе оболочки опорного подшипника (передний)</t>
        </is>
      </c>
      <c r="I155" s="243" t="inlineStr">
        <is>
          <t>ГПА 64</t>
        </is>
      </c>
      <c r="J155" s="243" t="inlineStr">
        <is>
          <t>АСУ,А и ТМ (КЦ № 6)</t>
        </is>
      </c>
      <c r="K155" s="243" t="inlineStr">
        <is>
          <t>2012</t>
        </is>
      </c>
      <c r="L155" s="248" t="inlineStr">
        <is>
          <t>36</t>
        </is>
      </c>
      <c r="M155" s="246" t="inlineStr"/>
      <c r="N155" s="245" t="inlineStr"/>
    </row>
    <row r="156" ht="33.75" customHeight="1" s="236">
      <c r="A156" s="243" t="n">
        <v>155</v>
      </c>
      <c r="B156" s="246" t="inlineStr">
        <is>
          <t>Термометр сопротивления</t>
        </is>
      </c>
      <c r="C156" s="248" t="inlineStr">
        <is>
          <t>ТСП 012.60 Pt100/B/3</t>
        </is>
      </c>
      <c r="D156" s="248" t="inlineStr">
        <is>
          <t>460</t>
        </is>
      </c>
      <c r="E156" s="243" t="inlineStr">
        <is>
          <t>2011</t>
        </is>
      </c>
      <c r="F156" s="248" t="inlineStr">
        <is>
          <t>-60…200 °С</t>
        </is>
      </c>
      <c r="G156" s="248" t="inlineStr">
        <is>
          <t>B</t>
        </is>
      </c>
      <c r="H156" s="243" t="inlineStr">
        <is>
          <t>Температура защитного воздуха на входе установки фильтров перед КЭП10 (на входе ТГДУ)</t>
        </is>
      </c>
      <c r="I156" s="243" t="inlineStr">
        <is>
          <t>ГПА 64</t>
        </is>
      </c>
      <c r="J156" s="243" t="inlineStr">
        <is>
          <t>АСУ,А и ТМ (КЦ № 6)</t>
        </is>
      </c>
      <c r="K156" s="243" t="inlineStr">
        <is>
          <t>2012</t>
        </is>
      </c>
      <c r="L156" s="248" t="inlineStr">
        <is>
          <t>36</t>
        </is>
      </c>
      <c r="M156" s="246" t="inlineStr"/>
      <c r="N156" s="245" t="inlineStr"/>
    </row>
    <row r="157" ht="22.5" customHeight="1" s="236">
      <c r="A157" s="243" t="n">
        <v>156</v>
      </c>
      <c r="B157" s="246" t="inlineStr">
        <is>
          <t>Термометр сопротивления</t>
        </is>
      </c>
      <c r="C157" s="248" t="inlineStr">
        <is>
          <t>ТСП 012.60 Pt100/B/3</t>
        </is>
      </c>
      <c r="D157" s="248" t="inlineStr">
        <is>
          <t>315</t>
        </is>
      </c>
      <c r="E157" s="243" t="inlineStr">
        <is>
          <t>2011</t>
        </is>
      </c>
      <c r="F157" s="248" t="inlineStr">
        <is>
          <t>-60…200 °С</t>
        </is>
      </c>
      <c r="G157" s="248" t="inlineStr">
        <is>
          <t>B</t>
        </is>
      </c>
      <c r="H157" s="243" t="inlineStr">
        <is>
          <t>Температура газа на выходе из компрессора</t>
        </is>
      </c>
      <c r="I157" s="243" t="inlineStr">
        <is>
          <t>ГПА 64</t>
        </is>
      </c>
      <c r="J157" s="243" t="inlineStr">
        <is>
          <t>АСУ,А и ТМ (КЦ № 6)</t>
        </is>
      </c>
      <c r="K157" s="243" t="inlineStr">
        <is>
          <t>2012</t>
        </is>
      </c>
      <c r="L157" s="248" t="inlineStr">
        <is>
          <t>36</t>
        </is>
      </c>
      <c r="M157" s="246" t="inlineStr"/>
      <c r="N157" s="245" t="inlineStr"/>
    </row>
    <row r="158" ht="15" customHeight="1" s="236">
      <c r="A158" s="243" t="n">
        <v>157</v>
      </c>
      <c r="B158" s="246" t="inlineStr">
        <is>
          <t>Термометр сопротивления</t>
        </is>
      </c>
      <c r="C158" s="248" t="inlineStr">
        <is>
          <t>ТСПУ-Л-22162</t>
        </is>
      </c>
      <c r="D158" s="248" t="inlineStr">
        <is>
          <t>10</t>
        </is>
      </c>
      <c r="E158" s="243" t="inlineStr">
        <is>
          <t>2011</t>
        </is>
      </c>
      <c r="F158" s="248" t="inlineStr">
        <is>
          <t>­50…100 °C</t>
        </is>
      </c>
      <c r="G158" s="248" t="inlineStr">
        <is>
          <t>0,5</t>
        </is>
      </c>
      <c r="H158" s="243" t="inlineStr">
        <is>
          <t>Температура воздуха в укрытии</t>
        </is>
      </c>
      <c r="I158" s="243" t="inlineStr">
        <is>
          <t>ГПА 64</t>
        </is>
      </c>
      <c r="J158" s="243" t="inlineStr">
        <is>
          <t>АСУ,А и ТМ (КЦ № 6)</t>
        </is>
      </c>
      <c r="K158" s="243" t="inlineStr">
        <is>
          <t>2012</t>
        </is>
      </c>
      <c r="L158" s="248" t="inlineStr">
        <is>
          <t>60</t>
        </is>
      </c>
      <c r="M158" s="246" t="inlineStr"/>
      <c r="N158" s="245" t="inlineStr"/>
    </row>
    <row r="159" ht="22.5" customHeight="1" s="236">
      <c r="A159" s="243" t="n">
        <v>158</v>
      </c>
      <c r="B159" s="246" t="inlineStr">
        <is>
          <t>Термометр сопротивления</t>
        </is>
      </c>
      <c r="C159" s="248" t="inlineStr">
        <is>
          <t>ТСП 012.60 Pt100/B/3</t>
        </is>
      </c>
      <c r="D159" s="248" t="inlineStr">
        <is>
          <t>386</t>
        </is>
      </c>
      <c r="E159" s="243" t="inlineStr">
        <is>
          <t>2011</t>
        </is>
      </c>
      <c r="F159" s="248" t="inlineStr">
        <is>
          <t>-60…200 °С</t>
        </is>
      </c>
      <c r="G159" s="248" t="inlineStr">
        <is>
          <t>B</t>
        </is>
      </c>
      <c r="H159" s="243" t="inlineStr">
        <is>
          <t>Температура теплоносителя в подогревателе буферного газа</t>
        </is>
      </c>
      <c r="I159" s="243" t="inlineStr">
        <is>
          <t>ГПА 64</t>
        </is>
      </c>
      <c r="J159" s="243" t="inlineStr">
        <is>
          <t>АСУ,А и ТМ (КЦ № 6)</t>
        </is>
      </c>
      <c r="K159" s="243" t="inlineStr">
        <is>
          <t>2012</t>
        </is>
      </c>
      <c r="L159" s="248" t="inlineStr">
        <is>
          <t>36</t>
        </is>
      </c>
      <c r="M159" s="246" t="inlineStr"/>
      <c r="N159" s="245" t="inlineStr"/>
    </row>
    <row r="160" ht="22.5" customHeight="1" s="236">
      <c r="A160" s="243" t="n">
        <v>159</v>
      </c>
      <c r="B160" s="246" t="inlineStr">
        <is>
          <t>Термометр сопротивления</t>
        </is>
      </c>
      <c r="C160" s="248" t="inlineStr">
        <is>
          <t>ТСП 012.60 Pt100/B/3</t>
        </is>
      </c>
      <c r="D160" s="248" t="inlineStr">
        <is>
          <t>459</t>
        </is>
      </c>
      <c r="E160" s="243" t="inlineStr">
        <is>
          <t>2011</t>
        </is>
      </c>
      <c r="F160" s="248" t="inlineStr">
        <is>
          <t>-60…200 °С</t>
        </is>
      </c>
      <c r="G160" s="248" t="inlineStr">
        <is>
          <t>B</t>
        </is>
      </c>
      <c r="H160" s="243" t="inlineStr">
        <is>
          <t>Температура буферного газа на выходе подогревателя</t>
        </is>
      </c>
      <c r="I160" s="243" t="inlineStr">
        <is>
          <t>ГПА 64</t>
        </is>
      </c>
      <c r="J160" s="243" t="inlineStr">
        <is>
          <t>АСУ,А и ТМ (КЦ № 6)</t>
        </is>
      </c>
      <c r="K160" s="243" t="inlineStr">
        <is>
          <t>2012</t>
        </is>
      </c>
      <c r="L160" s="248" t="inlineStr">
        <is>
          <t>36</t>
        </is>
      </c>
      <c r="M160" s="246" t="inlineStr"/>
      <c r="N160" s="245" t="inlineStr"/>
    </row>
    <row r="161" ht="22.5" customHeight="1" s="236">
      <c r="A161" s="243" t="n">
        <v>160</v>
      </c>
      <c r="B161" s="246" t="inlineStr">
        <is>
          <t>Термометр сопротивления</t>
        </is>
      </c>
      <c r="C161" s="248" t="inlineStr">
        <is>
          <t>ТСП 012.60 Pt100/B/3</t>
        </is>
      </c>
      <c r="D161" s="248" t="inlineStr">
        <is>
          <t>351</t>
        </is>
      </c>
      <c r="E161" s="243" t="inlineStr">
        <is>
          <t>2011</t>
        </is>
      </c>
      <c r="F161" s="248" t="inlineStr">
        <is>
          <t>-60…200 °С</t>
        </is>
      </c>
      <c r="G161" s="248" t="inlineStr">
        <is>
          <t>B</t>
        </is>
      </c>
      <c r="H161" s="243" t="inlineStr">
        <is>
          <t>Температура газа на входе в компрессор</t>
        </is>
      </c>
      <c r="I161" s="243" t="inlineStr">
        <is>
          <t>ГПА 64</t>
        </is>
      </c>
      <c r="J161" s="243" t="inlineStr">
        <is>
          <t>АСУ,А и ТМ (КЦ № 6)</t>
        </is>
      </c>
      <c r="K161" s="243" t="inlineStr">
        <is>
          <t>2012</t>
        </is>
      </c>
      <c r="L161" s="248" t="inlineStr">
        <is>
          <t>36</t>
        </is>
      </c>
      <c r="M161" s="246" t="inlineStr"/>
      <c r="N161" s="245" t="inlineStr"/>
    </row>
    <row r="162" ht="33.75" customHeight="1" s="236">
      <c r="A162" s="239">
        <f>IF(B162&lt;&gt;"", COUNTA($B$2:B162), "")</f>
        <v/>
      </c>
      <c r="B162" s="240" t="inlineStr">
        <is>
          <t>Термометр сопротивления</t>
        </is>
      </c>
      <c r="C162" s="252" t="inlineStr">
        <is>
          <t>ТСП 319М.09 Pt100/B/3</t>
        </is>
      </c>
      <c r="D162" s="240" t="inlineStr">
        <is>
          <t>1081</t>
        </is>
      </c>
      <c r="E162" s="251" t="inlineStr">
        <is>
          <t>2010</t>
        </is>
      </c>
      <c r="F162" s="256" t="inlineStr">
        <is>
          <t>-60…180 °С</t>
        </is>
      </c>
      <c r="G162" s="252" t="inlineStr">
        <is>
          <t>B</t>
        </is>
      </c>
      <c r="H162" s="252" t="inlineStr">
        <is>
          <t>Температура электромагнита опорного подшипника со стороны привода</t>
        </is>
      </c>
      <c r="I162" s="239" t="inlineStr">
        <is>
          <t>ГПА 64</t>
        </is>
      </c>
      <c r="J162" s="239" t="inlineStr">
        <is>
          <t>АСУ,А и ТМ (КЦ № 6)</t>
        </is>
      </c>
      <c r="K162" s="239" t="n">
        <v>2012</v>
      </c>
      <c r="L162" s="251" t="n">
        <v>24</v>
      </c>
      <c r="M162" s="240" t="inlineStr">
        <is>
          <t>17.02.2016</t>
        </is>
      </c>
      <c r="N162" s="242" t="inlineStr">
        <is>
          <t>К</t>
        </is>
      </c>
    </row>
    <row r="163" ht="33.75" customHeight="1" s="236">
      <c r="A163" s="243" t="n">
        <v>162</v>
      </c>
      <c r="B163" s="246" t="inlineStr">
        <is>
          <t>Термометр сопротивления</t>
        </is>
      </c>
      <c r="C163" s="254" t="inlineStr">
        <is>
          <t>ТСП 319М.09 Pt100/B/3</t>
        </is>
      </c>
      <c r="D163" s="246" t="inlineStr">
        <is>
          <t>1082</t>
        </is>
      </c>
      <c r="E163" s="248" t="inlineStr">
        <is>
          <t>2010</t>
        </is>
      </c>
      <c r="F163" s="257" t="inlineStr">
        <is>
          <t>-60…180 °С</t>
        </is>
      </c>
      <c r="G163" s="254" t="inlineStr">
        <is>
          <t>B</t>
        </is>
      </c>
      <c r="H163" s="254" t="inlineStr">
        <is>
          <t>Температура электромагнита опорного подшипника со стороны свободного конца</t>
        </is>
      </c>
      <c r="I163" s="243" t="inlineStr">
        <is>
          <t>ГПА 64</t>
        </is>
      </c>
      <c r="J163" s="243" t="inlineStr">
        <is>
          <t>АСУ,А и ТМ (КЦ № 6)</t>
        </is>
      </c>
      <c r="K163" s="243" t="inlineStr">
        <is>
          <t>2012</t>
        </is>
      </c>
      <c r="L163" s="248" t="inlineStr">
        <is>
          <t>24</t>
        </is>
      </c>
      <c r="M163" s="246" t="inlineStr">
        <is>
          <t>17.02.2016</t>
        </is>
      </c>
      <c r="N163" s="245" t="inlineStr">
        <is>
          <t>К</t>
        </is>
      </c>
    </row>
    <row r="164" ht="22.5" customHeight="1" s="236">
      <c r="A164" s="243" t="n">
        <v>163</v>
      </c>
      <c r="B164" s="246" t="inlineStr">
        <is>
          <t>Термометр сопротивления</t>
        </is>
      </c>
      <c r="C164" s="254" t="inlineStr">
        <is>
          <t>ТСП 319М.09 Pt100/B/3</t>
        </is>
      </c>
      <c r="D164" s="246" t="inlineStr">
        <is>
          <t>1083</t>
        </is>
      </c>
      <c r="E164" s="248" t="inlineStr">
        <is>
          <t>2010</t>
        </is>
      </c>
      <c r="F164" s="257" t="inlineStr">
        <is>
          <t>-60…180 °С</t>
        </is>
      </c>
      <c r="G164" s="254" t="inlineStr">
        <is>
          <t>B</t>
        </is>
      </c>
      <c r="H164" s="254" t="inlineStr">
        <is>
          <t>Температура левого осевого электромагнита</t>
        </is>
      </c>
      <c r="I164" s="243" t="inlineStr">
        <is>
          <t>ГПА 64</t>
        </is>
      </c>
      <c r="J164" s="243" t="inlineStr">
        <is>
          <t>АСУ,А и ТМ (КЦ № 6)</t>
        </is>
      </c>
      <c r="K164" s="243" t="inlineStr">
        <is>
          <t>2012</t>
        </is>
      </c>
      <c r="L164" s="248" t="inlineStr">
        <is>
          <t>24</t>
        </is>
      </c>
      <c r="M164" s="246" t="inlineStr">
        <is>
          <t>17.02.2016</t>
        </is>
      </c>
      <c r="N164" s="245" t="inlineStr">
        <is>
          <t>К</t>
        </is>
      </c>
    </row>
    <row r="165" ht="22.5" customHeight="1" s="236">
      <c r="A165" s="243" t="n">
        <v>164</v>
      </c>
      <c r="B165" s="246" t="inlineStr">
        <is>
          <t>Термометр сопротивления</t>
        </is>
      </c>
      <c r="C165" s="254" t="inlineStr">
        <is>
          <t>ТСП 319М.09 Pt100/B/3</t>
        </is>
      </c>
      <c r="D165" s="246" t="inlineStr">
        <is>
          <t>1084</t>
        </is>
      </c>
      <c r="E165" s="248" t="inlineStr">
        <is>
          <t>2010</t>
        </is>
      </c>
      <c r="F165" s="257" t="inlineStr">
        <is>
          <t>-60…180 °С</t>
        </is>
      </c>
      <c r="G165" s="254" t="inlineStr">
        <is>
          <t>B</t>
        </is>
      </c>
      <c r="H165" s="254" t="inlineStr">
        <is>
          <t>Температура правого осевого электромагнита</t>
        </is>
      </c>
      <c r="I165" s="243" t="inlineStr">
        <is>
          <t>ГПА 64</t>
        </is>
      </c>
      <c r="J165" s="243" t="inlineStr">
        <is>
          <t>АСУ,А и ТМ (КЦ № 6)</t>
        </is>
      </c>
      <c r="K165" s="243" t="inlineStr">
        <is>
          <t>2012</t>
        </is>
      </c>
      <c r="L165" s="248" t="inlineStr">
        <is>
          <t>24</t>
        </is>
      </c>
      <c r="M165" s="246" t="inlineStr">
        <is>
          <t>17.02.2016</t>
        </is>
      </c>
      <c r="N165" s="245" t="inlineStr">
        <is>
          <t>К</t>
        </is>
      </c>
    </row>
    <row r="166" ht="15" customHeight="1" s="236">
      <c r="A166" s="243" t="n">
        <v>165</v>
      </c>
      <c r="B166" s="246" t="inlineStr">
        <is>
          <t>Термометр сопротивления</t>
        </is>
      </c>
      <c r="C166" s="254" t="inlineStr">
        <is>
          <t>ТСМ 319М-05.02 50М/В/3</t>
        </is>
      </c>
      <c r="D166" s="246" t="inlineStr">
        <is>
          <t>1387</t>
        </is>
      </c>
      <c r="E166" s="248" t="inlineStr">
        <is>
          <t>2010</t>
        </is>
      </c>
      <c r="F166" s="257" t="inlineStr">
        <is>
          <t>-50…150 °С</t>
        </is>
      </c>
      <c r="G166" s="254" t="inlineStr">
        <is>
          <t>B</t>
        </is>
      </c>
      <c r="H166" s="254" t="inlineStr">
        <is>
          <t>Температура холодного спая в САУ</t>
        </is>
      </c>
      <c r="I166" s="243" t="inlineStr">
        <is>
          <t>ГПА 64</t>
        </is>
      </c>
      <c r="J166" s="243" t="inlineStr">
        <is>
          <t>АСУ,А и ТМ (КЦ № 6)</t>
        </is>
      </c>
      <c r="K166" s="243" t="inlineStr">
        <is>
          <t>2012</t>
        </is>
      </c>
      <c r="L166" s="248" t="inlineStr">
        <is>
          <t>12</t>
        </is>
      </c>
      <c r="M166" s="246" t="inlineStr"/>
      <c r="N166" s="245" t="inlineStr"/>
    </row>
    <row r="167" ht="22.5" customHeight="1" s="236">
      <c r="A167" s="243" t="n">
        <v>166</v>
      </c>
      <c r="B167" s="246" t="inlineStr">
        <is>
          <t>Термометр сопротивления</t>
        </is>
      </c>
      <c r="C167" s="254" t="inlineStr">
        <is>
          <t>ТСП 012.60 Pt100/B/3</t>
        </is>
      </c>
      <c r="D167" s="246" t="inlineStr">
        <is>
          <t>326</t>
        </is>
      </c>
      <c r="E167" s="248" t="inlineStr">
        <is>
          <t>2011</t>
        </is>
      </c>
      <c r="F167" s="257" t="inlineStr">
        <is>
          <t>-60…200 °С</t>
        </is>
      </c>
      <c r="G167" s="254" t="inlineStr">
        <is>
          <t>B</t>
        </is>
      </c>
      <c r="H167" s="254" t="inlineStr">
        <is>
          <t>Температура воздуха в отсеке пожаротушения</t>
        </is>
      </c>
      <c r="I167" s="243" t="inlineStr">
        <is>
          <t>ГПА 64</t>
        </is>
      </c>
      <c r="J167" s="243" t="inlineStr">
        <is>
          <t>АСУ,А и ТМ (КЦ № 6)</t>
        </is>
      </c>
      <c r="K167" s="243" t="inlineStr">
        <is>
          <t>2012</t>
        </is>
      </c>
      <c r="L167" s="248" t="inlineStr">
        <is>
          <t>36</t>
        </is>
      </c>
      <c r="M167" s="246" t="inlineStr">
        <is>
          <t>17.02.2016</t>
        </is>
      </c>
      <c r="N167" s="245" t="inlineStr">
        <is>
          <t>К</t>
        </is>
      </c>
    </row>
    <row r="168" ht="22.5" customHeight="1" s="236">
      <c r="A168" s="243" t="n">
        <v>167</v>
      </c>
      <c r="B168" s="246" t="inlineStr">
        <is>
          <t>Термометр сопротивления</t>
        </is>
      </c>
      <c r="C168" s="254" t="inlineStr">
        <is>
          <t>ТСП 012.60 Pt100/B/3</t>
        </is>
      </c>
      <c r="D168" s="246" t="inlineStr">
        <is>
          <t>504</t>
        </is>
      </c>
      <c r="E168" s="248" t="inlineStr">
        <is>
          <t>2011</t>
        </is>
      </c>
      <c r="F168" s="257" t="inlineStr">
        <is>
          <t>-60…200 °С</t>
        </is>
      </c>
      <c r="G168" s="254" t="inlineStr">
        <is>
          <t>B</t>
        </is>
      </c>
      <c r="H168" s="254" t="inlineStr">
        <is>
          <t>Температура воздуха в отсеке пожаротушения</t>
        </is>
      </c>
      <c r="I168" s="243" t="inlineStr">
        <is>
          <t>ГПА 64</t>
        </is>
      </c>
      <c r="J168" s="243" t="inlineStr">
        <is>
          <t>АСУ,А и ТМ (КЦ № 6)</t>
        </is>
      </c>
      <c r="K168" s="243" t="inlineStr">
        <is>
          <t>2012</t>
        </is>
      </c>
      <c r="L168" s="248" t="inlineStr">
        <is>
          <t>36</t>
        </is>
      </c>
      <c r="M168" s="246" t="inlineStr">
        <is>
          <t>17.02.2016</t>
        </is>
      </c>
      <c r="N168" s="245" t="inlineStr">
        <is>
          <t>К</t>
        </is>
      </c>
    </row>
    <row r="169" ht="22.5" customHeight="1" s="236">
      <c r="A169" s="243" t="n">
        <v>168</v>
      </c>
      <c r="B169" s="246" t="inlineStr">
        <is>
          <t>Термометр сопротивления</t>
        </is>
      </c>
      <c r="C169" s="254" t="inlineStr">
        <is>
          <t>ТСП 012.60 Pt100/B/3</t>
        </is>
      </c>
      <c r="D169" s="246" t="inlineStr">
        <is>
          <t>318</t>
        </is>
      </c>
      <c r="E169" s="248" t="inlineStr">
        <is>
          <t>2011</t>
        </is>
      </c>
      <c r="F169" s="257" t="inlineStr">
        <is>
          <t>-60…200 °С</t>
        </is>
      </c>
      <c r="G169" s="254" t="inlineStr">
        <is>
          <t>B</t>
        </is>
      </c>
      <c r="H169" s="254" t="inlineStr">
        <is>
          <t>Температура обогревателя в отсеке пожаротушения</t>
        </is>
      </c>
      <c r="I169" s="243" t="inlineStr">
        <is>
          <t>ГПА 64</t>
        </is>
      </c>
      <c r="J169" s="243" t="inlineStr">
        <is>
          <t>АСУ,А и ТМ (КЦ № 6)</t>
        </is>
      </c>
      <c r="K169" s="243" t="inlineStr">
        <is>
          <t>2012</t>
        </is>
      </c>
      <c r="L169" s="248" t="inlineStr">
        <is>
          <t>36</t>
        </is>
      </c>
      <c r="M169" s="246" t="inlineStr"/>
      <c r="N169" s="245" t="inlineStr"/>
    </row>
    <row r="170" ht="22.5" customHeight="1" s="236">
      <c r="A170" s="243" t="n">
        <v>169</v>
      </c>
      <c r="B170" s="246" t="inlineStr">
        <is>
          <t>Термометр сопротивления</t>
        </is>
      </c>
      <c r="C170" s="254" t="inlineStr">
        <is>
          <t>ТСП 319М.03 Pt100/B/3</t>
        </is>
      </c>
      <c r="D170" s="246" t="inlineStr">
        <is>
          <t>1081</t>
        </is>
      </c>
      <c r="E170" s="248" t="inlineStr">
        <is>
          <t>2011</t>
        </is>
      </c>
      <c r="F170" s="257" t="inlineStr">
        <is>
          <t>-60…200 °С</t>
        </is>
      </c>
      <c r="G170" s="254" t="inlineStr">
        <is>
          <t>B</t>
        </is>
      </c>
      <c r="H170" s="254" t="inlineStr">
        <is>
          <t>Температура воздуха в блоке автоматики</t>
        </is>
      </c>
      <c r="I170" s="243" t="inlineStr">
        <is>
          <t>ГПА 64</t>
        </is>
      </c>
      <c r="J170" s="243" t="inlineStr">
        <is>
          <t>АСУ,А и ТМ (КЦ № 6)</t>
        </is>
      </c>
      <c r="K170" s="243" t="inlineStr">
        <is>
          <t>2012</t>
        </is>
      </c>
      <c r="L170" s="248" t="inlineStr">
        <is>
          <t>36</t>
        </is>
      </c>
      <c r="M170" s="246" t="inlineStr"/>
      <c r="N170" s="245" t="inlineStr"/>
    </row>
    <row r="171" ht="22.5" customHeight="1" s="236">
      <c r="A171" s="243" t="n">
        <v>170</v>
      </c>
      <c r="B171" s="246" t="inlineStr">
        <is>
          <t>Термометр сопротивления</t>
        </is>
      </c>
      <c r="C171" s="254" t="inlineStr">
        <is>
          <t>ТСП 012.60Сп Pt100/B/3</t>
        </is>
      </c>
      <c r="D171" s="246" t="inlineStr">
        <is>
          <t>466</t>
        </is>
      </c>
      <c r="E171" s="248" t="inlineStr">
        <is>
          <t>2011</t>
        </is>
      </c>
      <c r="F171" s="257" t="inlineStr">
        <is>
          <t>-60…200 °С</t>
        </is>
      </c>
      <c r="G171" s="254" t="inlineStr">
        <is>
          <t>B</t>
        </is>
      </c>
      <c r="H171" s="254" t="inlineStr">
        <is>
          <t>Температура атмосферного воздуха</t>
        </is>
      </c>
      <c r="I171" s="243" t="inlineStr">
        <is>
          <t>ГПА 64</t>
        </is>
      </c>
      <c r="J171" s="243" t="inlineStr">
        <is>
          <t>АСУ,А и ТМ (КЦ № 6)</t>
        </is>
      </c>
      <c r="K171" s="243" t="inlineStr">
        <is>
          <t>2012</t>
        </is>
      </c>
      <c r="L171" s="248" t="inlineStr">
        <is>
          <t>36</t>
        </is>
      </c>
      <c r="M171" s="246" t="inlineStr">
        <is>
          <t>17.02.2016</t>
        </is>
      </c>
      <c r="N171" s="245" t="inlineStr">
        <is>
          <t>К</t>
        </is>
      </c>
    </row>
    <row r="172" ht="15" customHeight="1" s="236">
      <c r="A172" s="243" t="n">
        <v>171</v>
      </c>
      <c r="B172" s="246" t="inlineStr">
        <is>
          <t>Термометр сопротивления</t>
        </is>
      </c>
      <c r="C172" s="254" t="inlineStr">
        <is>
          <t>ТСМ 319М-05.02 50М/B/3</t>
        </is>
      </c>
      <c r="D172" s="246" t="inlineStr">
        <is>
          <t>1306</t>
        </is>
      </c>
      <c r="E172" s="248" t="inlineStr">
        <is>
          <t>2008</t>
        </is>
      </c>
      <c r="F172" s="257" t="inlineStr">
        <is>
          <t>-60…180 °С</t>
        </is>
      </c>
      <c r="G172" s="254" t="inlineStr">
        <is>
          <t>B</t>
        </is>
      </c>
      <c r="H172" s="254" t="inlineStr">
        <is>
          <t>Температура в контейнере Atlas Copco</t>
        </is>
      </c>
      <c r="I172" s="243" t="inlineStr">
        <is>
          <t>ГПА 64</t>
        </is>
      </c>
      <c r="J172" s="243" t="inlineStr">
        <is>
          <t>АСУ,А и ТМ (КЦ № 6)</t>
        </is>
      </c>
      <c r="K172" s="243" t="inlineStr">
        <is>
          <t>2012</t>
        </is>
      </c>
      <c r="L172" s="248" t="inlineStr">
        <is>
          <t>36</t>
        </is>
      </c>
      <c r="M172" s="246" t="inlineStr"/>
      <c r="N172" s="245" t="inlineStr"/>
    </row>
    <row r="173" ht="22.5" customHeight="1" s="236">
      <c r="A173" s="243" t="n">
        <v>172</v>
      </c>
      <c r="B173" s="246" t="inlineStr">
        <is>
          <t>Датчик вибрации</t>
        </is>
      </c>
      <c r="C173" s="254" t="inlineStr">
        <is>
          <t>МВ-46Г</t>
        </is>
      </c>
      <c r="D173" s="246" t="inlineStr">
        <is>
          <t>112692</t>
        </is>
      </c>
      <c r="E173" s="248" t="inlineStr">
        <is>
          <t>2011</t>
        </is>
      </c>
      <c r="F173" s="257" t="inlineStr">
        <is>
          <t>0…100 мм/с</t>
        </is>
      </c>
      <c r="G173" s="254" t="inlineStr">
        <is>
          <t>B</t>
        </is>
      </c>
      <c r="H173" s="254" t="inlineStr">
        <is>
          <t>Виброскорость в зоне КНД (вертикаль)</t>
        </is>
      </c>
      <c r="I173" s="243" t="inlineStr">
        <is>
          <t>ГПА 64 (комплект)</t>
        </is>
      </c>
      <c r="J173" s="243" t="inlineStr">
        <is>
          <t>АСУ,А и ТМ (КЦ № 6)</t>
        </is>
      </c>
      <c r="K173" s="243" t="inlineStr">
        <is>
          <t>2012</t>
        </is>
      </c>
      <c r="L173" s="248" t="inlineStr">
        <is>
          <t>12</t>
        </is>
      </c>
      <c r="M173" s="246" t="inlineStr"/>
      <c r="N173" s="245" t="inlineStr"/>
    </row>
    <row r="174" ht="22.5" customHeight="1" s="236">
      <c r="A174" s="243" t="n">
        <v>173</v>
      </c>
      <c r="B174" s="246" t="inlineStr">
        <is>
          <t>Датчик вибрации</t>
        </is>
      </c>
      <c r="C174" s="254" t="inlineStr">
        <is>
          <t>МВ-46Г</t>
        </is>
      </c>
      <c r="D174" s="246" t="inlineStr">
        <is>
          <t>112639</t>
        </is>
      </c>
      <c r="E174" s="248" t="inlineStr">
        <is>
          <t>2011</t>
        </is>
      </c>
      <c r="F174" s="257" t="inlineStr">
        <is>
          <t>0…100 мм/с</t>
        </is>
      </c>
      <c r="G174" s="254" t="inlineStr">
        <is>
          <t>B</t>
        </is>
      </c>
      <c r="H174" s="254" t="inlineStr">
        <is>
          <t>Виброскорость в зоне КНД (горизонталь)</t>
        </is>
      </c>
      <c r="I174" s="243" t="inlineStr">
        <is>
          <t>ГПА 64 (комплект)</t>
        </is>
      </c>
      <c r="J174" s="243" t="inlineStr">
        <is>
          <t>АСУ,А и ТМ (КЦ № 6)</t>
        </is>
      </c>
      <c r="K174" s="243" t="inlineStr">
        <is>
          <t>2012</t>
        </is>
      </c>
      <c r="L174" s="248" t="inlineStr">
        <is>
          <t>12</t>
        </is>
      </c>
      <c r="M174" s="246" t="inlineStr"/>
      <c r="N174" s="245" t="inlineStr"/>
    </row>
    <row r="175" ht="22.5" customHeight="1" s="236">
      <c r="A175" s="243" t="n">
        <v>174</v>
      </c>
      <c r="B175" s="246" t="inlineStr">
        <is>
          <t>Датчик вибрации</t>
        </is>
      </c>
      <c r="C175" s="254" t="inlineStr">
        <is>
          <t>МВ-46Г</t>
        </is>
      </c>
      <c r="D175" s="246" t="inlineStr">
        <is>
          <t>112697</t>
        </is>
      </c>
      <c r="E175" s="248" t="inlineStr">
        <is>
          <t>2011</t>
        </is>
      </c>
      <c r="F175" s="257" t="inlineStr">
        <is>
          <t>0…100 мм/с</t>
        </is>
      </c>
      <c r="G175" s="254" t="inlineStr">
        <is>
          <t>B</t>
        </is>
      </c>
      <c r="H175" s="254" t="inlineStr">
        <is>
          <t>Виброскорость в зоне средней опоры (вертикаль)</t>
        </is>
      </c>
      <c r="I175" s="243" t="inlineStr">
        <is>
          <t>ГПА 64 (комплект)</t>
        </is>
      </c>
      <c r="J175" s="243" t="inlineStr">
        <is>
          <t>АСУ,А и ТМ (КЦ № 6)</t>
        </is>
      </c>
      <c r="K175" s="243" t="inlineStr">
        <is>
          <t>2012</t>
        </is>
      </c>
      <c r="L175" s="248" t="inlineStr">
        <is>
          <t>12</t>
        </is>
      </c>
      <c r="M175" s="246" t="inlineStr"/>
      <c r="N175" s="245" t="inlineStr"/>
    </row>
    <row r="176" ht="22.5" customHeight="1" s="236">
      <c r="A176" s="243" t="n">
        <v>175</v>
      </c>
      <c r="B176" s="246" t="inlineStr">
        <is>
          <t>Датчик вибрации</t>
        </is>
      </c>
      <c r="C176" s="254" t="inlineStr">
        <is>
          <t>МВ-46Г</t>
        </is>
      </c>
      <c r="D176" s="246" t="inlineStr">
        <is>
          <t>111612</t>
        </is>
      </c>
      <c r="E176" s="248" t="inlineStr">
        <is>
          <t>2011</t>
        </is>
      </c>
      <c r="F176" s="257" t="inlineStr">
        <is>
          <t>0…100 мм/с</t>
        </is>
      </c>
      <c r="G176" s="254" t="inlineStr">
        <is>
          <t>B</t>
        </is>
      </c>
      <c r="H176" s="254" t="inlineStr">
        <is>
          <t>Виброскорость в зоне средней опоры (горизонталь)</t>
        </is>
      </c>
      <c r="I176" s="243" t="inlineStr">
        <is>
          <t>ГПА 64 (комплект)</t>
        </is>
      </c>
      <c r="J176" s="243" t="inlineStr">
        <is>
          <t>АСУ,А и ТМ (КЦ № 6)</t>
        </is>
      </c>
      <c r="K176" s="243" t="inlineStr">
        <is>
          <t>2012</t>
        </is>
      </c>
      <c r="L176" s="248" t="inlineStr">
        <is>
          <t>12</t>
        </is>
      </c>
      <c r="M176" s="246" t="inlineStr"/>
      <c r="N176" s="245" t="inlineStr"/>
    </row>
    <row r="177" ht="22.5" customHeight="1" s="236">
      <c r="A177" s="243" t="n">
        <v>176</v>
      </c>
      <c r="B177" s="246" t="inlineStr">
        <is>
          <t>Датчик вибрации</t>
        </is>
      </c>
      <c r="C177" s="254" t="inlineStr">
        <is>
          <t>МВ-46Г</t>
        </is>
      </c>
      <c r="D177" s="246" t="inlineStr">
        <is>
          <t>91505</t>
        </is>
      </c>
      <c r="E177" s="248" t="inlineStr">
        <is>
          <t>2011</t>
        </is>
      </c>
      <c r="F177" s="257" t="inlineStr">
        <is>
          <t>0…100 мм/с</t>
        </is>
      </c>
      <c r="G177" s="254" t="inlineStr">
        <is>
          <t>B</t>
        </is>
      </c>
      <c r="H177" s="254" t="inlineStr">
        <is>
          <t>Виброскорость в зоне средней опоры (осевое направление)</t>
        </is>
      </c>
      <c r="I177" s="243" t="inlineStr">
        <is>
          <t>ГПА 64 (комплект)</t>
        </is>
      </c>
      <c r="J177" s="243" t="inlineStr">
        <is>
          <t>АСУ,А и ТМ (КЦ № 6)</t>
        </is>
      </c>
      <c r="K177" s="243" t="inlineStr">
        <is>
          <t>2012</t>
        </is>
      </c>
      <c r="L177" s="248" t="inlineStr">
        <is>
          <t>12</t>
        </is>
      </c>
      <c r="M177" s="246" t="inlineStr"/>
      <c r="N177" s="245" t="inlineStr"/>
    </row>
    <row r="178" ht="22.5" customHeight="1" s="236">
      <c r="A178" s="243" t="n">
        <v>177</v>
      </c>
      <c r="B178" s="246" t="inlineStr">
        <is>
          <t>Датчик вибрации</t>
        </is>
      </c>
      <c r="C178" s="254" t="inlineStr">
        <is>
          <t>МВ-44-1Г</t>
        </is>
      </c>
      <c r="D178" s="246" t="inlineStr">
        <is>
          <t>120086</t>
        </is>
      </c>
      <c r="E178" s="248" t="inlineStr">
        <is>
          <t>2011</t>
        </is>
      </c>
      <c r="F178" s="257" t="inlineStr">
        <is>
          <t>0…100 мм/с</t>
        </is>
      </c>
      <c r="G178" s="254" t="inlineStr">
        <is>
          <t>B</t>
        </is>
      </c>
      <c r="H178" s="254" t="inlineStr">
        <is>
          <t>Виброскорость в зоне СТ (вертикаль)</t>
        </is>
      </c>
      <c r="I178" s="243" t="inlineStr">
        <is>
          <t>ГПА 64 (комплект)</t>
        </is>
      </c>
      <c r="J178" s="243" t="inlineStr">
        <is>
          <t>АСУ,А и ТМ (КЦ № 6)</t>
        </is>
      </c>
      <c r="K178" s="243" t="inlineStr">
        <is>
          <t>2012</t>
        </is>
      </c>
      <c r="L178" s="248" t="inlineStr">
        <is>
          <t>12</t>
        </is>
      </c>
      <c r="M178" s="246" t="inlineStr"/>
      <c r="N178" s="245" t="inlineStr"/>
    </row>
    <row r="179" ht="22.5" customHeight="1" s="236">
      <c r="A179" s="243" t="n">
        <v>178</v>
      </c>
      <c r="B179" s="246" t="inlineStr">
        <is>
          <t>Датчик вибрации</t>
        </is>
      </c>
      <c r="C179" s="254" t="inlineStr">
        <is>
          <t>МВ-44-1Г</t>
        </is>
      </c>
      <c r="D179" s="246" t="inlineStr">
        <is>
          <t>120071</t>
        </is>
      </c>
      <c r="E179" s="248" t="inlineStr">
        <is>
          <t>2011</t>
        </is>
      </c>
      <c r="F179" s="257" t="inlineStr">
        <is>
          <t>0…100 мм/с</t>
        </is>
      </c>
      <c r="G179" s="254" t="inlineStr">
        <is>
          <t>B</t>
        </is>
      </c>
      <c r="H179" s="254" t="inlineStr">
        <is>
          <t>Виброскорость в зоне СТ (горизонталь)</t>
        </is>
      </c>
      <c r="I179" s="243" t="inlineStr">
        <is>
          <t>ГПА 64 (комплект)</t>
        </is>
      </c>
      <c r="J179" s="243" t="inlineStr">
        <is>
          <t>АСУ,А и ТМ (КЦ № 6)</t>
        </is>
      </c>
      <c r="K179" s="243" t="inlineStr">
        <is>
          <t>2012</t>
        </is>
      </c>
      <c r="L179" s="248" t="inlineStr">
        <is>
          <t>12</t>
        </is>
      </c>
      <c r="M179" s="246" t="inlineStr"/>
      <c r="N179" s="245" t="inlineStr"/>
    </row>
    <row r="180" ht="15" customHeight="1" s="236">
      <c r="A180" s="243" t="n">
        <v>179</v>
      </c>
      <c r="B180" s="253" t="inlineStr">
        <is>
          <t>Манометр технический</t>
        </is>
      </c>
      <c r="C180" s="254" t="inlineStr">
        <is>
          <t>МП4-УУ2</t>
        </is>
      </c>
      <c r="D180" s="246" t="inlineStr">
        <is>
          <t>6203</t>
        </is>
      </c>
      <c r="E180" s="248" t="inlineStr">
        <is>
          <t>2010</t>
        </is>
      </c>
      <c r="F180" s="257" t="inlineStr">
        <is>
          <t>0…160 кгс/см2</t>
        </is>
      </c>
      <c r="G180" s="254" t="inlineStr">
        <is>
          <t>1,5</t>
        </is>
      </c>
      <c r="H180" s="254" t="inlineStr">
        <is>
          <t>Р газа на входе компрессора</t>
        </is>
      </c>
      <c r="I180" s="243" t="inlineStr">
        <is>
          <t>ГПА 64</t>
        </is>
      </c>
      <c r="J180" s="243" t="inlineStr">
        <is>
          <t>АСУ,А и ТМ (КЦ № 6)</t>
        </is>
      </c>
      <c r="K180" s="243" t="inlineStr">
        <is>
          <t>2012</t>
        </is>
      </c>
      <c r="L180" s="248" t="inlineStr">
        <is>
          <t>12</t>
        </is>
      </c>
      <c r="M180" s="246" t="inlineStr">
        <is>
          <t>1К26</t>
        </is>
      </c>
      <c r="N180" s="245" t="inlineStr">
        <is>
          <t>К</t>
        </is>
      </c>
    </row>
    <row r="181" ht="15" customHeight="1" s="236">
      <c r="A181" s="243" t="n">
        <v>180</v>
      </c>
      <c r="B181" s="253" t="inlineStr">
        <is>
          <t>Манометр технический</t>
        </is>
      </c>
      <c r="C181" s="254" t="inlineStr">
        <is>
          <t>МП4-УУ2</t>
        </is>
      </c>
      <c r="D181" s="246" t="inlineStr">
        <is>
          <t>15133</t>
        </is>
      </c>
      <c r="E181" s="248" t="inlineStr">
        <is>
          <t>2010</t>
        </is>
      </c>
      <c r="F181" s="257" t="inlineStr">
        <is>
          <t>0…160 кгс/см3</t>
        </is>
      </c>
      <c r="G181" s="254" t="inlineStr">
        <is>
          <t>1,5</t>
        </is>
      </c>
      <c r="H181" s="254" t="inlineStr">
        <is>
          <t>Р газа на выходе компрессора</t>
        </is>
      </c>
      <c r="I181" s="243" t="inlineStr">
        <is>
          <t>ГПА 64</t>
        </is>
      </c>
      <c r="J181" s="243" t="inlineStr">
        <is>
          <t>АСУ,А и ТМ (КЦ № 6)</t>
        </is>
      </c>
      <c r="K181" s="243" t="inlineStr">
        <is>
          <t>2012</t>
        </is>
      </c>
      <c r="L181" s="248" t="inlineStr">
        <is>
          <t>12</t>
        </is>
      </c>
      <c r="M181" s="246" t="inlineStr">
        <is>
          <t>1К26</t>
        </is>
      </c>
      <c r="N181" s="245" t="inlineStr">
        <is>
          <t>К</t>
        </is>
      </c>
    </row>
    <row r="182" ht="15" customHeight="1" s="236">
      <c r="A182" s="243" t="n">
        <v>181</v>
      </c>
      <c r="B182" s="253" t="inlineStr">
        <is>
          <t>Манометр технический</t>
        </is>
      </c>
      <c r="C182" s="254" t="inlineStr">
        <is>
          <t>МП4-УУ2</t>
        </is>
      </c>
      <c r="D182" s="246" t="inlineStr">
        <is>
          <t>15566</t>
        </is>
      </c>
      <c r="E182" s="248" t="inlineStr">
        <is>
          <t>2010</t>
        </is>
      </c>
      <c r="F182" s="257" t="inlineStr">
        <is>
          <t>0…16 МПа</t>
        </is>
      </c>
      <c r="G182" s="254" t="inlineStr">
        <is>
          <t>1</t>
        </is>
      </c>
      <c r="H182" s="254" t="inlineStr">
        <is>
          <t>Р газа в Ф1</t>
        </is>
      </c>
      <c r="I182" s="243" t="inlineStr">
        <is>
          <t>ГПА 64</t>
        </is>
      </c>
      <c r="J182" s="243" t="inlineStr">
        <is>
          <t>АСУ,А и ТМ (КЦ № 6)</t>
        </is>
      </c>
      <c r="K182" s="243" t="inlineStr">
        <is>
          <t>2012</t>
        </is>
      </c>
      <c r="L182" s="248" t="inlineStr">
        <is>
          <t>12</t>
        </is>
      </c>
      <c r="M182" s="246" t="inlineStr">
        <is>
          <t>26ДЯУ</t>
        </is>
      </c>
      <c r="N182" s="245" t="inlineStr">
        <is>
          <t>П</t>
        </is>
      </c>
      <c r="O182" s="247" t="n"/>
    </row>
    <row r="183" ht="15" customHeight="1" s="236">
      <c r="A183" s="243" t="n">
        <v>182</v>
      </c>
      <c r="B183" s="253" t="inlineStr">
        <is>
          <t>Манометр технический</t>
        </is>
      </c>
      <c r="C183" s="254" t="inlineStr">
        <is>
          <t>МП4-УУ2</t>
        </is>
      </c>
      <c r="D183" s="246" t="inlineStr">
        <is>
          <t>212032130</t>
        </is>
      </c>
      <c r="E183" s="248" t="inlineStr">
        <is>
          <t>2010</t>
        </is>
      </c>
      <c r="F183" s="257" t="inlineStr">
        <is>
          <t>0…16 МПа</t>
        </is>
      </c>
      <c r="G183" s="254" t="inlineStr">
        <is>
          <t>1,5</t>
        </is>
      </c>
      <c r="H183" s="254" t="inlineStr">
        <is>
          <t>Р газа в Ф2</t>
        </is>
      </c>
      <c r="I183" s="243" t="inlineStr">
        <is>
          <t>ГПА 64</t>
        </is>
      </c>
      <c r="J183" s="243" t="inlineStr">
        <is>
          <t>АСУ,А и ТМ (КЦ № 6)</t>
        </is>
      </c>
      <c r="K183" s="243" t="inlineStr">
        <is>
          <t>2012</t>
        </is>
      </c>
      <c r="L183" s="248" t="inlineStr">
        <is>
          <t>12</t>
        </is>
      </c>
      <c r="M183" s="246" t="inlineStr">
        <is>
          <t>26ДЯУ</t>
        </is>
      </c>
      <c r="N183" s="245" t="inlineStr">
        <is>
          <t>П</t>
        </is>
      </c>
      <c r="O183" s="247" t="n"/>
    </row>
    <row r="184" ht="15" customHeight="1" s="236">
      <c r="A184" s="243" t="n">
        <v>183</v>
      </c>
      <c r="B184" s="253" t="inlineStr">
        <is>
          <t>Манометр технический</t>
        </is>
      </c>
      <c r="C184" s="254" t="inlineStr">
        <is>
          <t>МП4-УУ2</t>
        </is>
      </c>
      <c r="D184" s="246" t="inlineStr">
        <is>
          <t>15189</t>
        </is>
      </c>
      <c r="E184" s="248" t="inlineStr">
        <is>
          <t>2010</t>
        </is>
      </c>
      <c r="F184" s="257" t="inlineStr">
        <is>
          <t>0…0,6 кгс/см2</t>
        </is>
      </c>
      <c r="G184" s="254" t="inlineStr">
        <is>
          <t>1,5</t>
        </is>
      </c>
      <c r="H184" s="254" t="inlineStr">
        <is>
          <t>Р воздуха после РДВ</t>
        </is>
      </c>
      <c r="I184" s="243" t="inlineStr">
        <is>
          <t>ГПА 64</t>
        </is>
      </c>
      <c r="J184" s="243" t="inlineStr">
        <is>
          <t>АСУ,А и ТМ (КЦ № 6)</t>
        </is>
      </c>
      <c r="K184" s="243" t="inlineStr">
        <is>
          <t>2012</t>
        </is>
      </c>
      <c r="L184" s="248" t="inlineStr">
        <is>
          <t>12</t>
        </is>
      </c>
      <c r="M184" s="246" t="inlineStr">
        <is>
          <t>1К26</t>
        </is>
      </c>
      <c r="N184" s="245" t="inlineStr">
        <is>
          <t>К</t>
        </is>
      </c>
    </row>
    <row r="185" ht="15" customHeight="1" s="236">
      <c r="A185" s="243" t="n">
        <v>184</v>
      </c>
      <c r="B185" s="253" t="inlineStr">
        <is>
          <t>Манометр технический</t>
        </is>
      </c>
      <c r="C185" s="254" t="inlineStr">
        <is>
          <t>МП4-УУ2</t>
        </is>
      </c>
      <c r="D185" s="246" t="inlineStr">
        <is>
          <t>15248</t>
        </is>
      </c>
      <c r="E185" s="248" t="inlineStr">
        <is>
          <t>2010</t>
        </is>
      </c>
      <c r="F185" s="257" t="inlineStr">
        <is>
          <t>0…16 кгс/см2</t>
        </is>
      </c>
      <c r="G185" s="254" t="inlineStr">
        <is>
          <t>1,5</t>
        </is>
      </c>
      <c r="H185" s="254" t="inlineStr">
        <is>
          <t>Р воздуха на входе фильтров</t>
        </is>
      </c>
      <c r="I185" s="243" t="inlineStr">
        <is>
          <t>ГПА 64</t>
        </is>
      </c>
      <c r="J185" s="243" t="inlineStr">
        <is>
          <t>АСУ,А и ТМ (КЦ № 6)</t>
        </is>
      </c>
      <c r="K185" s="243" t="inlineStr">
        <is>
          <t>2012</t>
        </is>
      </c>
      <c r="L185" s="248" t="inlineStr">
        <is>
          <t>12</t>
        </is>
      </c>
      <c r="M185" s="246" t="inlineStr">
        <is>
          <t>1К26</t>
        </is>
      </c>
      <c r="N185" s="245" t="inlineStr">
        <is>
          <t>К</t>
        </is>
      </c>
    </row>
    <row r="186" ht="15" customHeight="1" s="236">
      <c r="A186" s="243" t="n">
        <v>185</v>
      </c>
      <c r="B186" s="253" t="inlineStr">
        <is>
          <t>Манометр технический</t>
        </is>
      </c>
      <c r="C186" s="254" t="inlineStr">
        <is>
          <t>МП4-УУ2</t>
        </is>
      </c>
      <c r="D186" s="246" t="inlineStr">
        <is>
          <t>15132</t>
        </is>
      </c>
      <c r="E186" s="248" t="inlineStr">
        <is>
          <t>2010</t>
        </is>
      </c>
      <c r="F186" s="257" t="inlineStr">
        <is>
          <t>0…16 кгс/см2</t>
        </is>
      </c>
      <c r="G186" s="254" t="inlineStr">
        <is>
          <t>1,5</t>
        </is>
      </c>
      <c r="H186" s="254" t="inlineStr">
        <is>
          <t>Р воздуха на выходе фильтров</t>
        </is>
      </c>
      <c r="I186" s="243" t="inlineStr">
        <is>
          <t>ГПА 64</t>
        </is>
      </c>
      <c r="J186" s="243" t="inlineStr">
        <is>
          <t>АСУ,А и ТМ (КЦ № 6)</t>
        </is>
      </c>
      <c r="K186" s="243" t="inlineStr">
        <is>
          <t>2012</t>
        </is>
      </c>
      <c r="L186" s="248" t="inlineStr">
        <is>
          <t>12</t>
        </is>
      </c>
      <c r="M186" s="246" t="inlineStr">
        <is>
          <t>1К26</t>
        </is>
      </c>
      <c r="N186" s="245" t="inlineStr">
        <is>
          <t>К</t>
        </is>
      </c>
    </row>
    <row r="187" ht="22.5" customHeight="1" s="236">
      <c r="A187" s="243" t="n">
        <v>186</v>
      </c>
      <c r="B187" s="253" t="inlineStr">
        <is>
          <t>Манометр технический</t>
        </is>
      </c>
      <c r="C187" s="254" t="inlineStr">
        <is>
          <t>МП4-УУ2</t>
        </is>
      </c>
      <c r="D187" s="246" t="inlineStr">
        <is>
          <t>40071</t>
        </is>
      </c>
      <c r="E187" s="248" t="inlineStr">
        <is>
          <t>2010</t>
        </is>
      </c>
      <c r="F187" s="257" t="inlineStr">
        <is>
          <t>0…6 кгс/см2</t>
        </is>
      </c>
      <c r="G187" s="254" t="inlineStr">
        <is>
          <t>1,5</t>
        </is>
      </c>
      <c r="H187" s="254" t="inlineStr">
        <is>
          <t>Р масла до фильтров подпитки двигателя</t>
        </is>
      </c>
      <c r="I187" s="243" t="inlineStr">
        <is>
          <t>ГПА 64</t>
        </is>
      </c>
      <c r="J187" s="243" t="inlineStr">
        <is>
          <t>АСУ,А и ТМ (КЦ № 6)</t>
        </is>
      </c>
      <c r="K187" s="243" t="inlineStr">
        <is>
          <t>2012</t>
        </is>
      </c>
      <c r="L187" s="248" t="inlineStr">
        <is>
          <t>12</t>
        </is>
      </c>
      <c r="M187" s="246" t="inlineStr">
        <is>
          <t>1К26</t>
        </is>
      </c>
      <c r="N187" s="245" t="inlineStr">
        <is>
          <t>К</t>
        </is>
      </c>
    </row>
    <row r="188" ht="22.5" customHeight="1" s="236">
      <c r="A188" s="243" t="n">
        <v>187</v>
      </c>
      <c r="B188" s="253" t="inlineStr">
        <is>
          <t>Манометр технический</t>
        </is>
      </c>
      <c r="C188" s="254" t="inlineStr">
        <is>
          <t>МП4-УУ2</t>
        </is>
      </c>
      <c r="D188" s="246" t="inlineStr">
        <is>
          <t>15308</t>
        </is>
      </c>
      <c r="E188" s="248" t="inlineStr">
        <is>
          <t>2010</t>
        </is>
      </c>
      <c r="F188" s="257" t="inlineStr">
        <is>
          <t>0…6 кгс/см2</t>
        </is>
      </c>
      <c r="G188" s="254" t="inlineStr">
        <is>
          <t>1,5</t>
        </is>
      </c>
      <c r="H188" s="254" t="inlineStr">
        <is>
          <t>Р масла после фильтров подпитки двигателя</t>
        </is>
      </c>
      <c r="I188" s="243" t="inlineStr">
        <is>
          <t>ГПА 64</t>
        </is>
      </c>
      <c r="J188" s="243" t="inlineStr">
        <is>
          <t>АСУ,А и ТМ (КЦ № 6)</t>
        </is>
      </c>
      <c r="K188" s="243" t="inlineStr">
        <is>
          <t>2012</t>
        </is>
      </c>
      <c r="L188" s="248" t="inlineStr">
        <is>
          <t>12</t>
        </is>
      </c>
      <c r="M188" s="246" t="inlineStr">
        <is>
          <t>1К26</t>
        </is>
      </c>
      <c r="N188" s="245" t="inlineStr">
        <is>
          <t>К</t>
        </is>
      </c>
    </row>
    <row r="189" ht="15" customHeight="1" s="236">
      <c r="A189" s="243" t="n">
        <v>188</v>
      </c>
      <c r="B189" s="253" t="inlineStr">
        <is>
          <t>Манометр технический</t>
        </is>
      </c>
      <c r="C189" s="254" t="inlineStr">
        <is>
          <t>МП4-УУ2</t>
        </is>
      </c>
      <c r="D189" s="246" t="inlineStr">
        <is>
          <t>15289</t>
        </is>
      </c>
      <c r="E189" s="248" t="inlineStr">
        <is>
          <t>2010</t>
        </is>
      </c>
      <c r="F189" s="257" t="inlineStr">
        <is>
          <t>0…6 кгс/см2</t>
        </is>
      </c>
      <c r="G189" s="254" t="inlineStr">
        <is>
          <t>1,5</t>
        </is>
      </c>
      <c r="H189" s="254" t="inlineStr">
        <is>
          <t>Р масла до фильтров смазки двигателя</t>
        </is>
      </c>
      <c r="I189" s="243" t="inlineStr">
        <is>
          <t>ГПА 64</t>
        </is>
      </c>
      <c r="J189" s="243" t="inlineStr">
        <is>
          <t>АСУ,А и ТМ (КЦ № 6)</t>
        </is>
      </c>
      <c r="K189" s="243" t="inlineStr">
        <is>
          <t>2012</t>
        </is>
      </c>
      <c r="L189" s="248" t="inlineStr">
        <is>
          <t>12</t>
        </is>
      </c>
      <c r="M189" s="246" t="inlineStr">
        <is>
          <t>1К26</t>
        </is>
      </c>
      <c r="N189" s="245" t="inlineStr">
        <is>
          <t>К</t>
        </is>
      </c>
    </row>
    <row r="190" ht="22.5" customHeight="1" s="236">
      <c r="A190" s="243" t="n">
        <v>189</v>
      </c>
      <c r="B190" s="253" t="inlineStr">
        <is>
          <t>Манометр технический</t>
        </is>
      </c>
      <c r="C190" s="254" t="inlineStr">
        <is>
          <t>МП4-УУ2</t>
        </is>
      </c>
      <c r="D190" s="246" t="inlineStr">
        <is>
          <t>15273</t>
        </is>
      </c>
      <c r="E190" s="248" t="inlineStr">
        <is>
          <t>2010</t>
        </is>
      </c>
      <c r="F190" s="257" t="inlineStr">
        <is>
          <t>0…6 кгс/см2</t>
        </is>
      </c>
      <c r="G190" s="254" t="inlineStr">
        <is>
          <t>1,5</t>
        </is>
      </c>
      <c r="H190" s="254" t="inlineStr">
        <is>
          <t>Р масла после фильтров смазки двигателя</t>
        </is>
      </c>
      <c r="I190" s="243" t="inlineStr">
        <is>
          <t>ГПА 64</t>
        </is>
      </c>
      <c r="J190" s="243" t="inlineStr">
        <is>
          <t>АСУ,А и ТМ (КЦ № 6)</t>
        </is>
      </c>
      <c r="K190" s="243" t="inlineStr">
        <is>
          <t>2012</t>
        </is>
      </c>
      <c r="L190" s="248" t="inlineStr">
        <is>
          <t>12</t>
        </is>
      </c>
      <c r="M190" s="246" t="inlineStr">
        <is>
          <t>1К26</t>
        </is>
      </c>
      <c r="N190" s="245" t="inlineStr">
        <is>
          <t>К</t>
        </is>
      </c>
    </row>
    <row r="191" ht="22.5" customHeight="1" s="236">
      <c r="A191" s="243" t="n">
        <v>190</v>
      </c>
      <c r="B191" s="253" t="inlineStr">
        <is>
          <t>Манометр технический</t>
        </is>
      </c>
      <c r="C191" s="254" t="inlineStr">
        <is>
          <t>МП4-УУ2</t>
        </is>
      </c>
      <c r="D191" s="246" t="inlineStr">
        <is>
          <t>15191</t>
        </is>
      </c>
      <c r="E191" s="248" t="inlineStr">
        <is>
          <t>2010</t>
        </is>
      </c>
      <c r="F191" s="257" t="inlineStr">
        <is>
          <t>0…0,6 кгс/см2</t>
        </is>
      </c>
      <c r="G191" s="254" t="inlineStr">
        <is>
          <t>1,5</t>
        </is>
      </c>
      <c r="H191" s="254" t="inlineStr">
        <is>
          <t>Р воздуха смешанного потока после эжектора С1</t>
        </is>
      </c>
      <c r="I191" s="243" t="inlineStr">
        <is>
          <t>ГПА 64</t>
        </is>
      </c>
      <c r="J191" s="243" t="inlineStr">
        <is>
          <t>АСУ,А и ТМ (КЦ № 6)</t>
        </is>
      </c>
      <c r="K191" s="243" t="inlineStr">
        <is>
          <t>2012</t>
        </is>
      </c>
      <c r="L191" s="248" t="inlineStr">
        <is>
          <t>12</t>
        </is>
      </c>
      <c r="M191" s="246" t="inlineStr">
        <is>
          <t>1К26</t>
        </is>
      </c>
      <c r="N191" s="245" t="inlineStr">
        <is>
          <t>К</t>
        </is>
      </c>
    </row>
    <row r="192" ht="22.5" customHeight="1" s="236">
      <c r="A192" s="243" t="n">
        <v>191</v>
      </c>
      <c r="B192" s="253" t="inlineStr">
        <is>
          <t>Манометр технический</t>
        </is>
      </c>
      <c r="C192" s="254" t="inlineStr">
        <is>
          <t>МВП4-УУ2</t>
        </is>
      </c>
      <c r="D192" s="246" t="inlineStr">
        <is>
          <t>15319</t>
        </is>
      </c>
      <c r="E192" s="248" t="inlineStr">
        <is>
          <t>2010</t>
        </is>
      </c>
      <c r="F192" s="257" t="inlineStr">
        <is>
          <t>-1…1,5 кгс/см2</t>
        </is>
      </c>
      <c r="G192" s="254" t="inlineStr">
        <is>
          <t>1,5</t>
        </is>
      </c>
      <c r="H192" s="254" t="inlineStr">
        <is>
          <t>Р воздуха инжектируемого потока перед фильтром Ф1</t>
        </is>
      </c>
      <c r="I192" s="243" t="inlineStr">
        <is>
          <t>ГПА 64</t>
        </is>
      </c>
      <c r="J192" s="243" t="inlineStr">
        <is>
          <t>АСУ,А и ТМ (КЦ № 6)</t>
        </is>
      </c>
      <c r="K192" s="243" t="inlineStr">
        <is>
          <t>2012</t>
        </is>
      </c>
      <c r="L192" s="248" t="inlineStr">
        <is>
          <t>12</t>
        </is>
      </c>
      <c r="M192" s="246" t="inlineStr">
        <is>
          <t>1К26</t>
        </is>
      </c>
      <c r="N192" s="245" t="inlineStr">
        <is>
          <t>К</t>
        </is>
      </c>
    </row>
    <row r="193" ht="15" customHeight="1" s="236">
      <c r="A193" s="243" t="n">
        <v>192</v>
      </c>
      <c r="B193" s="253" t="inlineStr">
        <is>
          <t>Манометр технический</t>
        </is>
      </c>
      <c r="C193" s="254" t="inlineStr">
        <is>
          <t>МП4-УУ2</t>
        </is>
      </c>
      <c r="D193" s="246" t="inlineStr">
        <is>
          <t>15294</t>
        </is>
      </c>
      <c r="E193" s="248" t="inlineStr">
        <is>
          <t>2010</t>
        </is>
      </c>
      <c r="F193" s="257" t="inlineStr">
        <is>
          <t>0…16 кгс/см2</t>
        </is>
      </c>
      <c r="G193" s="254" t="inlineStr">
        <is>
          <t>1,5</t>
        </is>
      </c>
      <c r="H193" s="254" t="inlineStr">
        <is>
          <t>Р воздуха активного потока перед Др1</t>
        </is>
      </c>
      <c r="I193" s="243" t="inlineStr">
        <is>
          <t>ГПА 64</t>
        </is>
      </c>
      <c r="J193" s="243" t="inlineStr">
        <is>
          <t>АСУ,А и ТМ (КЦ № 6)</t>
        </is>
      </c>
      <c r="K193" s="243" t="inlineStr">
        <is>
          <t>2012</t>
        </is>
      </c>
      <c r="L193" s="248" t="inlineStr">
        <is>
          <t>12</t>
        </is>
      </c>
      <c r="M193" s="246" t="inlineStr">
        <is>
          <t>1К26</t>
        </is>
      </c>
      <c r="N193" s="245" t="inlineStr">
        <is>
          <t>К</t>
        </is>
      </c>
    </row>
    <row r="194" ht="15" customHeight="1" s="236">
      <c r="A194" s="243" t="n">
        <v>193</v>
      </c>
      <c r="B194" s="253" t="inlineStr">
        <is>
          <t>Манометр технический</t>
        </is>
      </c>
      <c r="C194" s="254" t="inlineStr">
        <is>
          <t>МП4-УУ2</t>
        </is>
      </c>
      <c r="D194" s="246" t="inlineStr">
        <is>
          <t>15309</t>
        </is>
      </c>
      <c r="E194" s="248" t="inlineStr">
        <is>
          <t>2010</t>
        </is>
      </c>
      <c r="F194" s="257" t="inlineStr">
        <is>
          <t>0…10 кгс/см2</t>
        </is>
      </c>
      <c r="G194" s="254" t="inlineStr">
        <is>
          <t>1,5</t>
        </is>
      </c>
      <c r="H194" s="254" t="inlineStr">
        <is>
          <t>Р воздуха активного потока после Кр1</t>
        </is>
      </c>
      <c r="I194" s="243" t="inlineStr">
        <is>
          <t>ГПА 64</t>
        </is>
      </c>
      <c r="J194" s="243" t="inlineStr">
        <is>
          <t>АСУ,А и ТМ (КЦ № 6)</t>
        </is>
      </c>
      <c r="K194" s="243" t="inlineStr">
        <is>
          <t>2012</t>
        </is>
      </c>
      <c r="L194" s="248" t="inlineStr">
        <is>
          <t>12</t>
        </is>
      </c>
      <c r="M194" s="246" t="inlineStr">
        <is>
          <t>1К26</t>
        </is>
      </c>
      <c r="N194" s="245" t="inlineStr">
        <is>
          <t>К</t>
        </is>
      </c>
    </row>
    <row r="195" ht="22.5" customHeight="1" s="236">
      <c r="A195" s="243" t="n">
        <v>194</v>
      </c>
      <c r="B195" s="253" t="inlineStr">
        <is>
          <t>Манометр технический</t>
        </is>
      </c>
      <c r="C195" s="254" t="inlineStr">
        <is>
          <t>МВП4-УУ2</t>
        </is>
      </c>
      <c r="D195" s="246" t="inlineStr">
        <is>
          <t>15279</t>
        </is>
      </c>
      <c r="E195" s="248" t="inlineStr">
        <is>
          <t>2010</t>
        </is>
      </c>
      <c r="F195" s="257" t="inlineStr">
        <is>
          <t>-1…1,5 кгс/см2</t>
        </is>
      </c>
      <c r="G195" s="254" t="inlineStr">
        <is>
          <t>1,5</t>
        </is>
      </c>
      <c r="H195" s="254" t="inlineStr">
        <is>
          <t>Р воздуха инжектируемого потока после фильтра Ф1</t>
        </is>
      </c>
      <c r="I195" s="243" t="inlineStr">
        <is>
          <t>ГПА 64</t>
        </is>
      </c>
      <c r="J195" s="243" t="inlineStr">
        <is>
          <t>АСУ,А и ТМ (КЦ № 6)</t>
        </is>
      </c>
      <c r="K195" s="243" t="inlineStr">
        <is>
          <t>2012</t>
        </is>
      </c>
      <c r="L195" s="248" t="inlineStr">
        <is>
          <t>12</t>
        </is>
      </c>
      <c r="M195" s="246" t="inlineStr">
        <is>
          <t>1К26</t>
        </is>
      </c>
      <c r="N195" s="245" t="inlineStr">
        <is>
          <t>К</t>
        </is>
      </c>
    </row>
    <row r="196" ht="15" customHeight="1" s="236">
      <c r="A196" s="243" t="n">
        <v>195</v>
      </c>
      <c r="B196" s="253" t="inlineStr">
        <is>
          <t>Манометр технический</t>
        </is>
      </c>
      <c r="C196" s="254" t="inlineStr">
        <is>
          <t>МП3-УТ2</t>
        </is>
      </c>
      <c r="D196" s="246" t="inlineStr">
        <is>
          <t>1322170</t>
        </is>
      </c>
      <c r="E196" s="248" t="inlineStr"/>
      <c r="F196" s="257" t="inlineStr">
        <is>
          <t>0…16 кгс/см2</t>
        </is>
      </c>
      <c r="G196" s="254" t="inlineStr">
        <is>
          <t>1,5</t>
        </is>
      </c>
      <c r="H196" s="254" t="inlineStr">
        <is>
          <t>Р воздуха в ресивере</t>
        </is>
      </c>
      <c r="I196" s="243" t="inlineStr">
        <is>
          <t>ГПА 64</t>
        </is>
      </c>
      <c r="J196" s="243" t="inlineStr">
        <is>
          <t>АСУ,А и ТМ (КЦ № 6)</t>
        </is>
      </c>
      <c r="K196" s="243" t="inlineStr">
        <is>
          <t>2012</t>
        </is>
      </c>
      <c r="L196" s="248" t="inlineStr">
        <is>
          <t>12</t>
        </is>
      </c>
      <c r="M196" s="246" t="inlineStr">
        <is>
          <t>26ДЯУ</t>
        </is>
      </c>
      <c r="N196" s="245" t="inlineStr">
        <is>
          <t>П</t>
        </is>
      </c>
      <c r="O196" s="247" t="n"/>
    </row>
    <row r="197" ht="22.5" customHeight="1" s="236">
      <c r="A197" s="243" t="n">
        <v>196</v>
      </c>
      <c r="B197" s="246" t="inlineStr">
        <is>
          <t>Термометр манометрический</t>
        </is>
      </c>
      <c r="C197" s="254" t="inlineStr">
        <is>
          <t>manotherm</t>
        </is>
      </c>
      <c r="D197" s="246" t="inlineStr">
        <is>
          <t>111502125</t>
        </is>
      </c>
      <c r="E197" s="248" t="inlineStr">
        <is>
          <t>2010</t>
        </is>
      </c>
      <c r="F197" s="257" t="inlineStr">
        <is>
          <t>­20…80°С</t>
        </is>
      </c>
      <c r="G197" s="254" t="inlineStr">
        <is>
          <t>B</t>
        </is>
      </c>
      <c r="H197" s="254" t="inlineStr">
        <is>
          <t>Тг на входе в нагнетатель</t>
        </is>
      </c>
      <c r="I197" s="243" t="inlineStr">
        <is>
          <t>ГПА 64</t>
        </is>
      </c>
      <c r="J197" s="243" t="inlineStr">
        <is>
          <t>АСУ,А и ТМ (КЦ № 6)</t>
        </is>
      </c>
      <c r="K197" s="243" t="inlineStr">
        <is>
          <t>2012</t>
        </is>
      </c>
      <c r="L197" s="248" t="inlineStr">
        <is>
          <t>24</t>
        </is>
      </c>
      <c r="M197" s="246" t="inlineStr">
        <is>
          <t>3К25</t>
        </is>
      </c>
      <c r="N197" s="245" t="inlineStr">
        <is>
          <t>К</t>
        </is>
      </c>
    </row>
    <row r="198" ht="22.5" customHeight="1" s="236">
      <c r="A198" s="243" t="n">
        <v>197</v>
      </c>
      <c r="B198" s="246" t="inlineStr">
        <is>
          <t>Термометр манометрический</t>
        </is>
      </c>
      <c r="C198" s="254" t="inlineStr">
        <is>
          <t>manotherm</t>
        </is>
      </c>
      <c r="D198" s="246" t="inlineStr">
        <is>
          <t>111502122</t>
        </is>
      </c>
      <c r="E198" s="248" t="inlineStr">
        <is>
          <t>2010</t>
        </is>
      </c>
      <c r="F198" s="257" t="inlineStr">
        <is>
          <t>0…100°С</t>
        </is>
      </c>
      <c r="G198" s="254" t="inlineStr">
        <is>
          <t>B</t>
        </is>
      </c>
      <c r="H198" s="254" t="inlineStr">
        <is>
          <t>Тг на выходе нагнетателя</t>
        </is>
      </c>
      <c r="I198" s="243" t="inlineStr">
        <is>
          <t>ГПА 64</t>
        </is>
      </c>
      <c r="J198" s="243" t="inlineStr">
        <is>
          <t>АСУ,А и ТМ (КЦ № 6)</t>
        </is>
      </c>
      <c r="K198" s="243" t="inlineStr">
        <is>
          <t>2012</t>
        </is>
      </c>
      <c r="L198" s="248" t="inlineStr">
        <is>
          <t>24</t>
        </is>
      </c>
      <c r="M198" s="246" t="inlineStr">
        <is>
          <t>3К25</t>
        </is>
      </c>
      <c r="N198" s="245" t="inlineStr">
        <is>
          <t>К</t>
        </is>
      </c>
    </row>
    <row r="199" ht="15" customHeight="1" s="236">
      <c r="A199" s="243" t="n">
        <v>198</v>
      </c>
      <c r="B199" s="246" t="inlineStr">
        <is>
          <t>Термометр сопротивления</t>
        </is>
      </c>
      <c r="C199" s="254" t="inlineStr">
        <is>
          <t>ТСП 012.60 Pt100/B/3</t>
        </is>
      </c>
      <c r="D199" s="246" t="inlineStr">
        <is>
          <t>313</t>
        </is>
      </c>
      <c r="E199" s="248" t="inlineStr">
        <is>
          <t>2011</t>
        </is>
      </c>
      <c r="F199" s="257" t="inlineStr">
        <is>
          <t>-60…200 °С</t>
        </is>
      </c>
      <c r="G199" s="254" t="inlineStr">
        <is>
          <t>B</t>
        </is>
      </c>
      <c r="H199" s="254" t="inlineStr">
        <is>
          <t>Температура воздуха продувки</t>
        </is>
      </c>
      <c r="I199" s="243" t="inlineStr">
        <is>
          <t>ГПА 64</t>
        </is>
      </c>
      <c r="J199" s="243" t="inlineStr">
        <is>
          <t>АСУ,А и ТМ (КЦ № 6)</t>
        </is>
      </c>
      <c r="K199" s="243" t="inlineStr">
        <is>
          <t>2012</t>
        </is>
      </c>
      <c r="L199" s="248" t="inlineStr"/>
      <c r="M199" s="246" t="inlineStr"/>
      <c r="N199" s="245" t="inlineStr"/>
    </row>
    <row r="200" ht="15" customFormat="1" customHeight="1" s="235">
      <c r="A200" s="243" t="n">
        <v>199</v>
      </c>
      <c r="B200" s="253" t="inlineStr">
        <is>
          <t>Контроль загазованности</t>
        </is>
      </c>
      <c r="C200" s="254" t="inlineStr">
        <is>
          <t>Det-Tronics (PIRECL 21M)</t>
        </is>
      </c>
      <c r="D200" s="246" t="inlineStr">
        <is>
          <t>1105066</t>
        </is>
      </c>
      <c r="E200" s="248" t="inlineStr">
        <is>
          <t>2011</t>
        </is>
      </c>
      <c r="F200" s="257" t="inlineStr"/>
      <c r="G200" s="254" t="inlineStr"/>
      <c r="H200" s="254" t="inlineStr">
        <is>
          <t>Над нагнетателем (QT 201)</t>
        </is>
      </c>
      <c r="I200" s="243" t="inlineStr">
        <is>
          <t>ГПА 64</t>
        </is>
      </c>
      <c r="J200" s="243" t="inlineStr">
        <is>
          <t>АСУ,А и ТМ (КЦ № 6)</t>
        </is>
      </c>
      <c r="K200" s="243" t="inlineStr">
        <is>
          <t>2012</t>
        </is>
      </c>
      <c r="L200" s="248" t="inlineStr"/>
      <c r="M200" s="246" t="inlineStr"/>
      <c r="N200" s="245" t="inlineStr"/>
    </row>
    <row r="201" ht="15" customFormat="1" customHeight="1" s="235">
      <c r="A201" s="243" t="n">
        <v>200</v>
      </c>
      <c r="B201" s="253" t="inlineStr">
        <is>
          <t>Контроль загазованности</t>
        </is>
      </c>
      <c r="C201" s="254" t="inlineStr">
        <is>
          <t>Det-Tronics (PIRECL 21M)</t>
        </is>
      </c>
      <c r="D201" s="246" t="inlineStr">
        <is>
          <t>1105029</t>
        </is>
      </c>
      <c r="E201" s="248" t="inlineStr">
        <is>
          <t>2011</t>
        </is>
      </c>
      <c r="F201" s="257" t="inlineStr"/>
      <c r="G201" s="254" t="inlineStr"/>
      <c r="H201" s="254" t="inlineStr">
        <is>
          <t>Над подогревателем буф.газа (QT 202)</t>
        </is>
      </c>
      <c r="I201" s="243" t="inlineStr">
        <is>
          <t>ГПА 64</t>
        </is>
      </c>
      <c r="J201" s="243" t="inlineStr">
        <is>
          <t>АСУ,А и ТМ (КЦ № 6)</t>
        </is>
      </c>
      <c r="K201" s="243" t="inlineStr">
        <is>
          <t>2012</t>
        </is>
      </c>
      <c r="L201" s="248" t="inlineStr"/>
      <c r="M201" s="246" t="inlineStr"/>
      <c r="N201" s="245" t="inlineStr"/>
    </row>
    <row r="202" ht="15" customFormat="1" customHeight="1" s="235">
      <c r="A202" s="243" t="n">
        <v>201</v>
      </c>
      <c r="B202" s="253" t="inlineStr">
        <is>
          <t>Контроль загазованности</t>
        </is>
      </c>
      <c r="C202" s="254" t="inlineStr">
        <is>
          <t>ОГС-ПГП/М-СН4-А</t>
        </is>
      </c>
      <c r="D202" s="246" t="inlineStr">
        <is>
          <t>25523</t>
        </is>
      </c>
      <c r="E202" s="248" t="inlineStr">
        <is>
          <t>2025</t>
        </is>
      </c>
      <c r="F202" s="257" t="inlineStr"/>
      <c r="G202" s="254" t="inlineStr"/>
      <c r="H202" s="254" t="inlineStr">
        <is>
          <t>Напротив масляной консоли (QT 203)</t>
        </is>
      </c>
      <c r="I202" s="243" t="inlineStr">
        <is>
          <t>ГПА 64</t>
        </is>
      </c>
      <c r="J202" s="243" t="inlineStr">
        <is>
          <t>АСУ,А и ТМ (КЦ № 6)</t>
        </is>
      </c>
      <c r="K202" s="243" t="inlineStr">
        <is>
          <t>2012</t>
        </is>
      </c>
      <c r="L202" s="248" t="inlineStr"/>
      <c r="M202" s="246" t="inlineStr"/>
      <c r="N202" s="245" t="inlineStr"/>
    </row>
    <row r="203" ht="15" customHeight="1" s="236">
      <c r="A203" s="243" t="n">
        <v>202</v>
      </c>
      <c r="B203" s="253" t="inlineStr">
        <is>
          <t>Контроль загазованности</t>
        </is>
      </c>
      <c r="C203" s="254" t="inlineStr">
        <is>
          <t>Det-Tronics (PIRECL 21M)</t>
        </is>
      </c>
      <c r="D203" s="246" t="inlineStr">
        <is>
          <t>1105065</t>
        </is>
      </c>
      <c r="E203" s="248" t="inlineStr">
        <is>
          <t>2011</t>
        </is>
      </c>
      <c r="F203" s="257" t="inlineStr"/>
      <c r="G203" s="254" t="inlineStr"/>
      <c r="H203" s="254" t="inlineStr">
        <is>
          <t>Под КШТ (QT100)</t>
        </is>
      </c>
      <c r="I203" s="243" t="inlineStr">
        <is>
          <t>ГПА 64</t>
        </is>
      </c>
      <c r="J203" s="243" t="inlineStr">
        <is>
          <t>АСУ,А и ТМ (КЦ № 6)</t>
        </is>
      </c>
      <c r="K203" s="243" t="inlineStr">
        <is>
          <t>2012</t>
        </is>
      </c>
      <c r="L203" s="248" t="inlineStr"/>
      <c r="M203" s="246" t="inlineStr"/>
      <c r="N203" s="245" t="inlineStr"/>
    </row>
    <row r="204" ht="22.5" customHeight="1" s="236">
      <c r="A204" s="243" t="n">
        <v>203</v>
      </c>
      <c r="B204" s="253" t="inlineStr">
        <is>
          <t>Извещатель тепловой пожарный</t>
        </is>
      </c>
      <c r="C204" s="254" t="inlineStr">
        <is>
          <t>12-х27/21-000</t>
        </is>
      </c>
      <c r="D204" s="246" t="inlineStr">
        <is>
          <t>1060</t>
        </is>
      </c>
      <c r="E204" s="248" t="inlineStr">
        <is>
          <t>2011</t>
        </is>
      </c>
      <c r="F204" s="257" t="inlineStr">
        <is>
          <t>-60…200 °С</t>
        </is>
      </c>
      <c r="G204" s="254" t="inlineStr"/>
      <c r="H204" s="254" t="inlineStr">
        <is>
          <t>Под КШТ (ВТК 101)</t>
        </is>
      </c>
      <c r="I204" s="243" t="inlineStr">
        <is>
          <t>ГПА 64</t>
        </is>
      </c>
      <c r="J204" s="243" t="inlineStr">
        <is>
          <t>АСУ,А и ТМ (КЦ № 6)</t>
        </is>
      </c>
      <c r="K204" s="243" t="inlineStr">
        <is>
          <t>2012</t>
        </is>
      </c>
      <c r="L204" s="248" t="inlineStr"/>
      <c r="M204" s="246" t="inlineStr"/>
      <c r="N204" s="245" t="inlineStr"/>
    </row>
    <row r="205" ht="22.5" customHeight="1" s="236">
      <c r="A205" s="243" t="n">
        <v>204</v>
      </c>
      <c r="B205" s="253" t="inlineStr">
        <is>
          <t>Извещатель тепловой пожарный</t>
        </is>
      </c>
      <c r="C205" s="254" t="inlineStr">
        <is>
          <t>12-х27/21-000</t>
        </is>
      </c>
      <c r="D205" s="246" t="inlineStr">
        <is>
          <t>1047</t>
        </is>
      </c>
      <c r="E205" s="248" t="inlineStr">
        <is>
          <t>2011</t>
        </is>
      </c>
      <c r="F205" s="257" t="inlineStr">
        <is>
          <t>-60…200 °С</t>
        </is>
      </c>
      <c r="G205" s="254" t="inlineStr"/>
      <c r="H205" s="254" t="inlineStr">
        <is>
          <t>Под КШТ (ВТК 102)</t>
        </is>
      </c>
      <c r="I205" s="243" t="inlineStr">
        <is>
          <t>ГПА 64</t>
        </is>
      </c>
      <c r="J205" s="243" t="inlineStr">
        <is>
          <t>АСУ,А и ТМ (КЦ № 6)</t>
        </is>
      </c>
      <c r="K205" s="243" t="inlineStr">
        <is>
          <t>2012</t>
        </is>
      </c>
      <c r="L205" s="248" t="inlineStr"/>
      <c r="M205" s="246" t="inlineStr"/>
      <c r="N205" s="245" t="inlineStr"/>
    </row>
    <row r="206" ht="22.5" customHeight="1" s="236">
      <c r="A206" s="243" t="n">
        <v>205</v>
      </c>
      <c r="B206" s="253" t="inlineStr">
        <is>
          <t>Извещатель тепловой пожарный</t>
        </is>
      </c>
      <c r="C206" s="254" t="inlineStr">
        <is>
          <t>12-х27/21-000</t>
        </is>
      </c>
      <c r="D206" s="246" t="inlineStr">
        <is>
          <t>1022</t>
        </is>
      </c>
      <c r="E206" s="248" t="inlineStr">
        <is>
          <t>2011</t>
        </is>
      </c>
      <c r="F206" s="257" t="inlineStr">
        <is>
          <t>-60…200 °С</t>
        </is>
      </c>
      <c r="G206" s="254" t="inlineStr"/>
      <c r="H206" s="254" t="inlineStr">
        <is>
          <t>Под КШТ (ВТК 103)</t>
        </is>
      </c>
      <c r="I206" s="243" t="inlineStr">
        <is>
          <t>ГПА 64</t>
        </is>
      </c>
      <c r="J206" s="243" t="inlineStr">
        <is>
          <t>АСУ,А и ТМ (КЦ № 6)</t>
        </is>
      </c>
      <c r="K206" s="243" t="inlineStr">
        <is>
          <t>2012</t>
        </is>
      </c>
      <c r="L206" s="248" t="inlineStr"/>
      <c r="M206" s="246" t="inlineStr"/>
      <c r="N206" s="245" t="inlineStr"/>
    </row>
    <row r="207" ht="22.5" customHeight="1" s="236">
      <c r="A207" s="243" t="n">
        <v>206</v>
      </c>
      <c r="B207" s="253" t="inlineStr">
        <is>
          <t>Извещатель тепловой пожарный</t>
        </is>
      </c>
      <c r="C207" s="254" t="inlineStr">
        <is>
          <t>12-х27/21-000</t>
        </is>
      </c>
      <c r="D207" s="246" t="inlineStr">
        <is>
          <t>1045</t>
        </is>
      </c>
      <c r="E207" s="248" t="inlineStr">
        <is>
          <t>2011</t>
        </is>
      </c>
      <c r="F207" s="257" t="inlineStr">
        <is>
          <t>-60…200 °С</t>
        </is>
      </c>
      <c r="G207" s="254" t="inlineStr"/>
      <c r="H207" s="254" t="inlineStr">
        <is>
          <t>Под КШТ (ВТК 104)</t>
        </is>
      </c>
      <c r="I207" s="243" t="inlineStr">
        <is>
          <t>ГПА 64</t>
        </is>
      </c>
      <c r="J207" s="243" t="inlineStr">
        <is>
          <t>АСУ,А и ТМ (КЦ № 6)</t>
        </is>
      </c>
      <c r="K207" s="243" t="inlineStr">
        <is>
          <t>2012</t>
        </is>
      </c>
      <c r="L207" s="248" t="inlineStr"/>
      <c r="M207" s="246" t="inlineStr"/>
      <c r="N207" s="245" t="inlineStr"/>
    </row>
    <row r="208" ht="15" customHeight="1" s="236">
      <c r="A208" s="243" t="n">
        <v>207</v>
      </c>
      <c r="B208" s="253" t="inlineStr">
        <is>
          <t>Датчик пламени</t>
        </is>
      </c>
      <c r="C208" s="254" t="inlineStr">
        <is>
          <t>ИП330/3-20-А1</t>
        </is>
      </c>
      <c r="D208" s="246" t="inlineStr">
        <is>
          <t>000972</t>
        </is>
      </c>
      <c r="E208" s="248" t="inlineStr">
        <is>
          <t>2011</t>
        </is>
      </c>
      <c r="F208" s="257" t="inlineStr"/>
      <c r="G208" s="254" t="inlineStr"/>
      <c r="H208" s="254" t="inlineStr">
        <is>
          <t>Над входом слева (BTF201)</t>
        </is>
      </c>
      <c r="I208" s="243" t="inlineStr">
        <is>
          <t>ГПА 64</t>
        </is>
      </c>
      <c r="J208" s="243" t="inlineStr">
        <is>
          <t>АСУ,А и ТМ (КЦ № 6)</t>
        </is>
      </c>
      <c r="K208" s="243" t="inlineStr">
        <is>
          <t>2012</t>
        </is>
      </c>
      <c r="L208" s="248" t="inlineStr"/>
      <c r="M208" s="246" t="inlineStr"/>
      <c r="N208" s="245" t="inlineStr"/>
    </row>
    <row r="209" ht="15" customHeight="1" s="236">
      <c r="A209" s="243" t="n">
        <v>208</v>
      </c>
      <c r="B209" s="253" t="inlineStr">
        <is>
          <t>Датчик пламени</t>
        </is>
      </c>
      <c r="C209" s="254" t="inlineStr">
        <is>
          <t>ИП330/3-20-А1</t>
        </is>
      </c>
      <c r="D209" s="246" t="inlineStr">
        <is>
          <t>000995</t>
        </is>
      </c>
      <c r="E209" s="248" t="inlineStr">
        <is>
          <t>2011</t>
        </is>
      </c>
      <c r="F209" s="257" t="inlineStr"/>
      <c r="G209" s="254" t="inlineStr"/>
      <c r="H209" s="254" t="inlineStr">
        <is>
          <t>Над входом с АВОг (BTF204)</t>
        </is>
      </c>
      <c r="I209" s="243" t="inlineStr">
        <is>
          <t>ГПА 64</t>
        </is>
      </c>
      <c r="J209" s="243" t="inlineStr">
        <is>
          <t>АСУ,А и ТМ (КЦ № 6)</t>
        </is>
      </c>
      <c r="K209" s="243" t="inlineStr">
        <is>
          <t>2012</t>
        </is>
      </c>
      <c r="L209" s="248" t="inlineStr"/>
      <c r="M209" s="246" t="inlineStr"/>
      <c r="N209" s="245" t="inlineStr"/>
    </row>
    <row r="210" ht="15" customHeight="1" s="236">
      <c r="A210" s="243" t="n">
        <v>209</v>
      </c>
      <c r="B210" s="253" t="inlineStr">
        <is>
          <t>Датчик пламени</t>
        </is>
      </c>
      <c r="C210" s="254" t="inlineStr">
        <is>
          <t>ИП330/3-20-А1</t>
        </is>
      </c>
      <c r="D210" s="246" t="inlineStr">
        <is>
          <t>000973</t>
        </is>
      </c>
      <c r="E210" s="248" t="inlineStr">
        <is>
          <t>2011</t>
        </is>
      </c>
      <c r="F210" s="257" t="inlineStr"/>
      <c r="G210" s="254" t="inlineStr"/>
      <c r="H210" s="254" t="inlineStr">
        <is>
          <t>На леснице слева (BTF202)</t>
        </is>
      </c>
      <c r="I210" s="243" t="inlineStr">
        <is>
          <t>ГПА 64</t>
        </is>
      </c>
      <c r="J210" s="243" t="inlineStr">
        <is>
          <t>АСУ,А и ТМ (КЦ № 6)</t>
        </is>
      </c>
      <c r="K210" s="243" t="inlineStr">
        <is>
          <t>2012</t>
        </is>
      </c>
      <c r="L210" s="248" t="inlineStr"/>
      <c r="M210" s="246" t="inlineStr"/>
      <c r="N210" s="245" t="inlineStr"/>
    </row>
    <row r="211" ht="15" customHeight="1" s="236">
      <c r="A211" s="243" t="n">
        <v>210</v>
      </c>
      <c r="B211" s="253" t="inlineStr">
        <is>
          <t>Датчик пламени</t>
        </is>
      </c>
      <c r="C211" s="254" t="inlineStr">
        <is>
          <t>ИП330/3-20-А1</t>
        </is>
      </c>
      <c r="D211" s="246" t="inlineStr">
        <is>
          <t>001002</t>
        </is>
      </c>
      <c r="E211" s="248" t="inlineStr">
        <is>
          <t>2011</t>
        </is>
      </c>
      <c r="F211" s="257" t="inlineStr"/>
      <c r="G211" s="254" t="inlineStr"/>
      <c r="H211" s="254" t="inlineStr">
        <is>
          <t>На леснице справа (BTF203)</t>
        </is>
      </c>
      <c r="I211" s="243" t="inlineStr">
        <is>
          <t>ГПА 64</t>
        </is>
      </c>
      <c r="J211" s="243" t="inlineStr">
        <is>
          <t>АСУ,А и ТМ (КЦ № 6)</t>
        </is>
      </c>
      <c r="K211" s="243" t="inlineStr">
        <is>
          <t>2012</t>
        </is>
      </c>
      <c r="L211" s="248" t="inlineStr"/>
      <c r="M211" s="246" t="inlineStr"/>
      <c r="N211" s="245" t="inlineStr"/>
    </row>
    <row r="212" ht="15" customHeight="1" s="236">
      <c r="A212" s="243" t="n">
        <v>211</v>
      </c>
      <c r="B212" s="253" t="inlineStr">
        <is>
          <t>Датчик пламени</t>
        </is>
      </c>
      <c r="C212" s="254" t="inlineStr">
        <is>
          <t>ИП330/3-20-А1</t>
        </is>
      </c>
      <c r="D212" s="246" t="inlineStr">
        <is>
          <t>000988</t>
        </is>
      </c>
      <c r="E212" s="248" t="inlineStr">
        <is>
          <t>2011</t>
        </is>
      </c>
      <c r="F212" s="257" t="inlineStr"/>
      <c r="G212" s="254" t="inlineStr"/>
      <c r="H212" s="254" t="inlineStr">
        <is>
          <t>Над т.г. (BTF207)</t>
        </is>
      </c>
      <c r="I212" s="243" t="inlineStr">
        <is>
          <t>ГПА 64</t>
        </is>
      </c>
      <c r="J212" s="243" t="inlineStr">
        <is>
          <t>АСУ,А и ТМ (КЦ № 6)</t>
        </is>
      </c>
      <c r="K212" s="243" t="inlineStr">
        <is>
          <t>2012</t>
        </is>
      </c>
      <c r="L212" s="248" t="inlineStr"/>
      <c r="M212" s="246" t="inlineStr"/>
      <c r="N212" s="245" t="inlineStr"/>
    </row>
    <row r="213" ht="15" customHeight="1" s="236">
      <c r="A213" s="243" t="n">
        <v>212</v>
      </c>
      <c r="B213" s="253" t="inlineStr">
        <is>
          <t>Датчик пламени</t>
        </is>
      </c>
      <c r="C213" s="254" t="inlineStr">
        <is>
          <t>ИП330/1-20-А1</t>
        </is>
      </c>
      <c r="D213" s="246" t="inlineStr">
        <is>
          <t>001349</t>
        </is>
      </c>
      <c r="E213" s="248" t="inlineStr">
        <is>
          <t>2011</t>
        </is>
      </c>
      <c r="F213" s="257" t="inlineStr"/>
      <c r="G213" s="254" t="inlineStr"/>
      <c r="H213" s="254" t="inlineStr">
        <is>
          <t>Под КШТ (BTF102)</t>
        </is>
      </c>
      <c r="I213" s="243" t="inlineStr">
        <is>
          <t>ГПА 64</t>
        </is>
      </c>
      <c r="J213" s="243" t="inlineStr">
        <is>
          <t>АСУ,А и ТМ (КЦ № 6)</t>
        </is>
      </c>
      <c r="K213" s="243" t="inlineStr">
        <is>
          <t>2012</t>
        </is>
      </c>
      <c r="L213" s="248" t="inlineStr"/>
      <c r="M213" s="246" t="inlineStr"/>
      <c r="N213" s="245" t="inlineStr"/>
    </row>
    <row r="214" ht="15" customHeight="1" s="236">
      <c r="A214" s="243" t="n">
        <v>213</v>
      </c>
      <c r="B214" s="253" t="inlineStr">
        <is>
          <t>Датчик пламени</t>
        </is>
      </c>
      <c r="C214" s="254" t="inlineStr">
        <is>
          <t>ИП330/1-20-А1</t>
        </is>
      </c>
      <c r="D214" s="246" t="inlineStr">
        <is>
          <t>001343</t>
        </is>
      </c>
      <c r="E214" s="248" t="inlineStr">
        <is>
          <t>2011</t>
        </is>
      </c>
      <c r="F214" s="257" t="inlineStr"/>
      <c r="G214" s="254" t="inlineStr"/>
      <c r="H214" s="254" t="inlineStr">
        <is>
          <t>Под КШТ (BTF101)</t>
        </is>
      </c>
      <c r="I214" s="243" t="inlineStr">
        <is>
          <t>ГПА 64</t>
        </is>
      </c>
      <c r="J214" s="243" t="inlineStr">
        <is>
          <t>АСУ,А и ТМ (КЦ № 6)</t>
        </is>
      </c>
      <c r="K214" s="243" t="inlineStr">
        <is>
          <t>2012</t>
        </is>
      </c>
      <c r="L214" s="248" t="inlineStr"/>
      <c r="M214" s="246" t="inlineStr"/>
      <c r="N214" s="245" t="inlineStr"/>
    </row>
    <row r="215" ht="15" customHeight="1" s="236">
      <c r="A215" s="243" t="n">
        <v>214</v>
      </c>
      <c r="B215" s="253" t="inlineStr">
        <is>
          <t>Датчик пламени</t>
        </is>
      </c>
      <c r="C215" s="254" t="inlineStr">
        <is>
          <t>ИП330/3-20-А1</t>
        </is>
      </c>
      <c r="D215" s="246" t="inlineStr">
        <is>
          <t>000716</t>
        </is>
      </c>
      <c r="E215" s="248" t="inlineStr">
        <is>
          <t>2011</t>
        </is>
      </c>
      <c r="F215" s="257" t="inlineStr"/>
      <c r="G215" s="254" t="inlineStr"/>
      <c r="H215" s="254" t="inlineStr">
        <is>
          <t>Масл.консоль (BTF211)</t>
        </is>
      </c>
      <c r="I215" s="243" t="inlineStr">
        <is>
          <t>ГПА 64</t>
        </is>
      </c>
      <c r="J215" s="243" t="inlineStr">
        <is>
          <t>АСУ,А и ТМ (КЦ № 6)</t>
        </is>
      </c>
      <c r="K215" s="243" t="inlineStr">
        <is>
          <t>2012</t>
        </is>
      </c>
      <c r="L215" s="248" t="inlineStr"/>
      <c r="M215" s="246" t="inlineStr"/>
      <c r="N215" s="245" t="inlineStr"/>
    </row>
    <row r="216" ht="15" customHeight="1" s="236">
      <c r="A216" s="243" t="n">
        <v>215</v>
      </c>
      <c r="B216" s="253" t="inlineStr">
        <is>
          <t>Датчик пламени</t>
        </is>
      </c>
      <c r="C216" s="254" t="inlineStr">
        <is>
          <t>ИП330/3-20-А1</t>
        </is>
      </c>
      <c r="D216" s="246" t="inlineStr">
        <is>
          <t>000721</t>
        </is>
      </c>
      <c r="E216" s="248" t="inlineStr">
        <is>
          <t>2011</t>
        </is>
      </c>
      <c r="F216" s="257" t="inlineStr"/>
      <c r="G216" s="254" t="inlineStr"/>
      <c r="H216" s="254" t="inlineStr">
        <is>
          <t>(BTF210)</t>
        </is>
      </c>
      <c r="I216" s="243" t="inlineStr">
        <is>
          <t>ГПА 64</t>
        </is>
      </c>
      <c r="J216" s="243" t="inlineStr">
        <is>
          <t>АСУ,А и ТМ (КЦ № 6)</t>
        </is>
      </c>
      <c r="K216" s="243" t="inlineStr">
        <is>
          <t>2012</t>
        </is>
      </c>
      <c r="L216" s="248" t="inlineStr"/>
      <c r="M216" s="246" t="inlineStr"/>
      <c r="N216" s="245" t="inlineStr"/>
    </row>
    <row r="217" ht="15" customHeight="1" s="236">
      <c r="A217" s="243" t="n">
        <v>216</v>
      </c>
      <c r="B217" s="253" t="inlineStr">
        <is>
          <t>Датчик пламени</t>
        </is>
      </c>
      <c r="C217" s="254" t="inlineStr">
        <is>
          <t>ИП330/3-20-А1</t>
        </is>
      </c>
      <c r="D217" s="246" t="inlineStr">
        <is>
          <t>000723</t>
        </is>
      </c>
      <c r="E217" s="248" t="inlineStr">
        <is>
          <t>2011</t>
        </is>
      </c>
      <c r="F217" s="257" t="inlineStr"/>
      <c r="G217" s="254" t="inlineStr"/>
      <c r="H217" s="254" t="inlineStr">
        <is>
          <t>(BTF208)</t>
        </is>
      </c>
      <c r="I217" s="243" t="inlineStr">
        <is>
          <t>ГПА 64</t>
        </is>
      </c>
      <c r="J217" s="243" t="inlineStr">
        <is>
          <t>АСУ,А и ТМ (КЦ № 6)</t>
        </is>
      </c>
      <c r="K217" s="243" t="inlineStr">
        <is>
          <t>2012</t>
        </is>
      </c>
      <c r="L217" s="248" t="inlineStr"/>
      <c r="M217" s="246" t="inlineStr"/>
      <c r="N217" s="245" t="inlineStr"/>
    </row>
    <row r="218" ht="15" customHeight="1" s="236">
      <c r="A218" s="239">
        <f>IF(B218&lt;&gt;"", COUNTA($B$2:B218), "")</f>
        <v/>
      </c>
      <c r="B218" s="241" t="inlineStr">
        <is>
          <t>Датчик пламени</t>
        </is>
      </c>
      <c r="C218" s="242" t="inlineStr">
        <is>
          <t>ИП330/3-20-А1</t>
        </is>
      </c>
      <c r="D218" s="278" t="n"/>
      <c r="E218" s="239" t="n">
        <v>2011</v>
      </c>
      <c r="F218" s="270" t="n"/>
      <c r="G218" s="270" t="n"/>
      <c r="H218" s="239" t="inlineStr">
        <is>
          <t>(BTF206)</t>
        </is>
      </c>
      <c r="I218" s="239" t="inlineStr">
        <is>
          <t>ГПА 64</t>
        </is>
      </c>
      <c r="J218" s="239" t="inlineStr">
        <is>
          <t>АСУ,А и ТМ (КЦ № 6)</t>
        </is>
      </c>
      <c r="K218" s="239" t="n">
        <v>2012</v>
      </c>
      <c r="L218" s="270" t="n"/>
      <c r="M218" s="240" t="n"/>
      <c r="N218" s="270" t="n"/>
    </row>
    <row r="219" ht="15" customHeight="1" s="236">
      <c r="A219" s="239">
        <f>IF(B219&lt;&gt;"", COUNTA($B$2:B219), "")</f>
        <v/>
      </c>
      <c r="B219" s="241" t="inlineStr">
        <is>
          <t>Датчик пламени</t>
        </is>
      </c>
      <c r="C219" s="242" t="inlineStr">
        <is>
          <t>ИП330/3-20-А1</t>
        </is>
      </c>
      <c r="D219" s="278" t="n"/>
      <c r="E219" s="239" t="n">
        <v>2011</v>
      </c>
      <c r="F219" s="270" t="n"/>
      <c r="G219" s="270" t="n"/>
      <c r="H219" s="239" t="inlineStr">
        <is>
          <t>(BTF205)</t>
        </is>
      </c>
      <c r="I219" s="239" t="inlineStr">
        <is>
          <t>ГПА 64</t>
        </is>
      </c>
      <c r="J219" s="239" t="inlineStr">
        <is>
          <t>АСУ,А и ТМ (КЦ № 6)</t>
        </is>
      </c>
      <c r="K219" s="239" t="n">
        <v>2012</v>
      </c>
      <c r="L219" s="270" t="n"/>
      <c r="N219" s="270" t="n"/>
    </row>
    <row r="220" ht="15" customHeight="1" s="236">
      <c r="A220" s="239">
        <f>IF(B220&lt;&gt;"", COUNTA($B$2:B220), "")</f>
        <v/>
      </c>
      <c r="B220" s="241" t="inlineStr">
        <is>
          <t>Датчик пламени</t>
        </is>
      </c>
      <c r="C220" s="242" t="inlineStr">
        <is>
          <t>ИП330/3-20-А1</t>
        </is>
      </c>
      <c r="D220" s="278" t="n"/>
      <c r="E220" s="239" t="n">
        <v>2011</v>
      </c>
      <c r="F220" s="270" t="n"/>
      <c r="G220" s="270" t="n"/>
      <c r="H220" s="239" t="inlineStr">
        <is>
          <t>(BTF209)</t>
        </is>
      </c>
      <c r="I220" s="239" t="inlineStr">
        <is>
          <t>ГПА 64</t>
        </is>
      </c>
      <c r="J220" s="239" t="inlineStr">
        <is>
          <t>АСУ,А и ТМ (КЦ № 6)</t>
        </is>
      </c>
      <c r="K220" s="239" t="n">
        <v>2012</v>
      </c>
      <c r="L220" s="270" t="n"/>
      <c r="N220" s="270" t="n"/>
    </row>
    <row r="221" ht="22.5" customHeight="1" s="236">
      <c r="A221" s="243" t="n">
        <v>220</v>
      </c>
      <c r="B221" s="248" t="inlineStr">
        <is>
          <t>Термометр сопротивления</t>
        </is>
      </c>
      <c r="C221" s="245" t="inlineStr">
        <is>
          <t>ТСП 012.60 Pt100/В/3</t>
        </is>
      </c>
      <c r="D221" s="279" t="inlineStr">
        <is>
          <t>8489</t>
        </is>
      </c>
      <c r="E221" s="243" t="inlineStr"/>
      <c r="F221" s="272" t="inlineStr">
        <is>
          <t>-60…200 °С</t>
        </is>
      </c>
      <c r="G221" s="272" t="inlineStr">
        <is>
          <t>B</t>
        </is>
      </c>
      <c r="H221" s="243" t="inlineStr">
        <is>
          <t>Температура воздуха во всасывающей камере</t>
        </is>
      </c>
      <c r="I221" s="243" t="inlineStr">
        <is>
          <t>ГПА 64</t>
        </is>
      </c>
      <c r="J221" s="243" t="inlineStr">
        <is>
          <t>АСУ,А и ТМ (КЦ № 6)</t>
        </is>
      </c>
      <c r="K221" s="243" t="inlineStr"/>
      <c r="L221" s="272" t="inlineStr"/>
      <c r="M221" t="inlineStr"/>
      <c r="N221" s="272" t="inlineStr"/>
    </row>
    <row r="222" ht="22.5" customHeight="1" s="236">
      <c r="A222" s="243" t="n">
        <v>221</v>
      </c>
      <c r="B222" s="249" t="inlineStr">
        <is>
          <t>Преобразователь влажности и температуры</t>
        </is>
      </c>
      <c r="C222" s="245" t="inlineStr">
        <is>
          <t>ИПТВ-206/М3-03</t>
        </is>
      </c>
      <c r="D222" s="279" t="inlineStr">
        <is>
          <t>09-1963</t>
        </is>
      </c>
      <c r="E222" s="243" t="inlineStr">
        <is>
          <t>2011</t>
        </is>
      </c>
      <c r="F222" s="272" t="inlineStr">
        <is>
          <t>-40…110 °С 0…100%</t>
        </is>
      </c>
      <c r="G222" s="272" t="inlineStr">
        <is>
          <t>0,4% (температура) 2% (влажность)</t>
        </is>
      </c>
      <c r="H222" s="243" t="inlineStr">
        <is>
          <t>Температура ВОУ</t>
        </is>
      </c>
      <c r="I222" s="243" t="inlineStr">
        <is>
          <t>ГПА 64</t>
        </is>
      </c>
      <c r="J222" s="243" t="inlineStr">
        <is>
          <t>АСУ,А и ТМ (КЦ № 6)</t>
        </is>
      </c>
      <c r="K222" s="243" t="inlineStr">
        <is>
          <t>2012</t>
        </is>
      </c>
      <c r="L222" s="272" t="inlineStr">
        <is>
          <t>24</t>
        </is>
      </c>
      <c r="M222" t="inlineStr"/>
      <c r="N222" s="272" t="inlineStr"/>
    </row>
    <row r="223" ht="15" customHeight="1" s="236">
      <c r="A223" s="243" t="n">
        <v>222</v>
      </c>
      <c r="B223" s="249" t="inlineStr"/>
      <c r="C223" s="245" t="inlineStr">
        <is>
          <t>Даг - 510</t>
        </is>
      </c>
      <c r="D223" s="279" t="inlineStr">
        <is>
          <t>14011577</t>
        </is>
      </c>
      <c r="E223" s="243" t="inlineStr">
        <is>
          <t>2011</t>
        </is>
      </c>
      <c r="F223" s="272" t="inlineStr">
        <is>
          <t>10…400 ppm</t>
        </is>
      </c>
      <c r="G223" s="272" t="inlineStr">
        <is>
          <t>10%</t>
        </is>
      </c>
      <c r="H223" s="243" t="inlineStr">
        <is>
          <t>выхлопные газы</t>
        </is>
      </c>
      <c r="I223" s="243" t="inlineStr">
        <is>
          <t>ГПА 64</t>
        </is>
      </c>
      <c r="J223" s="243" t="inlineStr">
        <is>
          <t>АСУ,А и ТМ (КЦ № 6)</t>
        </is>
      </c>
      <c r="K223" s="243" t="inlineStr">
        <is>
          <t>2020</t>
        </is>
      </c>
      <c r="L223" s="272" t="inlineStr">
        <is>
          <t>12</t>
        </is>
      </c>
      <c r="M223" s="235" t="inlineStr">
        <is>
          <t>15.09.21</t>
        </is>
      </c>
      <c r="N223" s="272" t="inlineStr">
        <is>
          <t>П</t>
        </is>
      </c>
    </row>
    <row r="224" ht="15" customHeight="1" s="236">
      <c r="A224" s="243" t="n">
        <v>223</v>
      </c>
      <c r="B224" s="244" t="inlineStr">
        <is>
          <t>Манометр технический</t>
        </is>
      </c>
      <c r="C224" s="245" t="inlineStr">
        <is>
          <t>М-3ВУКсУХЛ1</t>
        </is>
      </c>
      <c r="D224" s="279" t="inlineStr">
        <is>
          <t>15611</t>
        </is>
      </c>
      <c r="E224" s="243" t="inlineStr">
        <is>
          <t>2011</t>
        </is>
      </c>
      <c r="F224" s="272" t="inlineStr">
        <is>
          <t>0…160 кгс/см2</t>
        </is>
      </c>
      <c r="G224" s="272" t="inlineStr">
        <is>
          <t>1</t>
        </is>
      </c>
      <c r="H224" s="243" t="inlineStr">
        <is>
          <t>Бустерная установка</t>
        </is>
      </c>
      <c r="I224" s="243" t="inlineStr">
        <is>
          <t>ГПА 64</t>
        </is>
      </c>
      <c r="J224" s="243" t="inlineStr">
        <is>
          <t>АСУ,А и ТМ (КЦ № 6)</t>
        </is>
      </c>
      <c r="K224" s="243" t="inlineStr">
        <is>
          <t>2019</t>
        </is>
      </c>
      <c r="L224" s="272" t="inlineStr">
        <is>
          <t>12</t>
        </is>
      </c>
      <c r="M224" s="280" t="inlineStr">
        <is>
          <t>1К26</t>
        </is>
      </c>
      <c r="N224" s="272" t="inlineStr">
        <is>
          <t>К</t>
        </is>
      </c>
    </row>
    <row r="225" ht="15" customHeight="1" s="236">
      <c r="A225" s="281" t="n"/>
      <c r="B225" s="281" t="n"/>
      <c r="C225" s="281" t="n"/>
      <c r="D225" s="281" t="n"/>
      <c r="E225" s="281" t="n"/>
      <c r="F225" s="281" t="n"/>
      <c r="G225" s="281" t="n"/>
      <c r="H225" s="281" t="n"/>
      <c r="I225" s="281" t="n"/>
      <c r="J225" s="281" t="n"/>
      <c r="K225" s="281" t="n"/>
    </row>
    <row r="226" ht="15" customHeight="1" s="236">
      <c r="A226" s="281" t="n"/>
      <c r="B226" s="281" t="n"/>
      <c r="C226" s="281" t="n"/>
      <c r="D226" s="281" t="n"/>
      <c r="E226" s="281" t="n"/>
      <c r="F226" s="281" t="n"/>
      <c r="G226" s="281" t="n"/>
      <c r="H226" s="281" t="n"/>
      <c r="I226" s="281" t="n"/>
      <c r="J226" s="281" t="n"/>
      <c r="K226" s="281" t="n"/>
    </row>
    <row r="227">
      <c r="A227" s="282" t="n">
        <v>139</v>
      </c>
      <c r="B227" s="282" t="inlineStr">
        <is>
          <t>Расходомер</t>
        </is>
      </c>
      <c r="C227" s="282" t="inlineStr">
        <is>
          <t>Micrp Motion F200S-366-C-C-A-Z-E-ZZZ-Z (170011AFFEZZZ)</t>
        </is>
      </c>
      <c r="D227" s="282" t="inlineStr">
        <is>
          <t>sensor 14232615 (голова 3812486)</t>
        </is>
      </c>
      <c r="E227" s="282" t="inlineStr">
        <is>
          <t>2011</t>
        </is>
      </c>
      <c r="F227" s="282" t="inlineStr">
        <is>
          <t>0…6300 кг/час</t>
        </is>
      </c>
      <c r="G227" s="282" t="inlineStr">
        <is>
          <t>±0,5 (для газа)</t>
        </is>
      </c>
      <c r="H227" s="282" t="inlineStr">
        <is>
          <t>Расход топливного газа (коммерческий учет)</t>
        </is>
      </c>
      <c r="I227" s="282" t="inlineStr">
        <is>
          <t>ГПА 64</t>
        </is>
      </c>
      <c r="J227" s="282" t="inlineStr">
        <is>
          <t>АСУ,А и ТМ (КЦ № 6)</t>
        </is>
      </c>
      <c r="K227" s="282" t="inlineStr">
        <is>
          <t>2012</t>
        </is>
      </c>
      <c r="L227" t="inlineStr">
        <is>
          <t>48</t>
        </is>
      </c>
      <c r="M227" t="inlineStr"/>
      <c r="N227" t="inlineStr"/>
    </row>
    <row r="228">
      <c r="A228" s="282" t="n">
        <v>217</v>
      </c>
      <c r="B228" s="282" t="inlineStr">
        <is>
          <t>Датчик пламени</t>
        </is>
      </c>
      <c r="C228" s="282" t="inlineStr">
        <is>
          <t>ИП330/3-20-А1</t>
        </is>
      </c>
      <c r="D228" s="282" t="inlineStr"/>
      <c r="E228" s="282" t="inlineStr">
        <is>
          <t>2011</t>
        </is>
      </c>
      <c r="F228" s="282" t="inlineStr"/>
      <c r="G228" s="282" t="inlineStr"/>
      <c r="H228" s="282" t="inlineStr">
        <is>
          <t>(BTF206)</t>
        </is>
      </c>
      <c r="I228" s="282" t="inlineStr">
        <is>
          <t>ГПА 64</t>
        </is>
      </c>
      <c r="J228" s="282" t="inlineStr">
        <is>
          <t>АСУ,А и ТМ (КЦ № 6)</t>
        </is>
      </c>
      <c r="K228" s="282" t="inlineStr">
        <is>
          <t>2012</t>
        </is>
      </c>
      <c r="L228" t="inlineStr"/>
      <c r="M228" t="inlineStr"/>
      <c r="N228" t="inlineStr"/>
    </row>
    <row r="229">
      <c r="A229" s="282" t="n">
        <v>218</v>
      </c>
      <c r="B229" s="282" t="inlineStr">
        <is>
          <t>Датчик пламени</t>
        </is>
      </c>
      <c r="C229" s="282" t="inlineStr">
        <is>
          <t>ИП330/3-20-А1</t>
        </is>
      </c>
      <c r="D229" s="282" t="inlineStr"/>
      <c r="E229" s="282" t="inlineStr">
        <is>
          <t>2011</t>
        </is>
      </c>
      <c r="F229" s="282" t="inlineStr"/>
      <c r="G229" s="282" t="inlineStr"/>
      <c r="H229" s="282" t="inlineStr">
        <is>
          <t>(BTF205)</t>
        </is>
      </c>
      <c r="I229" s="282" t="inlineStr">
        <is>
          <t>ГПА 64</t>
        </is>
      </c>
      <c r="J229" s="282" t="inlineStr">
        <is>
          <t>АСУ,А и ТМ (КЦ № 6)</t>
        </is>
      </c>
      <c r="K229" s="282" t="inlineStr">
        <is>
          <t>2012</t>
        </is>
      </c>
      <c r="L229" t="inlineStr"/>
      <c r="M229" t="inlineStr"/>
      <c r="N229" t="inlineStr"/>
    </row>
    <row r="230">
      <c r="A230" s="282" t="n">
        <v>219</v>
      </c>
      <c r="B230" s="282" t="inlineStr">
        <is>
          <t>Датчик пламени</t>
        </is>
      </c>
      <c r="C230" s="282" t="inlineStr">
        <is>
          <t>ИП330/3-20-А1</t>
        </is>
      </c>
      <c r="D230" s="282" t="inlineStr"/>
      <c r="E230" s="282" t="inlineStr">
        <is>
          <t>2011</t>
        </is>
      </c>
      <c r="F230" s="282" t="inlineStr"/>
      <c r="G230" s="282" t="inlineStr"/>
      <c r="H230" s="282" t="inlineStr">
        <is>
          <t>(BTF209)</t>
        </is>
      </c>
      <c r="I230" s="282" t="inlineStr">
        <is>
          <t>ГПА 64</t>
        </is>
      </c>
      <c r="J230" s="282" t="inlineStr">
        <is>
          <t>АСУ,А и ТМ (КЦ № 6)</t>
        </is>
      </c>
      <c r="K230" s="282" t="inlineStr">
        <is>
          <t>2012</t>
        </is>
      </c>
      <c r="L230" t="inlineStr"/>
      <c r="M230" t="inlineStr"/>
      <c r="N230" t="inlineStr"/>
    </row>
  </sheetData>
  <conditionalFormatting sqref="M1:M1048576">
    <cfRule type="expression" rank="0" priority="2" equalAverage="0" aboveAverage="0" dxfId="1" text="" percent="0" bottom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N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9" activeCellId="0" sqref="D9"/>
    </sheetView>
  </sheetViews>
  <sheetFormatPr baseColWidth="8" defaultColWidth="9.15625" defaultRowHeight="15" zeroHeight="0" outlineLevelRow="0"/>
  <cols>
    <col width="3.14" customWidth="1" style="235" min="1" max="1"/>
    <col width="26.42" customWidth="1" style="235" min="2" max="2"/>
    <col width="20.86" customWidth="1" style="235" min="3" max="3"/>
    <col width="12.71" customWidth="1" style="235" min="4" max="4"/>
    <col width="6.57" customWidth="1" style="235" min="5" max="5"/>
    <col width="10.42" customWidth="1" style="235" min="6" max="6"/>
    <col width="7.42" customWidth="1" style="235" min="7" max="7"/>
    <col width="20.99" customWidth="1" style="235" min="8" max="8"/>
    <col width="7.71" customWidth="1" style="235" min="9" max="9"/>
    <col width="17.42" customWidth="1" style="235" min="10" max="10"/>
    <col width="8" customWidth="1" style="235" min="11" max="11"/>
    <col width="9" customWidth="1" style="235" min="12" max="12"/>
    <col width="8.859999999999999" customWidth="1" style="235" min="13" max="13"/>
    <col width="9" customWidth="1" style="235" min="14" max="14"/>
    <col width="19.71" customWidth="1" style="235" min="15" max="15"/>
    <col width="9.140000000000001" customWidth="1" style="235" min="16" max="1024"/>
  </cols>
  <sheetData>
    <row r="1" ht="45" customHeight="1" s="236">
      <c r="A1" s="239" t="inlineStr">
        <is>
          <t>№ п/п</t>
        </is>
      </c>
      <c r="B1" s="239" t="inlineStr">
        <is>
          <t>Наименование</t>
        </is>
      </c>
      <c r="C1" s="239" t="inlineStr">
        <is>
          <t>Тип</t>
        </is>
      </c>
      <c r="D1" s="239" t="inlineStr">
        <is>
          <t>Заводской номер</t>
        </is>
      </c>
      <c r="E1" s="240" t="inlineStr">
        <is>
          <t>Год 
выпуска</t>
        </is>
      </c>
      <c r="F1" s="239" t="inlineStr">
        <is>
          <t>Диапазон измерений</t>
        </is>
      </c>
      <c r="G1" s="239" t="inlineStr">
        <is>
          <t>Класс точности</t>
        </is>
      </c>
      <c r="H1" s="239" t="inlineStr">
        <is>
          <t>Место установки СИ</t>
        </is>
      </c>
      <c r="I1" s="239" t="inlineStr">
        <is>
          <t>Объект установки</t>
        </is>
      </c>
      <c r="J1" s="239" t="inlineStr">
        <is>
          <t>Подразделение</t>
        </is>
      </c>
      <c r="K1" s="239" t="inlineStr">
        <is>
          <t>Дата установки</t>
        </is>
      </c>
      <c r="L1" s="239" t="inlineStr">
        <is>
          <t>Межповерочный интервал, мес.</t>
        </is>
      </c>
      <c r="M1" s="240" t="inlineStr">
        <is>
          <t>Дата последней поверки / калибровки</t>
        </is>
      </c>
      <c r="N1" s="239" t="inlineStr">
        <is>
          <t>Поверка (П)/ Калибровка (К)</t>
        </is>
      </c>
    </row>
    <row r="2" ht="22.5" customHeight="1" s="236">
      <c r="A2" s="239" t="n">
        <v>1</v>
      </c>
      <c r="B2" s="240" t="inlineStr">
        <is>
          <t>Термометр сопротивления</t>
        </is>
      </c>
      <c r="C2" s="252" t="inlineStr">
        <is>
          <t>ТСМУ 011.118 Инд</t>
        </is>
      </c>
      <c r="D2" s="240" t="inlineStr">
        <is>
          <t>22</t>
        </is>
      </c>
      <c r="E2" s="251" t="inlineStr">
        <is>
          <t>2012</t>
        </is>
      </c>
      <c r="F2" s="252" t="inlineStr">
        <is>
          <t>-50..+100 °С</t>
        </is>
      </c>
      <c r="G2" s="252" t="inlineStr">
        <is>
          <t>0,5</t>
        </is>
      </c>
      <c r="H2" s="252" t="inlineStr">
        <is>
          <t>Температура газа на входе КЦ</t>
        </is>
      </c>
      <c r="I2" s="239" t="inlineStr">
        <is>
          <t>КЦ</t>
        </is>
      </c>
      <c r="J2" s="239" t="inlineStr">
        <is>
          <t>АСУ,А и ТМ (КЦ № 6)</t>
        </is>
      </c>
      <c r="K2" s="239" t="inlineStr">
        <is>
          <t>2012</t>
        </is>
      </c>
      <c r="L2" s="251" t="inlineStr">
        <is>
          <t>60</t>
        </is>
      </c>
      <c r="M2" s="240" t="inlineStr"/>
      <c r="N2" s="242" t="inlineStr"/>
    </row>
    <row r="3" ht="22.5" customHeight="1" s="236">
      <c r="A3" s="243" t="n">
        <v>2</v>
      </c>
      <c r="B3" s="246" t="inlineStr">
        <is>
          <t>Термометр сопротивления</t>
        </is>
      </c>
      <c r="C3" s="254" t="inlineStr">
        <is>
          <t>ТСМУ 011.118 Инд</t>
        </is>
      </c>
      <c r="D3" s="246" t="inlineStr">
        <is>
          <t>21</t>
        </is>
      </c>
      <c r="E3" s="248" t="inlineStr">
        <is>
          <t>2012</t>
        </is>
      </c>
      <c r="F3" s="254" t="inlineStr">
        <is>
          <t>-50..+100 °С</t>
        </is>
      </c>
      <c r="G3" s="254" t="inlineStr">
        <is>
          <t>0,5</t>
        </is>
      </c>
      <c r="H3" s="254" t="inlineStr">
        <is>
          <t>Температура газа на входе КЦ</t>
        </is>
      </c>
      <c r="I3" s="243" t="inlineStr">
        <is>
          <t>КЦ</t>
        </is>
      </c>
      <c r="J3" s="243" t="inlineStr">
        <is>
          <t>АСУ,А и ТМ (КЦ № 6)</t>
        </is>
      </c>
      <c r="K3" s="243" t="inlineStr">
        <is>
          <t>2012</t>
        </is>
      </c>
      <c r="L3" s="248" t="inlineStr">
        <is>
          <t>60</t>
        </is>
      </c>
      <c r="M3" s="246" t="inlineStr"/>
      <c r="N3" s="245" t="inlineStr"/>
    </row>
    <row r="4" ht="22.5" customHeight="1" s="236">
      <c r="A4" s="243" t="n">
        <v>3</v>
      </c>
      <c r="B4" s="246" t="inlineStr">
        <is>
          <t>Термометр сопротивления</t>
        </is>
      </c>
      <c r="C4" s="254" t="inlineStr">
        <is>
          <t>ТСМУ 011.118 Инд</t>
        </is>
      </c>
      <c r="D4" s="246" t="inlineStr">
        <is>
          <t>24</t>
        </is>
      </c>
      <c r="E4" s="248" t="inlineStr">
        <is>
          <t>2012</t>
        </is>
      </c>
      <c r="F4" s="254" t="inlineStr">
        <is>
          <t>-50..+100 °С</t>
        </is>
      </c>
      <c r="G4" s="254" t="inlineStr">
        <is>
          <t>0,5</t>
        </is>
      </c>
      <c r="H4" s="254" t="inlineStr">
        <is>
          <t>Температура газа на выходе КЦ</t>
        </is>
      </c>
      <c r="I4" s="243" t="inlineStr">
        <is>
          <t>КЦ</t>
        </is>
      </c>
      <c r="J4" s="243" t="inlineStr">
        <is>
          <t>АСУ,А и ТМ (КЦ № 6)</t>
        </is>
      </c>
      <c r="K4" s="243" t="inlineStr">
        <is>
          <t>2012</t>
        </is>
      </c>
      <c r="L4" s="248" t="inlineStr">
        <is>
          <t>60</t>
        </is>
      </c>
      <c r="M4" s="246" t="inlineStr"/>
      <c r="N4" s="245" t="inlineStr"/>
    </row>
    <row r="5" ht="22.5" customHeight="1" s="236">
      <c r="A5" s="243" t="n">
        <v>4</v>
      </c>
      <c r="B5" s="246" t="inlineStr">
        <is>
          <t>Термометр сопротивления</t>
        </is>
      </c>
      <c r="C5" s="254" t="inlineStr">
        <is>
          <t>ТСМУ 011.118 Инд</t>
        </is>
      </c>
      <c r="D5" s="246" t="inlineStr">
        <is>
          <t>23</t>
        </is>
      </c>
      <c r="E5" s="248" t="inlineStr">
        <is>
          <t>2012</t>
        </is>
      </c>
      <c r="F5" s="254" t="inlineStr">
        <is>
          <t>-50..+100 °С</t>
        </is>
      </c>
      <c r="G5" s="254" t="inlineStr">
        <is>
          <t>0,5</t>
        </is>
      </c>
      <c r="H5" s="254" t="inlineStr">
        <is>
          <t>Температура газа на выходе КЦ</t>
        </is>
      </c>
      <c r="I5" s="243" t="inlineStr">
        <is>
          <t>КЦ</t>
        </is>
      </c>
      <c r="J5" s="243" t="inlineStr">
        <is>
          <t>АСУ,А и ТМ (КЦ № 6)</t>
        </is>
      </c>
      <c r="K5" s="243" t="inlineStr">
        <is>
          <t>2012</t>
        </is>
      </c>
      <c r="L5" s="248" t="inlineStr">
        <is>
          <t>60</t>
        </is>
      </c>
      <c r="M5" s="246" t="inlineStr"/>
      <c r="N5" s="245" t="inlineStr"/>
    </row>
    <row r="6" ht="22.5" customHeight="1" s="236">
      <c r="A6" s="243" t="n">
        <v>5</v>
      </c>
      <c r="B6" s="255" t="inlineStr">
        <is>
          <t>Преобразователь избыточного давления</t>
        </is>
      </c>
      <c r="C6" s="254" t="inlineStr">
        <is>
          <t>YOKOGAVA EJX530А</t>
        </is>
      </c>
      <c r="D6" s="246" t="inlineStr">
        <is>
          <t>91M439738.217</t>
        </is>
      </c>
      <c r="E6" s="248" t="inlineStr">
        <is>
          <t>2012</t>
        </is>
      </c>
      <c r="F6" s="254" t="inlineStr">
        <is>
          <t>0..10 MPa</t>
        </is>
      </c>
      <c r="G6" s="254" t="inlineStr">
        <is>
          <t>0.10%</t>
        </is>
      </c>
      <c r="H6" s="254" t="inlineStr">
        <is>
          <t>Давление газа на входе в КЦ</t>
        </is>
      </c>
      <c r="I6" s="243" t="inlineStr">
        <is>
          <t>КЦ</t>
        </is>
      </c>
      <c r="J6" s="243" t="inlineStr">
        <is>
          <t>АСУ,А и ТМ (КЦ № 6)</t>
        </is>
      </c>
      <c r="K6" s="243" t="inlineStr">
        <is>
          <t>2012</t>
        </is>
      </c>
      <c r="L6" s="248" t="inlineStr">
        <is>
          <t>60</t>
        </is>
      </c>
      <c r="M6" s="246" t="inlineStr"/>
      <c r="N6" s="245" t="inlineStr"/>
    </row>
    <row r="7" ht="22.5" customHeight="1" s="236">
      <c r="A7" s="243" t="n">
        <v>6</v>
      </c>
      <c r="B7" s="255" t="inlineStr">
        <is>
          <t>Преобразователь избыточного давления</t>
        </is>
      </c>
      <c r="C7" s="254" t="inlineStr">
        <is>
          <t>YOKOGAVA EJX530А</t>
        </is>
      </c>
      <c r="D7" s="246" t="inlineStr">
        <is>
          <t>91M439730.217</t>
        </is>
      </c>
      <c r="E7" s="248" t="inlineStr">
        <is>
          <t>2012</t>
        </is>
      </c>
      <c r="F7" s="254" t="inlineStr">
        <is>
          <t>0..10 MPa</t>
        </is>
      </c>
      <c r="G7" s="254" t="inlineStr">
        <is>
          <t>0.10%</t>
        </is>
      </c>
      <c r="H7" s="254" t="inlineStr">
        <is>
          <t>Давление газа на входе в КЦ</t>
        </is>
      </c>
      <c r="I7" s="243" t="inlineStr">
        <is>
          <t>КЦ</t>
        </is>
      </c>
      <c r="J7" s="243" t="inlineStr">
        <is>
          <t>АСУ,А и ТМ (КЦ № 6)</t>
        </is>
      </c>
      <c r="K7" s="243" t="inlineStr">
        <is>
          <t>2012</t>
        </is>
      </c>
      <c r="L7" s="248" t="inlineStr">
        <is>
          <t>60</t>
        </is>
      </c>
      <c r="M7" s="246" t="inlineStr"/>
      <c r="N7" s="245" t="inlineStr"/>
    </row>
    <row r="8" ht="22.5" customHeight="1" s="236">
      <c r="A8" s="243" t="n">
        <v>7</v>
      </c>
      <c r="B8" s="255" t="inlineStr">
        <is>
          <t>Преобразователь избыточного давления</t>
        </is>
      </c>
      <c r="C8" s="254" t="inlineStr">
        <is>
          <t>YOKOGAVA EJX530А</t>
        </is>
      </c>
      <c r="D8" s="246" t="inlineStr">
        <is>
          <t>91M439741.217</t>
        </is>
      </c>
      <c r="E8" s="248" t="inlineStr">
        <is>
          <t>2012</t>
        </is>
      </c>
      <c r="F8" s="254" t="inlineStr">
        <is>
          <t>0..16 MPa</t>
        </is>
      </c>
      <c r="G8" s="254" t="inlineStr">
        <is>
          <t>0.10%</t>
        </is>
      </c>
      <c r="H8" s="254" t="inlineStr">
        <is>
          <t>Давление газа на выходе из КЦ</t>
        </is>
      </c>
      <c r="I8" s="243" t="inlineStr">
        <is>
          <t>КЦ</t>
        </is>
      </c>
      <c r="J8" s="243" t="inlineStr">
        <is>
          <t>АСУ,А и ТМ (КЦ № 6)</t>
        </is>
      </c>
      <c r="K8" s="243" t="inlineStr">
        <is>
          <t>2012</t>
        </is>
      </c>
      <c r="L8" s="248" t="inlineStr">
        <is>
          <t>60</t>
        </is>
      </c>
      <c r="M8" s="246" t="inlineStr"/>
      <c r="N8" s="245" t="inlineStr"/>
    </row>
    <row r="9" ht="22.5" customHeight="1" s="236">
      <c r="A9" s="243" t="n">
        <v>8</v>
      </c>
      <c r="B9" s="255" t="inlineStr">
        <is>
          <t>Преобразователь избыточного давления</t>
        </is>
      </c>
      <c r="C9" s="254" t="inlineStr">
        <is>
          <t>YOKOGAVA EJX530А</t>
        </is>
      </c>
      <c r="D9" s="246" t="inlineStr">
        <is>
          <t>91M439740.217</t>
        </is>
      </c>
      <c r="E9" s="248" t="inlineStr">
        <is>
          <t>2012</t>
        </is>
      </c>
      <c r="F9" s="254" t="inlineStr">
        <is>
          <t>0..16 MPa</t>
        </is>
      </c>
      <c r="G9" s="254" t="inlineStr">
        <is>
          <t>0.10%</t>
        </is>
      </c>
      <c r="H9" s="254" t="inlineStr">
        <is>
          <t>Давление газа на выходе из КЦ</t>
        </is>
      </c>
      <c r="I9" s="243" t="inlineStr">
        <is>
          <t>КЦ</t>
        </is>
      </c>
      <c r="J9" s="243" t="inlineStr">
        <is>
          <t>АСУ,А и ТМ (КЦ № 6)</t>
        </is>
      </c>
      <c r="K9" s="243" t="inlineStr">
        <is>
          <t>2012</t>
        </is>
      </c>
      <c r="L9" s="248" t="inlineStr">
        <is>
          <t>60</t>
        </is>
      </c>
      <c r="M9" s="246" t="inlineStr"/>
      <c r="N9" s="245" t="inlineStr"/>
    </row>
    <row r="10" ht="22.5" customHeight="1" s="236">
      <c r="A10" s="243" t="n">
        <v>9</v>
      </c>
      <c r="B10" s="255" t="inlineStr">
        <is>
          <t>Преобразователь избыточного давления</t>
        </is>
      </c>
      <c r="C10" s="254" t="inlineStr">
        <is>
          <t>YOKOGAVA EJX530А</t>
        </is>
      </c>
      <c r="D10" s="246" t="inlineStr">
        <is>
          <t>91M439739.217</t>
        </is>
      </c>
      <c r="E10" s="248" t="inlineStr">
        <is>
          <t>2012</t>
        </is>
      </c>
      <c r="F10" s="254" t="inlineStr">
        <is>
          <t>0..10 MPa</t>
        </is>
      </c>
      <c r="G10" s="254" t="inlineStr">
        <is>
          <t>0.10%</t>
        </is>
      </c>
      <c r="H10" s="254" t="inlineStr">
        <is>
          <t>Давление компримируемого газа</t>
        </is>
      </c>
      <c r="I10" s="243" t="inlineStr">
        <is>
          <t>КЦ</t>
        </is>
      </c>
      <c r="J10" s="243" t="inlineStr">
        <is>
          <t>АСУ,А и ТМ (КЦ № 6)</t>
        </is>
      </c>
      <c r="K10" s="243" t="inlineStr">
        <is>
          <t>2012</t>
        </is>
      </c>
      <c r="L10" s="248" t="inlineStr">
        <is>
          <t>60</t>
        </is>
      </c>
      <c r="M10" s="246" t="inlineStr"/>
      <c r="N10" s="245" t="inlineStr"/>
    </row>
    <row r="11" ht="22.5" customHeight="1" s="236">
      <c r="A11" s="243" t="n">
        <v>10</v>
      </c>
      <c r="B11" s="255" t="inlineStr">
        <is>
          <t>Преобразователь избыточного давления</t>
        </is>
      </c>
      <c r="C11" s="254" t="inlineStr">
        <is>
          <t>YOKOGAVA EJX530А</t>
        </is>
      </c>
      <c r="D11" s="246" t="inlineStr">
        <is>
          <t>91M439728.217</t>
        </is>
      </c>
      <c r="E11" s="248" t="inlineStr">
        <is>
          <t>2012</t>
        </is>
      </c>
      <c r="F11" s="254" t="inlineStr">
        <is>
          <t>0..10 MPa</t>
        </is>
      </c>
      <c r="G11" s="254" t="inlineStr">
        <is>
          <t>0.10%</t>
        </is>
      </c>
      <c r="H11" s="254" t="inlineStr">
        <is>
          <t>Давление газа в коллекторе сбора дренажа (Е-1)</t>
        </is>
      </c>
      <c r="I11" s="243" t="inlineStr">
        <is>
          <t>КЦ</t>
        </is>
      </c>
      <c r="J11" s="243" t="inlineStr">
        <is>
          <t>АСУ,А и ТМ (КЦ № 6)</t>
        </is>
      </c>
      <c r="K11" s="243" t="inlineStr">
        <is>
          <t>2012</t>
        </is>
      </c>
      <c r="L11" s="248" t="inlineStr">
        <is>
          <t>60</t>
        </is>
      </c>
      <c r="M11" s="246" t="inlineStr"/>
      <c r="N11" s="245" t="inlineStr"/>
    </row>
    <row r="12" ht="22.5" customHeight="1" s="236">
      <c r="A12" s="243" t="n">
        <v>11</v>
      </c>
      <c r="B12" s="255" t="inlineStr">
        <is>
          <t>Преобразователь избыточного давления</t>
        </is>
      </c>
      <c r="C12" s="254" t="inlineStr">
        <is>
          <t>YOKOGAVA EJX110А</t>
        </is>
      </c>
      <c r="D12" s="246" t="inlineStr">
        <is>
          <t>91M439681.217</t>
        </is>
      </c>
      <c r="E12" s="248" t="inlineStr">
        <is>
          <t>2012</t>
        </is>
      </c>
      <c r="F12" s="254" t="inlineStr">
        <is>
          <t>0...130 кPa</t>
        </is>
      </c>
      <c r="G12" s="254" t="inlineStr">
        <is>
          <t>0.04%</t>
        </is>
      </c>
      <c r="H12" s="254" t="inlineStr">
        <is>
          <t>Перепад давления на установке очистки газа</t>
        </is>
      </c>
      <c r="I12" s="243" t="inlineStr">
        <is>
          <t>КЦ</t>
        </is>
      </c>
      <c r="J12" s="243" t="inlineStr">
        <is>
          <t>АСУ,А и ТМ (КЦ № 6)</t>
        </is>
      </c>
      <c r="K12" s="243" t="inlineStr">
        <is>
          <t>2012</t>
        </is>
      </c>
      <c r="L12" s="248" t="inlineStr">
        <is>
          <t>60</t>
        </is>
      </c>
      <c r="M12" s="246" t="inlineStr"/>
      <c r="N12" s="245" t="inlineStr"/>
    </row>
    <row r="13" ht="22.5" customHeight="1" s="236">
      <c r="A13" s="243" t="n">
        <v>12</v>
      </c>
      <c r="B13" s="255" t="inlineStr">
        <is>
          <t>Преобразователь избыточного давления</t>
        </is>
      </c>
      <c r="C13" s="254" t="inlineStr">
        <is>
          <t>YOKOGAVA EJX110А</t>
        </is>
      </c>
      <c r="D13" s="246" t="inlineStr">
        <is>
          <t>91M439691.217</t>
        </is>
      </c>
      <c r="E13" s="248" t="inlineStr">
        <is>
          <t>2012</t>
        </is>
      </c>
      <c r="F13" s="254" t="inlineStr">
        <is>
          <t>0...160 кPa</t>
        </is>
      </c>
      <c r="G13" s="254" t="inlineStr">
        <is>
          <t>0.04%</t>
        </is>
      </c>
      <c r="H13" s="254" t="inlineStr">
        <is>
          <t>Перепад давления на кране 76</t>
        </is>
      </c>
      <c r="I13" s="243" t="inlineStr">
        <is>
          <t>КЦ</t>
        </is>
      </c>
      <c r="J13" s="243" t="inlineStr">
        <is>
          <t>АСУ,А и ТМ (КЦ № 6)</t>
        </is>
      </c>
      <c r="K13" s="243" t="inlineStr">
        <is>
          <t>2012</t>
        </is>
      </c>
      <c r="L13" s="248" t="inlineStr">
        <is>
          <t>60</t>
        </is>
      </c>
      <c r="M13" s="246" t="inlineStr"/>
      <c r="N13" s="245" t="inlineStr"/>
    </row>
    <row r="14" ht="22.5" customHeight="1" s="236">
      <c r="A14" s="243" t="n">
        <v>13</v>
      </c>
      <c r="B14" s="255" t="inlineStr">
        <is>
          <t>Преобразователь избыточного давления</t>
        </is>
      </c>
      <c r="C14" s="254" t="inlineStr">
        <is>
          <t>YOKOGAVA EJX110А</t>
        </is>
      </c>
      <c r="D14" s="246" t="inlineStr">
        <is>
          <t>91M439684.217</t>
        </is>
      </c>
      <c r="E14" s="248" t="inlineStr">
        <is>
          <t>2012</t>
        </is>
      </c>
      <c r="F14" s="254" t="inlineStr">
        <is>
          <t>0...160 кPa</t>
        </is>
      </c>
      <c r="G14" s="254" t="inlineStr">
        <is>
          <t>0.04%</t>
        </is>
      </c>
      <c r="H14" s="254" t="inlineStr">
        <is>
          <t>Перепад давления на кране 86</t>
        </is>
      </c>
      <c r="I14" s="243" t="inlineStr">
        <is>
          <t>КЦ</t>
        </is>
      </c>
      <c r="J14" s="243" t="inlineStr">
        <is>
          <t>АСУ,А и ТМ (КЦ № 6)</t>
        </is>
      </c>
      <c r="K14" s="243" t="inlineStr">
        <is>
          <t>2012</t>
        </is>
      </c>
      <c r="L14" s="248" t="inlineStr">
        <is>
          <t>60</t>
        </is>
      </c>
      <c r="M14" s="246" t="inlineStr"/>
      <c r="N14" s="245" t="inlineStr"/>
    </row>
    <row r="15" ht="22.5" customHeight="1" s="236">
      <c r="A15" s="243" t="n">
        <v>14</v>
      </c>
      <c r="B15" s="246" t="inlineStr">
        <is>
          <t>Расходомер</t>
        </is>
      </c>
      <c r="C15" s="254" t="inlineStr">
        <is>
          <t>Controlotron 1010 GCDN</t>
        </is>
      </c>
      <c r="D15" s="246" t="inlineStr">
        <is>
          <t>30725</t>
        </is>
      </c>
      <c r="E15" s="248" t="inlineStr">
        <is>
          <t>2010</t>
        </is>
      </c>
      <c r="F15" s="254" t="inlineStr">
        <is>
          <t>0,3…30 м/с</t>
        </is>
      </c>
      <c r="G15" s="254" t="inlineStr">
        <is>
          <t>2.00%</t>
        </is>
      </c>
      <c r="H15" s="254" t="inlineStr">
        <is>
          <t>Расход технологического газа</t>
        </is>
      </c>
      <c r="I15" s="243" t="inlineStr">
        <is>
          <t>КЦ</t>
        </is>
      </c>
      <c r="J15" s="243" t="inlineStr">
        <is>
          <t>АСУ,А и ТМ (КЦ № 6)</t>
        </is>
      </c>
      <c r="K15" s="243" t="inlineStr">
        <is>
          <t>2012</t>
        </is>
      </c>
      <c r="L15" s="248" t="inlineStr">
        <is>
          <t>48</t>
        </is>
      </c>
      <c r="M15" s="246" t="inlineStr"/>
      <c r="N15" s="245" t="inlineStr"/>
    </row>
    <row r="16" ht="22.5" customHeight="1" s="236">
      <c r="A16" s="243" t="n">
        <v>15</v>
      </c>
      <c r="B16" s="255" t="inlineStr">
        <is>
          <t>Преобразователь избыточного давления</t>
        </is>
      </c>
      <c r="C16" s="254" t="inlineStr">
        <is>
          <t>ТЖИУ 406</t>
        </is>
      </c>
      <c r="D16" s="246" t="inlineStr">
        <is>
          <t>121955</t>
        </is>
      </c>
      <c r="E16" s="248" t="inlineStr">
        <is>
          <t>2011</t>
        </is>
      </c>
      <c r="F16" s="254" t="inlineStr">
        <is>
          <t>0..1 MPa</t>
        </is>
      </c>
      <c r="G16" s="254" t="inlineStr">
        <is>
          <t>0.15%</t>
        </is>
      </c>
      <c r="H16" s="254" t="inlineStr">
        <is>
          <t>Давление в емкости Е-3</t>
        </is>
      </c>
      <c r="I16" s="243" t="inlineStr">
        <is>
          <t>КЦ</t>
        </is>
      </c>
      <c r="J16" s="243" t="inlineStr">
        <is>
          <t>АСУ,А и ТМ (КЦ № 6)</t>
        </is>
      </c>
      <c r="K16" s="243" t="inlineStr">
        <is>
          <t>2012</t>
        </is>
      </c>
      <c r="L16" s="248" t="inlineStr">
        <is>
          <t>24</t>
        </is>
      </c>
      <c r="M16" s="246" t="inlineStr"/>
      <c r="N16" s="245" t="inlineStr"/>
    </row>
    <row r="17" ht="22.5" customFormat="1" customHeight="1" s="250">
      <c r="A17" s="243" t="n">
        <v>16</v>
      </c>
      <c r="B17" s="255" t="inlineStr">
        <is>
          <t>Преобразователь избыточного давления</t>
        </is>
      </c>
      <c r="C17" s="254" t="inlineStr">
        <is>
          <t>Сапфир-22р-ДУ-Вн-1-2620</t>
        </is>
      </c>
      <c r="D17" s="246" t="inlineStr">
        <is>
          <t>409</t>
        </is>
      </c>
      <c r="E17" s="248" t="inlineStr">
        <is>
          <t>2011</t>
        </is>
      </c>
      <c r="F17" s="254" t="inlineStr">
        <is>
          <t>1000 мм</t>
        </is>
      </c>
      <c r="G17" s="254" t="inlineStr">
        <is>
          <t>0.50%</t>
        </is>
      </c>
      <c r="H17" s="254" t="inlineStr">
        <is>
          <t>Уровнь конденсата в емкости Е-3</t>
        </is>
      </c>
      <c r="I17" s="243" t="inlineStr">
        <is>
          <t>КЦ</t>
        </is>
      </c>
      <c r="J17" s="243" t="inlineStr">
        <is>
          <t>АСУ,А и ТМ (КЦ № 6)</t>
        </is>
      </c>
      <c r="K17" s="243" t="inlineStr">
        <is>
          <t>2013</t>
        </is>
      </c>
      <c r="L17" s="248" t="inlineStr">
        <is>
          <t>24</t>
        </is>
      </c>
      <c r="M17" s="246" t="inlineStr"/>
      <c r="N17" s="245" t="inlineStr"/>
    </row>
    <row r="18" ht="22.5" customHeight="1" s="236">
      <c r="A18" s="243" t="n">
        <v>17</v>
      </c>
      <c r="B18" s="246" t="inlineStr">
        <is>
          <t>Термометр сопротивления</t>
        </is>
      </c>
      <c r="C18" s="254" t="inlineStr">
        <is>
          <t>ТСП 012.56</t>
        </is>
      </c>
      <c r="D18" s="246" t="inlineStr">
        <is>
          <t>448</t>
        </is>
      </c>
      <c r="E18" s="248" t="inlineStr">
        <is>
          <t>2012</t>
        </is>
      </c>
      <c r="F18" s="254" t="inlineStr">
        <is>
          <t>-60..+200 °С</t>
        </is>
      </c>
      <c r="G18" s="254" t="inlineStr">
        <is>
          <t>B</t>
        </is>
      </c>
      <c r="H18" s="254" t="inlineStr">
        <is>
          <t>Т компремируемого газа</t>
        </is>
      </c>
      <c r="I18" s="243" t="inlineStr">
        <is>
          <t>Промплощадка</t>
        </is>
      </c>
      <c r="J18" s="243" t="inlineStr">
        <is>
          <t>АСУ,А и ТМ (КЦ № 6)</t>
        </is>
      </c>
      <c r="K18" s="243" t="inlineStr">
        <is>
          <t>2012</t>
        </is>
      </c>
      <c r="L18" s="248" t="inlineStr">
        <is>
          <t>36</t>
        </is>
      </c>
      <c r="M18" s="246" t="inlineStr"/>
      <c r="N18" s="245" t="inlineStr"/>
    </row>
    <row r="19" ht="22.5" customHeight="1" s="236">
      <c r="A19" s="243" t="n">
        <v>18</v>
      </c>
      <c r="B19" s="253" t="inlineStr">
        <is>
          <t>Сигнализатор уровня</t>
        </is>
      </c>
      <c r="C19" s="254" t="inlineStr">
        <is>
          <t>Велком (uts-67-0460-465-c2-p13-L-1)</t>
        </is>
      </c>
      <c r="D19" s="246" t="inlineStr">
        <is>
          <t>2А01950</t>
        </is>
      </c>
      <c r="E19" s="248" t="inlineStr">
        <is>
          <t>2012</t>
        </is>
      </c>
      <c r="F19" s="254" t="inlineStr"/>
      <c r="G19" s="254" t="inlineStr"/>
      <c r="H19" s="254" t="inlineStr">
        <is>
          <t>L конденсата в емкости Е-3</t>
        </is>
      </c>
      <c r="I19" s="243" t="inlineStr">
        <is>
          <t>Цех № 6</t>
        </is>
      </c>
      <c r="J19" s="243" t="inlineStr">
        <is>
          <t>АСУ,А и ТМ (КЦ № 6)</t>
        </is>
      </c>
      <c r="K19" s="243" t="inlineStr"/>
      <c r="L19" s="248" t="inlineStr"/>
      <c r="M19" s="246" t="inlineStr"/>
      <c r="N19" s="245" t="inlineStr"/>
    </row>
    <row r="20" ht="15" customHeight="1" s="236">
      <c r="A20" s="243" t="n">
        <v>19</v>
      </c>
      <c r="B20" s="253" t="inlineStr">
        <is>
          <t>Манометр технический</t>
        </is>
      </c>
      <c r="C20" s="254" t="inlineStr">
        <is>
          <t>МП4-УУ2</t>
        </is>
      </c>
      <c r="D20" s="246" t="inlineStr">
        <is>
          <t>6201</t>
        </is>
      </c>
      <c r="E20" s="248" t="inlineStr">
        <is>
          <t>2012</t>
        </is>
      </c>
      <c r="F20" s="254" t="inlineStr">
        <is>
          <t>0..160 кгс/см²</t>
        </is>
      </c>
      <c r="G20" s="254" t="inlineStr">
        <is>
          <t>1.5</t>
        </is>
      </c>
      <c r="H20" s="254" t="inlineStr">
        <is>
          <t>Р имп. газа. кран 36к</t>
        </is>
      </c>
      <c r="I20" s="243" t="inlineStr">
        <is>
          <t>Цех № 6</t>
        </is>
      </c>
      <c r="J20" s="243" t="inlineStr">
        <is>
          <t>АСУ,А и ТМ (КЦ № 6)</t>
        </is>
      </c>
      <c r="K20" s="243" t="inlineStr">
        <is>
          <t>2012</t>
        </is>
      </c>
      <c r="L20" s="248" t="inlineStr">
        <is>
          <t>12</t>
        </is>
      </c>
      <c r="M20" s="246" t="inlineStr">
        <is>
          <t>1К26</t>
        </is>
      </c>
      <c r="N20" s="245" t="inlineStr">
        <is>
          <t>К</t>
        </is>
      </c>
    </row>
  </sheetData>
  <conditionalFormatting sqref="M1:M1048576">
    <cfRule type="expression" rank="0" priority="2" equalAverage="0" aboveAverage="0" dxfId="1" text="" percent="0" bottom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orizontalCentered="0" verticalCentered="0" headings="0" gridLines="0" gridLinesSet="1"/>
  <pageMargins left="0.25" right="0.25" top="0.75" bottom="0.75" header="0.511805555555555" footer="0.511805555555555"/>
  <pageSetup orientation="landscape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Z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68" activePane="bottomLeft" state="frozen"/>
      <selection pane="topLeft" activeCell="A1" activeCellId="0" sqref="A1"/>
      <selection pane="bottomLeft" activeCell="A8" activeCellId="0" sqref="A8"/>
    </sheetView>
  </sheetViews>
  <sheetFormatPr baseColWidth="8" defaultColWidth="9.15625" defaultRowHeight="15" zeroHeight="0" outlineLevelRow="0"/>
  <cols>
    <col width="3.14" customWidth="1" style="235" min="1" max="1"/>
    <col width="19.85" customWidth="1" style="235" min="2" max="2"/>
    <col width="23.57" customWidth="1" style="235" min="3" max="3"/>
    <col width="12.71" customWidth="1" style="235" min="4" max="4"/>
    <col width="6.57" customWidth="1" style="235" min="5" max="5"/>
    <col width="10.99" customWidth="1" style="235" min="6" max="6"/>
    <col width="7.42" customWidth="1" style="235" min="7" max="7"/>
    <col width="27" customWidth="1" style="235" min="8" max="8"/>
    <col width="13.7" customWidth="1" style="235" min="9" max="9"/>
    <col width="17.42" customWidth="1" style="235" min="10" max="10"/>
    <col width="8" customWidth="1" style="235" min="11" max="11"/>
    <col width="9" customWidth="1" style="235" min="12" max="12"/>
    <col width="8.859999999999999" customWidth="1" style="235" min="13" max="13"/>
    <col width="9" customWidth="1" style="235" min="14" max="14"/>
    <col width="9.140000000000001" customWidth="1" style="235" min="15" max="1024"/>
  </cols>
  <sheetData>
    <row r="1" ht="45" customHeight="1" s="236">
      <c r="A1" s="239" t="inlineStr">
        <is>
          <t>№ п/п</t>
        </is>
      </c>
      <c r="B1" s="239" t="inlineStr">
        <is>
          <t>Наименование</t>
        </is>
      </c>
      <c r="C1" s="239" t="inlineStr">
        <is>
          <t>Тип</t>
        </is>
      </c>
      <c r="D1" s="239" t="inlineStr">
        <is>
          <t>Заводской номер</t>
        </is>
      </c>
      <c r="E1" s="240" t="inlineStr">
        <is>
          <t>Год
выпуска</t>
        </is>
      </c>
      <c r="F1" s="239" t="inlineStr">
        <is>
          <t>Диапазон измерений</t>
        </is>
      </c>
      <c r="G1" s="239" t="inlineStr">
        <is>
          <t>Класс точности</t>
        </is>
      </c>
      <c r="H1" s="239" t="inlineStr">
        <is>
          <t>Место установки СИ</t>
        </is>
      </c>
      <c r="I1" s="239" t="inlineStr">
        <is>
          <t>Объект установки</t>
        </is>
      </c>
      <c r="J1" s="239" t="inlineStr">
        <is>
          <t>Подразделение</t>
        </is>
      </c>
      <c r="K1" s="239" t="inlineStr">
        <is>
          <t>Дата установки</t>
        </is>
      </c>
      <c r="L1" s="239" t="inlineStr">
        <is>
          <t>Межповерочный интервал, мес.</t>
        </is>
      </c>
      <c r="M1" s="240" t="inlineStr">
        <is>
          <t>Дата последней поверки / калибровки</t>
        </is>
      </c>
      <c r="N1" s="239" t="inlineStr">
        <is>
          <t>Поверка (П)/ Калибровка (К)</t>
        </is>
      </c>
    </row>
    <row r="2" ht="15" customHeight="1" s="236">
      <c r="A2" s="239" t="n">
        <v>1</v>
      </c>
      <c r="B2" s="240" t="inlineStr">
        <is>
          <t>Термометр сопротивления</t>
        </is>
      </c>
      <c r="C2" s="252" t="inlineStr">
        <is>
          <t>ТСМУ 011.118 Инд</t>
        </is>
      </c>
      <c r="D2" s="240" t="inlineStr">
        <is>
          <t>26</t>
        </is>
      </c>
      <c r="E2" s="251" t="inlineStr">
        <is>
          <t>2012</t>
        </is>
      </c>
      <c r="F2" s="252" t="inlineStr">
        <is>
          <t>-50..+100 °С</t>
        </is>
      </c>
      <c r="G2" s="252" t="inlineStr">
        <is>
          <t>0,5</t>
        </is>
      </c>
      <c r="H2" s="252" t="inlineStr">
        <is>
          <t>Температура грунта</t>
        </is>
      </c>
      <c r="I2" s="239" t="inlineStr">
        <is>
          <t>Узел подключения</t>
        </is>
      </c>
      <c r="J2" s="239" t="inlineStr">
        <is>
          <t>АСУ,А и ТМ (КЦ № 6)</t>
        </is>
      </c>
      <c r="K2" s="239" t="inlineStr">
        <is>
          <t>2012</t>
        </is>
      </c>
      <c r="L2" s="251" t="inlineStr">
        <is>
          <t>60</t>
        </is>
      </c>
      <c r="M2" s="240" t="inlineStr"/>
      <c r="N2" s="242" t="inlineStr"/>
    </row>
    <row r="3" ht="15" customHeight="1" s="236">
      <c r="A3" s="243" t="n">
        <v>2</v>
      </c>
      <c r="B3" s="246" t="inlineStr">
        <is>
          <t>Термометр сопротивления</t>
        </is>
      </c>
      <c r="C3" s="254" t="inlineStr">
        <is>
          <t>ТСМУ 011.118 Инд</t>
        </is>
      </c>
      <c r="D3" s="246" t="inlineStr">
        <is>
          <t>25</t>
        </is>
      </c>
      <c r="E3" s="248" t="inlineStr">
        <is>
          <t>2012</t>
        </is>
      </c>
      <c r="F3" s="254" t="inlineStr">
        <is>
          <t>-50..+100 °С</t>
        </is>
      </c>
      <c r="G3" s="254" t="inlineStr">
        <is>
          <t>0,5</t>
        </is>
      </c>
      <c r="H3" s="254" t="inlineStr">
        <is>
          <t>Температура газа на выходе КЦ</t>
        </is>
      </c>
      <c r="I3" s="243" t="inlineStr">
        <is>
          <t>Узел подключения</t>
        </is>
      </c>
      <c r="J3" s="243" t="inlineStr">
        <is>
          <t>АСУ,А и ТМ (КЦ № 6)</t>
        </is>
      </c>
      <c r="K3" s="243" t="inlineStr">
        <is>
          <t>2012</t>
        </is>
      </c>
      <c r="L3" s="248" t="inlineStr">
        <is>
          <t>60</t>
        </is>
      </c>
      <c r="M3" s="246" t="inlineStr"/>
      <c r="N3" s="245" t="inlineStr"/>
    </row>
    <row r="4" ht="15" customHeight="1" s="236">
      <c r="A4" s="243" t="n">
        <v>3</v>
      </c>
      <c r="B4" s="246" t="inlineStr">
        <is>
          <t>Термометр сопротивления</t>
        </is>
      </c>
      <c r="C4" s="254" t="inlineStr">
        <is>
          <t>ТСПУ 014.51</t>
        </is>
      </c>
      <c r="D4" s="246" t="inlineStr">
        <is>
          <t>379</t>
        </is>
      </c>
      <c r="E4" s="248" t="inlineStr">
        <is>
          <t>2011</t>
        </is>
      </c>
      <c r="F4" s="254" t="inlineStr">
        <is>
          <t>-50..+100 °С</t>
        </is>
      </c>
      <c r="G4" s="254" t="inlineStr">
        <is>
          <t>0.5</t>
        </is>
      </c>
      <c r="H4" s="254" t="inlineStr">
        <is>
          <t>Температура воздуха</t>
        </is>
      </c>
      <c r="I4" s="243" t="inlineStr">
        <is>
          <t>Узел подключения</t>
        </is>
      </c>
      <c r="J4" s="243" t="inlineStr">
        <is>
          <t>АСУ,А и ТМ (КЦ № 6)</t>
        </is>
      </c>
      <c r="K4" s="243" t="inlineStr">
        <is>
          <t>2011</t>
        </is>
      </c>
      <c r="L4" s="248" t="inlineStr">
        <is>
          <t>24</t>
        </is>
      </c>
      <c r="M4" s="246" t="inlineStr"/>
      <c r="N4" s="245" t="inlineStr"/>
    </row>
    <row r="5" ht="22.5" customHeight="1" s="236">
      <c r="A5" s="243" t="n">
        <v>4</v>
      </c>
      <c r="B5" s="255" t="inlineStr">
        <is>
          <t>Преобразователь избыточного давления</t>
        </is>
      </c>
      <c r="C5" s="254" t="inlineStr">
        <is>
          <t>YOKOGAWA EJX530А</t>
        </is>
      </c>
      <c r="D5" s="246" t="inlineStr">
        <is>
          <t>91M439744.217</t>
        </is>
      </c>
      <c r="E5" s="248" t="inlineStr">
        <is>
          <t>2012</t>
        </is>
      </c>
      <c r="F5" s="254" t="inlineStr">
        <is>
          <t>0..16 MPa</t>
        </is>
      </c>
      <c r="G5" s="254" t="inlineStr">
        <is>
          <t>0.1</t>
        </is>
      </c>
      <c r="H5" s="254" t="inlineStr">
        <is>
          <t>Давление импульсного газа</t>
        </is>
      </c>
      <c r="I5" s="243" t="inlineStr">
        <is>
          <t>Узел подключения</t>
        </is>
      </c>
      <c r="J5" s="243" t="inlineStr">
        <is>
          <t>АСУ,А и ТМ (КЦ № 6)</t>
        </is>
      </c>
      <c r="K5" s="243" t="inlineStr">
        <is>
          <t>2012</t>
        </is>
      </c>
      <c r="L5" s="248" t="inlineStr">
        <is>
          <t>60</t>
        </is>
      </c>
      <c r="M5" s="246" t="inlineStr"/>
      <c r="N5" s="245" t="inlineStr"/>
    </row>
    <row r="6" ht="22.5" customHeight="1" s="236">
      <c r="A6" s="243" t="n">
        <v>5</v>
      </c>
      <c r="B6" s="255" t="inlineStr">
        <is>
          <t>Преобразователь избыточного давления</t>
        </is>
      </c>
      <c r="C6" s="254" t="inlineStr">
        <is>
          <t>YOKOGAWA EJX530А</t>
        </is>
      </c>
      <c r="D6" s="246" t="inlineStr">
        <is>
          <t>91M439746.217</t>
        </is>
      </c>
      <c r="E6" s="248" t="inlineStr">
        <is>
          <t>2012</t>
        </is>
      </c>
      <c r="F6" s="254" t="inlineStr">
        <is>
          <t>0..16 MPa</t>
        </is>
      </c>
      <c r="G6" s="254" t="inlineStr">
        <is>
          <t>0.1</t>
        </is>
      </c>
      <c r="H6" s="254" t="inlineStr">
        <is>
          <t>Давление газа после кр.7</t>
        </is>
      </c>
      <c r="I6" s="243" t="inlineStr">
        <is>
          <t>Узел подключения</t>
        </is>
      </c>
      <c r="J6" s="243" t="inlineStr">
        <is>
          <t>АСУ,А и ТМ (КЦ № 6)</t>
        </is>
      </c>
      <c r="K6" s="243" t="inlineStr">
        <is>
          <t>2012</t>
        </is>
      </c>
      <c r="L6" s="248" t="inlineStr">
        <is>
          <t>60</t>
        </is>
      </c>
      <c r="M6" s="246" t="inlineStr"/>
      <c r="N6" s="245" t="inlineStr"/>
    </row>
    <row r="7" ht="22.5" customHeight="1" s="236">
      <c r="A7" s="243" t="n">
        <v>6</v>
      </c>
      <c r="B7" s="255" t="inlineStr">
        <is>
          <t>Преобразователь избыточного давления</t>
        </is>
      </c>
      <c r="C7" s="254" t="inlineStr">
        <is>
          <t>YOKOGAWA EJX530А</t>
        </is>
      </c>
      <c r="D7" s="246" t="inlineStr">
        <is>
          <t>91M439742.217</t>
        </is>
      </c>
      <c r="E7" s="248" t="inlineStr">
        <is>
          <t>2012</t>
        </is>
      </c>
      <c r="F7" s="254" t="inlineStr">
        <is>
          <t>0..16 MPa</t>
        </is>
      </c>
      <c r="G7" s="254" t="inlineStr">
        <is>
          <t>0.1</t>
        </is>
      </c>
      <c r="H7" s="254" t="inlineStr">
        <is>
          <t>Давление газа до кр.20</t>
        </is>
      </c>
      <c r="I7" s="243" t="inlineStr">
        <is>
          <t>Узел подключения</t>
        </is>
      </c>
      <c r="J7" s="243" t="inlineStr">
        <is>
          <t>АСУ,А и ТМ (КЦ № 6)</t>
        </is>
      </c>
      <c r="K7" s="243" t="inlineStr">
        <is>
          <t>2012</t>
        </is>
      </c>
      <c r="L7" s="248" t="inlineStr">
        <is>
          <t>60</t>
        </is>
      </c>
      <c r="M7" s="246" t="inlineStr"/>
      <c r="N7" s="245" t="inlineStr"/>
    </row>
    <row r="8" ht="22.5" customHeight="1" s="236">
      <c r="A8" s="243" t="n">
        <v>7</v>
      </c>
      <c r="B8" s="255" t="inlineStr">
        <is>
          <t>Преобразователь избыточного давления</t>
        </is>
      </c>
      <c r="C8" s="254" t="inlineStr">
        <is>
          <t>YOKOGAWA EJX530А</t>
        </is>
      </c>
      <c r="D8" s="246" t="inlineStr">
        <is>
          <t>91M439745.217</t>
        </is>
      </c>
      <c r="E8" s="248" t="inlineStr">
        <is>
          <t>2012</t>
        </is>
      </c>
      <c r="F8" s="254" t="inlineStr">
        <is>
          <t>0..16 MPa</t>
        </is>
      </c>
      <c r="G8" s="254" t="inlineStr">
        <is>
          <t>0.1</t>
        </is>
      </c>
      <c r="H8" s="254" t="inlineStr">
        <is>
          <t>Давление газа после кр.20</t>
        </is>
      </c>
      <c r="I8" s="243" t="inlineStr">
        <is>
          <t>Узел подключения</t>
        </is>
      </c>
      <c r="J8" s="243" t="inlineStr">
        <is>
          <t>АСУ,А и ТМ (КЦ № 6)</t>
        </is>
      </c>
      <c r="K8" s="243" t="inlineStr">
        <is>
          <t>2012</t>
        </is>
      </c>
      <c r="L8" s="248" t="inlineStr">
        <is>
          <t>60</t>
        </is>
      </c>
      <c r="M8" s="246" t="inlineStr"/>
      <c r="N8" s="245" t="inlineStr"/>
    </row>
    <row r="9" ht="22.5" customHeight="1" s="236">
      <c r="A9" s="243" t="n">
        <v>8</v>
      </c>
      <c r="B9" s="255" t="inlineStr">
        <is>
          <t>Преобразователь избыточного давления</t>
        </is>
      </c>
      <c r="C9" s="254" t="inlineStr">
        <is>
          <t>YOKOGAWA EJX530А</t>
        </is>
      </c>
      <c r="D9" s="246" t="inlineStr">
        <is>
          <t>91M439743.217</t>
        </is>
      </c>
      <c r="E9" s="248" t="inlineStr">
        <is>
          <t>2012</t>
        </is>
      </c>
      <c r="F9" s="254" t="inlineStr">
        <is>
          <t>0..16 MPa</t>
        </is>
      </c>
      <c r="G9" s="254" t="inlineStr">
        <is>
          <t>0.1</t>
        </is>
      </c>
      <c r="H9" s="254" t="inlineStr">
        <is>
          <t>Давление газа до кр.8</t>
        </is>
      </c>
      <c r="I9" s="243" t="inlineStr">
        <is>
          <t>Узел подключения</t>
        </is>
      </c>
      <c r="J9" s="243" t="inlineStr">
        <is>
          <t>АСУ,А и ТМ (КЦ № 6)</t>
        </is>
      </c>
      <c r="K9" s="243" t="inlineStr">
        <is>
          <t>2012</t>
        </is>
      </c>
      <c r="L9" s="248" t="inlineStr">
        <is>
          <t>60</t>
        </is>
      </c>
      <c r="M9" s="246" t="inlineStr"/>
      <c r="N9" s="245" t="inlineStr"/>
    </row>
    <row r="10" ht="22.5" customHeight="1" s="236">
      <c r="A10" s="243" t="n">
        <v>9</v>
      </c>
      <c r="B10" s="255" t="inlineStr">
        <is>
          <t>Преобразователь избыточного давления</t>
        </is>
      </c>
      <c r="C10" s="254" t="inlineStr">
        <is>
          <t>YOKOGAWA EJX430А</t>
        </is>
      </c>
      <c r="D10" s="246" t="inlineStr">
        <is>
          <t>91LC20094</t>
        </is>
      </c>
      <c r="E10" s="248" t="inlineStr">
        <is>
          <t>2011</t>
        </is>
      </c>
      <c r="F10" s="254" t="inlineStr">
        <is>
          <t>0..16 MPa</t>
        </is>
      </c>
      <c r="G10" s="254" t="inlineStr">
        <is>
          <t>0.1</t>
        </is>
      </c>
      <c r="H10" s="254" t="inlineStr">
        <is>
          <t>Давление газа в аккумуляторе Г-6КЗ</t>
        </is>
      </c>
      <c r="I10" s="243" t="inlineStr">
        <is>
          <t>Узел подключения</t>
        </is>
      </c>
      <c r="J10" s="243" t="inlineStr">
        <is>
          <t>АСУ,А и ТМ (КЦ № 6)</t>
        </is>
      </c>
      <c r="K10" s="243" t="inlineStr">
        <is>
          <t>2011</t>
        </is>
      </c>
      <c r="L10" s="248" t="inlineStr">
        <is>
          <t>60</t>
        </is>
      </c>
      <c r="M10" s="246" t="inlineStr"/>
      <c r="N10" s="245" t="inlineStr"/>
    </row>
    <row r="11" ht="22.5" customHeight="1" s="236">
      <c r="A11" s="243" t="n">
        <v>10</v>
      </c>
      <c r="B11" s="255" t="inlineStr">
        <is>
          <t>Преобразователь избыточного давления</t>
        </is>
      </c>
      <c r="C11" s="254" t="inlineStr">
        <is>
          <t>YOKOGAWA EJX510А</t>
        </is>
      </c>
      <c r="D11" s="246" t="inlineStr">
        <is>
          <t>91M439696.217</t>
        </is>
      </c>
      <c r="E11" s="248" t="inlineStr">
        <is>
          <t>2012</t>
        </is>
      </c>
      <c r="F11" s="254" t="inlineStr">
        <is>
          <t>0..160 КPa</t>
        </is>
      </c>
      <c r="G11" s="254" t="inlineStr">
        <is>
          <t>0.1</t>
        </is>
      </c>
      <c r="H11" s="254" t="inlineStr">
        <is>
          <t>Атмосферное давление</t>
        </is>
      </c>
      <c r="I11" s="243" t="inlineStr">
        <is>
          <t>Узел подключения</t>
        </is>
      </c>
      <c r="J11" s="243" t="inlineStr">
        <is>
          <t>АСУ,А и ТМ (КЦ № 6)</t>
        </is>
      </c>
      <c r="K11" s="243" t="inlineStr">
        <is>
          <t>2011</t>
        </is>
      </c>
      <c r="L11" s="248" t="inlineStr">
        <is>
          <t>60</t>
        </is>
      </c>
      <c r="M11" s="246" t="inlineStr"/>
      <c r="N11" s="245" t="inlineStr"/>
    </row>
    <row r="12" ht="15" customHeight="1" s="236">
      <c r="A12" s="243" t="n">
        <v>11</v>
      </c>
      <c r="B12" s="246" t="inlineStr">
        <is>
          <t>Термометр сопротивления</t>
        </is>
      </c>
      <c r="C12" s="254" t="inlineStr">
        <is>
          <t>ТСМУ 011.16</t>
        </is>
      </c>
      <c r="D12" s="246" t="inlineStr">
        <is>
          <t>161</t>
        </is>
      </c>
      <c r="E12" s="248" t="inlineStr">
        <is>
          <t>2011</t>
        </is>
      </c>
      <c r="F12" s="254" t="inlineStr">
        <is>
          <t>-50..+50 °С</t>
        </is>
      </c>
      <c r="G12" s="254" t="inlineStr">
        <is>
          <t>0,5</t>
        </is>
      </c>
      <c r="H12" s="254" t="inlineStr">
        <is>
          <t>Температура газа после кр. 20-6</t>
        </is>
      </c>
      <c r="I12" s="243" t="inlineStr">
        <is>
          <t>Узел подключения</t>
        </is>
      </c>
      <c r="J12" s="243" t="inlineStr">
        <is>
          <t>АСУ,А и ТМ (КЦ № 6)</t>
        </is>
      </c>
      <c r="K12" s="243" t="inlineStr">
        <is>
          <t>2012</t>
        </is>
      </c>
      <c r="L12" s="248" t="inlineStr">
        <is>
          <t>60</t>
        </is>
      </c>
      <c r="M12" s="246" t="inlineStr"/>
      <c r="N12" s="245" t="inlineStr"/>
    </row>
    <row r="13" ht="15" customHeight="1" s="236">
      <c r="A13" s="243" t="n">
        <v>12</v>
      </c>
      <c r="B13" s="246" t="inlineStr">
        <is>
          <t>Термометр сопротивления</t>
        </is>
      </c>
      <c r="C13" s="254" t="inlineStr">
        <is>
          <t>ТСП 015.70</t>
        </is>
      </c>
      <c r="D13" s="246" t="inlineStr">
        <is>
          <t>110</t>
        </is>
      </c>
      <c r="E13" s="248" t="inlineStr">
        <is>
          <t>2012</t>
        </is>
      </c>
      <c r="F13" s="254" t="inlineStr">
        <is>
          <t>-50..+50 °С</t>
        </is>
      </c>
      <c r="G13" s="254" t="inlineStr">
        <is>
          <t>B</t>
        </is>
      </c>
      <c r="H13" s="254" t="inlineStr">
        <is>
          <t>Температура воздуха</t>
        </is>
      </c>
      <c r="I13" s="243" t="inlineStr">
        <is>
          <t>Узел подключения</t>
        </is>
      </c>
      <c r="J13" s="243" t="inlineStr">
        <is>
          <t>АСУ,А и ТМ (КЦ № 6)</t>
        </is>
      </c>
      <c r="K13" s="243" t="inlineStr">
        <is>
          <t>2011</t>
        </is>
      </c>
      <c r="L13" s="248" t="inlineStr">
        <is>
          <t>36</t>
        </is>
      </c>
      <c r="M13" s="246" t="inlineStr"/>
      <c r="N13" s="245" t="inlineStr"/>
    </row>
    <row r="14" ht="22.5" customHeight="1" s="236">
      <c r="A14" s="243" t="n">
        <v>13</v>
      </c>
      <c r="B14" s="253" t="inlineStr">
        <is>
          <t>Выключатель давления</t>
        </is>
      </c>
      <c r="C14" s="254" t="inlineStr">
        <is>
          <t>Садко 44 ТЖИУ 406422.005.01</t>
        </is>
      </c>
      <c r="D14" s="246" t="inlineStr">
        <is>
          <t>226706</t>
        </is>
      </c>
      <c r="E14" s="248" t="inlineStr">
        <is>
          <t>2012</t>
        </is>
      </c>
      <c r="F14" s="254" t="inlineStr">
        <is>
          <t>0,15…0,5 МПа</t>
        </is>
      </c>
      <c r="G14" s="254" t="inlineStr"/>
      <c r="H14" s="254" t="inlineStr">
        <is>
          <t>Перепад давления на кр. Г-6КП</t>
        </is>
      </c>
      <c r="I14" s="243" t="inlineStr">
        <is>
          <t>Узел подключения</t>
        </is>
      </c>
      <c r="J14" s="243" t="inlineStr">
        <is>
          <t>АСУ,А и ТМ (КЦ № 6)</t>
        </is>
      </c>
      <c r="K14" s="243" t="inlineStr">
        <is>
          <t>2012</t>
        </is>
      </c>
      <c r="L14" s="248" t="inlineStr"/>
      <c r="M14" s="246" t="inlineStr"/>
      <c r="N14" s="245" t="inlineStr"/>
    </row>
    <row r="15" ht="22.5" customHeight="1" s="236">
      <c r="A15" s="243" t="n">
        <v>14</v>
      </c>
      <c r="B15" s="253" t="inlineStr">
        <is>
          <t>Выключатель давления</t>
        </is>
      </c>
      <c r="C15" s="254" t="inlineStr">
        <is>
          <t>Садко 44 ТЖИУ 406422.005.01</t>
        </is>
      </c>
      <c r="D15" s="246" t="inlineStr">
        <is>
          <t>257610</t>
        </is>
      </c>
      <c r="E15" s="248" t="inlineStr">
        <is>
          <t>2015</t>
        </is>
      </c>
      <c r="F15" s="254" t="inlineStr">
        <is>
          <t>0,15…0,5 МПа</t>
        </is>
      </c>
      <c r="G15" s="254" t="inlineStr"/>
      <c r="H15" s="254" t="inlineStr">
        <is>
          <t>Перепад давления на кр. 7</t>
        </is>
      </c>
      <c r="I15" s="243" t="inlineStr">
        <is>
          <t>Узел подключения</t>
        </is>
      </c>
      <c r="J15" s="243" t="inlineStr">
        <is>
          <t>АСУ,А и ТМ (КЦ № 6)</t>
        </is>
      </c>
      <c r="K15" s="243" t="inlineStr">
        <is>
          <t>2012</t>
        </is>
      </c>
      <c r="L15" s="248" t="inlineStr"/>
      <c r="M15" s="246" t="inlineStr"/>
      <c r="N15" s="245" t="inlineStr"/>
    </row>
    <row r="16" ht="22.5" customHeight="1" s="236">
      <c r="A16" s="243" t="n">
        <v>15</v>
      </c>
      <c r="B16" s="253" t="inlineStr">
        <is>
          <t>Выключатель давления</t>
        </is>
      </c>
      <c r="C16" s="254" t="inlineStr">
        <is>
          <t>Садко 44 ТЖИУ 406422.005.01</t>
        </is>
      </c>
      <c r="D16" s="246" t="inlineStr">
        <is>
          <t>226189</t>
        </is>
      </c>
      <c r="E16" s="248" t="inlineStr">
        <is>
          <t>2012</t>
        </is>
      </c>
      <c r="F16" s="254" t="inlineStr">
        <is>
          <t>0,15…0,5 МПа</t>
        </is>
      </c>
      <c r="G16" s="254" t="inlineStr"/>
      <c r="H16" s="254" t="inlineStr">
        <is>
          <t>Перепад давления на кр. 7-1</t>
        </is>
      </c>
      <c r="I16" s="243" t="inlineStr">
        <is>
          <t>Узел подключения</t>
        </is>
      </c>
      <c r="J16" s="243" t="inlineStr">
        <is>
          <t>АСУ,А и ТМ (КЦ № 6)</t>
        </is>
      </c>
      <c r="K16" s="243" t="inlineStr">
        <is>
          <t>2012</t>
        </is>
      </c>
      <c r="L16" s="248" t="inlineStr"/>
      <c r="M16" s="246" t="inlineStr"/>
      <c r="N16" s="245" t="inlineStr"/>
    </row>
    <row r="17" ht="22.5" customHeight="1" s="236">
      <c r="A17" s="243" t="n">
        <v>16</v>
      </c>
      <c r="B17" s="253" t="inlineStr">
        <is>
          <t>Выключатель давления</t>
        </is>
      </c>
      <c r="C17" s="254" t="inlineStr">
        <is>
          <t>Садко 44 ТЖИУ 406422.005.01</t>
        </is>
      </c>
      <c r="D17" s="246" t="inlineStr">
        <is>
          <t>247112</t>
        </is>
      </c>
      <c r="E17" s="248" t="inlineStr">
        <is>
          <t>2014</t>
        </is>
      </c>
      <c r="F17" s="254" t="inlineStr">
        <is>
          <t>0,15…0,5 МПа</t>
        </is>
      </c>
      <c r="G17" s="254" t="inlineStr"/>
      <c r="H17" s="254" t="inlineStr">
        <is>
          <t>Перепад давления на кр. 20</t>
        </is>
      </c>
      <c r="I17" s="243" t="inlineStr">
        <is>
          <t>Узел подключения</t>
        </is>
      </c>
      <c r="J17" s="243" t="inlineStr">
        <is>
          <t>АСУ,А и ТМ (КЦ № 6)</t>
        </is>
      </c>
      <c r="K17" s="243" t="inlineStr">
        <is>
          <t>2012</t>
        </is>
      </c>
      <c r="L17" s="248" t="inlineStr"/>
      <c r="M17" s="246" t="inlineStr"/>
      <c r="N17" s="245" t="inlineStr"/>
    </row>
    <row r="18" ht="22.5" customHeight="1" s="236">
      <c r="A18" s="243" t="n">
        <v>17</v>
      </c>
      <c r="B18" s="253" t="inlineStr">
        <is>
          <t>Выключатель давления</t>
        </is>
      </c>
      <c r="C18" s="254" t="inlineStr">
        <is>
          <t>Садко 44 ТЖИУ 406422.005.01</t>
        </is>
      </c>
      <c r="D18" s="246" t="inlineStr">
        <is>
          <t>226704</t>
        </is>
      </c>
      <c r="E18" s="248" t="inlineStr">
        <is>
          <t>2012</t>
        </is>
      </c>
      <c r="F18" s="254" t="inlineStr">
        <is>
          <t>0,15…0,5 МПа</t>
        </is>
      </c>
      <c r="G18" s="254" t="inlineStr"/>
      <c r="H18" s="254" t="inlineStr">
        <is>
          <t>Перепад давления на кр. 8</t>
        </is>
      </c>
      <c r="I18" s="243" t="inlineStr">
        <is>
          <t>Узел подключения</t>
        </is>
      </c>
      <c r="J18" s="243" t="inlineStr">
        <is>
          <t>АСУ,А и ТМ (КЦ № 6)</t>
        </is>
      </c>
      <c r="K18" s="243" t="inlineStr">
        <is>
          <t>2012</t>
        </is>
      </c>
      <c r="L18" s="248" t="inlineStr"/>
      <c r="M18" s="246" t="inlineStr"/>
      <c r="N18" s="283" t="inlineStr"/>
      <c r="O18" s="239" t="n"/>
      <c r="P18" s="239" t="n"/>
      <c r="Q18" s="242" t="n"/>
      <c r="R18" s="239" t="n"/>
      <c r="S18" s="239" t="n"/>
      <c r="T18" s="239" t="n"/>
      <c r="U18" s="239" t="n"/>
      <c r="V18" s="239" t="n"/>
      <c r="W18" s="239" t="n"/>
      <c r="X18" s="239" t="n"/>
      <c r="Y18" s="240" t="n"/>
      <c r="Z18" s="242" t="n"/>
    </row>
    <row r="19" ht="15" customHeight="1" s="236">
      <c r="A19" s="243" t="n">
        <v>18</v>
      </c>
      <c r="B19" s="253" t="inlineStr">
        <is>
          <t>Манометр технический</t>
        </is>
      </c>
      <c r="C19" s="254" t="inlineStr">
        <is>
          <t>МП4-УУ2</t>
        </is>
      </c>
      <c r="D19" s="246" t="inlineStr">
        <is>
          <t>15602</t>
        </is>
      </c>
      <c r="E19" s="248" t="inlineStr">
        <is>
          <t>2010</t>
        </is>
      </c>
      <c r="F19" s="254" t="inlineStr">
        <is>
          <t>0..160 кгс/см2</t>
        </is>
      </c>
      <c r="G19" s="254" t="inlineStr">
        <is>
          <t>1.5</t>
        </is>
      </c>
      <c r="H19" s="254" t="inlineStr">
        <is>
          <t>Р имп. газа в ресивере</t>
        </is>
      </c>
      <c r="I19" s="243" t="inlineStr">
        <is>
          <t>Узел подключения</t>
        </is>
      </c>
      <c r="J19" s="243" t="inlineStr">
        <is>
          <t>АСУ,А и ТМ (КЦ № 6)</t>
        </is>
      </c>
      <c r="K19" s="243" t="inlineStr">
        <is>
          <t>2012</t>
        </is>
      </c>
      <c r="L19" s="248" t="inlineStr">
        <is>
          <t>12</t>
        </is>
      </c>
      <c r="M19" s="246" t="inlineStr">
        <is>
          <t>2К26</t>
        </is>
      </c>
      <c r="N19" s="245" t="inlineStr">
        <is>
          <t>К</t>
        </is>
      </c>
    </row>
    <row r="20" ht="15" customHeight="1" s="236">
      <c r="A20" s="243" t="n">
        <v>19</v>
      </c>
      <c r="B20" s="253" t="inlineStr">
        <is>
          <t>Манометр технический</t>
        </is>
      </c>
      <c r="C20" s="254" t="inlineStr">
        <is>
          <t>МП4-УУ2</t>
        </is>
      </c>
      <c r="D20" s="246" t="inlineStr">
        <is>
          <t>30397</t>
        </is>
      </c>
      <c r="E20" s="248" t="inlineStr">
        <is>
          <t>2010</t>
        </is>
      </c>
      <c r="F20" s="254" t="inlineStr">
        <is>
          <t>0..160 кгс/см2</t>
        </is>
      </c>
      <c r="G20" s="254" t="inlineStr">
        <is>
          <t>1.5</t>
        </is>
      </c>
      <c r="H20" s="254" t="inlineStr">
        <is>
          <t>Р имп. газа кр. №7</t>
        </is>
      </c>
      <c r="I20" s="243" t="inlineStr">
        <is>
          <t>Узел подключения</t>
        </is>
      </c>
      <c r="J20" s="243" t="inlineStr">
        <is>
          <t>АСУ,А и ТМ (КЦ № 6)</t>
        </is>
      </c>
      <c r="K20" s="243" t="inlineStr">
        <is>
          <t>2012</t>
        </is>
      </c>
      <c r="L20" s="248" t="inlineStr">
        <is>
          <t>12</t>
        </is>
      </c>
      <c r="M20" s="246" t="inlineStr">
        <is>
          <t>2К26</t>
        </is>
      </c>
      <c r="N20" s="245" t="inlineStr">
        <is>
          <t>К</t>
        </is>
      </c>
    </row>
    <row r="21" ht="15" customHeight="1" s="236">
      <c r="A21" s="243" t="n">
        <v>20</v>
      </c>
      <c r="B21" s="253" t="inlineStr">
        <is>
          <t>Манометр технический</t>
        </is>
      </c>
      <c r="C21" s="254" t="inlineStr">
        <is>
          <t>МП4-УУ2</t>
        </is>
      </c>
      <c r="D21" s="246" t="inlineStr">
        <is>
          <t>30366</t>
        </is>
      </c>
      <c r="E21" s="248" t="inlineStr">
        <is>
          <t>2010</t>
        </is>
      </c>
      <c r="F21" s="254" t="inlineStr">
        <is>
          <t>0..160 кгс/см2</t>
        </is>
      </c>
      <c r="G21" s="254" t="inlineStr">
        <is>
          <t>1.5</t>
        </is>
      </c>
      <c r="H21" s="254" t="inlineStr">
        <is>
          <t>Р газа до кр. №7</t>
        </is>
      </c>
      <c r="I21" s="243" t="inlineStr">
        <is>
          <t>Узел подключения</t>
        </is>
      </c>
      <c r="J21" s="243" t="inlineStr">
        <is>
          <t>АСУ,А и ТМ (КЦ № 6)</t>
        </is>
      </c>
      <c r="K21" s="243" t="inlineStr">
        <is>
          <t>2012</t>
        </is>
      </c>
      <c r="L21" s="248" t="inlineStr">
        <is>
          <t>12</t>
        </is>
      </c>
      <c r="M21" s="246" t="inlineStr">
        <is>
          <t>2К26</t>
        </is>
      </c>
      <c r="N21" s="245" t="inlineStr">
        <is>
          <t>К</t>
        </is>
      </c>
    </row>
    <row r="22" ht="15" customHeight="1" s="236">
      <c r="A22" s="243" t="n">
        <v>21</v>
      </c>
      <c r="B22" s="253" t="inlineStr">
        <is>
          <t>Манометр технический</t>
        </is>
      </c>
      <c r="C22" s="254" t="inlineStr">
        <is>
          <t>МП4-УУ2</t>
        </is>
      </c>
      <c r="D22" s="246" t="inlineStr">
        <is>
          <t>15368</t>
        </is>
      </c>
      <c r="E22" s="248" t="inlineStr">
        <is>
          <t>2010</t>
        </is>
      </c>
      <c r="F22" s="254" t="inlineStr">
        <is>
          <t>0..160 кгс/см2</t>
        </is>
      </c>
      <c r="G22" s="254" t="inlineStr">
        <is>
          <t>1.5</t>
        </is>
      </c>
      <c r="H22" s="254" t="inlineStr">
        <is>
          <t>Р газа после кр. №7</t>
        </is>
      </c>
      <c r="I22" s="243" t="inlineStr">
        <is>
          <t>Узел подключения</t>
        </is>
      </c>
      <c r="J22" s="243" t="inlineStr">
        <is>
          <t>АСУ,А и ТМ (КЦ № 6)</t>
        </is>
      </c>
      <c r="K22" s="243" t="inlineStr">
        <is>
          <t>2012</t>
        </is>
      </c>
      <c r="L22" s="248" t="inlineStr">
        <is>
          <t>12</t>
        </is>
      </c>
      <c r="M22" s="246" t="inlineStr">
        <is>
          <t>2К26</t>
        </is>
      </c>
      <c r="N22" s="245" t="inlineStr">
        <is>
          <t>К</t>
        </is>
      </c>
    </row>
    <row r="23" ht="15" customHeight="1" s="236">
      <c r="A23" s="243" t="n">
        <v>22</v>
      </c>
      <c r="B23" s="253" t="inlineStr">
        <is>
          <t>Манометр технический</t>
        </is>
      </c>
      <c r="C23" s="254" t="inlineStr">
        <is>
          <t>МП4-УУ2</t>
        </is>
      </c>
      <c r="D23" s="246" t="inlineStr">
        <is>
          <t>15362</t>
        </is>
      </c>
      <c r="E23" s="248" t="inlineStr">
        <is>
          <t>2010</t>
        </is>
      </c>
      <c r="F23" s="254" t="inlineStr">
        <is>
          <t>0..160 кгс/см2</t>
        </is>
      </c>
      <c r="G23" s="254" t="inlineStr">
        <is>
          <t>1</t>
        </is>
      </c>
      <c r="H23" s="254" t="inlineStr">
        <is>
          <t>Р имп. газа кр. №7с</t>
        </is>
      </c>
      <c r="I23" s="243" t="inlineStr">
        <is>
          <t>Узел подключения</t>
        </is>
      </c>
      <c r="J23" s="243" t="inlineStr">
        <is>
          <t>АСУ,А и ТМ (КЦ № 6)</t>
        </is>
      </c>
      <c r="K23" s="243" t="inlineStr">
        <is>
          <t>2012</t>
        </is>
      </c>
      <c r="L23" s="248" t="inlineStr">
        <is>
          <t>12</t>
        </is>
      </c>
      <c r="M23" s="246" t="inlineStr">
        <is>
          <t>2К26</t>
        </is>
      </c>
      <c r="N23" s="245" t="inlineStr">
        <is>
          <t>К</t>
        </is>
      </c>
    </row>
    <row r="24" ht="15" customHeight="1" s="236">
      <c r="A24" s="243" t="n">
        <v>23</v>
      </c>
      <c r="B24" s="253" t="inlineStr">
        <is>
          <t>Манометр технический</t>
        </is>
      </c>
      <c r="C24" s="254" t="inlineStr">
        <is>
          <t>ТМ6</t>
        </is>
      </c>
      <c r="D24" s="246" t="inlineStr">
        <is>
          <t>15225</t>
        </is>
      </c>
      <c r="E24" s="248" t="inlineStr">
        <is>
          <t>2010</t>
        </is>
      </c>
      <c r="F24" s="254" t="inlineStr">
        <is>
          <t>0..160 кгс/см2</t>
        </is>
      </c>
      <c r="G24" s="254" t="inlineStr">
        <is>
          <t>1.5</t>
        </is>
      </c>
      <c r="H24" s="254" t="inlineStr">
        <is>
          <t>Р имп. газа кр. №7р</t>
        </is>
      </c>
      <c r="I24" s="243" t="inlineStr">
        <is>
          <t>Узел подключения</t>
        </is>
      </c>
      <c r="J24" s="243" t="inlineStr">
        <is>
          <t>АСУ,А и ТМ (КЦ № 6)</t>
        </is>
      </c>
      <c r="K24" s="243" t="inlineStr">
        <is>
          <t>2012</t>
        </is>
      </c>
      <c r="L24" s="248" t="inlineStr">
        <is>
          <t>12</t>
        </is>
      </c>
      <c r="M24" s="246" t="inlineStr">
        <is>
          <t>2К26</t>
        </is>
      </c>
      <c r="N24" s="245" t="inlineStr">
        <is>
          <t>К</t>
        </is>
      </c>
    </row>
    <row r="25" ht="15" customHeight="1" s="236">
      <c r="A25" s="243" t="n">
        <v>24</v>
      </c>
      <c r="B25" s="253" t="inlineStr">
        <is>
          <t>Манометр технический</t>
        </is>
      </c>
      <c r="C25" s="254" t="inlineStr">
        <is>
          <t>ТМ6</t>
        </is>
      </c>
      <c r="D25" s="246" t="inlineStr">
        <is>
          <t>15413</t>
        </is>
      </c>
      <c r="E25" s="248" t="inlineStr">
        <is>
          <t>2010</t>
        </is>
      </c>
      <c r="F25" s="254" t="inlineStr">
        <is>
          <t>0..160 кгс/см2</t>
        </is>
      </c>
      <c r="G25" s="254" t="inlineStr">
        <is>
          <t>1.5</t>
        </is>
      </c>
      <c r="H25" s="254" t="inlineStr">
        <is>
          <t>Р газа до кр. №7-1</t>
        </is>
      </c>
      <c r="I25" s="243" t="inlineStr">
        <is>
          <t>Узел подключения</t>
        </is>
      </c>
      <c r="J25" s="243" t="inlineStr">
        <is>
          <t>АСУ,А и ТМ (КЦ № 6)</t>
        </is>
      </c>
      <c r="K25" s="243" t="inlineStr">
        <is>
          <t>2012</t>
        </is>
      </c>
      <c r="L25" s="248" t="inlineStr">
        <is>
          <t>12</t>
        </is>
      </c>
      <c r="M25" s="246" t="inlineStr">
        <is>
          <t>2К26</t>
        </is>
      </c>
      <c r="N25" s="245" t="inlineStr">
        <is>
          <t>К</t>
        </is>
      </c>
    </row>
    <row r="26" ht="15" customHeight="1" s="236">
      <c r="A26" s="243" t="n">
        <v>25</v>
      </c>
      <c r="B26" s="253" t="inlineStr">
        <is>
          <t>Манометр технический</t>
        </is>
      </c>
      <c r="C26" s="254" t="inlineStr">
        <is>
          <t>МП4-У</t>
        </is>
      </c>
      <c r="D26" s="246" t="inlineStr">
        <is>
          <t>1064845</t>
        </is>
      </c>
      <c r="E26" s="248" t="inlineStr">
        <is>
          <t>2010</t>
        </is>
      </c>
      <c r="F26" s="254" t="inlineStr">
        <is>
          <t>0..160 кгс/см2</t>
        </is>
      </c>
      <c r="G26" s="254" t="inlineStr">
        <is>
          <t>1.5</t>
        </is>
      </c>
      <c r="H26" s="254" t="inlineStr">
        <is>
          <t>Р газа после кр. №7-1</t>
        </is>
      </c>
      <c r="I26" s="243" t="inlineStr">
        <is>
          <t>Узел подключения</t>
        </is>
      </c>
      <c r="J26" s="243" t="inlineStr">
        <is>
          <t>АСУ,А и ТМ (КЦ № 6)</t>
        </is>
      </c>
      <c r="K26" s="243" t="inlineStr">
        <is>
          <t>2012</t>
        </is>
      </c>
      <c r="L26" s="248" t="inlineStr">
        <is>
          <t>12</t>
        </is>
      </c>
      <c r="M26" s="246" t="inlineStr">
        <is>
          <t>2К26</t>
        </is>
      </c>
      <c r="N26" s="245" t="inlineStr">
        <is>
          <t>К</t>
        </is>
      </c>
    </row>
    <row r="27" ht="15" customHeight="1" s="236">
      <c r="A27" s="243" t="n">
        <v>26</v>
      </c>
      <c r="B27" s="253" t="inlineStr">
        <is>
          <t>Манометр технический</t>
        </is>
      </c>
      <c r="C27" s="254" t="inlineStr">
        <is>
          <t>МП4-УУ2</t>
        </is>
      </c>
      <c r="D27" s="246" t="inlineStr">
        <is>
          <t>15389</t>
        </is>
      </c>
      <c r="E27" s="248" t="inlineStr">
        <is>
          <t>2010</t>
        </is>
      </c>
      <c r="F27" s="254" t="inlineStr">
        <is>
          <t>0..160 кгс/см2</t>
        </is>
      </c>
      <c r="G27" s="254" t="inlineStr">
        <is>
          <t>1.5</t>
        </is>
      </c>
      <c r="H27" s="254" t="inlineStr">
        <is>
          <t>Р имп. газа кр. №7-1р1</t>
        </is>
      </c>
      <c r="I27" s="243" t="inlineStr">
        <is>
          <t>Узел подключения</t>
        </is>
      </c>
      <c r="J27" s="243" t="inlineStr">
        <is>
          <t>АСУ,А и ТМ (КЦ № 6)</t>
        </is>
      </c>
      <c r="K27" s="243" t="inlineStr">
        <is>
          <t>2012</t>
        </is>
      </c>
      <c r="L27" s="248" t="inlineStr">
        <is>
          <t>12</t>
        </is>
      </c>
      <c r="M27" s="246" t="inlineStr">
        <is>
          <t>2К26</t>
        </is>
      </c>
      <c r="N27" s="245" t="inlineStr">
        <is>
          <t>К</t>
        </is>
      </c>
    </row>
    <row r="28" ht="15" customHeight="1" s="236">
      <c r="A28" s="243" t="n">
        <v>27</v>
      </c>
      <c r="B28" s="253" t="inlineStr">
        <is>
          <t>Манометр технический</t>
        </is>
      </c>
      <c r="C28" s="254" t="inlineStr">
        <is>
          <t>МП4-УУ2</t>
        </is>
      </c>
      <c r="D28" s="246" t="inlineStr">
        <is>
          <t>15546</t>
        </is>
      </c>
      <c r="E28" s="248" t="inlineStr">
        <is>
          <t>2010</t>
        </is>
      </c>
      <c r="F28" s="254" t="inlineStr">
        <is>
          <t>0..160 кгс/см2</t>
        </is>
      </c>
      <c r="G28" s="254" t="inlineStr">
        <is>
          <t>1.5</t>
        </is>
      </c>
      <c r="H28" s="254" t="inlineStr">
        <is>
          <t>Р имп. газа кр. №7-1р2</t>
        </is>
      </c>
      <c r="I28" s="243" t="inlineStr">
        <is>
          <t>Узел подключения</t>
        </is>
      </c>
      <c r="J28" s="243" t="inlineStr">
        <is>
          <t>АСУ,А и ТМ (КЦ № 6)</t>
        </is>
      </c>
      <c r="K28" s="243" t="inlineStr">
        <is>
          <t>2012</t>
        </is>
      </c>
      <c r="L28" s="248" t="inlineStr">
        <is>
          <t>12</t>
        </is>
      </c>
      <c r="M28" s="246" t="inlineStr">
        <is>
          <t>2К26</t>
        </is>
      </c>
      <c r="N28" s="245" t="inlineStr">
        <is>
          <t>К</t>
        </is>
      </c>
    </row>
    <row r="29" ht="15" customHeight="1" s="236">
      <c r="A29" s="243" t="n">
        <v>28</v>
      </c>
      <c r="B29" s="253" t="inlineStr">
        <is>
          <t>Манометр технический</t>
        </is>
      </c>
      <c r="C29" s="254" t="inlineStr">
        <is>
          <t>МП4-УУ2</t>
        </is>
      </c>
      <c r="D29" s="246" t="inlineStr">
        <is>
          <t>30392</t>
        </is>
      </c>
      <c r="E29" s="248" t="inlineStr">
        <is>
          <t>2010</t>
        </is>
      </c>
      <c r="F29" s="254" t="inlineStr">
        <is>
          <t>0..160 кгс/см2</t>
        </is>
      </c>
      <c r="G29" s="254" t="inlineStr">
        <is>
          <t>1.5</t>
        </is>
      </c>
      <c r="H29" s="254" t="inlineStr">
        <is>
          <t>Р имп. газа кр. №Т1</t>
        </is>
      </c>
      <c r="I29" s="243" t="inlineStr">
        <is>
          <t>Узел подключения</t>
        </is>
      </c>
      <c r="J29" s="243" t="inlineStr">
        <is>
          <t>АСУ,А и ТМ (КЦ № 6)</t>
        </is>
      </c>
      <c r="K29" s="243" t="inlineStr">
        <is>
          <t>2012</t>
        </is>
      </c>
      <c r="L29" s="248" t="inlineStr">
        <is>
          <t>12</t>
        </is>
      </c>
      <c r="M29" s="246" t="inlineStr">
        <is>
          <t>2К26</t>
        </is>
      </c>
      <c r="N29" s="245" t="inlineStr">
        <is>
          <t>К</t>
        </is>
      </c>
    </row>
    <row r="30" ht="15" customHeight="1" s="236">
      <c r="A30" s="243" t="n">
        <v>29</v>
      </c>
      <c r="B30" s="253" t="inlineStr">
        <is>
          <t>Манометр технический</t>
        </is>
      </c>
      <c r="C30" s="254" t="inlineStr">
        <is>
          <t>МП4-УУ2</t>
        </is>
      </c>
      <c r="D30" s="246" t="inlineStr">
        <is>
          <t>15383</t>
        </is>
      </c>
      <c r="E30" s="248" t="inlineStr">
        <is>
          <t>2010</t>
        </is>
      </c>
      <c r="F30" s="254" t="inlineStr">
        <is>
          <t>0..160 кгс/см2</t>
        </is>
      </c>
      <c r="G30" s="254" t="inlineStr">
        <is>
          <t>1.5</t>
        </is>
      </c>
      <c r="H30" s="254" t="inlineStr">
        <is>
          <t>Р имп. газа кр. №Т2</t>
        </is>
      </c>
      <c r="I30" s="243" t="inlineStr">
        <is>
          <t>Узел подключения</t>
        </is>
      </c>
      <c r="J30" s="243" t="inlineStr">
        <is>
          <t>АСУ,А и ТМ (КЦ № 6)</t>
        </is>
      </c>
      <c r="K30" s="243" t="inlineStr">
        <is>
          <t>2012</t>
        </is>
      </c>
      <c r="L30" s="248" t="inlineStr">
        <is>
          <t>12</t>
        </is>
      </c>
      <c r="M30" s="246" t="inlineStr">
        <is>
          <t>2К26</t>
        </is>
      </c>
      <c r="N30" s="245" t="inlineStr">
        <is>
          <t>К</t>
        </is>
      </c>
    </row>
    <row r="31" ht="15" customHeight="1" s="236">
      <c r="A31" s="243" t="n">
        <v>30</v>
      </c>
      <c r="B31" s="253" t="inlineStr">
        <is>
          <t>Манометр технический</t>
        </is>
      </c>
      <c r="C31" s="254" t="inlineStr">
        <is>
          <t>МП4-УУ2</t>
        </is>
      </c>
      <c r="D31" s="246" t="inlineStr">
        <is>
          <t>15514</t>
        </is>
      </c>
      <c r="E31" s="248" t="inlineStr">
        <is>
          <t>2010</t>
        </is>
      </c>
      <c r="F31" s="254" t="inlineStr">
        <is>
          <t>0..160 кгс/см2</t>
        </is>
      </c>
      <c r="G31" s="254" t="inlineStr">
        <is>
          <t>1.5</t>
        </is>
      </c>
      <c r="H31" s="254" t="inlineStr">
        <is>
          <t>Р имп. газа кр. №Т3</t>
        </is>
      </c>
      <c r="I31" s="243" t="inlineStr">
        <is>
          <t>Узел подключения</t>
        </is>
      </c>
      <c r="J31" s="243" t="inlineStr">
        <is>
          <t>АСУ,А и ТМ (КЦ № 6)</t>
        </is>
      </c>
      <c r="K31" s="243" t="inlineStr">
        <is>
          <t>2012</t>
        </is>
      </c>
      <c r="L31" s="248" t="inlineStr">
        <is>
          <t>12</t>
        </is>
      </c>
      <c r="M31" s="246" t="inlineStr">
        <is>
          <t>2К26</t>
        </is>
      </c>
      <c r="N31" s="245" t="inlineStr">
        <is>
          <t>К</t>
        </is>
      </c>
    </row>
    <row r="32" ht="15" customHeight="1" s="236">
      <c r="A32" s="243" t="n">
        <v>31</v>
      </c>
      <c r="B32" s="253" t="inlineStr">
        <is>
          <t>Манометр технический</t>
        </is>
      </c>
      <c r="C32" s="254" t="inlineStr">
        <is>
          <t>МП4-УУ2</t>
        </is>
      </c>
      <c r="D32" s="246" t="inlineStr">
        <is>
          <t>15399</t>
        </is>
      </c>
      <c r="E32" s="248" t="inlineStr">
        <is>
          <t>2010</t>
        </is>
      </c>
      <c r="F32" s="254" t="inlineStr">
        <is>
          <t>0..160 кгс/см2</t>
        </is>
      </c>
      <c r="G32" s="254" t="inlineStr">
        <is>
          <t>1</t>
        </is>
      </c>
      <c r="H32" s="254" t="inlineStr">
        <is>
          <t>Р имп. газа кр. №Т4</t>
        </is>
      </c>
      <c r="I32" s="243" t="inlineStr">
        <is>
          <t>Узел подключения</t>
        </is>
      </c>
      <c r="J32" s="243" t="inlineStr">
        <is>
          <t>АСУ,А и ТМ (КЦ № 6)</t>
        </is>
      </c>
      <c r="K32" s="243" t="inlineStr">
        <is>
          <t>2012</t>
        </is>
      </c>
      <c r="L32" s="248" t="inlineStr">
        <is>
          <t>12</t>
        </is>
      </c>
      <c r="M32" s="246" t="inlineStr">
        <is>
          <t>2К26</t>
        </is>
      </c>
      <c r="N32" s="245" t="inlineStr">
        <is>
          <t>К</t>
        </is>
      </c>
    </row>
    <row r="33" ht="15" customHeight="1" s="236">
      <c r="A33" s="243" t="n">
        <v>32</v>
      </c>
      <c r="B33" s="253" t="inlineStr">
        <is>
          <t>Манометр технический</t>
        </is>
      </c>
      <c r="C33" s="254" t="inlineStr">
        <is>
          <t>МП4-УУ2</t>
        </is>
      </c>
      <c r="D33" s="246" t="inlineStr">
        <is>
          <t>15327</t>
        </is>
      </c>
      <c r="E33" s="248" t="inlineStr">
        <is>
          <t>2010</t>
        </is>
      </c>
      <c r="F33" s="254" t="inlineStr">
        <is>
          <t>0..160 кгс/см2</t>
        </is>
      </c>
      <c r="G33" s="254" t="inlineStr">
        <is>
          <t>1.5</t>
        </is>
      </c>
      <c r="H33" s="254" t="inlineStr">
        <is>
          <t>Р имп. газа кр. №3с</t>
        </is>
      </c>
      <c r="I33" s="243" t="inlineStr">
        <is>
          <t>Узел подключения</t>
        </is>
      </c>
      <c r="J33" s="243" t="inlineStr">
        <is>
          <t>АСУ,А и ТМ (КЦ № 6)</t>
        </is>
      </c>
      <c r="K33" s="243" t="inlineStr">
        <is>
          <t>2012</t>
        </is>
      </c>
      <c r="L33" s="248" t="inlineStr">
        <is>
          <t>12</t>
        </is>
      </c>
      <c r="M33" s="246" t="inlineStr">
        <is>
          <t>2К26</t>
        </is>
      </c>
      <c r="N33" s="245" t="inlineStr">
        <is>
          <t>К</t>
        </is>
      </c>
    </row>
    <row r="34" ht="15" customHeight="1" s="236">
      <c r="A34" s="243" t="n">
        <v>33</v>
      </c>
      <c r="B34" s="253" t="inlineStr">
        <is>
          <t>Манометр технический</t>
        </is>
      </c>
      <c r="C34" s="254" t="inlineStr">
        <is>
          <t>МП4-УУ2</t>
        </is>
      </c>
      <c r="D34" s="246" t="inlineStr">
        <is>
          <t>30396</t>
        </is>
      </c>
      <c r="E34" s="248" t="inlineStr">
        <is>
          <t>2010</t>
        </is>
      </c>
      <c r="F34" s="254" t="inlineStr">
        <is>
          <t>0..160 кгс/см2</t>
        </is>
      </c>
      <c r="G34" s="254" t="inlineStr">
        <is>
          <t>1.5</t>
        </is>
      </c>
      <c r="H34" s="254" t="inlineStr">
        <is>
          <t>Р имп. газа кр. №1с</t>
        </is>
      </c>
      <c r="I34" s="243" t="inlineStr">
        <is>
          <t>Узел подключения</t>
        </is>
      </c>
      <c r="J34" s="243" t="inlineStr">
        <is>
          <t>АСУ,А и ТМ (КЦ № 6)</t>
        </is>
      </c>
      <c r="K34" s="243" t="inlineStr">
        <is>
          <t>2012</t>
        </is>
      </c>
      <c r="L34" s="248" t="inlineStr">
        <is>
          <t>12</t>
        </is>
      </c>
      <c r="M34" s="246" t="inlineStr">
        <is>
          <t>2К26</t>
        </is>
      </c>
      <c r="N34" s="245" t="inlineStr">
        <is>
          <t>К</t>
        </is>
      </c>
    </row>
    <row r="35" ht="15" customHeight="1" s="236">
      <c r="A35" s="243" t="n">
        <v>34</v>
      </c>
      <c r="B35" s="253" t="inlineStr">
        <is>
          <t>Манометр технический</t>
        </is>
      </c>
      <c r="C35" s="254" t="inlineStr">
        <is>
          <t>МП4-УУ2</t>
        </is>
      </c>
      <c r="D35" s="246" t="inlineStr">
        <is>
          <t>15508</t>
        </is>
      </c>
      <c r="E35" s="248" t="inlineStr">
        <is>
          <t>2010</t>
        </is>
      </c>
      <c r="F35" s="254" t="inlineStr">
        <is>
          <t>0..160 кгс/см2</t>
        </is>
      </c>
      <c r="G35" s="254" t="inlineStr">
        <is>
          <t>1</t>
        </is>
      </c>
      <c r="H35" s="254" t="inlineStr">
        <is>
          <t>Р имп. газа кр. №2с</t>
        </is>
      </c>
      <c r="I35" s="243" t="inlineStr">
        <is>
          <t>Узел подключения</t>
        </is>
      </c>
      <c r="J35" s="243" t="inlineStr">
        <is>
          <t>АСУ,А и ТМ (КЦ № 6)</t>
        </is>
      </c>
      <c r="K35" s="243" t="inlineStr">
        <is>
          <t>2012</t>
        </is>
      </c>
      <c r="L35" s="248" t="inlineStr">
        <is>
          <t>12</t>
        </is>
      </c>
      <c r="M35" s="246" t="inlineStr">
        <is>
          <t>2К26</t>
        </is>
      </c>
      <c r="N35" s="245" t="inlineStr">
        <is>
          <t>К</t>
        </is>
      </c>
    </row>
    <row r="36" ht="15" customHeight="1" s="236">
      <c r="A36" s="243" t="n">
        <v>35</v>
      </c>
      <c r="B36" s="253" t="inlineStr">
        <is>
          <t>Манометр технический</t>
        </is>
      </c>
      <c r="C36" s="254" t="inlineStr">
        <is>
          <t>МП4-УУ2</t>
        </is>
      </c>
      <c r="D36" s="246" t="inlineStr">
        <is>
          <t>30390</t>
        </is>
      </c>
      <c r="E36" s="248" t="inlineStr">
        <is>
          <t>2010</t>
        </is>
      </c>
      <c r="F36" s="254" t="inlineStr">
        <is>
          <t>0..160 кгс/см2</t>
        </is>
      </c>
      <c r="G36" s="254" t="inlineStr">
        <is>
          <t>1.5</t>
        </is>
      </c>
      <c r="H36" s="254" t="inlineStr">
        <is>
          <t>Р газа до кр. №20-6</t>
        </is>
      </c>
      <c r="I36" s="243" t="inlineStr">
        <is>
          <t>Узел подключения</t>
        </is>
      </c>
      <c r="J36" s="243" t="inlineStr">
        <is>
          <t>АСУ,А и ТМ (КЦ № 6)</t>
        </is>
      </c>
      <c r="K36" s="243" t="inlineStr">
        <is>
          <t>2012</t>
        </is>
      </c>
      <c r="L36" s="248" t="inlineStr">
        <is>
          <t>12</t>
        </is>
      </c>
      <c r="M36" s="246" t="inlineStr">
        <is>
          <t>2К26</t>
        </is>
      </c>
      <c r="N36" s="245" t="inlineStr">
        <is>
          <t>К</t>
        </is>
      </c>
    </row>
    <row r="37" ht="15" customHeight="1" s="236">
      <c r="A37" s="243" t="n">
        <v>36</v>
      </c>
      <c r="B37" s="253" t="inlineStr">
        <is>
          <t>Манометр технический</t>
        </is>
      </c>
      <c r="C37" s="254" t="inlineStr">
        <is>
          <t>МП4-УУ2</t>
        </is>
      </c>
      <c r="D37" s="246" t="inlineStr">
        <is>
          <t>15397</t>
        </is>
      </c>
      <c r="E37" s="248" t="inlineStr">
        <is>
          <t>2010</t>
        </is>
      </c>
      <c r="F37" s="254" t="inlineStr">
        <is>
          <t>0..160 кгс/см2</t>
        </is>
      </c>
      <c r="G37" s="254" t="inlineStr">
        <is>
          <t>1</t>
        </is>
      </c>
      <c r="H37" s="254" t="inlineStr">
        <is>
          <t>Р газа после кр. №20-6</t>
        </is>
      </c>
      <c r="I37" s="243" t="inlineStr">
        <is>
          <t>Узел подключения</t>
        </is>
      </c>
      <c r="J37" s="243" t="inlineStr">
        <is>
          <t>АСУ,А и ТМ (КЦ № 6)</t>
        </is>
      </c>
      <c r="K37" s="243" t="inlineStr">
        <is>
          <t>2012</t>
        </is>
      </c>
      <c r="L37" s="248" t="inlineStr">
        <is>
          <t>12</t>
        </is>
      </c>
      <c r="M37" s="246" t="inlineStr">
        <is>
          <t>2К26</t>
        </is>
      </c>
      <c r="N37" s="245" t="inlineStr">
        <is>
          <t>К</t>
        </is>
      </c>
    </row>
    <row r="38" ht="15" customHeight="1" s="236">
      <c r="A38" s="243" t="n">
        <v>37</v>
      </c>
      <c r="B38" s="253" t="inlineStr">
        <is>
          <t>Манометр технический</t>
        </is>
      </c>
      <c r="C38" s="254" t="inlineStr">
        <is>
          <t>МП4-УУ2</t>
        </is>
      </c>
      <c r="D38" s="246" t="inlineStr">
        <is>
          <t>30395</t>
        </is>
      </c>
      <c r="E38" s="248" t="inlineStr">
        <is>
          <t>2010</t>
        </is>
      </c>
      <c r="F38" s="254" t="inlineStr">
        <is>
          <t>0..160 кгс/см2</t>
        </is>
      </c>
      <c r="G38" s="254" t="inlineStr">
        <is>
          <t>1.5</t>
        </is>
      </c>
      <c r="H38" s="254" t="inlineStr">
        <is>
          <t>Р имп. газа кр. №20-6</t>
        </is>
      </c>
      <c r="I38" s="243" t="inlineStr">
        <is>
          <t>Узел подключения</t>
        </is>
      </c>
      <c r="J38" s="243" t="inlineStr">
        <is>
          <t>АСУ,А и ТМ (КЦ № 6)</t>
        </is>
      </c>
      <c r="K38" s="243" t="inlineStr">
        <is>
          <t>2012</t>
        </is>
      </c>
      <c r="L38" s="248" t="inlineStr">
        <is>
          <t>12</t>
        </is>
      </c>
      <c r="M38" s="246" t="inlineStr">
        <is>
          <t>2К26</t>
        </is>
      </c>
      <c r="N38" s="245" t="inlineStr">
        <is>
          <t>К</t>
        </is>
      </c>
    </row>
    <row r="39" ht="15" customHeight="1" s="236">
      <c r="A39" s="243" t="n">
        <v>38</v>
      </c>
      <c r="B39" s="253" t="inlineStr">
        <is>
          <t>Манометр технический</t>
        </is>
      </c>
      <c r="C39" s="254" t="inlineStr">
        <is>
          <t>МП4-УУ2</t>
        </is>
      </c>
      <c r="D39" s="246" t="inlineStr">
        <is>
          <t>15503</t>
        </is>
      </c>
      <c r="E39" s="248" t="inlineStr">
        <is>
          <t>2010</t>
        </is>
      </c>
      <c r="F39" s="254" t="inlineStr">
        <is>
          <t>0..160 кгс/см2</t>
        </is>
      </c>
      <c r="G39" s="254" t="inlineStr">
        <is>
          <t>1.5</t>
        </is>
      </c>
      <c r="H39" s="254" t="inlineStr">
        <is>
          <t>Р газа до кр. №8</t>
        </is>
      </c>
      <c r="I39" s="243" t="inlineStr">
        <is>
          <t>Узел подключения</t>
        </is>
      </c>
      <c r="J39" s="243" t="inlineStr">
        <is>
          <t>АСУ,А и ТМ (КЦ № 6)</t>
        </is>
      </c>
      <c r="K39" s="243" t="inlineStr">
        <is>
          <t>2012</t>
        </is>
      </c>
      <c r="L39" s="248" t="inlineStr">
        <is>
          <t>12</t>
        </is>
      </c>
      <c r="M39" s="246" t="inlineStr">
        <is>
          <t>2К26</t>
        </is>
      </c>
      <c r="N39" s="245" t="inlineStr">
        <is>
          <t>К</t>
        </is>
      </c>
    </row>
    <row r="40" ht="15" customHeight="1" s="236">
      <c r="A40" s="243" t="n">
        <v>39</v>
      </c>
      <c r="B40" s="253" t="inlineStr">
        <is>
          <t>Манометр технический</t>
        </is>
      </c>
      <c r="C40" s="254" t="inlineStr">
        <is>
          <t>МП4-УУ2</t>
        </is>
      </c>
      <c r="D40" s="246" t="inlineStr">
        <is>
          <t>15335</t>
        </is>
      </c>
      <c r="E40" s="248" t="inlineStr">
        <is>
          <t>2010</t>
        </is>
      </c>
      <c r="F40" s="254" t="inlineStr">
        <is>
          <t>0..160 кгс/см2</t>
        </is>
      </c>
      <c r="G40" s="254" t="inlineStr">
        <is>
          <t>1.5</t>
        </is>
      </c>
      <c r="H40" s="254" t="inlineStr">
        <is>
          <t>Р газа после кр. №8</t>
        </is>
      </c>
      <c r="I40" s="243" t="inlineStr">
        <is>
          <t>Узел подключения</t>
        </is>
      </c>
      <c r="J40" s="243" t="inlineStr">
        <is>
          <t>АСУ,А и ТМ (КЦ № 6)</t>
        </is>
      </c>
      <c r="K40" s="243" t="inlineStr">
        <is>
          <t>2012</t>
        </is>
      </c>
      <c r="L40" s="248" t="inlineStr">
        <is>
          <t>12</t>
        </is>
      </c>
      <c r="M40" s="246" t="inlineStr">
        <is>
          <t>2К26</t>
        </is>
      </c>
      <c r="N40" s="245" t="inlineStr">
        <is>
          <t>К</t>
        </is>
      </c>
    </row>
    <row r="41" ht="15" customHeight="1" s="236">
      <c r="A41" s="243" t="n">
        <v>40</v>
      </c>
      <c r="B41" s="253" t="inlineStr">
        <is>
          <t>Манометр технический</t>
        </is>
      </c>
      <c r="C41" s="254" t="inlineStr">
        <is>
          <t>МП4-УУ2</t>
        </is>
      </c>
      <c r="D41" s="246" t="inlineStr">
        <is>
          <t>20174</t>
        </is>
      </c>
      <c r="E41" s="248" t="inlineStr">
        <is>
          <t>2010</t>
        </is>
      </c>
      <c r="F41" s="254" t="inlineStr">
        <is>
          <t>0..160 кгс/см2</t>
        </is>
      </c>
      <c r="G41" s="254" t="inlineStr">
        <is>
          <t>1.5</t>
        </is>
      </c>
      <c r="H41" s="254" t="inlineStr">
        <is>
          <t>Р имп. газа кр. №8с</t>
        </is>
      </c>
      <c r="I41" s="243" t="inlineStr">
        <is>
          <t>Узел подключения</t>
        </is>
      </c>
      <c r="J41" s="243" t="inlineStr">
        <is>
          <t>АСУ,А и ТМ (КЦ № 6)</t>
        </is>
      </c>
      <c r="K41" s="243" t="inlineStr">
        <is>
          <t>2012</t>
        </is>
      </c>
      <c r="L41" s="248" t="inlineStr">
        <is>
          <t>12</t>
        </is>
      </c>
      <c r="M41" s="246" t="inlineStr">
        <is>
          <t>2К26</t>
        </is>
      </c>
      <c r="N41" s="245" t="inlineStr">
        <is>
          <t>К</t>
        </is>
      </c>
    </row>
    <row r="42" ht="15" customHeight="1" s="236">
      <c r="A42" s="243" t="n">
        <v>41</v>
      </c>
      <c r="B42" s="253" t="inlineStr">
        <is>
          <t>Манометр технический</t>
        </is>
      </c>
      <c r="C42" s="254" t="inlineStr">
        <is>
          <t>МП4-УУ2</t>
        </is>
      </c>
      <c r="D42" s="246" t="inlineStr">
        <is>
          <t>15381</t>
        </is>
      </c>
      <c r="E42" s="248" t="inlineStr">
        <is>
          <t>2010</t>
        </is>
      </c>
      <c r="F42" s="254" t="inlineStr">
        <is>
          <t>0..160 кгс/см2</t>
        </is>
      </c>
      <c r="G42" s="254" t="inlineStr">
        <is>
          <t>1</t>
        </is>
      </c>
      <c r="H42" s="254" t="inlineStr">
        <is>
          <t>Р имп. газа кр. №8р1</t>
        </is>
      </c>
      <c r="I42" s="243" t="inlineStr">
        <is>
          <t>Узел подключения</t>
        </is>
      </c>
      <c r="J42" s="243" t="inlineStr">
        <is>
          <t>АСУ,А и ТМ (КЦ № 6)</t>
        </is>
      </c>
      <c r="K42" s="243" t="inlineStr">
        <is>
          <t>2012</t>
        </is>
      </c>
      <c r="L42" s="248" t="inlineStr">
        <is>
          <t>12</t>
        </is>
      </c>
      <c r="M42" s="246" t="inlineStr">
        <is>
          <t>2К26</t>
        </is>
      </c>
      <c r="N42" s="245" t="inlineStr">
        <is>
          <t>К</t>
        </is>
      </c>
    </row>
    <row r="43" ht="15" customHeight="1" s="236">
      <c r="A43" s="243" t="n">
        <v>42</v>
      </c>
      <c r="B43" s="253" t="inlineStr">
        <is>
          <t>Манометр технический</t>
        </is>
      </c>
      <c r="C43" s="254" t="inlineStr">
        <is>
          <t>МП4-УУ2</t>
        </is>
      </c>
      <c r="D43" s="246" t="inlineStr">
        <is>
          <t>30398</t>
        </is>
      </c>
      <c r="E43" s="248" t="inlineStr">
        <is>
          <t>2010</t>
        </is>
      </c>
      <c r="F43" s="254" t="inlineStr">
        <is>
          <t>0..160 кгс/см2</t>
        </is>
      </c>
      <c r="G43" s="254" t="inlineStr">
        <is>
          <t>1.5</t>
        </is>
      </c>
      <c r="H43" s="254" t="inlineStr">
        <is>
          <t>Р имп. газа кр. №8р2</t>
        </is>
      </c>
      <c r="I43" s="243" t="inlineStr">
        <is>
          <t>Узел подключения</t>
        </is>
      </c>
      <c r="J43" s="243" t="inlineStr">
        <is>
          <t>АСУ,А и ТМ (КЦ № 6)</t>
        </is>
      </c>
      <c r="K43" s="243" t="inlineStr">
        <is>
          <t>2012</t>
        </is>
      </c>
      <c r="L43" s="248" t="inlineStr">
        <is>
          <t>12</t>
        </is>
      </c>
      <c r="M43" s="246" t="inlineStr">
        <is>
          <t>2К26</t>
        </is>
      </c>
      <c r="N43" s="245" t="inlineStr">
        <is>
          <t>К</t>
        </is>
      </c>
    </row>
    <row r="44" ht="15" customHeight="1" s="236">
      <c r="A44" s="243" t="n">
        <v>43</v>
      </c>
      <c r="B44" s="253" t="inlineStr">
        <is>
          <t>Манометр технический</t>
        </is>
      </c>
      <c r="C44" s="254" t="inlineStr">
        <is>
          <t>МП4-УУ2</t>
        </is>
      </c>
      <c r="D44" s="246" t="inlineStr">
        <is>
          <t>15515</t>
        </is>
      </c>
      <c r="E44" s="248" t="inlineStr">
        <is>
          <t>2010</t>
        </is>
      </c>
      <c r="F44" s="254" t="inlineStr">
        <is>
          <t>0..160 кгс/см2</t>
        </is>
      </c>
      <c r="G44" s="254" t="inlineStr">
        <is>
          <t>1.5</t>
        </is>
      </c>
      <c r="H44" s="254" t="inlineStr">
        <is>
          <t>Р имп. газа кр. №22</t>
        </is>
      </c>
      <c r="I44" s="243" t="inlineStr">
        <is>
          <t>Узел подключения</t>
        </is>
      </c>
      <c r="J44" s="243" t="inlineStr">
        <is>
          <t>АСУ,А и ТМ (КЦ № 6)</t>
        </is>
      </c>
      <c r="K44" s="243" t="inlineStr">
        <is>
          <t>2012</t>
        </is>
      </c>
      <c r="L44" s="248" t="inlineStr">
        <is>
          <t>12</t>
        </is>
      </c>
      <c r="M44" s="246" t="inlineStr">
        <is>
          <t>2К26</t>
        </is>
      </c>
      <c r="N44" s="245" t="inlineStr">
        <is>
          <t>К</t>
        </is>
      </c>
    </row>
    <row r="45" ht="15" customHeight="1" s="236">
      <c r="A45" s="243" t="n">
        <v>44</v>
      </c>
      <c r="B45" s="253" t="inlineStr">
        <is>
          <t>Манометр технический</t>
        </is>
      </c>
      <c r="C45" s="254" t="inlineStr">
        <is>
          <t>МП4-УУ2</t>
        </is>
      </c>
      <c r="D45" s="246" t="inlineStr">
        <is>
          <t>15236</t>
        </is>
      </c>
      <c r="E45" s="248" t="inlineStr">
        <is>
          <t>2010</t>
        </is>
      </c>
      <c r="F45" s="254" t="inlineStr">
        <is>
          <t>0..160 кгс/см2</t>
        </is>
      </c>
      <c r="G45" s="254" t="inlineStr">
        <is>
          <t>1.5</t>
        </is>
      </c>
      <c r="H45" s="254" t="inlineStr">
        <is>
          <t>Р имп. газа кр. №23</t>
        </is>
      </c>
      <c r="I45" s="243" t="inlineStr">
        <is>
          <t>Узел подключения</t>
        </is>
      </c>
      <c r="J45" s="243" t="inlineStr">
        <is>
          <t>АСУ,А и ТМ (КЦ № 6)</t>
        </is>
      </c>
      <c r="K45" s="243" t="inlineStr">
        <is>
          <t>2012</t>
        </is>
      </c>
      <c r="L45" s="248" t="inlineStr">
        <is>
          <t>12</t>
        </is>
      </c>
      <c r="M45" s="246" t="inlineStr">
        <is>
          <t>2К26</t>
        </is>
      </c>
      <c r="N45" s="245" t="inlineStr">
        <is>
          <t>К</t>
        </is>
      </c>
    </row>
    <row r="46" ht="15" customHeight="1" s="236">
      <c r="A46" s="243" t="n">
        <v>45</v>
      </c>
      <c r="B46" s="253" t="inlineStr">
        <is>
          <t>Манометр технический</t>
        </is>
      </c>
      <c r="C46" s="254" t="inlineStr">
        <is>
          <t>МП4-УУ2</t>
        </is>
      </c>
      <c r="D46" s="246" t="inlineStr">
        <is>
          <t>80839</t>
        </is>
      </c>
      <c r="E46" s="248" t="inlineStr">
        <is>
          <t>2010</t>
        </is>
      </c>
      <c r="F46" s="254" t="inlineStr">
        <is>
          <t>0..160 кгс/см2</t>
        </is>
      </c>
      <c r="G46" s="254" t="inlineStr">
        <is>
          <t>1.5</t>
        </is>
      </c>
      <c r="H46" s="254" t="inlineStr">
        <is>
          <t>Р имп. газа кр. №24</t>
        </is>
      </c>
      <c r="I46" s="243" t="inlineStr">
        <is>
          <t>Узел подключения</t>
        </is>
      </c>
      <c r="J46" s="243" t="inlineStr">
        <is>
          <t>АСУ,А и ТМ (КЦ № 6)</t>
        </is>
      </c>
      <c r="K46" s="243" t="inlineStr">
        <is>
          <t>2012</t>
        </is>
      </c>
      <c r="L46" s="248" t="inlineStr">
        <is>
          <t>12</t>
        </is>
      </c>
      <c r="M46" s="246" t="inlineStr">
        <is>
          <t>2К26</t>
        </is>
      </c>
      <c r="N46" s="245" t="inlineStr">
        <is>
          <t>К</t>
        </is>
      </c>
    </row>
    <row r="47" ht="15" customHeight="1" s="236">
      <c r="A47" s="243" t="n">
        <v>46</v>
      </c>
      <c r="B47" s="253" t="inlineStr">
        <is>
          <t>Манометр технический</t>
        </is>
      </c>
      <c r="C47" s="254" t="inlineStr">
        <is>
          <t>МП4-УУ2</t>
        </is>
      </c>
      <c r="D47" s="246" t="inlineStr">
        <is>
          <t>8065</t>
        </is>
      </c>
      <c r="E47" s="248" t="inlineStr">
        <is>
          <t>2010</t>
        </is>
      </c>
      <c r="F47" s="254" t="inlineStr">
        <is>
          <t>0..160 кгс/см2</t>
        </is>
      </c>
      <c r="G47" s="254" t="inlineStr">
        <is>
          <t>1</t>
        </is>
      </c>
      <c r="H47" s="254" t="inlineStr">
        <is>
          <t>Р имп. газа кр. №26</t>
        </is>
      </c>
      <c r="I47" s="243" t="inlineStr">
        <is>
          <t>Узел подключения</t>
        </is>
      </c>
      <c r="J47" s="243" t="inlineStr">
        <is>
          <t>АСУ,А и ТМ (КЦ № 6)</t>
        </is>
      </c>
      <c r="K47" s="243" t="inlineStr">
        <is>
          <t>2012</t>
        </is>
      </c>
      <c r="L47" s="248" t="inlineStr">
        <is>
          <t>12</t>
        </is>
      </c>
      <c r="M47" s="246" t="inlineStr">
        <is>
          <t>2К26</t>
        </is>
      </c>
      <c r="N47" s="245" t="inlineStr">
        <is>
          <t>К</t>
        </is>
      </c>
    </row>
    <row r="48" ht="15" customHeight="1" s="236">
      <c r="A48" s="243" t="n">
        <v>47</v>
      </c>
      <c r="B48" s="253" t="inlineStr">
        <is>
          <t>Манометр технический</t>
        </is>
      </c>
      <c r="C48" s="254" t="inlineStr">
        <is>
          <t>МП4-УУ2</t>
        </is>
      </c>
      <c r="D48" s="246" t="inlineStr">
        <is>
          <t>30394</t>
        </is>
      </c>
      <c r="E48" s="248" t="inlineStr">
        <is>
          <t>2010</t>
        </is>
      </c>
      <c r="F48" s="254" t="inlineStr">
        <is>
          <t>0..160 кгс/см2</t>
        </is>
      </c>
      <c r="G48" s="254" t="inlineStr">
        <is>
          <t>1.5</t>
        </is>
      </c>
      <c r="H48" s="254" t="inlineStr">
        <is>
          <t>Р имп. газа кр. №27</t>
        </is>
      </c>
      <c r="I48" s="243" t="inlineStr">
        <is>
          <t>Узел подключения</t>
        </is>
      </c>
      <c r="J48" s="243" t="inlineStr">
        <is>
          <t>АСУ,А и ТМ (КЦ № 6)</t>
        </is>
      </c>
      <c r="K48" s="243" t="inlineStr">
        <is>
          <t>2012</t>
        </is>
      </c>
      <c r="L48" s="248" t="inlineStr">
        <is>
          <t>12</t>
        </is>
      </c>
      <c r="M48" s="246" t="inlineStr">
        <is>
          <t>2К26</t>
        </is>
      </c>
      <c r="N48" s="245" t="inlineStr">
        <is>
          <t>К</t>
        </is>
      </c>
    </row>
    <row r="49" ht="15" customHeight="1" s="236">
      <c r="A49" s="243" t="n">
        <v>48</v>
      </c>
      <c r="B49" s="253" t="inlineStr">
        <is>
          <t>Манометр технический</t>
        </is>
      </c>
      <c r="C49" s="254" t="inlineStr">
        <is>
          <t>МП4-УУ2</t>
        </is>
      </c>
      <c r="D49" s="246" t="inlineStr">
        <is>
          <t>50336</t>
        </is>
      </c>
      <c r="E49" s="248" t="inlineStr">
        <is>
          <t>2010</t>
        </is>
      </c>
      <c r="F49" s="254" t="inlineStr">
        <is>
          <t>0..160 кгс/см2</t>
        </is>
      </c>
      <c r="G49" s="254" t="inlineStr">
        <is>
          <t>1.5</t>
        </is>
      </c>
      <c r="H49" s="254" t="inlineStr">
        <is>
          <t>Р имп. газа кр. №28</t>
        </is>
      </c>
      <c r="I49" s="243" t="inlineStr">
        <is>
          <t>Узел подключения</t>
        </is>
      </c>
      <c r="J49" s="243" t="inlineStr">
        <is>
          <t>АСУ,А и ТМ (КЦ № 6)</t>
        </is>
      </c>
      <c r="K49" s="243" t="inlineStr">
        <is>
          <t>2012</t>
        </is>
      </c>
      <c r="L49" s="248" t="inlineStr">
        <is>
          <t>12</t>
        </is>
      </c>
      <c r="M49" s="246" t="inlineStr">
        <is>
          <t>2К26</t>
        </is>
      </c>
      <c r="N49" s="245" t="inlineStr">
        <is>
          <t>К</t>
        </is>
      </c>
    </row>
    <row r="50" ht="15" customHeight="1" s="236">
      <c r="A50" s="243" t="n">
        <v>49</v>
      </c>
      <c r="B50" s="253" t="inlineStr">
        <is>
          <t>Манометр технический</t>
        </is>
      </c>
      <c r="C50" s="254" t="inlineStr">
        <is>
          <t>МП4-УУ2</t>
        </is>
      </c>
      <c r="D50" s="246" t="inlineStr">
        <is>
          <t>15531</t>
        </is>
      </c>
      <c r="E50" s="248" t="inlineStr">
        <is>
          <t>2010</t>
        </is>
      </c>
      <c r="F50" s="254" t="inlineStr">
        <is>
          <t>0..160 кгс/см2</t>
        </is>
      </c>
      <c r="G50" s="254" t="inlineStr">
        <is>
          <t>1</t>
        </is>
      </c>
      <c r="H50" s="254" t="inlineStr">
        <is>
          <t>Р имп. газа кр. №33</t>
        </is>
      </c>
      <c r="I50" s="243" t="inlineStr">
        <is>
          <t>Узел подключения</t>
        </is>
      </c>
      <c r="J50" s="243" t="inlineStr">
        <is>
          <t>АСУ,А и ТМ (КЦ № 6)</t>
        </is>
      </c>
      <c r="K50" s="243" t="inlineStr">
        <is>
          <t>2012</t>
        </is>
      </c>
      <c r="L50" s="248" t="inlineStr">
        <is>
          <t>12</t>
        </is>
      </c>
      <c r="M50" s="246" t="inlineStr">
        <is>
          <t>2К26</t>
        </is>
      </c>
      <c r="N50" s="245" t="inlineStr">
        <is>
          <t>К</t>
        </is>
      </c>
    </row>
    <row r="51" ht="15" customHeight="1" s="236">
      <c r="A51" s="243" t="n">
        <v>50</v>
      </c>
      <c r="B51" s="253" t="inlineStr">
        <is>
          <t>Манометр технический</t>
        </is>
      </c>
      <c r="C51" s="254" t="inlineStr">
        <is>
          <t>МП4-УУ2</t>
        </is>
      </c>
      <c r="D51" s="246" t="inlineStr">
        <is>
          <t>15373</t>
        </is>
      </c>
      <c r="E51" s="248" t="inlineStr">
        <is>
          <t>2010</t>
        </is>
      </c>
      <c r="F51" s="254" t="inlineStr">
        <is>
          <t>0..160 кгс/см2</t>
        </is>
      </c>
      <c r="G51" s="254" t="inlineStr">
        <is>
          <t>1</t>
        </is>
      </c>
      <c r="H51" s="254" t="inlineStr">
        <is>
          <t>Р имп. газа кр. №35</t>
        </is>
      </c>
      <c r="I51" s="243" t="inlineStr">
        <is>
          <t>Узел подключения</t>
        </is>
      </c>
      <c r="J51" s="243" t="inlineStr">
        <is>
          <t>АСУ,А и ТМ (КЦ № 6)</t>
        </is>
      </c>
      <c r="K51" s="243" t="inlineStr">
        <is>
          <t>2012</t>
        </is>
      </c>
      <c r="L51" s="248" t="inlineStr">
        <is>
          <t>12</t>
        </is>
      </c>
      <c r="M51" s="246" t="inlineStr">
        <is>
          <t>2К26</t>
        </is>
      </c>
      <c r="N51" s="245" t="inlineStr">
        <is>
          <t>К</t>
        </is>
      </c>
    </row>
    <row r="52" ht="15" customHeight="1" s="236">
      <c r="A52" s="243" t="n">
        <v>51</v>
      </c>
      <c r="B52" s="253" t="inlineStr">
        <is>
          <t>Манометр технический</t>
        </is>
      </c>
      <c r="C52" s="254" t="inlineStr">
        <is>
          <t>МП4-УУ2</t>
        </is>
      </c>
      <c r="D52" s="246" t="inlineStr">
        <is>
          <t>700023</t>
        </is>
      </c>
      <c r="E52" s="248" t="inlineStr">
        <is>
          <t>2010</t>
        </is>
      </c>
      <c r="F52" s="254" t="inlineStr">
        <is>
          <t>0..16 МPa</t>
        </is>
      </c>
      <c r="G52" s="254" t="inlineStr">
        <is>
          <t>1</t>
        </is>
      </c>
      <c r="H52" s="254" t="inlineStr">
        <is>
          <t>Р имп. газа кр. №36</t>
        </is>
      </c>
      <c r="I52" s="243" t="inlineStr">
        <is>
          <t>Узел подключения</t>
        </is>
      </c>
      <c r="J52" s="243" t="inlineStr">
        <is>
          <t>АСУ,А и ТМ (КЦ № 6)</t>
        </is>
      </c>
      <c r="K52" s="243" t="inlineStr">
        <is>
          <t>2012</t>
        </is>
      </c>
      <c r="L52" s="248" t="inlineStr">
        <is>
          <t>12</t>
        </is>
      </c>
      <c r="M52" s="246" t="inlineStr">
        <is>
          <t>2К26</t>
        </is>
      </c>
      <c r="N52" s="245" t="inlineStr">
        <is>
          <t>К</t>
        </is>
      </c>
    </row>
    <row r="53" ht="15" customHeight="1" s="236">
      <c r="A53" s="243" t="n">
        <v>52</v>
      </c>
      <c r="B53" s="253" t="inlineStr">
        <is>
          <t>Манометр технический</t>
        </is>
      </c>
      <c r="C53" s="254" t="inlineStr">
        <is>
          <t>МП4-УУ2</t>
        </is>
      </c>
      <c r="D53" s="246" t="inlineStr">
        <is>
          <t>212032729</t>
        </is>
      </c>
      <c r="E53" s="248" t="inlineStr">
        <is>
          <t>2010</t>
        </is>
      </c>
      <c r="F53" s="254" t="inlineStr">
        <is>
          <t>0..16 МPa</t>
        </is>
      </c>
      <c r="G53" s="254" t="inlineStr">
        <is>
          <t>1.5</t>
        </is>
      </c>
      <c r="H53" s="254" t="inlineStr">
        <is>
          <t>Р имп. газа кр. №37</t>
        </is>
      </c>
      <c r="I53" s="243" t="inlineStr">
        <is>
          <t>Узел подключения</t>
        </is>
      </c>
      <c r="J53" s="243" t="inlineStr">
        <is>
          <t>АСУ,А и ТМ (КЦ № 6)</t>
        </is>
      </c>
      <c r="K53" s="243" t="inlineStr">
        <is>
          <t>2012</t>
        </is>
      </c>
      <c r="L53" s="248" t="inlineStr">
        <is>
          <t>12</t>
        </is>
      </c>
      <c r="M53" s="246" t="inlineStr">
        <is>
          <t>2К26</t>
        </is>
      </c>
      <c r="N53" s="245" t="inlineStr">
        <is>
          <t>К</t>
        </is>
      </c>
    </row>
    <row r="54" ht="15" customHeight="1" s="236">
      <c r="A54" s="243" t="n">
        <v>53</v>
      </c>
      <c r="B54" s="253" t="inlineStr">
        <is>
          <t>Манометр технический</t>
        </is>
      </c>
      <c r="C54" s="254" t="inlineStr">
        <is>
          <t>МП4-УУ2</t>
        </is>
      </c>
      <c r="D54" s="246" t="inlineStr">
        <is>
          <t>15386а</t>
        </is>
      </c>
      <c r="E54" s="248" t="inlineStr">
        <is>
          <t>2010</t>
        </is>
      </c>
      <c r="F54" s="254" t="inlineStr">
        <is>
          <t>0..160 кгс/см2</t>
        </is>
      </c>
      <c r="G54" s="254" t="inlineStr">
        <is>
          <t>1.5</t>
        </is>
      </c>
      <c r="H54" s="254" t="inlineStr">
        <is>
          <t>Р имп. газа кр. №41</t>
        </is>
      </c>
      <c r="I54" s="243" t="inlineStr">
        <is>
          <t>Узел подключения</t>
        </is>
      </c>
      <c r="J54" s="243" t="inlineStr">
        <is>
          <t>АСУ,А и ТМ (КЦ № 6)</t>
        </is>
      </c>
      <c r="K54" s="243" t="inlineStr">
        <is>
          <t>2012</t>
        </is>
      </c>
      <c r="L54" s="248" t="inlineStr">
        <is>
          <t>12</t>
        </is>
      </c>
      <c r="M54" s="246" t="inlineStr">
        <is>
          <t>2К26</t>
        </is>
      </c>
      <c r="N54" s="245" t="inlineStr">
        <is>
          <t>К</t>
        </is>
      </c>
    </row>
    <row r="55" ht="15" customHeight="1" s="236">
      <c r="A55" s="243" t="n">
        <v>54</v>
      </c>
      <c r="B55" s="253" t="inlineStr">
        <is>
          <t>Манометр технический</t>
        </is>
      </c>
      <c r="C55" s="254" t="inlineStr">
        <is>
          <t>МП4-УУ2</t>
        </is>
      </c>
      <c r="D55" s="246" t="inlineStr">
        <is>
          <t>30391</t>
        </is>
      </c>
      <c r="E55" s="248" t="inlineStr">
        <is>
          <t>2010</t>
        </is>
      </c>
      <c r="F55" s="254" t="inlineStr">
        <is>
          <t>0..160 кгс/см2</t>
        </is>
      </c>
      <c r="G55" s="254" t="inlineStr">
        <is>
          <t>1.5</t>
        </is>
      </c>
      <c r="H55" s="254" t="inlineStr">
        <is>
          <t>Р имп. газа кр. №42</t>
        </is>
      </c>
      <c r="I55" s="243" t="inlineStr">
        <is>
          <t>Узел подключения</t>
        </is>
      </c>
      <c r="J55" s="243" t="inlineStr">
        <is>
          <t>АСУ,А и ТМ (КЦ № 6)</t>
        </is>
      </c>
      <c r="K55" s="243" t="inlineStr">
        <is>
          <t>2012</t>
        </is>
      </c>
      <c r="L55" s="248" t="inlineStr">
        <is>
          <t>12</t>
        </is>
      </c>
      <c r="M55" s="246" t="inlineStr">
        <is>
          <t>2К26</t>
        </is>
      </c>
      <c r="N55" s="245" t="inlineStr">
        <is>
          <t>К</t>
        </is>
      </c>
    </row>
    <row r="56" ht="15" customHeight="1" s="236">
      <c r="A56" s="243" t="n">
        <v>55</v>
      </c>
      <c r="B56" s="253" t="inlineStr">
        <is>
          <t>Манометр технический</t>
        </is>
      </c>
      <c r="C56" s="254" t="inlineStr">
        <is>
          <t>МП4-УУ2</t>
        </is>
      </c>
      <c r="D56" s="246" t="inlineStr">
        <is>
          <t>30365</t>
        </is>
      </c>
      <c r="E56" s="248" t="inlineStr">
        <is>
          <t>2010</t>
        </is>
      </c>
      <c r="F56" s="254" t="inlineStr">
        <is>
          <t>0..160 кгс/см2</t>
        </is>
      </c>
      <c r="G56" s="254" t="inlineStr">
        <is>
          <t>1.5</t>
        </is>
      </c>
      <c r="H56" s="254" t="inlineStr">
        <is>
          <t>Р имп. газа кр. №43</t>
        </is>
      </c>
      <c r="I56" s="243" t="inlineStr">
        <is>
          <t>Узел подключения</t>
        </is>
      </c>
      <c r="J56" s="243" t="inlineStr">
        <is>
          <t>АСУ,А и ТМ (КЦ № 6)</t>
        </is>
      </c>
      <c r="K56" s="243" t="inlineStr">
        <is>
          <t>2012</t>
        </is>
      </c>
      <c r="L56" s="248" t="inlineStr">
        <is>
          <t>12</t>
        </is>
      </c>
      <c r="M56" s="246" t="inlineStr">
        <is>
          <t>2К26</t>
        </is>
      </c>
      <c r="N56" s="245" t="inlineStr">
        <is>
          <t>К</t>
        </is>
      </c>
    </row>
    <row r="57" ht="15" customHeight="1" s="236">
      <c r="A57" s="243" t="n">
        <v>56</v>
      </c>
      <c r="B57" s="253" t="inlineStr">
        <is>
          <t>Манометр технический</t>
        </is>
      </c>
      <c r="C57" s="254" t="inlineStr">
        <is>
          <t>МП4-УУ2</t>
        </is>
      </c>
      <c r="D57" s="246" t="inlineStr">
        <is>
          <t>15364</t>
        </is>
      </c>
      <c r="E57" s="248" t="inlineStr">
        <is>
          <t>2010</t>
        </is>
      </c>
      <c r="F57" s="254" t="inlineStr">
        <is>
          <t>0..160 кгс/см2</t>
        </is>
      </c>
      <c r="G57" s="254" t="inlineStr">
        <is>
          <t>1</t>
        </is>
      </c>
      <c r="H57" s="254" t="inlineStr">
        <is>
          <t>Р имп. газа кр. №43б</t>
        </is>
      </c>
      <c r="I57" s="243" t="inlineStr">
        <is>
          <t>Узел подключения</t>
        </is>
      </c>
      <c r="J57" s="243" t="inlineStr">
        <is>
          <t>АСУ,А и ТМ (КЦ № 6)</t>
        </is>
      </c>
      <c r="K57" s="243" t="inlineStr">
        <is>
          <t>2012</t>
        </is>
      </c>
      <c r="L57" s="248" t="inlineStr">
        <is>
          <t>12</t>
        </is>
      </c>
      <c r="M57" s="246" t="inlineStr">
        <is>
          <t>2К26</t>
        </is>
      </c>
      <c r="N57" s="245" t="inlineStr">
        <is>
          <t>К</t>
        </is>
      </c>
    </row>
    <row r="58" ht="15" customHeight="1" s="236">
      <c r="A58" s="243" t="n">
        <v>57</v>
      </c>
      <c r="B58" s="253" t="inlineStr">
        <is>
          <t>Манометр технический</t>
        </is>
      </c>
      <c r="C58" s="254" t="inlineStr">
        <is>
          <t>МП4-УУ2</t>
        </is>
      </c>
      <c r="D58" s="246" t="inlineStr">
        <is>
          <t>15235</t>
        </is>
      </c>
      <c r="E58" s="248" t="inlineStr">
        <is>
          <t>2010</t>
        </is>
      </c>
      <c r="F58" s="254" t="inlineStr">
        <is>
          <t>0..160 кгс/см2</t>
        </is>
      </c>
      <c r="G58" s="254" t="inlineStr">
        <is>
          <t>1.5</t>
        </is>
      </c>
      <c r="H58" s="254" t="inlineStr">
        <is>
          <t>Р имп. газа кр. №44</t>
        </is>
      </c>
      <c r="I58" s="243" t="inlineStr">
        <is>
          <t>Узел подключения</t>
        </is>
      </c>
      <c r="J58" s="243" t="inlineStr">
        <is>
          <t>АСУ,А и ТМ (КЦ № 6)</t>
        </is>
      </c>
      <c r="K58" s="243" t="inlineStr">
        <is>
          <t>2012</t>
        </is>
      </c>
      <c r="L58" s="248" t="inlineStr">
        <is>
          <t>12</t>
        </is>
      </c>
      <c r="M58" s="246" t="inlineStr">
        <is>
          <t>2К26</t>
        </is>
      </c>
      <c r="N58" s="245" t="inlineStr">
        <is>
          <t>К</t>
        </is>
      </c>
    </row>
    <row r="59" ht="15" customHeight="1" s="236">
      <c r="A59" s="243" t="n">
        <v>58</v>
      </c>
      <c r="B59" s="253" t="inlineStr">
        <is>
          <t>Манометр технический</t>
        </is>
      </c>
      <c r="C59" s="254" t="inlineStr">
        <is>
          <t>МП4-УУ2</t>
        </is>
      </c>
      <c r="D59" s="246" t="inlineStr">
        <is>
          <t>15484</t>
        </is>
      </c>
      <c r="E59" s="248" t="inlineStr">
        <is>
          <t>2010</t>
        </is>
      </c>
      <c r="F59" s="254" t="inlineStr">
        <is>
          <t>0..160 кгс/см2</t>
        </is>
      </c>
      <c r="G59" s="254" t="inlineStr">
        <is>
          <t>1</t>
        </is>
      </c>
      <c r="H59" s="254" t="inlineStr">
        <is>
          <t>Р имп. газа кр. №45</t>
        </is>
      </c>
      <c r="I59" s="243" t="inlineStr">
        <is>
          <t>Узел подключения</t>
        </is>
      </c>
      <c r="J59" s="243" t="inlineStr">
        <is>
          <t>АСУ,А и ТМ (КЦ № 6)</t>
        </is>
      </c>
      <c r="K59" s="243" t="inlineStr">
        <is>
          <t>2012</t>
        </is>
      </c>
      <c r="L59" s="248" t="inlineStr">
        <is>
          <t>12</t>
        </is>
      </c>
      <c r="M59" s="246" t="inlineStr">
        <is>
          <t>2К26</t>
        </is>
      </c>
      <c r="N59" s="245" t="inlineStr">
        <is>
          <t>К</t>
        </is>
      </c>
    </row>
    <row r="60" ht="15" customHeight="1" s="236">
      <c r="A60" s="243" t="n">
        <v>59</v>
      </c>
      <c r="B60" s="253" t="inlineStr">
        <is>
          <t>Манометр технический</t>
        </is>
      </c>
      <c r="C60" s="254" t="inlineStr">
        <is>
          <t>МП4-УУ2</t>
        </is>
      </c>
      <c r="D60" s="246" t="inlineStr">
        <is>
          <t>15199</t>
        </is>
      </c>
      <c r="E60" s="248" t="inlineStr">
        <is>
          <t>2010</t>
        </is>
      </c>
      <c r="F60" s="254" t="inlineStr">
        <is>
          <t>0..160 кгс/см2</t>
        </is>
      </c>
      <c r="G60" s="254" t="inlineStr">
        <is>
          <t>1.5</t>
        </is>
      </c>
      <c r="H60" s="254" t="inlineStr">
        <is>
          <t>Р имп. газа кр. №46</t>
        </is>
      </c>
      <c r="I60" s="243" t="inlineStr">
        <is>
          <t>Узел подключения</t>
        </is>
      </c>
      <c r="J60" s="243" t="inlineStr">
        <is>
          <t>АСУ,А и ТМ (КЦ № 6)</t>
        </is>
      </c>
      <c r="K60" s="243" t="inlineStr">
        <is>
          <t>2012</t>
        </is>
      </c>
      <c r="L60" s="248" t="inlineStr">
        <is>
          <t>12</t>
        </is>
      </c>
      <c r="M60" s="246" t="inlineStr">
        <is>
          <t>2К26</t>
        </is>
      </c>
      <c r="N60" s="245" t="inlineStr">
        <is>
          <t>К</t>
        </is>
      </c>
    </row>
    <row r="61" ht="15" customHeight="1" s="236">
      <c r="A61" s="243" t="n">
        <v>60</v>
      </c>
      <c r="B61" s="253" t="inlineStr">
        <is>
          <t>Манометр технический</t>
        </is>
      </c>
      <c r="C61" s="254" t="inlineStr">
        <is>
          <t>МП4-УУ2</t>
        </is>
      </c>
      <c r="D61" s="246" t="inlineStr">
        <is>
          <t>232015798</t>
        </is>
      </c>
      <c r="E61" s="248" t="inlineStr">
        <is>
          <t>2010</t>
        </is>
      </c>
      <c r="F61" s="254" t="inlineStr">
        <is>
          <t>0..160 кгс/см2</t>
        </is>
      </c>
      <c r="G61" s="254" t="inlineStr">
        <is>
          <t>1</t>
        </is>
      </c>
      <c r="H61" s="254" t="inlineStr">
        <is>
          <t>Р имп. газа кр. №47</t>
        </is>
      </c>
      <c r="I61" s="243" t="inlineStr">
        <is>
          <t>Узел подключения</t>
        </is>
      </c>
      <c r="J61" s="243" t="inlineStr">
        <is>
          <t>АСУ,А и ТМ (КЦ № 6)</t>
        </is>
      </c>
      <c r="K61" s="243" t="inlineStr">
        <is>
          <t>2012</t>
        </is>
      </c>
      <c r="L61" s="248" t="inlineStr">
        <is>
          <t>12</t>
        </is>
      </c>
      <c r="M61" s="246" t="inlineStr">
        <is>
          <t>2К26</t>
        </is>
      </c>
      <c r="N61" s="245" t="inlineStr">
        <is>
          <t>К</t>
        </is>
      </c>
    </row>
    <row r="62" ht="15" customHeight="1" s="236">
      <c r="A62" s="243" t="n">
        <v>61</v>
      </c>
      <c r="B62" s="253" t="inlineStr">
        <is>
          <t>Манометр технический</t>
        </is>
      </c>
      <c r="C62" s="254" t="inlineStr">
        <is>
          <t>МП4-УУ2</t>
        </is>
      </c>
      <c r="D62" s="246" t="inlineStr">
        <is>
          <t>80258</t>
        </is>
      </c>
      <c r="E62" s="248" t="inlineStr">
        <is>
          <t>2010</t>
        </is>
      </c>
      <c r="F62" s="254" t="inlineStr">
        <is>
          <t>0..160 кгс/см2</t>
        </is>
      </c>
      <c r="G62" s="254" t="inlineStr">
        <is>
          <t>1</t>
        </is>
      </c>
      <c r="H62" s="254" t="inlineStr">
        <is>
          <t>Р газа до кр. №Г-6КП</t>
        </is>
      </c>
      <c r="I62" s="243" t="inlineStr">
        <is>
          <t>Узел подключения</t>
        </is>
      </c>
      <c r="J62" s="243" t="inlineStr">
        <is>
          <t>АСУ,А и ТМ (КЦ № 6)</t>
        </is>
      </c>
      <c r="K62" s="243" t="inlineStr">
        <is>
          <t>2012</t>
        </is>
      </c>
      <c r="L62" s="248" t="inlineStr">
        <is>
          <t>12</t>
        </is>
      </c>
      <c r="M62" s="246" t="inlineStr">
        <is>
          <t>2К26</t>
        </is>
      </c>
      <c r="N62" s="245" t="inlineStr">
        <is>
          <t>К</t>
        </is>
      </c>
    </row>
    <row r="63" ht="15" customHeight="1" s="236">
      <c r="A63" s="243" t="n">
        <v>62</v>
      </c>
      <c r="B63" s="253" t="inlineStr">
        <is>
          <t>Манометр технический</t>
        </is>
      </c>
      <c r="C63" s="254" t="inlineStr">
        <is>
          <t>МП4-УУ2</t>
        </is>
      </c>
      <c r="D63" s="246" t="inlineStr">
        <is>
          <t>80357</t>
        </is>
      </c>
      <c r="E63" s="248" t="inlineStr">
        <is>
          <t>2010</t>
        </is>
      </c>
      <c r="F63" s="254" t="inlineStr">
        <is>
          <t>0..160 кгс/см2</t>
        </is>
      </c>
      <c r="G63" s="254" t="inlineStr">
        <is>
          <t>1</t>
        </is>
      </c>
      <c r="H63" s="254" t="inlineStr">
        <is>
          <t>Р газа после кр. №Г-6КП</t>
        </is>
      </c>
      <c r="I63" s="243" t="inlineStr">
        <is>
          <t>Узел подключения</t>
        </is>
      </c>
      <c r="J63" s="243" t="inlineStr">
        <is>
          <t>АСУ,А и ТМ (КЦ № 6)</t>
        </is>
      </c>
      <c r="K63" s="243" t="inlineStr">
        <is>
          <t>2012</t>
        </is>
      </c>
      <c r="L63" s="248" t="inlineStr">
        <is>
          <t>12</t>
        </is>
      </c>
      <c r="M63" s="246" t="inlineStr">
        <is>
          <t>2К26</t>
        </is>
      </c>
      <c r="N63" s="245" t="inlineStr">
        <is>
          <t>К</t>
        </is>
      </c>
    </row>
    <row r="64" ht="15" customHeight="1" s="236">
      <c r="A64" s="243" t="n">
        <v>63</v>
      </c>
      <c r="B64" s="253" t="inlineStr">
        <is>
          <t>Манометр технический</t>
        </is>
      </c>
      <c r="C64" s="254" t="inlineStr">
        <is>
          <t>МП4-УФБСУХЛ1</t>
        </is>
      </c>
      <c r="D64" s="246" t="inlineStr">
        <is>
          <t>308915</t>
        </is>
      </c>
      <c r="E64" s="248" t="inlineStr">
        <is>
          <t>2010</t>
        </is>
      </c>
      <c r="F64" s="254" t="inlineStr">
        <is>
          <t>0..16 МPa</t>
        </is>
      </c>
      <c r="G64" s="254" t="inlineStr">
        <is>
          <t>1</t>
        </is>
      </c>
      <c r="H64" s="254" t="inlineStr">
        <is>
          <t>Р имп. газа кр. №Г-6КП</t>
        </is>
      </c>
      <c r="I64" s="243" t="inlineStr">
        <is>
          <t>Узел подключения</t>
        </is>
      </c>
      <c r="J64" s="243" t="inlineStr">
        <is>
          <t>АСУ,А и ТМ (КЦ № 6)</t>
        </is>
      </c>
      <c r="K64" s="243" t="inlineStr">
        <is>
          <t>2012</t>
        </is>
      </c>
      <c r="L64" s="248" t="inlineStr">
        <is>
          <t>12</t>
        </is>
      </c>
      <c r="M64" s="246" t="inlineStr">
        <is>
          <t>2К26</t>
        </is>
      </c>
      <c r="N64" s="245" t="inlineStr">
        <is>
          <t>К</t>
        </is>
      </c>
    </row>
    <row r="65" ht="15" customHeight="1" s="236">
      <c r="A65" s="243" t="n">
        <v>64</v>
      </c>
      <c r="B65" s="253" t="inlineStr">
        <is>
          <t>Манометр технический</t>
        </is>
      </c>
      <c r="C65" s="254" t="inlineStr">
        <is>
          <t>МП4-УУ2</t>
        </is>
      </c>
      <c r="D65" s="246" t="inlineStr">
        <is>
          <t>15198</t>
        </is>
      </c>
      <c r="E65" s="248" t="inlineStr">
        <is>
          <t>2010</t>
        </is>
      </c>
      <c r="F65" s="254" t="inlineStr">
        <is>
          <t>0..160 кгс/см2</t>
        </is>
      </c>
      <c r="G65" s="254" t="inlineStr">
        <is>
          <t>1.5</t>
        </is>
      </c>
      <c r="H65" s="254" t="inlineStr">
        <is>
          <t>Р газа до кр. №Г-6КЗ</t>
        </is>
      </c>
      <c r="I65" s="243" t="inlineStr">
        <is>
          <t>Узел подключения</t>
        </is>
      </c>
      <c r="J65" s="243" t="inlineStr">
        <is>
          <t>АСУ,А и ТМ (КЦ № 6)</t>
        </is>
      </c>
      <c r="K65" s="243" t="inlineStr">
        <is>
          <t>2012</t>
        </is>
      </c>
      <c r="L65" s="248" t="inlineStr">
        <is>
          <t>12</t>
        </is>
      </c>
      <c r="M65" s="246" t="inlineStr">
        <is>
          <t>2К26</t>
        </is>
      </c>
      <c r="N65" s="245" t="inlineStr">
        <is>
          <t>К</t>
        </is>
      </c>
    </row>
    <row r="66" ht="15" customHeight="1" s="236">
      <c r="A66" s="243" t="n">
        <v>65</v>
      </c>
      <c r="B66" s="253" t="inlineStr">
        <is>
          <t>Манометр технический</t>
        </is>
      </c>
      <c r="C66" s="254" t="inlineStr">
        <is>
          <t>МП4-УУ2</t>
        </is>
      </c>
      <c r="D66" s="246" t="inlineStr">
        <is>
          <t>15473</t>
        </is>
      </c>
      <c r="E66" s="248" t="inlineStr">
        <is>
          <t>2010</t>
        </is>
      </c>
      <c r="F66" s="254" t="inlineStr">
        <is>
          <t>0..160 кгс/см2</t>
        </is>
      </c>
      <c r="G66" s="254" t="inlineStr">
        <is>
          <t>1.5</t>
        </is>
      </c>
      <c r="H66" s="254" t="inlineStr">
        <is>
          <t>Р имп. газа кр. №Г-6КЗ</t>
        </is>
      </c>
      <c r="I66" s="243" t="inlineStr">
        <is>
          <t>Узел подключения</t>
        </is>
      </c>
      <c r="J66" s="243" t="inlineStr">
        <is>
          <t>АСУ,А и ТМ (КЦ № 6)</t>
        </is>
      </c>
      <c r="K66" s="243" t="inlineStr">
        <is>
          <t>2012</t>
        </is>
      </c>
      <c r="L66" s="248" t="inlineStr">
        <is>
          <t>12</t>
        </is>
      </c>
      <c r="M66" s="246" t="inlineStr">
        <is>
          <t>2К26</t>
        </is>
      </c>
      <c r="N66" s="245" t="inlineStr">
        <is>
          <t>К</t>
        </is>
      </c>
    </row>
    <row r="67" ht="15" customHeight="1" s="236">
      <c r="A67" s="243" t="n">
        <v>66</v>
      </c>
      <c r="B67" s="253" t="inlineStr">
        <is>
          <t>Манометр технический</t>
        </is>
      </c>
      <c r="C67" s="254" t="inlineStr">
        <is>
          <t>МП4-УУ2</t>
        </is>
      </c>
      <c r="D67" s="246" t="inlineStr">
        <is>
          <t>15381а</t>
        </is>
      </c>
      <c r="E67" s="248" t="inlineStr">
        <is>
          <t>2010</t>
        </is>
      </c>
      <c r="F67" s="254" t="inlineStr">
        <is>
          <t>0..160 кгс/см2</t>
        </is>
      </c>
      <c r="G67" s="254" t="inlineStr">
        <is>
          <t>1.5</t>
        </is>
      </c>
      <c r="H67" s="254" t="inlineStr">
        <is>
          <t>Р конденсата в инвентарной емкости</t>
        </is>
      </c>
      <c r="I67" s="243" t="inlineStr">
        <is>
          <t>Узел подключения</t>
        </is>
      </c>
      <c r="J67" s="243" t="inlineStr">
        <is>
          <t>АСУ,А и ТМ (КЦ № 6)</t>
        </is>
      </c>
      <c r="K67" s="243" t="inlineStr">
        <is>
          <t>2012</t>
        </is>
      </c>
      <c r="L67" s="248" t="inlineStr">
        <is>
          <t>12</t>
        </is>
      </c>
      <c r="M67" s="246" t="inlineStr">
        <is>
          <t>2К26</t>
        </is>
      </c>
      <c r="N67" s="245" t="inlineStr">
        <is>
          <t>К</t>
        </is>
      </c>
    </row>
    <row r="68" ht="22.5" customHeight="1" s="236">
      <c r="A68" s="243" t="n">
        <v>67</v>
      </c>
      <c r="B68" s="253" t="inlineStr">
        <is>
          <t>Манометр технический</t>
        </is>
      </c>
      <c r="C68" s="254" t="inlineStr">
        <is>
          <t>ТМ6</t>
        </is>
      </c>
      <c r="D68" s="246" t="inlineStr">
        <is>
          <t>15401</t>
        </is>
      </c>
      <c r="E68" s="248" t="inlineStr">
        <is>
          <t>2010</t>
        </is>
      </c>
      <c r="F68" s="254" t="inlineStr">
        <is>
          <t>0..6 кгс/см2</t>
        </is>
      </c>
      <c r="G68" s="254" t="inlineStr">
        <is>
          <t>1.5</t>
        </is>
      </c>
      <c r="H68" s="254" t="inlineStr">
        <is>
          <t>Р конденсата в емкости сбора конденсата</t>
        </is>
      </c>
      <c r="I68" s="243" t="inlineStr">
        <is>
          <t>Узел подключения</t>
        </is>
      </c>
      <c r="J68" s="243" t="inlineStr">
        <is>
          <t>АСУ,А и ТМ (КЦ № 6)</t>
        </is>
      </c>
      <c r="K68" s="243" t="inlineStr">
        <is>
          <t>2012</t>
        </is>
      </c>
      <c r="L68" s="248" t="inlineStr">
        <is>
          <t>12</t>
        </is>
      </c>
      <c r="M68" s="246" t="inlineStr">
        <is>
          <t>2К26</t>
        </is>
      </c>
      <c r="N68" s="245" t="inlineStr">
        <is>
          <t>К</t>
        </is>
      </c>
    </row>
    <row r="69" ht="15" customHeight="1" s="236">
      <c r="A69" s="243" t="n">
        <v>68</v>
      </c>
      <c r="B69" s="253" t="inlineStr">
        <is>
          <t>Манометр технический</t>
        </is>
      </c>
      <c r="C69" s="254" t="inlineStr">
        <is>
          <t>МП4-У</t>
        </is>
      </c>
      <c r="D69" s="246" t="inlineStr">
        <is>
          <t>2296</t>
        </is>
      </c>
      <c r="E69" s="248" t="inlineStr">
        <is>
          <t>2010</t>
        </is>
      </c>
      <c r="F69" s="254" t="inlineStr">
        <is>
          <t>0..6 кгс/см2</t>
        </is>
      </c>
      <c r="G69" s="254" t="inlineStr">
        <is>
          <t>1</t>
        </is>
      </c>
      <c r="H69" s="254" t="inlineStr">
        <is>
          <t>Р конденсата на сливе</t>
        </is>
      </c>
      <c r="I69" s="243" t="inlineStr">
        <is>
          <t>Узел подключения</t>
        </is>
      </c>
      <c r="J69" s="243" t="inlineStr">
        <is>
          <t>АСУ,А и ТМ (КЦ № 6)</t>
        </is>
      </c>
      <c r="K69" s="243" t="inlineStr">
        <is>
          <t>2012</t>
        </is>
      </c>
      <c r="L69" s="248" t="inlineStr">
        <is>
          <t>12</t>
        </is>
      </c>
      <c r="M69" s="246" t="inlineStr">
        <is>
          <t>2К26</t>
        </is>
      </c>
      <c r="N69" s="245" t="inlineStr">
        <is>
          <t>К</t>
        </is>
      </c>
    </row>
    <row r="70" ht="15" customHeight="1" s="236">
      <c r="A70" s="243" t="n">
        <v>69</v>
      </c>
      <c r="B70" s="253" t="inlineStr">
        <is>
          <t>Манометр технический</t>
        </is>
      </c>
      <c r="C70" s="254" t="inlineStr">
        <is>
          <t>МП4-УУ2</t>
        </is>
      </c>
      <c r="D70" s="246" t="inlineStr">
        <is>
          <t>15196</t>
        </is>
      </c>
      <c r="E70" s="248" t="inlineStr">
        <is>
          <t>2010</t>
        </is>
      </c>
      <c r="F70" s="254" t="inlineStr">
        <is>
          <t>0..160 кгс/см2</t>
        </is>
      </c>
      <c r="G70" s="254" t="inlineStr">
        <is>
          <t>1.5</t>
        </is>
      </c>
      <c r="H70" s="254" t="inlineStr">
        <is>
          <t>Рг в камере запуска</t>
        </is>
      </c>
      <c r="I70" s="243" t="inlineStr">
        <is>
          <t>Узел подключения</t>
        </is>
      </c>
      <c r="J70" s="243" t="inlineStr">
        <is>
          <t>АСУ,А и ТМ (КЦ № 6)</t>
        </is>
      </c>
      <c r="K70" s="243" t="inlineStr">
        <is>
          <t>2012</t>
        </is>
      </c>
      <c r="L70" s="248" t="inlineStr">
        <is>
          <t>12</t>
        </is>
      </c>
      <c r="M70" s="246" t="inlineStr">
        <is>
          <t>26ДЯУ</t>
        </is>
      </c>
      <c r="N70" s="245" t="inlineStr">
        <is>
          <t>П</t>
        </is>
      </c>
    </row>
    <row r="71" ht="15" customHeight="1" s="236">
      <c r="A71" s="243" t="n">
        <v>70</v>
      </c>
      <c r="B71" s="253" t="inlineStr">
        <is>
          <t>Манометр технический</t>
        </is>
      </c>
      <c r="C71" s="254" t="inlineStr">
        <is>
          <t>МП4-УУ2</t>
        </is>
      </c>
      <c r="D71" s="246" t="inlineStr">
        <is>
          <t>15181</t>
        </is>
      </c>
      <c r="E71" s="248" t="inlineStr">
        <is>
          <t>2006</t>
        </is>
      </c>
      <c r="F71" s="254" t="inlineStr">
        <is>
          <t>0..160 кгс/см2</t>
        </is>
      </c>
      <c r="G71" s="254" t="inlineStr">
        <is>
          <t>1.5</t>
        </is>
      </c>
      <c r="H71" s="254" t="inlineStr">
        <is>
          <t>Рг в камере приема</t>
        </is>
      </c>
      <c r="I71" s="243" t="inlineStr">
        <is>
          <t>Узел подключения</t>
        </is>
      </c>
      <c r="J71" s="243" t="inlineStr">
        <is>
          <t>АСУ,А и ТМ (КЦ № 6)</t>
        </is>
      </c>
      <c r="K71" s="243" t="inlineStr">
        <is>
          <t>2012</t>
        </is>
      </c>
      <c r="L71" s="248" t="inlineStr">
        <is>
          <t>12</t>
        </is>
      </c>
      <c r="M71" s="246" t="inlineStr">
        <is>
          <t>26ДЯУ</t>
        </is>
      </c>
      <c r="N71" s="245" t="inlineStr">
        <is>
          <t>П</t>
        </is>
      </c>
    </row>
  </sheetData>
  <conditionalFormatting sqref="M1:M1048576">
    <cfRule type="expression" rank="0" priority="2" equalAverage="0" aboveAverage="0" dxfId="1" text="" percent="0" bottom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orizontalCentered="0" verticalCentered="0" headings="0" gridLines="0" gridLinesSet="1"/>
  <pageMargins left="0.590277777777778" right="0.196527777777778" top="0.196527777777778" bottom="0.747916666666667" header="0.511805555555555" footer="0.511805555555555"/>
  <pageSetup orientation="landscape" paperSize="9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N6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3" activePane="bottomLeft" state="frozen"/>
      <selection pane="topLeft" activeCell="A1" activeCellId="0" sqref="A1"/>
      <selection pane="bottomLeft" activeCell="M26" activeCellId="0" sqref="M26"/>
    </sheetView>
  </sheetViews>
  <sheetFormatPr baseColWidth="8" defaultColWidth="9.15625" defaultRowHeight="15" zeroHeight="0" outlineLevelRow="0"/>
  <cols>
    <col width="3.14" customWidth="1" style="235" min="1" max="1"/>
    <col width="22.57" customWidth="1" style="235" min="2" max="2"/>
    <col width="20.14" customWidth="1" style="235" min="3" max="3"/>
    <col width="15.29" customWidth="1" style="235" min="4" max="4"/>
    <col width="6.57" customWidth="1" style="235" min="5" max="5"/>
    <col width="8.859999999999999" customWidth="1" style="235" min="6" max="6"/>
    <col width="7.42" customWidth="1" style="235" min="7" max="7"/>
    <col width="20.29" customWidth="1" style="235" min="8" max="8"/>
    <col width="8" customWidth="1" style="235" min="9" max="9"/>
    <col width="17.42" customWidth="1" style="235" min="10" max="10"/>
    <col width="8" customWidth="1" style="235" min="11" max="11"/>
    <col width="9" customWidth="1" style="235" min="12" max="12"/>
    <col width="8.859999999999999" customWidth="1" style="235" min="13" max="13"/>
    <col width="9" customWidth="1" style="235" min="14" max="14"/>
    <col width="9.140000000000001" customWidth="1" style="235" min="15" max="1024"/>
  </cols>
  <sheetData>
    <row r="1" ht="45" customHeight="1" s="236">
      <c r="A1" s="239" t="inlineStr">
        <is>
          <t>№ п/п</t>
        </is>
      </c>
      <c r="B1" s="239" t="inlineStr">
        <is>
          <t>Наименование</t>
        </is>
      </c>
      <c r="C1" s="239" t="inlineStr">
        <is>
          <t>Тип</t>
        </is>
      </c>
      <c r="D1" s="239" t="inlineStr">
        <is>
          <t>Заводской 
номер</t>
        </is>
      </c>
      <c r="E1" s="240" t="inlineStr">
        <is>
          <t>Год
выпуска</t>
        </is>
      </c>
      <c r="F1" s="239" t="inlineStr">
        <is>
          <t>Диапазон измерений</t>
        </is>
      </c>
      <c r="G1" s="239" t="inlineStr">
        <is>
          <t>Класс точности</t>
        </is>
      </c>
      <c r="H1" s="239" t="inlineStr">
        <is>
          <t>Место установки СИ</t>
        </is>
      </c>
      <c r="I1" s="239" t="inlineStr">
        <is>
          <t>Объект установки</t>
        </is>
      </c>
      <c r="J1" s="239" t="inlineStr">
        <is>
          <t>Подразделение</t>
        </is>
      </c>
      <c r="K1" s="239" t="inlineStr">
        <is>
          <t>Дата установки</t>
        </is>
      </c>
      <c r="L1" s="239" t="inlineStr">
        <is>
          <t>Межповерочный интервал, мес.</t>
        </is>
      </c>
      <c r="M1" s="240" t="inlineStr">
        <is>
          <t>Дата последней поверки / калибровки</t>
        </is>
      </c>
      <c r="N1" s="239" t="inlineStr">
        <is>
          <t>Поверка (П)/ Калибровка (К)</t>
        </is>
      </c>
    </row>
    <row r="2" ht="22.5" customHeight="1" s="236">
      <c r="A2" s="239" t="n">
        <v>1</v>
      </c>
      <c r="B2" s="240" t="inlineStr">
        <is>
          <t>Термометр сопротивления</t>
        </is>
      </c>
      <c r="C2" s="239" t="inlineStr">
        <is>
          <t>ТСПУ 014.51</t>
        </is>
      </c>
      <c r="D2" s="239" t="inlineStr">
        <is>
          <t>376</t>
        </is>
      </c>
      <c r="E2" s="239" t="inlineStr">
        <is>
          <t>2011</t>
        </is>
      </c>
      <c r="F2" s="252" t="inlineStr">
        <is>
          <t>-50..+100 °С</t>
        </is>
      </c>
      <c r="G2" s="284" t="inlineStr">
        <is>
          <t>0.50%</t>
        </is>
      </c>
      <c r="H2" s="239" t="inlineStr">
        <is>
          <t>Температура воздуха в блоке автоматики УПГ</t>
        </is>
      </c>
      <c r="I2" s="239" t="inlineStr">
        <is>
          <t>УПГ</t>
        </is>
      </c>
      <c r="J2" s="239" t="inlineStr">
        <is>
          <t>АСУ,А и ТМ (КЦ № 6)</t>
        </is>
      </c>
      <c r="K2" s="239" t="inlineStr">
        <is>
          <t>2013</t>
        </is>
      </c>
      <c r="L2" s="251" t="inlineStr">
        <is>
          <t>24</t>
        </is>
      </c>
      <c r="M2" s="240" t="inlineStr"/>
      <c r="N2" s="242" t="inlineStr"/>
    </row>
    <row r="3" ht="22.5" customHeight="1" s="236">
      <c r="A3" s="243" t="n">
        <v>2</v>
      </c>
      <c r="B3" s="246" t="inlineStr">
        <is>
          <t>Термометр сопротивления</t>
        </is>
      </c>
      <c r="C3" s="243" t="inlineStr">
        <is>
          <t>ТСПУ 014.55</t>
        </is>
      </c>
      <c r="D3" s="243" t="inlineStr">
        <is>
          <t>74</t>
        </is>
      </c>
      <c r="E3" s="243" t="inlineStr">
        <is>
          <t>2011</t>
        </is>
      </c>
      <c r="F3" s="254" t="inlineStr">
        <is>
          <t>0..+200 °С</t>
        </is>
      </c>
      <c r="G3" s="285" t="inlineStr">
        <is>
          <t>0.50%</t>
        </is>
      </c>
      <c r="H3" s="243" t="inlineStr">
        <is>
          <t>Температура антифриза в ЭПГ 800/2</t>
        </is>
      </c>
      <c r="I3" s="243" t="inlineStr">
        <is>
          <t>УПГ</t>
        </is>
      </c>
      <c r="J3" s="243" t="inlineStr">
        <is>
          <t>АСУ,А и ТМ (КЦ № 6)</t>
        </is>
      </c>
      <c r="K3" s="243" t="inlineStr">
        <is>
          <t>2012</t>
        </is>
      </c>
      <c r="L3" s="248" t="inlineStr">
        <is>
          <t>24</t>
        </is>
      </c>
      <c r="M3" s="246" t="inlineStr"/>
      <c r="N3" s="245" t="inlineStr"/>
    </row>
    <row r="4" ht="22.5" customHeight="1" s="236">
      <c r="A4" s="243" t="n">
        <v>3</v>
      </c>
      <c r="B4" s="246" t="inlineStr">
        <is>
          <t>Термометр сопротивления</t>
        </is>
      </c>
      <c r="C4" s="243" t="inlineStr">
        <is>
          <t>ТСПУ 014.55</t>
        </is>
      </c>
      <c r="D4" s="243" t="inlineStr">
        <is>
          <t>87</t>
        </is>
      </c>
      <c r="E4" s="243" t="inlineStr">
        <is>
          <t>2011</t>
        </is>
      </c>
      <c r="F4" s="254" t="inlineStr">
        <is>
          <t>0..+200 °С</t>
        </is>
      </c>
      <c r="G4" s="285" t="inlineStr">
        <is>
          <t>0.50%</t>
        </is>
      </c>
      <c r="H4" s="243" t="inlineStr">
        <is>
          <t>Температура масла в конвекторе ЕК1</t>
        </is>
      </c>
      <c r="I4" s="243" t="inlineStr">
        <is>
          <t>УПГ</t>
        </is>
      </c>
      <c r="J4" s="243" t="inlineStr">
        <is>
          <t>АСУ,А и ТМ (КЦ № 6)</t>
        </is>
      </c>
      <c r="K4" s="243" t="inlineStr">
        <is>
          <t>2012</t>
        </is>
      </c>
      <c r="L4" s="248" t="inlineStr">
        <is>
          <t>24</t>
        </is>
      </c>
      <c r="M4" s="246" t="inlineStr"/>
      <c r="N4" s="245" t="inlineStr"/>
    </row>
    <row r="5" ht="33.75" customHeight="1" s="236">
      <c r="A5" s="243" t="n">
        <v>4</v>
      </c>
      <c r="B5" s="246" t="inlineStr">
        <is>
          <t>Термометр сопротивления</t>
        </is>
      </c>
      <c r="C5" s="243" t="inlineStr">
        <is>
          <t>ТСПУ 030.МП</t>
        </is>
      </c>
      <c r="D5" s="243" t="inlineStr">
        <is>
          <t>2</t>
        </is>
      </c>
      <c r="E5" s="243" t="inlineStr">
        <is>
          <t>2011</t>
        </is>
      </c>
      <c r="F5" s="254" t="inlineStr">
        <is>
          <t>-50..+500 °С</t>
        </is>
      </c>
      <c r="G5" s="285" t="inlineStr">
        <is>
          <t>0.50%</t>
        </is>
      </c>
      <c r="H5" s="243" t="inlineStr">
        <is>
          <t>Температура газа регенерац. на входе в АТ401</t>
        </is>
      </c>
      <c r="I5" s="243" t="inlineStr">
        <is>
          <t>УПГ</t>
        </is>
      </c>
      <c r="J5" s="243" t="inlineStr">
        <is>
          <t>АСУ,А и ТМ (КЦ № 6)</t>
        </is>
      </c>
      <c r="K5" s="243" t="inlineStr">
        <is>
          <t>2012</t>
        </is>
      </c>
      <c r="L5" s="248" t="inlineStr">
        <is>
          <t>24</t>
        </is>
      </c>
      <c r="M5" s="246" t="inlineStr"/>
      <c r="N5" s="245" t="inlineStr"/>
    </row>
    <row r="6" ht="33.75" customHeight="1" s="236">
      <c r="A6" s="243" t="n">
        <v>5</v>
      </c>
      <c r="B6" s="246" t="inlineStr">
        <is>
          <t>Термометр сопротивления</t>
        </is>
      </c>
      <c r="C6" s="243" t="inlineStr">
        <is>
          <t>ТСПУ 030.МП</t>
        </is>
      </c>
      <c r="D6" s="243" t="inlineStr">
        <is>
          <t>1</t>
        </is>
      </c>
      <c r="E6" s="243" t="inlineStr">
        <is>
          <t>2011</t>
        </is>
      </c>
      <c r="F6" s="254" t="inlineStr">
        <is>
          <t>-50..+500 °С</t>
        </is>
      </c>
      <c r="G6" s="285" t="inlineStr">
        <is>
          <t>0.50%</t>
        </is>
      </c>
      <c r="H6" s="243" t="inlineStr">
        <is>
          <t>Температура газа регенерац. на выходе в АТ401</t>
        </is>
      </c>
      <c r="I6" s="243" t="inlineStr">
        <is>
          <t>УПГ</t>
        </is>
      </c>
      <c r="J6" s="243" t="inlineStr">
        <is>
          <t>АСУ,А и ТМ (КЦ № 6)</t>
        </is>
      </c>
      <c r="K6" s="243" t="inlineStr">
        <is>
          <t>2012</t>
        </is>
      </c>
      <c r="L6" s="248" t="inlineStr">
        <is>
          <t>24</t>
        </is>
      </c>
      <c r="M6" s="246" t="inlineStr"/>
      <c r="N6" s="245" t="inlineStr"/>
    </row>
    <row r="7" ht="22.5" customHeight="1" s="236">
      <c r="A7" s="243" t="n">
        <v>6</v>
      </c>
      <c r="B7" s="255" t="inlineStr">
        <is>
          <t>Преобразователь избыточного давления</t>
        </is>
      </c>
      <c r="C7" s="243" t="inlineStr">
        <is>
          <t>Honeywell STG-97L</t>
        </is>
      </c>
      <c r="D7" s="243" t="inlineStr">
        <is>
          <t>11W03 C3287149003073</t>
        </is>
      </c>
      <c r="E7" s="243" t="inlineStr">
        <is>
          <t>2011</t>
        </is>
      </c>
      <c r="F7" s="254" t="inlineStr">
        <is>
          <t>0..10 Mpa</t>
        </is>
      </c>
      <c r="G7" s="285" t="inlineStr">
        <is>
          <t>0.075</t>
        </is>
      </c>
      <c r="H7" s="243" t="inlineStr">
        <is>
          <t>Давление газа на входе в УПГ</t>
        </is>
      </c>
      <c r="I7" s="243" t="inlineStr">
        <is>
          <t>УПГ</t>
        </is>
      </c>
      <c r="J7" s="243" t="inlineStr">
        <is>
          <t>АСУ,А и ТМ (КЦ № 6)</t>
        </is>
      </c>
      <c r="K7" s="243" t="inlineStr">
        <is>
          <t>2012</t>
        </is>
      </c>
      <c r="L7" s="248" t="inlineStr">
        <is>
          <t>36</t>
        </is>
      </c>
      <c r="M7" s="246" t="inlineStr"/>
      <c r="N7" s="245" t="inlineStr"/>
    </row>
    <row r="8" ht="22.5" customHeight="1" s="236">
      <c r="A8" s="243" t="n">
        <v>7</v>
      </c>
      <c r="B8" s="255" t="inlineStr">
        <is>
          <t>Преобразователь избыточного давления</t>
        </is>
      </c>
      <c r="C8" s="243" t="inlineStr">
        <is>
          <t>Honeywell STG-97L</t>
        </is>
      </c>
      <c r="D8" s="243" t="inlineStr">
        <is>
          <t>11W03 C3287149003019</t>
        </is>
      </c>
      <c r="E8" s="243" t="inlineStr">
        <is>
          <t>2011</t>
        </is>
      </c>
      <c r="F8" s="254" t="inlineStr">
        <is>
          <t>0..10 Mpa</t>
        </is>
      </c>
      <c r="G8" s="285" t="inlineStr">
        <is>
          <t>0.075</t>
        </is>
      </c>
      <c r="H8" s="243" t="inlineStr">
        <is>
          <t>Давление импульсного газа на выходе из УПГ</t>
        </is>
      </c>
      <c r="I8" s="243" t="inlineStr">
        <is>
          <t>УПГ</t>
        </is>
      </c>
      <c r="J8" s="243" t="inlineStr">
        <is>
          <t>АСУ,А и ТМ (КЦ № 6)</t>
        </is>
      </c>
      <c r="K8" s="243" t="inlineStr">
        <is>
          <t>2012</t>
        </is>
      </c>
      <c r="L8" s="248" t="inlineStr">
        <is>
          <t>36</t>
        </is>
      </c>
      <c r="M8" s="246" t="inlineStr"/>
      <c r="N8" s="245" t="inlineStr"/>
    </row>
    <row r="9" ht="22.5" customHeight="1" s="236">
      <c r="A9" s="243" t="n">
        <v>8</v>
      </c>
      <c r="B9" s="255" t="inlineStr">
        <is>
          <t>Преобразователь избыточного давления</t>
        </is>
      </c>
      <c r="C9" s="243" t="inlineStr">
        <is>
          <t>Honeywell STG-94L</t>
        </is>
      </c>
      <c r="D9" s="243" t="inlineStr">
        <is>
          <t>11W44 C3273967002057</t>
        </is>
      </c>
      <c r="E9" s="243" t="inlineStr">
        <is>
          <t>2011</t>
        </is>
      </c>
      <c r="F9" s="254" t="inlineStr">
        <is>
          <t>0..0,6 Mpa</t>
        </is>
      </c>
      <c r="G9" s="285" t="inlineStr">
        <is>
          <t>0.075</t>
        </is>
      </c>
      <c r="H9" s="243" t="inlineStr">
        <is>
          <t>Давление газа на выходе из УПГ</t>
        </is>
      </c>
      <c r="I9" s="243" t="inlineStr">
        <is>
          <t>УПГ</t>
        </is>
      </c>
      <c r="J9" s="243" t="inlineStr">
        <is>
          <t>АСУ,А и ТМ (КЦ № 6)</t>
        </is>
      </c>
      <c r="K9" s="243" t="inlineStr">
        <is>
          <t>2012</t>
        </is>
      </c>
      <c r="L9" s="248" t="inlineStr">
        <is>
          <t>36</t>
        </is>
      </c>
      <c r="M9" s="246" t="inlineStr"/>
      <c r="N9" s="245" t="inlineStr"/>
    </row>
    <row r="10" ht="22.5" customHeight="1" s="236">
      <c r="A10" s="243" t="n">
        <v>9</v>
      </c>
      <c r="B10" s="255" t="inlineStr">
        <is>
          <t>Преобразователь избыточного давления</t>
        </is>
      </c>
      <c r="C10" s="243" t="inlineStr">
        <is>
          <t>Honeywell STD-930</t>
        </is>
      </c>
      <c r="D10" s="243" t="inlineStr">
        <is>
          <t>11W04 C3287149005002</t>
        </is>
      </c>
      <c r="E10" s="243" t="inlineStr">
        <is>
          <t>2011</t>
        </is>
      </c>
      <c r="F10" s="254" t="inlineStr">
        <is>
          <t>0..160 кPa</t>
        </is>
      </c>
      <c r="G10" s="285" t="inlineStr">
        <is>
          <t>0.075</t>
        </is>
      </c>
      <c r="H10" s="243" t="inlineStr">
        <is>
          <t>Перепад давления газа на ФС801, ФС802</t>
        </is>
      </c>
      <c r="I10" s="243" t="inlineStr">
        <is>
          <t>УПГ</t>
        </is>
      </c>
      <c r="J10" s="243" t="inlineStr">
        <is>
          <t>АСУ,А и ТМ (КЦ № 6)</t>
        </is>
      </c>
      <c r="K10" s="243" t="inlineStr">
        <is>
          <t>2012</t>
        </is>
      </c>
      <c r="L10" s="248" t="inlineStr">
        <is>
          <t>36</t>
        </is>
      </c>
      <c r="M10" s="246" t="inlineStr"/>
      <c r="N10" s="245" t="inlineStr"/>
    </row>
    <row r="11" ht="22.5" customHeight="1" s="236">
      <c r="A11" s="243" t="n">
        <v>10</v>
      </c>
      <c r="B11" s="255" t="inlineStr">
        <is>
          <t>Преобразователь избыточного давления</t>
        </is>
      </c>
      <c r="C11" s="243" t="inlineStr">
        <is>
          <t>Honeywell STD-930</t>
        </is>
      </c>
      <c r="D11" s="243" t="inlineStr">
        <is>
          <t>11W04 C3287149005004</t>
        </is>
      </c>
      <c r="E11" s="243" t="inlineStr">
        <is>
          <t>2011</t>
        </is>
      </c>
      <c r="F11" s="254" t="inlineStr">
        <is>
          <t>0..160 кPa</t>
        </is>
      </c>
      <c r="G11" s="285" t="inlineStr">
        <is>
          <t>0.075</t>
        </is>
      </c>
      <c r="H11" s="243" t="inlineStr">
        <is>
          <t>Перепад давления газа на А401, А402</t>
        </is>
      </c>
      <c r="I11" s="243" t="inlineStr">
        <is>
          <t>УПГ</t>
        </is>
      </c>
      <c r="J11" s="243" t="inlineStr">
        <is>
          <t>АСУ,А и ТМ (КЦ № 6)</t>
        </is>
      </c>
      <c r="K11" s="243" t="inlineStr">
        <is>
          <t>2012</t>
        </is>
      </c>
      <c r="L11" s="248" t="inlineStr">
        <is>
          <t>36</t>
        </is>
      </c>
      <c r="M11" s="246" t="inlineStr"/>
      <c r="N11" s="245" t="inlineStr"/>
    </row>
    <row r="12" ht="22.5" customHeight="1" s="236">
      <c r="A12" s="243" t="n">
        <v>11</v>
      </c>
      <c r="B12" s="246" t="inlineStr">
        <is>
          <t>Гигрометр точки росы</t>
        </is>
      </c>
      <c r="C12" s="243" t="inlineStr">
        <is>
          <t>Michell EASIDEW EA2-TX-100-HD</t>
        </is>
      </c>
      <c r="D12" s="243" t="inlineStr">
        <is>
          <t>DF66-012</t>
        </is>
      </c>
      <c r="E12" s="243" t="inlineStr">
        <is>
          <t>2011</t>
        </is>
      </c>
      <c r="F12" s="254" t="inlineStr">
        <is>
          <t>­100…+20°С</t>
        </is>
      </c>
      <c r="G12" s="285" t="inlineStr">
        <is>
          <t>±2 °С</t>
        </is>
      </c>
      <c r="H12" s="243" t="inlineStr">
        <is>
          <t>Температура точки росы газа на входе в УПГ</t>
        </is>
      </c>
      <c r="I12" s="243" t="inlineStr">
        <is>
          <t>УПГ</t>
        </is>
      </c>
      <c r="J12" s="243" t="inlineStr">
        <is>
          <t>АСУ,А и ТМ (КЦ № 6)</t>
        </is>
      </c>
      <c r="K12" s="243" t="inlineStr">
        <is>
          <t>2012</t>
        </is>
      </c>
      <c r="L12" s="248" t="inlineStr">
        <is>
          <t>12</t>
        </is>
      </c>
      <c r="M12" s="246" t="inlineStr"/>
      <c r="N12" s="245" t="inlineStr"/>
    </row>
    <row r="13" ht="33.75" customHeight="1" s="236">
      <c r="A13" s="243" t="n">
        <v>12</v>
      </c>
      <c r="B13" s="246" t="inlineStr">
        <is>
          <t>Гигрометр точки росы</t>
        </is>
      </c>
      <c r="C13" s="243" t="inlineStr">
        <is>
          <t>Michell EASIDEW EA2-TX-100-HD</t>
        </is>
      </c>
      <c r="D13" s="243" t="inlineStr">
        <is>
          <t>BC13-058</t>
        </is>
      </c>
      <c r="E13" s="243" t="inlineStr">
        <is>
          <t>2011</t>
        </is>
      </c>
      <c r="F13" s="254" t="inlineStr">
        <is>
          <t>­100…+20°С</t>
        </is>
      </c>
      <c r="G13" s="285" t="inlineStr">
        <is>
          <t>±2 °С</t>
        </is>
      </c>
      <c r="H13" s="243" t="inlineStr">
        <is>
          <t>Температура точки росы импульсного газа на выходе из УПИГ</t>
        </is>
      </c>
      <c r="I13" s="243" t="inlineStr">
        <is>
          <t>УПГ</t>
        </is>
      </c>
      <c r="J13" s="243" t="inlineStr">
        <is>
          <t>АСУ,А и ТМ (КЦ № 6)</t>
        </is>
      </c>
      <c r="K13" s="243" t="inlineStr">
        <is>
          <t>2012</t>
        </is>
      </c>
      <c r="L13" s="248" t="inlineStr">
        <is>
          <t>12</t>
        </is>
      </c>
      <c r="M13" s="246" t="inlineStr"/>
      <c r="N13" s="245" t="inlineStr"/>
    </row>
    <row r="14" ht="33.75" customHeight="1" s="236">
      <c r="A14" s="239">
        <f>IF(B14&lt;&gt;"", COUNTA($B$2:B14), "")</f>
        <v/>
      </c>
      <c r="B14" s="240" t="inlineStr">
        <is>
          <t xml:space="preserve">Расходомер                 </t>
        </is>
      </c>
      <c r="C14" s="251" t="inlineStr">
        <is>
          <t>F025-S12-0-C-A-Z-E-ZZZ-Z</t>
        </is>
      </c>
      <c r="D14" s="251" t="inlineStr">
        <is>
          <t>sensor       14232402    голова            3812918</t>
        </is>
      </c>
      <c r="E14" s="239" t="n">
        <v>2011</v>
      </c>
      <c r="F14" s="251" t="inlineStr">
        <is>
          <t>0,06….75,5 кг/с</t>
        </is>
      </c>
      <c r="G14" s="251" t="inlineStr">
        <is>
          <t>±0,5 (для газа)</t>
        </is>
      </c>
      <c r="H14" s="239" t="inlineStr">
        <is>
          <t>Расход топливного газа на 801/1</t>
        </is>
      </c>
      <c r="I14" s="239" t="inlineStr">
        <is>
          <t>УПГ</t>
        </is>
      </c>
      <c r="J14" s="239" t="inlineStr">
        <is>
          <t>АСУ,А и ТМ (КЦ № 6)</t>
        </is>
      </c>
      <c r="K14" s="239" t="n">
        <v>2012</v>
      </c>
      <c r="L14" s="251" t="n">
        <v>48</v>
      </c>
      <c r="M14" s="240" t="n"/>
      <c r="N14" s="242" t="n"/>
    </row>
    <row r="15" ht="33.75" customHeight="1" s="236">
      <c r="A15" s="239">
        <f>IF(B15&lt;&gt;"", COUNTA($B$2:B15), "")</f>
        <v/>
      </c>
      <c r="B15" s="240" t="inlineStr">
        <is>
          <t xml:space="preserve">Расходомер                 </t>
        </is>
      </c>
      <c r="C15" s="251" t="inlineStr">
        <is>
          <t>F025-S12-0-C-A-Z-E-ZZZ-Z</t>
        </is>
      </c>
      <c r="D15" s="251" t="inlineStr">
        <is>
          <t>sensor       14233029    голова            3813003</t>
        </is>
      </c>
      <c r="E15" s="239" t="n">
        <v>2011</v>
      </c>
      <c r="F15" s="251" t="inlineStr">
        <is>
          <t>0,06….75,5 кг/с</t>
        </is>
      </c>
      <c r="G15" s="251" t="inlineStr">
        <is>
          <t>±0,5 (для газа)</t>
        </is>
      </c>
      <c r="H15" s="239" t="inlineStr">
        <is>
          <t>Расход топливного газа на 801/2</t>
        </is>
      </c>
      <c r="I15" s="239" t="inlineStr">
        <is>
          <t>УПГ</t>
        </is>
      </c>
      <c r="J15" s="239" t="inlineStr">
        <is>
          <t>АСУ,А и ТМ (КЦ № 6)</t>
        </is>
      </c>
      <c r="K15" s="239" t="n">
        <v>2012</v>
      </c>
      <c r="L15" s="251" t="n">
        <v>48</v>
      </c>
      <c r="M15" s="240" t="n"/>
      <c r="N15" s="242" t="n"/>
    </row>
    <row r="16" ht="33.75" customHeight="1" s="236">
      <c r="A16" s="239">
        <f>IF(B16&lt;&gt;"", COUNTA($B$2:B16), "")</f>
        <v/>
      </c>
      <c r="B16" s="240" t="inlineStr">
        <is>
          <t xml:space="preserve">Расходомер                 </t>
        </is>
      </c>
      <c r="C16" s="251" t="inlineStr">
        <is>
          <t>F025-S12-0-C-A-Z-E-ZZZ-Z</t>
        </is>
      </c>
      <c r="D16" s="251" t="inlineStr">
        <is>
          <t>sensor       14233030    голова            3813019</t>
        </is>
      </c>
      <c r="E16" s="239" t="n">
        <v>2011</v>
      </c>
      <c r="F16" s="251" t="inlineStr">
        <is>
          <t>0,06….75,5 кг/с</t>
        </is>
      </c>
      <c r="G16" s="251" t="inlineStr">
        <is>
          <t>±0,5 (для газа)</t>
        </is>
      </c>
      <c r="H16" s="239" t="inlineStr">
        <is>
          <t>Расход топливного газа на РР802</t>
        </is>
      </c>
      <c r="I16" s="239" t="inlineStr">
        <is>
          <t>УПГ</t>
        </is>
      </c>
      <c r="J16" s="239" t="inlineStr">
        <is>
          <t>АСУ,А и ТМ (КЦ № 6)</t>
        </is>
      </c>
      <c r="K16" s="239" t="n">
        <v>2012</v>
      </c>
      <c r="L16" s="251" t="n">
        <v>48</v>
      </c>
      <c r="M16" s="240" t="n"/>
      <c r="N16" s="242" t="n"/>
    </row>
    <row r="17" ht="22.5" customHeight="1" s="236">
      <c r="A17" s="243" t="n">
        <v>16</v>
      </c>
      <c r="B17" s="246" t="inlineStr">
        <is>
          <t>Термометр сопротивления</t>
        </is>
      </c>
      <c r="C17" s="248" t="inlineStr">
        <is>
          <t>ТСМУ 014.06</t>
        </is>
      </c>
      <c r="D17" s="248" t="inlineStr">
        <is>
          <t>587</t>
        </is>
      </c>
      <c r="E17" s="243" t="inlineStr">
        <is>
          <t>2013</t>
        </is>
      </c>
      <c r="F17" s="248" t="inlineStr">
        <is>
          <t>-50-+50 °С</t>
        </is>
      </c>
      <c r="G17" s="248" t="inlineStr">
        <is>
          <t>0.50%</t>
        </is>
      </c>
      <c r="H17" s="243" t="inlineStr">
        <is>
          <t>Температура газа на входе в УПГ</t>
        </is>
      </c>
      <c r="I17" s="243" t="inlineStr">
        <is>
          <t>УПГ</t>
        </is>
      </c>
      <c r="J17" s="243" t="inlineStr">
        <is>
          <t>АСУ,А и ТМ (КЦ № 6)</t>
        </is>
      </c>
      <c r="K17" s="243" t="inlineStr"/>
      <c r="L17" s="248" t="inlineStr"/>
      <c r="M17" s="246" t="inlineStr"/>
      <c r="N17" s="245" t="inlineStr"/>
    </row>
    <row r="18" ht="22.5" customHeight="1" s="236">
      <c r="A18" s="243" t="n">
        <v>17</v>
      </c>
      <c r="B18" s="246" t="inlineStr">
        <is>
          <t>Термометр сопротивления</t>
        </is>
      </c>
      <c r="C18" s="248" t="inlineStr">
        <is>
          <t>ТСПУ 014.55</t>
        </is>
      </c>
      <c r="D18" s="248" t="inlineStr">
        <is>
          <t>73</t>
        </is>
      </c>
      <c r="E18" s="243" t="inlineStr">
        <is>
          <t>2011</t>
        </is>
      </c>
      <c r="F18" s="248" t="inlineStr">
        <is>
          <t>0-+200 °С</t>
        </is>
      </c>
      <c r="G18" s="248" t="inlineStr">
        <is>
          <t>0.50%</t>
        </is>
      </c>
      <c r="H18" s="243" t="inlineStr">
        <is>
          <t>Температура масла в конвекторе ЕК2</t>
        </is>
      </c>
      <c r="I18" s="243" t="inlineStr">
        <is>
          <t>УПГ</t>
        </is>
      </c>
      <c r="J18" s="243" t="inlineStr">
        <is>
          <t>АСУ,А и ТМ (КЦ № 6)</t>
        </is>
      </c>
      <c r="K18" s="243" t="inlineStr"/>
      <c r="L18" s="248" t="inlineStr"/>
      <c r="M18" s="246" t="inlineStr"/>
      <c r="N18" s="245" t="inlineStr"/>
    </row>
    <row r="19" ht="22.5" customHeight="1" s="236">
      <c r="A19" s="243" t="n">
        <v>18</v>
      </c>
      <c r="B19" s="246" t="inlineStr">
        <is>
          <t>Термометр сопротивления</t>
        </is>
      </c>
      <c r="C19" s="248" t="inlineStr">
        <is>
          <t>ТСМУ 014.06</t>
        </is>
      </c>
      <c r="D19" s="248" t="inlineStr">
        <is>
          <t>590</t>
        </is>
      </c>
      <c r="E19" s="243" t="inlineStr">
        <is>
          <t>2013</t>
        </is>
      </c>
      <c r="F19" s="248" t="inlineStr">
        <is>
          <t>-50-+50 °С</t>
        </is>
      </c>
      <c r="G19" s="248" t="inlineStr">
        <is>
          <t>0.50%</t>
        </is>
      </c>
      <c r="H19" s="243" t="inlineStr">
        <is>
          <t>Температура газа на выходе из УПГ</t>
        </is>
      </c>
      <c r="I19" s="243" t="inlineStr">
        <is>
          <t>УПГ</t>
        </is>
      </c>
      <c r="J19" s="243" t="inlineStr">
        <is>
          <t>АСУ,А и ТМ (КЦ № 6)</t>
        </is>
      </c>
      <c r="K19" s="243" t="inlineStr"/>
      <c r="L19" s="248" t="inlineStr"/>
      <c r="M19" s="246" t="inlineStr"/>
      <c r="N19" s="245" t="inlineStr"/>
    </row>
    <row r="20" ht="33.75" customHeight="1" s="236">
      <c r="A20" s="243" t="n">
        <v>19</v>
      </c>
      <c r="B20" s="246" t="inlineStr">
        <is>
          <t>Термометр сопротивления</t>
        </is>
      </c>
      <c r="C20" s="248" t="inlineStr">
        <is>
          <t>ТСПУ 014.55</t>
        </is>
      </c>
      <c r="D20" s="248" t="inlineStr">
        <is>
          <t>81</t>
        </is>
      </c>
      <c r="E20" s="243" t="inlineStr">
        <is>
          <t>2011</t>
        </is>
      </c>
      <c r="F20" s="248" t="inlineStr">
        <is>
          <t>0-+100 °С</t>
        </is>
      </c>
      <c r="G20" s="248" t="inlineStr">
        <is>
          <t>0.50%</t>
        </is>
      </c>
      <c r="H20" s="243" t="inlineStr">
        <is>
          <t>Температура воздуха в технологическом отсеке УПГ</t>
        </is>
      </c>
      <c r="I20" s="243" t="inlineStr">
        <is>
          <t>УПГ</t>
        </is>
      </c>
      <c r="J20" s="243" t="inlineStr">
        <is>
          <t>АСУ,А и ТМ (КЦ № 6)</t>
        </is>
      </c>
      <c r="K20" s="243" t="inlineStr"/>
      <c r="L20" s="248" t="inlineStr"/>
      <c r="M20" s="246" t="inlineStr"/>
      <c r="N20" s="245" t="inlineStr"/>
    </row>
    <row r="21" ht="22.5" customHeight="1" s="236">
      <c r="A21" s="243" t="n">
        <v>20</v>
      </c>
      <c r="B21" s="246" t="inlineStr">
        <is>
          <t>Термометр сопротивления</t>
        </is>
      </c>
      <c r="C21" s="248" t="inlineStr">
        <is>
          <t>ТСПУ 014.55</t>
        </is>
      </c>
      <c r="D21" s="248" t="inlineStr">
        <is>
          <t>84</t>
        </is>
      </c>
      <c r="E21" s="243" t="inlineStr">
        <is>
          <t>2011</t>
        </is>
      </c>
      <c r="F21" s="248" t="inlineStr">
        <is>
          <t>0-+100 °С</t>
        </is>
      </c>
      <c r="G21" s="248" t="inlineStr">
        <is>
          <t>0.50%</t>
        </is>
      </c>
      <c r="H21" s="243" t="inlineStr">
        <is>
          <t>Температура газа на выходе ЭПГ 800/1</t>
        </is>
      </c>
      <c r="I21" s="243" t="inlineStr">
        <is>
          <t>УПГ</t>
        </is>
      </c>
      <c r="J21" s="243" t="inlineStr">
        <is>
          <t>АСУ,А и ТМ (КЦ № 6)</t>
        </is>
      </c>
      <c r="K21" s="243" t="inlineStr"/>
      <c r="L21" s="248" t="inlineStr"/>
      <c r="M21" s="246" t="inlineStr"/>
      <c r="N21" s="245" t="inlineStr"/>
    </row>
    <row r="22" ht="22.5" customHeight="1" s="236">
      <c r="A22" s="243" t="n">
        <v>21</v>
      </c>
      <c r="B22" s="246" t="inlineStr">
        <is>
          <t>Термометр сопротивления</t>
        </is>
      </c>
      <c r="C22" s="248" t="inlineStr">
        <is>
          <t>ТСПУ 014.55</t>
        </is>
      </c>
      <c r="D22" s="248" t="inlineStr">
        <is>
          <t>88</t>
        </is>
      </c>
      <c r="E22" s="243" t="inlineStr">
        <is>
          <t>2011</t>
        </is>
      </c>
      <c r="F22" s="248" t="inlineStr">
        <is>
          <t>0-+200 °С</t>
        </is>
      </c>
      <c r="G22" s="248" t="inlineStr">
        <is>
          <t>0.50%</t>
        </is>
      </c>
      <c r="H22" s="243" t="inlineStr">
        <is>
          <t>Температура антифриза в ЭПГ 800/1</t>
        </is>
      </c>
      <c r="I22" s="243" t="inlineStr">
        <is>
          <t>УПГ</t>
        </is>
      </c>
      <c r="J22" s="243" t="inlineStr">
        <is>
          <t>АСУ,А и ТМ (КЦ № 6)</t>
        </is>
      </c>
      <c r="K22" s="243" t="inlineStr"/>
      <c r="L22" s="248" t="inlineStr"/>
      <c r="M22" s="246" t="inlineStr"/>
      <c r="N22" s="245" t="inlineStr"/>
    </row>
    <row r="23" ht="22.5" customHeight="1" s="236">
      <c r="A23" s="243" t="n">
        <v>22</v>
      </c>
      <c r="B23" s="246" t="inlineStr">
        <is>
          <t>Термометр сопротивления</t>
        </is>
      </c>
      <c r="C23" s="248" t="inlineStr">
        <is>
          <t>ТСПУ 014.55</t>
        </is>
      </c>
      <c r="D23" s="248" t="inlineStr">
        <is>
          <t>70</t>
        </is>
      </c>
      <c r="E23" s="243" t="inlineStr">
        <is>
          <t>2011</t>
        </is>
      </c>
      <c r="F23" s="248" t="inlineStr">
        <is>
          <t>0-+100 °С</t>
        </is>
      </c>
      <c r="G23" s="248" t="inlineStr">
        <is>
          <t>0.50%</t>
        </is>
      </c>
      <c r="H23" s="243" t="inlineStr">
        <is>
          <t>Температура газа на выходе ЭПГ 800/2</t>
        </is>
      </c>
      <c r="I23" s="243" t="inlineStr">
        <is>
          <t>УПГ</t>
        </is>
      </c>
      <c r="J23" s="243" t="inlineStr">
        <is>
          <t>АСУ,А и ТМ (КЦ № 6)</t>
        </is>
      </c>
      <c r="K23" s="243" t="inlineStr"/>
      <c r="L23" s="248" t="inlineStr"/>
      <c r="M23" s="246" t="inlineStr"/>
      <c r="N23" s="245" t="inlineStr"/>
    </row>
    <row r="24" ht="15" customHeight="1" s="236">
      <c r="A24" s="243" t="n">
        <v>23</v>
      </c>
      <c r="B24" s="253" t="inlineStr">
        <is>
          <t>Манометр электроконтактный</t>
        </is>
      </c>
      <c r="C24" s="248" t="inlineStr">
        <is>
          <t>ДМ2005CrIExУ3</t>
        </is>
      </c>
      <c r="D24" s="248" t="inlineStr">
        <is>
          <t>111777</t>
        </is>
      </c>
      <c r="E24" s="243" t="inlineStr">
        <is>
          <t>2010</t>
        </is>
      </c>
      <c r="F24" s="248" t="inlineStr">
        <is>
          <t>0..4 кгс/см2</t>
        </is>
      </c>
      <c r="G24" s="248" t="inlineStr">
        <is>
          <t>1.5</t>
        </is>
      </c>
      <c r="H24" s="243" t="inlineStr">
        <is>
          <t>Р газа на выходе УПГ</t>
        </is>
      </c>
      <c r="I24" s="243" t="inlineStr">
        <is>
          <t>УПГ</t>
        </is>
      </c>
      <c r="J24" s="243" t="inlineStr">
        <is>
          <t>АСУ,А и ТМ (КЦ № 6)</t>
        </is>
      </c>
      <c r="K24" s="243" t="inlineStr">
        <is>
          <t>2012</t>
        </is>
      </c>
      <c r="L24" s="248" t="inlineStr">
        <is>
          <t>12</t>
        </is>
      </c>
      <c r="M24" s="246" t="inlineStr">
        <is>
          <t>3К26</t>
        </is>
      </c>
      <c r="N24" s="245" t="inlineStr">
        <is>
          <t>К</t>
        </is>
      </c>
    </row>
    <row r="25" ht="22.5" customHeight="1" s="236">
      <c r="A25" s="243" t="n">
        <v>24</v>
      </c>
      <c r="B25" s="253" t="inlineStr">
        <is>
          <t>Манометр технический</t>
        </is>
      </c>
      <c r="C25" s="248" t="inlineStr">
        <is>
          <t>МП4-УУ2</t>
        </is>
      </c>
      <c r="D25" s="248" t="inlineStr">
        <is>
          <t>15109</t>
        </is>
      </c>
      <c r="E25" s="243" t="inlineStr">
        <is>
          <t>2010</t>
        </is>
      </c>
      <c r="F25" s="248" t="inlineStr">
        <is>
          <t>0..160 кгс/см2</t>
        </is>
      </c>
      <c r="G25" s="248" t="inlineStr">
        <is>
          <t>1.5</t>
        </is>
      </c>
      <c r="H25" s="243" t="inlineStr">
        <is>
          <t>P газа на входе в УПГ</t>
        </is>
      </c>
      <c r="I25" s="286" t="inlineStr">
        <is>
          <t>УПГ</t>
        </is>
      </c>
      <c r="J25" s="243" t="inlineStr">
        <is>
          <t>АСУ,А и ТМ (КЦ № 6)</t>
        </is>
      </c>
      <c r="K25" s="243" t="inlineStr">
        <is>
          <t>2012</t>
        </is>
      </c>
      <c r="L25" s="248" t="inlineStr">
        <is>
          <t>12</t>
        </is>
      </c>
      <c r="M25" s="246" t="inlineStr">
        <is>
          <t>3К26</t>
        </is>
      </c>
      <c r="N25" s="245" t="inlineStr">
        <is>
          <t>К</t>
        </is>
      </c>
    </row>
    <row r="26" ht="22.5" customHeight="1" s="236">
      <c r="A26" s="243" t="n">
        <v>25</v>
      </c>
      <c r="B26" s="253" t="inlineStr">
        <is>
          <t>Манометр технический</t>
        </is>
      </c>
      <c r="C26" s="248" t="inlineStr">
        <is>
          <t>МП4-УУ2</t>
        </is>
      </c>
      <c r="D26" s="248" t="inlineStr">
        <is>
          <t>15543</t>
        </is>
      </c>
      <c r="E26" s="243" t="inlineStr">
        <is>
          <t>2010</t>
        </is>
      </c>
      <c r="F26" s="248" t="inlineStr">
        <is>
          <t>0..160 кгс/см2</t>
        </is>
      </c>
      <c r="G26" s="248" t="inlineStr">
        <is>
          <t>1.5</t>
        </is>
      </c>
      <c r="H26" s="243" t="inlineStr">
        <is>
          <t>P газа после фильтра 801</t>
        </is>
      </c>
      <c r="I26" s="286" t="inlineStr">
        <is>
          <t>УПГ</t>
        </is>
      </c>
      <c r="J26" s="243" t="inlineStr">
        <is>
          <t>АСУ,А и ТМ (КЦ № 6)</t>
        </is>
      </c>
      <c r="K26" s="243" t="inlineStr">
        <is>
          <t>2012</t>
        </is>
      </c>
      <c r="L26" s="248" t="inlineStr">
        <is>
          <t>12</t>
        </is>
      </c>
      <c r="M26" s="246" t="inlineStr">
        <is>
          <t>26ДЯУ</t>
        </is>
      </c>
      <c r="N26" s="245" t="inlineStr">
        <is>
          <t>П</t>
        </is>
      </c>
    </row>
    <row r="27" ht="22.5" customHeight="1" s="236">
      <c r="A27" s="243" t="n">
        <v>26</v>
      </c>
      <c r="B27" s="253" t="inlineStr">
        <is>
          <t>Манометр технический</t>
        </is>
      </c>
      <c r="C27" s="248" t="inlineStr">
        <is>
          <t>МП4-УУ2</t>
        </is>
      </c>
      <c r="D27" s="248" t="inlineStr">
        <is>
          <t>15540</t>
        </is>
      </c>
      <c r="E27" s="243" t="inlineStr">
        <is>
          <t>2010</t>
        </is>
      </c>
      <c r="F27" s="248" t="inlineStr">
        <is>
          <t>0..160 кгс/см2</t>
        </is>
      </c>
      <c r="G27" s="248" t="inlineStr">
        <is>
          <t>1.5</t>
        </is>
      </c>
      <c r="H27" s="243" t="inlineStr">
        <is>
          <t>P газа после фильтра 802</t>
        </is>
      </c>
      <c r="I27" s="286" t="inlineStr">
        <is>
          <t>УПГ</t>
        </is>
      </c>
      <c r="J27" s="243" t="inlineStr">
        <is>
          <t>АСУ,А и ТМ (КЦ № 6)</t>
        </is>
      </c>
      <c r="K27" s="243" t="inlineStr">
        <is>
          <t>2012</t>
        </is>
      </c>
      <c r="L27" s="248" t="inlineStr">
        <is>
          <t>12</t>
        </is>
      </c>
      <c r="M27" s="246" t="inlineStr">
        <is>
          <t>26ДЯУ</t>
        </is>
      </c>
      <c r="N27" s="245" t="inlineStr">
        <is>
          <t>П</t>
        </is>
      </c>
    </row>
    <row r="28" ht="15" customHeight="1" s="236">
      <c r="A28" s="243" t="n">
        <v>27</v>
      </c>
      <c r="B28" s="253" t="inlineStr">
        <is>
          <t>Манометр технический</t>
        </is>
      </c>
      <c r="C28" s="248" t="inlineStr">
        <is>
          <t>МП3-УТ2</t>
        </is>
      </c>
      <c r="D28" s="248" t="inlineStr">
        <is>
          <t>1322112</t>
        </is>
      </c>
      <c r="E28" s="243" t="inlineStr">
        <is>
          <t>2010</t>
        </is>
      </c>
      <c r="F28" s="248" t="inlineStr">
        <is>
          <t>0..6 кгс/см2</t>
        </is>
      </c>
      <c r="G28" s="248" t="inlineStr">
        <is>
          <t>1.5</t>
        </is>
      </c>
      <c r="H28" s="243" t="inlineStr">
        <is>
          <t>P газа на выходе УПГ</t>
        </is>
      </c>
      <c r="I28" s="286" t="inlineStr">
        <is>
          <t>УПГ</t>
        </is>
      </c>
      <c r="J28" s="243" t="inlineStr">
        <is>
          <t>АСУ,А и ТМ (КЦ № 6)</t>
        </is>
      </c>
      <c r="K28" s="243" t="inlineStr">
        <is>
          <t>2012</t>
        </is>
      </c>
      <c r="L28" s="248" t="inlineStr">
        <is>
          <t>12</t>
        </is>
      </c>
      <c r="M28" s="246" t="inlineStr">
        <is>
          <t>3К26</t>
        </is>
      </c>
      <c r="N28" s="245" t="inlineStr">
        <is>
          <t>К</t>
        </is>
      </c>
    </row>
    <row r="29" ht="15" customHeight="1" s="236">
      <c r="A29" s="243" t="n">
        <v>28</v>
      </c>
      <c r="B29" s="253" t="inlineStr">
        <is>
          <t>Манометр технический</t>
        </is>
      </c>
      <c r="C29" s="248" t="inlineStr">
        <is>
          <t>ДМ8008-ВУ-У2</t>
        </is>
      </c>
      <c r="D29" s="248" t="inlineStr">
        <is>
          <t>50251</t>
        </is>
      </c>
      <c r="E29" s="243" t="inlineStr">
        <is>
          <t>2010</t>
        </is>
      </c>
      <c r="F29" s="248" t="inlineStr">
        <is>
          <t>0..6 кгс/см2</t>
        </is>
      </c>
      <c r="G29" s="248" t="inlineStr">
        <is>
          <t>1.5</t>
        </is>
      </c>
      <c r="H29" s="243" t="inlineStr">
        <is>
          <t>P газа после клапана 801/1</t>
        </is>
      </c>
      <c r="I29" s="286" t="inlineStr">
        <is>
          <t>УПГ</t>
        </is>
      </c>
      <c r="J29" s="243" t="inlineStr">
        <is>
          <t>АСУ,А и ТМ (КЦ № 6)</t>
        </is>
      </c>
      <c r="K29" s="243" t="inlineStr">
        <is>
          <t>2012</t>
        </is>
      </c>
      <c r="L29" s="248" t="inlineStr">
        <is>
          <t>12</t>
        </is>
      </c>
      <c r="M29" s="246" t="inlineStr">
        <is>
          <t>3К26</t>
        </is>
      </c>
      <c r="N29" s="245" t="inlineStr">
        <is>
          <t>К</t>
        </is>
      </c>
    </row>
    <row r="30" ht="22.5" customHeight="1" s="236">
      <c r="A30" s="243" t="n">
        <v>29</v>
      </c>
      <c r="B30" s="253" t="inlineStr">
        <is>
          <t>Манометр технический</t>
        </is>
      </c>
      <c r="C30" s="248" t="inlineStr">
        <is>
          <t>МП4-УУ2</t>
        </is>
      </c>
      <c r="D30" s="248" t="inlineStr">
        <is>
          <t>15278</t>
        </is>
      </c>
      <c r="E30" s="243" t="inlineStr">
        <is>
          <t>2010</t>
        </is>
      </c>
      <c r="F30" s="248" t="inlineStr">
        <is>
          <t>0..6 кгс/см2</t>
        </is>
      </c>
      <c r="G30" s="248" t="inlineStr">
        <is>
          <t>1.5</t>
        </is>
      </c>
      <c r="H30" s="243" t="inlineStr">
        <is>
          <t>P газа после клапана регулятора 801/2</t>
        </is>
      </c>
      <c r="I30" s="286" t="inlineStr">
        <is>
          <t>УПГ</t>
        </is>
      </c>
      <c r="J30" s="243" t="inlineStr">
        <is>
          <t>АСУ,А и ТМ (КЦ № 6)</t>
        </is>
      </c>
      <c r="K30" s="243" t="inlineStr">
        <is>
          <t>2012</t>
        </is>
      </c>
      <c r="L30" s="248" t="inlineStr">
        <is>
          <t>12</t>
        </is>
      </c>
      <c r="M30" s="246" t="inlineStr">
        <is>
          <t>3К26</t>
        </is>
      </c>
      <c r="N30" s="245" t="inlineStr">
        <is>
          <t>К</t>
        </is>
      </c>
    </row>
    <row r="31" ht="15" customHeight="1" s="236">
      <c r="A31" s="243" t="n">
        <v>30</v>
      </c>
      <c r="B31" s="253" t="inlineStr">
        <is>
          <t>Манометр технический</t>
        </is>
      </c>
      <c r="C31" s="248" t="inlineStr">
        <is>
          <t>МП4-У</t>
        </is>
      </c>
      <c r="D31" s="248" t="inlineStr">
        <is>
          <t>2293</t>
        </is>
      </c>
      <c r="E31" s="243" t="inlineStr">
        <is>
          <t>2010</t>
        </is>
      </c>
      <c r="F31" s="248" t="inlineStr">
        <is>
          <t>0..6 кгс/см2</t>
        </is>
      </c>
      <c r="G31" s="248" t="inlineStr">
        <is>
          <t>1.5</t>
        </is>
      </c>
      <c r="H31" s="243" t="inlineStr">
        <is>
          <t>P газа после КР801</t>
        </is>
      </c>
      <c r="I31" s="286" t="inlineStr">
        <is>
          <t>УПГ</t>
        </is>
      </c>
      <c r="J31" s="243" t="inlineStr">
        <is>
          <t>АСУ,А и ТМ (КЦ № 6)</t>
        </is>
      </c>
      <c r="K31" s="243" t="inlineStr">
        <is>
          <t>2012</t>
        </is>
      </c>
      <c r="L31" s="248" t="inlineStr">
        <is>
          <t>12</t>
        </is>
      </c>
      <c r="M31" s="246" t="inlineStr">
        <is>
          <t>3К26</t>
        </is>
      </c>
      <c r="N31" s="245" t="inlineStr">
        <is>
          <t>К</t>
        </is>
      </c>
    </row>
    <row r="32" ht="22.5" customHeight="1" s="236">
      <c r="A32" s="243" t="n">
        <v>31</v>
      </c>
      <c r="B32" s="253" t="inlineStr">
        <is>
          <t>Манометр технический</t>
        </is>
      </c>
      <c r="C32" s="248" t="inlineStr">
        <is>
          <t>МП4-УУ2</t>
        </is>
      </c>
      <c r="D32" s="248" t="inlineStr">
        <is>
          <t>80341</t>
        </is>
      </c>
      <c r="E32" s="243" t="inlineStr">
        <is>
          <t>2010</t>
        </is>
      </c>
      <c r="F32" s="248" t="inlineStr">
        <is>
          <t>0..160 кгс/см2</t>
        </is>
      </c>
      <c r="G32" s="248" t="inlineStr">
        <is>
          <t>1</t>
        </is>
      </c>
      <c r="H32" s="243" t="inlineStr">
        <is>
          <t>P газа после КШ 814/1</t>
        </is>
      </c>
      <c r="I32" s="286" t="inlineStr">
        <is>
          <t>УПГ</t>
        </is>
      </c>
      <c r="J32" s="243" t="inlineStr">
        <is>
          <t>АСУ,А и ТМ (КЦ № 6)</t>
        </is>
      </c>
      <c r="K32" s="243" t="inlineStr">
        <is>
          <t>2012</t>
        </is>
      </c>
      <c r="L32" s="248" t="inlineStr">
        <is>
          <t>12</t>
        </is>
      </c>
      <c r="M32" s="246" t="inlineStr">
        <is>
          <t>3К26</t>
        </is>
      </c>
      <c r="N32" s="245" t="inlineStr">
        <is>
          <t>К</t>
        </is>
      </c>
    </row>
    <row r="33" ht="22.5" customHeight="1" s="236">
      <c r="A33" s="243" t="n">
        <v>32</v>
      </c>
      <c r="B33" s="253" t="inlineStr">
        <is>
          <t>Манометр технический</t>
        </is>
      </c>
      <c r="C33" s="248" t="inlineStr">
        <is>
          <t>МП4-УУ2</t>
        </is>
      </c>
      <c r="D33" s="248" t="inlineStr">
        <is>
          <t>15312</t>
        </is>
      </c>
      <c r="E33" s="243" t="inlineStr">
        <is>
          <t>2010</t>
        </is>
      </c>
      <c r="F33" s="248" t="inlineStr">
        <is>
          <t>0..160 кгс/см2</t>
        </is>
      </c>
      <c r="G33" s="248" t="inlineStr">
        <is>
          <t>1.5</t>
        </is>
      </c>
      <c r="H33" s="243" t="inlineStr">
        <is>
          <t>P газа после КШ 814/2</t>
        </is>
      </c>
      <c r="I33" s="286" t="inlineStr">
        <is>
          <t>УПГ</t>
        </is>
      </c>
      <c r="J33" s="243" t="inlineStr">
        <is>
          <t>АСУ,А и ТМ (КЦ № 6)</t>
        </is>
      </c>
      <c r="K33" s="243" t="inlineStr">
        <is>
          <t>2012</t>
        </is>
      </c>
      <c r="L33" s="248" t="inlineStr">
        <is>
          <t>12</t>
        </is>
      </c>
      <c r="M33" s="246" t="inlineStr">
        <is>
          <t>3К26</t>
        </is>
      </c>
      <c r="N33" s="245" t="inlineStr">
        <is>
          <t>К</t>
        </is>
      </c>
    </row>
    <row r="34" ht="22.5" customHeight="1" s="236">
      <c r="A34" s="243" t="n">
        <v>33</v>
      </c>
      <c r="B34" s="253" t="inlineStr">
        <is>
          <t>Манометр технический</t>
        </is>
      </c>
      <c r="C34" s="248" t="inlineStr">
        <is>
          <t>МП4-УУ2</t>
        </is>
      </c>
      <c r="D34" s="248" t="inlineStr">
        <is>
          <t>15542</t>
        </is>
      </c>
      <c r="E34" s="243" t="inlineStr">
        <is>
          <t>2010</t>
        </is>
      </c>
      <c r="F34" s="248" t="inlineStr">
        <is>
          <t>0..160 кгс/см2</t>
        </is>
      </c>
      <c r="G34" s="248" t="inlineStr">
        <is>
          <t>1.5</t>
        </is>
      </c>
      <c r="H34" s="243" t="inlineStr">
        <is>
          <t>P газа перед подогревателем</t>
        </is>
      </c>
      <c r="I34" s="286" t="inlineStr">
        <is>
          <t>УПГ</t>
        </is>
      </c>
      <c r="J34" s="243" t="inlineStr">
        <is>
          <t>АСУ,А и ТМ (КЦ № 6)</t>
        </is>
      </c>
      <c r="K34" s="243" t="inlineStr">
        <is>
          <t>2012</t>
        </is>
      </c>
      <c r="L34" s="248" t="inlineStr">
        <is>
          <t>12</t>
        </is>
      </c>
      <c r="M34" s="246" t="inlineStr">
        <is>
          <t>3К26</t>
        </is>
      </c>
      <c r="N34" s="245" t="inlineStr">
        <is>
          <t>К</t>
        </is>
      </c>
    </row>
    <row r="35" ht="22.5" customHeight="1" s="236">
      <c r="A35" s="243" t="n">
        <v>34</v>
      </c>
      <c r="B35" s="253" t="inlineStr">
        <is>
          <t>Манометр технический</t>
        </is>
      </c>
      <c r="C35" s="248" t="inlineStr">
        <is>
          <t>МП4-УУ2</t>
        </is>
      </c>
      <c r="D35" s="248" t="inlineStr">
        <is>
          <t>15406</t>
        </is>
      </c>
      <c r="E35" s="243" t="inlineStr">
        <is>
          <t>2010</t>
        </is>
      </c>
      <c r="F35" s="248" t="inlineStr">
        <is>
          <t>0..160 кгс/см2</t>
        </is>
      </c>
      <c r="G35" s="248" t="inlineStr">
        <is>
          <t>1.5</t>
        </is>
      </c>
      <c r="H35" s="243" t="inlineStr">
        <is>
          <t>P газа в подогревателе ЭПГ 800/1</t>
        </is>
      </c>
      <c r="I35" s="286" t="inlineStr">
        <is>
          <t>УПГ</t>
        </is>
      </c>
      <c r="J35" s="243" t="inlineStr">
        <is>
          <t>АСУ,А и ТМ (КЦ № 6)</t>
        </is>
      </c>
      <c r="K35" s="243" t="inlineStr">
        <is>
          <t>2012</t>
        </is>
      </c>
      <c r="L35" s="248" t="inlineStr">
        <is>
          <t>12</t>
        </is>
      </c>
      <c r="M35" s="246" t="inlineStr">
        <is>
          <t>26ДЯУ</t>
        </is>
      </c>
      <c r="N35" s="245" t="inlineStr">
        <is>
          <t>П</t>
        </is>
      </c>
    </row>
    <row r="36" ht="22.5" customHeight="1" s="236">
      <c r="A36" s="243" t="n">
        <v>35</v>
      </c>
      <c r="B36" s="253" t="inlineStr">
        <is>
          <t>Манометр технический</t>
        </is>
      </c>
      <c r="C36" s="248" t="inlineStr">
        <is>
          <t>МП4-УУ2</t>
        </is>
      </c>
      <c r="D36" s="248" t="inlineStr">
        <is>
          <t>15547</t>
        </is>
      </c>
      <c r="E36" s="243" t="inlineStr">
        <is>
          <t>2010</t>
        </is>
      </c>
      <c r="F36" s="248" t="inlineStr">
        <is>
          <t>0..160 кгс/см2</t>
        </is>
      </c>
      <c r="G36" s="248" t="inlineStr">
        <is>
          <t>1.5</t>
        </is>
      </c>
      <c r="H36" s="243" t="inlineStr">
        <is>
          <t>P газа в подогревателе ЭПГ 800/2</t>
        </is>
      </c>
      <c r="I36" s="286" t="inlineStr">
        <is>
          <t>УПГ</t>
        </is>
      </c>
      <c r="J36" s="243" t="inlineStr">
        <is>
          <t>АСУ,А и ТМ (КЦ № 6)</t>
        </is>
      </c>
      <c r="K36" s="243" t="inlineStr">
        <is>
          <t>2012</t>
        </is>
      </c>
      <c r="L36" s="248" t="inlineStr">
        <is>
          <t>12</t>
        </is>
      </c>
      <c r="M36" s="246" t="inlineStr">
        <is>
          <t>26ДЯУ</t>
        </is>
      </c>
      <c r="N36" s="245" t="inlineStr">
        <is>
          <t>П</t>
        </is>
      </c>
    </row>
    <row r="37" ht="22.5" customHeight="1" s="236">
      <c r="A37" s="243" t="n">
        <v>36</v>
      </c>
      <c r="B37" s="253" t="inlineStr">
        <is>
          <t>Манометр технический</t>
        </is>
      </c>
      <c r="C37" s="248" t="inlineStr">
        <is>
          <t>МП4-УУ2</t>
        </is>
      </c>
      <c r="D37" s="248" t="inlineStr">
        <is>
          <t>15244</t>
        </is>
      </c>
      <c r="E37" s="243" t="inlineStr">
        <is>
          <t>2010</t>
        </is>
      </c>
      <c r="F37" s="248" t="inlineStr">
        <is>
          <t>0..160 кгс/см2</t>
        </is>
      </c>
      <c r="G37" s="248" t="inlineStr">
        <is>
          <t>1</t>
        </is>
      </c>
      <c r="H37" s="243" t="inlineStr">
        <is>
          <t>P газа на адсорбере 1</t>
        </is>
      </c>
      <c r="I37" s="286" t="inlineStr">
        <is>
          <t>УПГ</t>
        </is>
      </c>
      <c r="J37" s="243" t="inlineStr">
        <is>
          <t>АСУ,А и ТМ (КЦ № 6)</t>
        </is>
      </c>
      <c r="K37" s="243" t="inlineStr">
        <is>
          <t>2012</t>
        </is>
      </c>
      <c r="L37" s="248" t="inlineStr">
        <is>
          <t>12</t>
        </is>
      </c>
      <c r="M37" s="246" t="inlineStr">
        <is>
          <t>26ДЯУ</t>
        </is>
      </c>
      <c r="N37" s="245" t="inlineStr">
        <is>
          <t>П</t>
        </is>
      </c>
    </row>
    <row r="38" ht="22.5" customHeight="1" s="236">
      <c r="A38" s="243" t="n">
        <v>37</v>
      </c>
      <c r="B38" s="253" t="inlineStr">
        <is>
          <t>Манометр технический</t>
        </is>
      </c>
      <c r="C38" s="248" t="inlineStr">
        <is>
          <t>МП4-УУ2</t>
        </is>
      </c>
      <c r="D38" s="248" t="inlineStr">
        <is>
          <t>15177</t>
        </is>
      </c>
      <c r="E38" s="243" t="inlineStr">
        <is>
          <t>2010</t>
        </is>
      </c>
      <c r="F38" s="248" t="inlineStr">
        <is>
          <t>0..160 кгс/см2</t>
        </is>
      </c>
      <c r="G38" s="248" t="inlineStr">
        <is>
          <t>1.5</t>
        </is>
      </c>
      <c r="H38" s="243" t="inlineStr">
        <is>
          <t>P газа на адсорбере 2</t>
        </is>
      </c>
      <c r="I38" s="286" t="inlineStr">
        <is>
          <t>УПГ</t>
        </is>
      </c>
      <c r="J38" s="243" t="inlineStr">
        <is>
          <t>АСУ,А и ТМ (КЦ № 6)</t>
        </is>
      </c>
      <c r="K38" s="243" t="inlineStr">
        <is>
          <t>2012</t>
        </is>
      </c>
      <c r="L38" s="248" t="inlineStr">
        <is>
          <t>12</t>
        </is>
      </c>
      <c r="M38" s="246" t="inlineStr">
        <is>
          <t>26ДЯУ</t>
        </is>
      </c>
      <c r="N38" s="245" t="inlineStr">
        <is>
          <t>П</t>
        </is>
      </c>
    </row>
    <row r="39" ht="22.5" customHeight="1" s="236">
      <c r="A39" s="243" t="n">
        <v>38</v>
      </c>
      <c r="B39" s="253" t="inlineStr">
        <is>
          <t>Манометр технический</t>
        </is>
      </c>
      <c r="C39" s="248" t="inlineStr">
        <is>
          <t>МП4-УУ2</t>
        </is>
      </c>
      <c r="D39" s="248" t="inlineStr">
        <is>
          <t>15337</t>
        </is>
      </c>
      <c r="E39" s="243" t="inlineStr">
        <is>
          <t>2010</t>
        </is>
      </c>
      <c r="F39" s="248" t="inlineStr">
        <is>
          <t>0..160 кгс/см2</t>
        </is>
      </c>
      <c r="G39" s="248" t="inlineStr">
        <is>
          <t>1.5</t>
        </is>
      </c>
      <c r="H39" s="243" t="inlineStr">
        <is>
          <t>P газа в теплообменнике</t>
        </is>
      </c>
      <c r="I39" s="286" t="inlineStr">
        <is>
          <t>УПГ</t>
        </is>
      </c>
      <c r="J39" s="243" t="inlineStr">
        <is>
          <t>АСУ,А и ТМ (КЦ № 6)</t>
        </is>
      </c>
      <c r="K39" s="243" t="inlineStr">
        <is>
          <t>2012</t>
        </is>
      </c>
      <c r="L39" s="248" t="inlineStr">
        <is>
          <t>12</t>
        </is>
      </c>
      <c r="M39" s="246" t="inlineStr">
        <is>
          <t>26ДЯУ</t>
        </is>
      </c>
      <c r="N39" s="245" t="inlineStr">
        <is>
          <t>П</t>
        </is>
      </c>
    </row>
    <row r="40" ht="22.5" customHeight="1" s="236">
      <c r="A40" s="243" t="n">
        <v>39</v>
      </c>
      <c r="B40" s="253" t="inlineStr">
        <is>
          <t>Манометр технический</t>
        </is>
      </c>
      <c r="C40" s="248" t="inlineStr">
        <is>
          <t>МП4-УУ2</t>
        </is>
      </c>
      <c r="D40" s="248" t="inlineStr">
        <is>
          <t>15405</t>
        </is>
      </c>
      <c r="E40" s="243" t="inlineStr">
        <is>
          <t>2010</t>
        </is>
      </c>
      <c r="F40" s="248" t="inlineStr">
        <is>
          <t>0..160 кгс/см2</t>
        </is>
      </c>
      <c r="G40" s="248" t="inlineStr">
        <is>
          <t>1</t>
        </is>
      </c>
      <c r="H40" s="243" t="inlineStr">
        <is>
          <t>P газа на выходе с теплообменника</t>
        </is>
      </c>
      <c r="I40" s="286" t="inlineStr">
        <is>
          <t>УПГ</t>
        </is>
      </c>
      <c r="J40" s="243" t="inlineStr">
        <is>
          <t>АСУ,А и ТМ (КЦ № 6)</t>
        </is>
      </c>
      <c r="K40" s="243" t="inlineStr">
        <is>
          <t>2012</t>
        </is>
      </c>
      <c r="L40" s="248" t="inlineStr">
        <is>
          <t>12</t>
        </is>
      </c>
      <c r="M40" s="246" t="inlineStr">
        <is>
          <t>26ДЯУ</t>
        </is>
      </c>
      <c r="N40" s="245" t="inlineStr">
        <is>
          <t>П</t>
        </is>
      </c>
    </row>
    <row r="41" ht="22.5" customHeight="1" s="236">
      <c r="A41" s="243" t="n">
        <v>40</v>
      </c>
      <c r="B41" s="253" t="inlineStr">
        <is>
          <t>Манометр технический</t>
        </is>
      </c>
      <c r="C41" s="248" t="inlineStr">
        <is>
          <t>МП4-УУ2</t>
        </is>
      </c>
      <c r="D41" s="248" t="inlineStr">
        <is>
          <t>15172</t>
        </is>
      </c>
      <c r="E41" s="243" t="inlineStr">
        <is>
          <t>2010</t>
        </is>
      </c>
      <c r="F41" s="248" t="inlineStr">
        <is>
          <t>0..160 кгс/см2</t>
        </is>
      </c>
      <c r="G41" s="248" t="inlineStr">
        <is>
          <t>1.5</t>
        </is>
      </c>
      <c r="H41" s="243" t="inlineStr">
        <is>
          <t>P газа после адсорбера 401</t>
        </is>
      </c>
      <c r="I41" s="286" t="inlineStr">
        <is>
          <t>УПГ</t>
        </is>
      </c>
      <c r="J41" s="243" t="inlineStr">
        <is>
          <t>АСУ,А и ТМ (КЦ № 6)</t>
        </is>
      </c>
      <c r="K41" s="243" t="inlineStr">
        <is>
          <t>2012</t>
        </is>
      </c>
      <c r="L41" s="248" t="inlineStr">
        <is>
          <t>12</t>
        </is>
      </c>
      <c r="M41" s="246" t="inlineStr">
        <is>
          <t>3К26</t>
        </is>
      </c>
      <c r="N41" s="245" t="inlineStr">
        <is>
          <t>К</t>
        </is>
      </c>
    </row>
    <row r="42" ht="22.5" customHeight="1" s="236">
      <c r="A42" s="243" t="n">
        <v>41</v>
      </c>
      <c r="B42" s="253" t="inlineStr">
        <is>
          <t>Манометр технический</t>
        </is>
      </c>
      <c r="C42" s="248" t="inlineStr">
        <is>
          <t>МП4-УУ2</t>
        </is>
      </c>
      <c r="D42" s="248" t="inlineStr">
        <is>
          <t>15372</t>
        </is>
      </c>
      <c r="E42" s="243" t="inlineStr">
        <is>
          <t>2010</t>
        </is>
      </c>
      <c r="F42" s="248" t="inlineStr">
        <is>
          <t>0..160 кгс/см2</t>
        </is>
      </c>
      <c r="G42" s="248" t="inlineStr">
        <is>
          <t>1.5</t>
        </is>
      </c>
      <c r="H42" s="243" t="inlineStr">
        <is>
          <t>P газа после адсорбера 402</t>
        </is>
      </c>
      <c r="I42" s="286" t="inlineStr">
        <is>
          <t>УПГ</t>
        </is>
      </c>
      <c r="J42" s="243" t="inlineStr">
        <is>
          <t>АСУ,А и ТМ (КЦ № 6)</t>
        </is>
      </c>
      <c r="K42" s="243" t="inlineStr">
        <is>
          <t>2012</t>
        </is>
      </c>
      <c r="L42" s="248" t="inlineStr">
        <is>
          <t>12</t>
        </is>
      </c>
      <c r="M42" s="246" t="inlineStr">
        <is>
          <t>3К26</t>
        </is>
      </c>
      <c r="N42" s="245" t="inlineStr">
        <is>
          <t>К</t>
        </is>
      </c>
    </row>
    <row r="43" ht="22.5" customHeight="1" s="236">
      <c r="A43" s="243" t="n">
        <v>42</v>
      </c>
      <c r="B43" s="253" t="inlineStr">
        <is>
          <t>Манометр технический</t>
        </is>
      </c>
      <c r="C43" s="248" t="inlineStr">
        <is>
          <t>МП4-УУ2</t>
        </is>
      </c>
      <c r="D43" s="248" t="inlineStr">
        <is>
          <t>15536</t>
        </is>
      </c>
      <c r="E43" s="243" t="inlineStr">
        <is>
          <t>2010</t>
        </is>
      </c>
      <c r="F43" s="248" t="inlineStr">
        <is>
          <t>0..160 кгс/см2</t>
        </is>
      </c>
      <c r="G43" s="248" t="inlineStr">
        <is>
          <t>1.5</t>
        </is>
      </c>
      <c r="H43" s="243" t="inlineStr">
        <is>
          <t>Р конденсата в емкости Е801</t>
        </is>
      </c>
      <c r="I43" s="286" t="inlineStr">
        <is>
          <t>УПГ</t>
        </is>
      </c>
      <c r="J43" s="243" t="inlineStr">
        <is>
          <t>АСУ,А и ТМ (КЦ № 6)</t>
        </is>
      </c>
      <c r="K43" s="243" t="inlineStr">
        <is>
          <t>2012</t>
        </is>
      </c>
      <c r="L43" s="248" t="inlineStr">
        <is>
          <t>12</t>
        </is>
      </c>
      <c r="M43" s="246" t="inlineStr">
        <is>
          <t>26ДЯУ</t>
        </is>
      </c>
      <c r="N43" s="245" t="inlineStr">
        <is>
          <t>П</t>
        </is>
      </c>
    </row>
    <row r="44" ht="22.5" customHeight="1" s="236">
      <c r="A44" s="243" t="n">
        <v>43</v>
      </c>
      <c r="B44" s="253" t="inlineStr">
        <is>
          <t>Манометр технический</t>
        </is>
      </c>
      <c r="C44" s="248" t="inlineStr">
        <is>
          <t>МП4-УУ2</t>
        </is>
      </c>
      <c r="D44" s="248" t="inlineStr">
        <is>
          <t>15402</t>
        </is>
      </c>
      <c r="E44" s="243" t="inlineStr">
        <is>
          <t>2010</t>
        </is>
      </c>
      <c r="F44" s="248" t="inlineStr">
        <is>
          <t>0..160 кгс/см2</t>
        </is>
      </c>
      <c r="G44" s="248" t="inlineStr">
        <is>
          <t>1</t>
        </is>
      </c>
      <c r="H44" s="243" t="inlineStr">
        <is>
          <t>Р газа пред блоком редуцирования</t>
        </is>
      </c>
      <c r="I44" s="286" t="inlineStr">
        <is>
          <t>УПГ</t>
        </is>
      </c>
      <c r="J44" s="243" t="inlineStr">
        <is>
          <t>АСУ,А и ТМ (КЦ № 6)</t>
        </is>
      </c>
      <c r="K44" s="243" t="inlineStr">
        <is>
          <t>2012</t>
        </is>
      </c>
      <c r="L44" s="248" t="inlineStr">
        <is>
          <t>12</t>
        </is>
      </c>
      <c r="M44" s="246" t="inlineStr">
        <is>
          <t>3К26</t>
        </is>
      </c>
      <c r="N44" s="245" t="inlineStr">
        <is>
          <t>К</t>
        </is>
      </c>
    </row>
    <row r="45" ht="15" customHeight="1" s="236">
      <c r="A45" s="243" t="n">
        <v>44</v>
      </c>
      <c r="B45" s="246" t="inlineStr">
        <is>
          <t>Термометр биметаллический</t>
        </is>
      </c>
      <c r="C45" s="248" t="inlineStr">
        <is>
          <t>ТБ-2Р</t>
        </is>
      </c>
      <c r="D45" s="248" t="inlineStr">
        <is>
          <t>6562</t>
        </is>
      </c>
      <c r="E45" s="243" t="inlineStr">
        <is>
          <t>2010</t>
        </is>
      </c>
      <c r="F45" s="248" t="inlineStr">
        <is>
          <t>0 .. 120°С</t>
        </is>
      </c>
      <c r="G45" s="248" t="inlineStr">
        <is>
          <t>1.5</t>
        </is>
      </c>
      <c r="H45" s="243" t="inlineStr">
        <is>
          <t>Тг на входе в УПГ</t>
        </is>
      </c>
      <c r="I45" s="286" t="inlineStr">
        <is>
          <t>УПГ</t>
        </is>
      </c>
      <c r="J45" s="243" t="inlineStr">
        <is>
          <t>АСУ,А и ТМ (КЦ № 6)</t>
        </is>
      </c>
      <c r="K45" s="243" t="inlineStr">
        <is>
          <t>2012</t>
        </is>
      </c>
      <c r="L45" s="248" t="inlineStr">
        <is>
          <t>24</t>
        </is>
      </c>
      <c r="M45" s="246" t="inlineStr">
        <is>
          <t>3К25</t>
        </is>
      </c>
      <c r="N45" s="245" t="inlineStr">
        <is>
          <t>К</t>
        </is>
      </c>
    </row>
    <row r="46" ht="22.5" customHeight="1" s="236">
      <c r="A46" s="243" t="n">
        <v>45</v>
      </c>
      <c r="B46" s="246" t="inlineStr">
        <is>
          <t>Термометр биметаллический</t>
        </is>
      </c>
      <c r="C46" s="248" t="inlineStr">
        <is>
          <t>ТБ-2Р УХЛ2</t>
        </is>
      </c>
      <c r="D46" s="248" t="inlineStr">
        <is>
          <t>4001</t>
        </is>
      </c>
      <c r="E46" s="243" t="inlineStr">
        <is>
          <t>2010</t>
        </is>
      </c>
      <c r="F46" s="248" t="inlineStr">
        <is>
          <t>0 .. 150°С</t>
        </is>
      </c>
      <c r="G46" s="248" t="inlineStr">
        <is>
          <t>1.5</t>
        </is>
      </c>
      <c r="H46" s="243" t="inlineStr">
        <is>
          <t>Тг на выходе УПГ после редуцирования</t>
        </is>
      </c>
      <c r="I46" s="286" t="inlineStr">
        <is>
          <t>УПГ</t>
        </is>
      </c>
      <c r="J46" s="243" t="inlineStr">
        <is>
          <t>АСУ,А и ТМ (КЦ № 6)</t>
        </is>
      </c>
      <c r="K46" s="243" t="inlineStr">
        <is>
          <t>2012</t>
        </is>
      </c>
      <c r="L46" s="248" t="inlineStr">
        <is>
          <t>24</t>
        </is>
      </c>
      <c r="M46" s="246" t="inlineStr">
        <is>
          <t>3К25</t>
        </is>
      </c>
      <c r="N46" s="245" t="inlineStr">
        <is>
          <t>К</t>
        </is>
      </c>
    </row>
    <row r="47" ht="15" customHeight="1" s="236">
      <c r="A47" s="243" t="n">
        <v>46</v>
      </c>
      <c r="B47" s="246" t="inlineStr">
        <is>
          <t>Термометр биметаллический</t>
        </is>
      </c>
      <c r="C47" s="248" t="inlineStr">
        <is>
          <t>ТБ-2Р УХЛ2</t>
        </is>
      </c>
      <c r="D47" s="248" t="inlineStr">
        <is>
          <t>3565</t>
        </is>
      </c>
      <c r="E47" s="243" t="inlineStr">
        <is>
          <t>2010</t>
        </is>
      </c>
      <c r="F47" s="248" t="inlineStr">
        <is>
          <t>0 .. 150°С</t>
        </is>
      </c>
      <c r="G47" s="248" t="inlineStr">
        <is>
          <t>1.5</t>
        </is>
      </c>
      <c r="H47" s="243" t="inlineStr">
        <is>
          <t>Тг на выходе ЭПГ 800/1</t>
        </is>
      </c>
      <c r="I47" s="286" t="inlineStr">
        <is>
          <t>УПГ</t>
        </is>
      </c>
      <c r="J47" s="243" t="inlineStr">
        <is>
          <t>АСУ,А и ТМ (КЦ № 6)</t>
        </is>
      </c>
      <c r="K47" s="243" t="inlineStr">
        <is>
          <t>2012</t>
        </is>
      </c>
      <c r="L47" s="248" t="inlineStr">
        <is>
          <t>24</t>
        </is>
      </c>
      <c r="M47" s="246" t="inlineStr">
        <is>
          <t>3К25</t>
        </is>
      </c>
      <c r="N47" s="245" t="inlineStr">
        <is>
          <t>К</t>
        </is>
      </c>
    </row>
    <row r="48" ht="15" customHeight="1" s="236">
      <c r="A48" s="243" t="n">
        <v>47</v>
      </c>
      <c r="B48" s="246" t="inlineStr">
        <is>
          <t>Термометр биметаллический</t>
        </is>
      </c>
      <c r="C48" s="248" t="inlineStr">
        <is>
          <t>ТБ-2Р УХЛ2</t>
        </is>
      </c>
      <c r="D48" s="248" t="inlineStr">
        <is>
          <t>3575</t>
        </is>
      </c>
      <c r="E48" s="243" t="inlineStr">
        <is>
          <t>2010</t>
        </is>
      </c>
      <c r="F48" s="248" t="inlineStr">
        <is>
          <t>0 .. 150°С</t>
        </is>
      </c>
      <c r="G48" s="248" t="inlineStr">
        <is>
          <t>1</t>
        </is>
      </c>
      <c r="H48" s="243" t="inlineStr">
        <is>
          <t>Тг на выходе ЭПГ 800/2</t>
        </is>
      </c>
      <c r="I48" s="286" t="inlineStr">
        <is>
          <t>УПГ</t>
        </is>
      </c>
      <c r="J48" s="243" t="inlineStr">
        <is>
          <t>АСУ,А и ТМ (КЦ № 6)</t>
        </is>
      </c>
      <c r="K48" s="243" t="inlineStr">
        <is>
          <t>2012</t>
        </is>
      </c>
      <c r="L48" s="248" t="inlineStr">
        <is>
          <t>24</t>
        </is>
      </c>
      <c r="M48" s="246" t="inlineStr">
        <is>
          <t>3К25</t>
        </is>
      </c>
      <c r="N48" s="245" t="inlineStr">
        <is>
          <t>К</t>
        </is>
      </c>
    </row>
    <row r="49" ht="22.5" customHeight="1" s="236">
      <c r="A49" s="243" t="n">
        <v>48</v>
      </c>
      <c r="B49" s="246" t="inlineStr">
        <is>
          <t>Термометр биметаллический</t>
        </is>
      </c>
      <c r="C49" s="248" t="inlineStr">
        <is>
          <t>ТБ-2Р УХЛ2</t>
        </is>
      </c>
      <c r="D49" s="248" t="inlineStr">
        <is>
          <t>3580</t>
        </is>
      </c>
      <c r="E49" s="243" t="inlineStr">
        <is>
          <t>2010</t>
        </is>
      </c>
      <c r="F49" s="248" t="inlineStr">
        <is>
          <t>0 .. 150°С</t>
        </is>
      </c>
      <c r="G49" s="248" t="inlineStr">
        <is>
          <t>1</t>
        </is>
      </c>
      <c r="H49" s="243" t="inlineStr">
        <is>
          <t>Тг регенерации на входе в АТ 401</t>
        </is>
      </c>
      <c r="I49" s="286" t="inlineStr">
        <is>
          <t>УПГ</t>
        </is>
      </c>
      <c r="J49" s="243" t="inlineStr">
        <is>
          <t>АСУ,А и ТМ (КЦ № 6)</t>
        </is>
      </c>
      <c r="K49" s="243" t="inlineStr">
        <is>
          <t>2012</t>
        </is>
      </c>
      <c r="L49" s="248" t="inlineStr">
        <is>
          <t>24</t>
        </is>
      </c>
      <c r="M49" s="246" t="inlineStr">
        <is>
          <t>3К25</t>
        </is>
      </c>
      <c r="N49" s="245" t="inlineStr">
        <is>
          <t>К</t>
        </is>
      </c>
    </row>
    <row r="50" ht="22.5" customHeight="1" s="236">
      <c r="A50" s="243" t="n">
        <v>49</v>
      </c>
      <c r="B50" s="246" t="inlineStr">
        <is>
          <t>Термометр биметаллический</t>
        </is>
      </c>
      <c r="C50" s="248" t="inlineStr">
        <is>
          <t>ТБ-2Р УХЛ2</t>
        </is>
      </c>
      <c r="D50" s="248" t="inlineStr">
        <is>
          <t>5281</t>
        </is>
      </c>
      <c r="E50" s="243" t="inlineStr">
        <is>
          <t>2010</t>
        </is>
      </c>
      <c r="F50" s="248" t="inlineStr">
        <is>
          <t>0 .. 300°С</t>
        </is>
      </c>
      <c r="G50" s="248" t="inlineStr">
        <is>
          <t>1</t>
        </is>
      </c>
      <c r="H50" s="243" t="inlineStr">
        <is>
          <t>Тг регенерации на выходе ПГР 401</t>
        </is>
      </c>
      <c r="I50" s="286" t="inlineStr">
        <is>
          <t>УПГ</t>
        </is>
      </c>
      <c r="J50" s="243" t="inlineStr">
        <is>
          <t>АСУ,А и ТМ (КЦ № 6)</t>
        </is>
      </c>
      <c r="K50" s="243" t="inlineStr">
        <is>
          <t>2012</t>
        </is>
      </c>
      <c r="L50" s="248" t="inlineStr">
        <is>
          <t>24</t>
        </is>
      </c>
      <c r="M50" s="246" t="inlineStr">
        <is>
          <t>3К25</t>
        </is>
      </c>
      <c r="N50" s="245" t="inlineStr">
        <is>
          <t>К</t>
        </is>
      </c>
    </row>
    <row r="51" ht="15" customHeight="1" s="236">
      <c r="A51" s="243" t="n">
        <v>50</v>
      </c>
      <c r="B51" s="253" t="inlineStr">
        <is>
          <t>Датчик пламени</t>
        </is>
      </c>
      <c r="C51" s="248" t="inlineStr">
        <is>
          <t>ИП330/3-20-А2</t>
        </is>
      </c>
      <c r="D51" s="248" t="inlineStr">
        <is>
          <t>000991</t>
        </is>
      </c>
      <c r="E51" s="243" t="inlineStr">
        <is>
          <t>2011</t>
        </is>
      </c>
      <c r="F51" s="248" t="inlineStr"/>
      <c r="G51" s="248" t="inlineStr"/>
      <c r="H51" s="243" t="inlineStr">
        <is>
          <t>В помещении УПГ</t>
        </is>
      </c>
      <c r="I51" s="286" t="inlineStr">
        <is>
          <t>УПГ</t>
        </is>
      </c>
      <c r="J51" s="243" t="inlineStr">
        <is>
          <t>АСУ,А и ТМ (КЦ № 6)</t>
        </is>
      </c>
      <c r="K51" s="243" t="inlineStr">
        <is>
          <t>2012</t>
        </is>
      </c>
      <c r="L51" s="248" t="inlineStr"/>
      <c r="M51" s="246" t="inlineStr"/>
      <c r="N51" s="245" t="inlineStr"/>
    </row>
    <row r="52" ht="15" customHeight="1" s="236">
      <c r="A52" s="243" t="n">
        <v>51</v>
      </c>
      <c r="B52" s="253" t="inlineStr">
        <is>
          <t>Датчик пламени</t>
        </is>
      </c>
      <c r="C52" s="248" t="inlineStr">
        <is>
          <t>ИП330/3-20-А3</t>
        </is>
      </c>
      <c r="D52" s="248" t="inlineStr">
        <is>
          <t>000974</t>
        </is>
      </c>
      <c r="E52" s="243" t="inlineStr">
        <is>
          <t>2011</t>
        </is>
      </c>
      <c r="F52" s="248" t="inlineStr"/>
      <c r="G52" s="248" t="inlineStr"/>
      <c r="H52" s="243" t="inlineStr">
        <is>
          <t>В помещении УПГ</t>
        </is>
      </c>
      <c r="I52" s="286" t="inlineStr">
        <is>
          <t>УПГ</t>
        </is>
      </c>
      <c r="J52" s="243" t="inlineStr">
        <is>
          <t>АСУ,А и ТМ (КЦ № 6)</t>
        </is>
      </c>
      <c r="K52" s="243" t="inlineStr">
        <is>
          <t>2012</t>
        </is>
      </c>
      <c r="L52" s="248" t="inlineStr"/>
      <c r="M52" s="246" t="inlineStr"/>
      <c r="N52" s="245" t="inlineStr"/>
    </row>
    <row r="53" ht="15" customHeight="1" s="236">
      <c r="A53" s="243" t="n">
        <v>52</v>
      </c>
      <c r="B53" s="253" t="inlineStr">
        <is>
          <t>Датчик пламени</t>
        </is>
      </c>
      <c r="C53" s="248" t="inlineStr">
        <is>
          <t>ИП330/3-20-А4</t>
        </is>
      </c>
      <c r="D53" s="248" t="inlineStr">
        <is>
          <t>000990</t>
        </is>
      </c>
      <c r="E53" s="243" t="inlineStr">
        <is>
          <t>2011</t>
        </is>
      </c>
      <c r="F53" s="248" t="inlineStr"/>
      <c r="G53" s="248" t="inlineStr"/>
      <c r="H53" s="243" t="inlineStr">
        <is>
          <t>В помещении УПГ</t>
        </is>
      </c>
      <c r="I53" s="286" t="inlineStr">
        <is>
          <t>УПГ</t>
        </is>
      </c>
      <c r="J53" s="243" t="inlineStr">
        <is>
          <t>АСУ,А и ТМ (КЦ № 6)</t>
        </is>
      </c>
      <c r="K53" s="243" t="inlineStr">
        <is>
          <t>2012</t>
        </is>
      </c>
      <c r="L53" s="248" t="inlineStr"/>
      <c r="M53" s="246" t="inlineStr"/>
      <c r="N53" s="245" t="inlineStr"/>
    </row>
    <row r="54" ht="15" customHeight="1" s="236">
      <c r="A54" s="243" t="n">
        <v>53</v>
      </c>
      <c r="B54" s="253" t="inlineStr">
        <is>
          <t>Датчик пламени</t>
        </is>
      </c>
      <c r="C54" s="248" t="inlineStr">
        <is>
          <t>ИП330/3-20-А5</t>
        </is>
      </c>
      <c r="D54" s="248" t="inlineStr">
        <is>
          <t>001006</t>
        </is>
      </c>
      <c r="E54" s="243" t="inlineStr">
        <is>
          <t>2011</t>
        </is>
      </c>
      <c r="F54" s="248" t="inlineStr"/>
      <c r="G54" s="248" t="inlineStr"/>
      <c r="H54" s="243" t="inlineStr">
        <is>
          <t>В помещении УПГ</t>
        </is>
      </c>
      <c r="I54" s="286" t="inlineStr">
        <is>
          <t>УПГ</t>
        </is>
      </c>
      <c r="J54" s="243" t="inlineStr">
        <is>
          <t>АСУ,А и ТМ (КЦ № 6)</t>
        </is>
      </c>
      <c r="K54" s="243" t="inlineStr">
        <is>
          <t>2012</t>
        </is>
      </c>
      <c r="L54" s="248" t="inlineStr"/>
      <c r="M54" s="246" t="inlineStr"/>
      <c r="N54" s="245" t="inlineStr"/>
    </row>
    <row r="55" ht="15" customFormat="1" customHeight="1" s="235">
      <c r="A55" s="243" t="n">
        <v>54</v>
      </c>
      <c r="B55" s="253" t="inlineStr">
        <is>
          <t>Контроль загазованности</t>
        </is>
      </c>
      <c r="C55" s="248" t="inlineStr">
        <is>
          <t>Det-Tronics (PIRECL 21M)</t>
        </is>
      </c>
      <c r="D55" s="248" t="inlineStr">
        <is>
          <t>1105084</t>
        </is>
      </c>
      <c r="E55" s="243" t="inlineStr">
        <is>
          <t>2011</t>
        </is>
      </c>
      <c r="F55" s="248" t="inlineStr"/>
      <c r="G55" s="248" t="inlineStr"/>
      <c r="H55" s="243" t="inlineStr">
        <is>
          <t>В помещении УПГ</t>
        </is>
      </c>
      <c r="I55" s="286" t="inlineStr">
        <is>
          <t>УПГ</t>
        </is>
      </c>
      <c r="J55" s="243" t="inlineStr">
        <is>
          <t>АСУ,А и ТМ (КЦ № 6)</t>
        </is>
      </c>
      <c r="K55" s="243" t="inlineStr">
        <is>
          <t>2012</t>
        </is>
      </c>
      <c r="L55" s="248" t="inlineStr"/>
      <c r="M55" s="246" t="inlineStr"/>
      <c r="N55" s="245" t="inlineStr"/>
    </row>
    <row r="56" ht="15" customHeight="1" s="236">
      <c r="A56" s="243" t="n">
        <v>55</v>
      </c>
      <c r="B56" s="253" t="inlineStr">
        <is>
          <t>Контроль загазованности</t>
        </is>
      </c>
      <c r="C56" s="248" t="inlineStr">
        <is>
          <t>Det-Tronics (PIRECL 21M)</t>
        </is>
      </c>
      <c r="D56" s="248" t="inlineStr">
        <is>
          <t>1105094</t>
        </is>
      </c>
      <c r="E56" s="243" t="inlineStr">
        <is>
          <t>2011</t>
        </is>
      </c>
      <c r="F56" s="248" t="inlineStr"/>
      <c r="G56" s="248" t="inlineStr"/>
      <c r="H56" s="243" t="inlineStr">
        <is>
          <t>В помещении УПГ</t>
        </is>
      </c>
      <c r="I56" s="286" t="inlineStr">
        <is>
          <t>УПГ</t>
        </is>
      </c>
      <c r="J56" s="243" t="inlineStr">
        <is>
          <t>АСУ,А и ТМ (КЦ № 6)</t>
        </is>
      </c>
      <c r="K56" s="243" t="inlineStr">
        <is>
          <t>2012</t>
        </is>
      </c>
      <c r="L56" s="248" t="inlineStr"/>
      <c r="M56" s="246" t="inlineStr"/>
      <c r="N56" s="245" t="inlineStr"/>
    </row>
    <row r="57" ht="11.25" customFormat="1" customHeight="1" s="281">
      <c r="A57" s="243" t="n">
        <v>56</v>
      </c>
      <c r="B57" s="253" t="inlineStr">
        <is>
          <t>Уровнемер</t>
        </is>
      </c>
      <c r="C57" s="248" t="inlineStr">
        <is>
          <t>Rosemount 2120</t>
        </is>
      </c>
      <c r="D57" s="248" t="inlineStr">
        <is>
          <t>MS13453800200002</t>
        </is>
      </c>
      <c r="E57" s="243" t="inlineStr">
        <is>
          <t>2011</t>
        </is>
      </c>
      <c r="F57" s="248" t="inlineStr"/>
      <c r="G57" s="248" t="inlineStr"/>
      <c r="H57" s="243" t="inlineStr">
        <is>
          <t>Н конденсата в ЭПГ 800/2</t>
        </is>
      </c>
      <c r="I57" s="286" t="inlineStr">
        <is>
          <t>УПГ</t>
        </is>
      </c>
      <c r="J57" s="243" t="inlineStr">
        <is>
          <t>АСУ,А и ТМ (КЦ № 6)</t>
        </is>
      </c>
      <c r="K57" s="243" t="inlineStr"/>
      <c r="L57" s="248" t="inlineStr"/>
      <c r="M57" s="246" t="inlineStr"/>
      <c r="N57" s="245" t="inlineStr"/>
    </row>
    <row r="58" ht="15" customHeight="1" s="236">
      <c r="A58" s="243" t="n">
        <v>57</v>
      </c>
      <c r="B58" s="253" t="inlineStr">
        <is>
          <t>Уровнемер</t>
        </is>
      </c>
      <c r="C58" s="248" t="inlineStr">
        <is>
          <t>Rosemount 2120</t>
        </is>
      </c>
      <c r="D58" s="248" t="inlineStr">
        <is>
          <t>MS13453800200001</t>
        </is>
      </c>
      <c r="E58" s="243" t="inlineStr">
        <is>
          <t>2011</t>
        </is>
      </c>
      <c r="F58" s="248" t="inlineStr"/>
      <c r="G58" s="248" t="inlineStr"/>
      <c r="H58" s="243" t="inlineStr">
        <is>
          <t>Н конденсата в ЭПГ 800/1</t>
        </is>
      </c>
      <c r="I58" s="286" t="inlineStr">
        <is>
          <t>УПГ</t>
        </is>
      </c>
      <c r="J58" s="243" t="inlineStr">
        <is>
          <t>АСУ,А и ТМ (КЦ № 6)</t>
        </is>
      </c>
      <c r="K58" s="243" t="inlineStr"/>
      <c r="L58" s="248" t="inlineStr"/>
      <c r="M58" s="246" t="inlineStr"/>
      <c r="N58" s="245" t="inlineStr"/>
    </row>
    <row r="59" ht="15" customHeight="1" s="236">
      <c r="A59" s="243" t="n">
        <v>58</v>
      </c>
      <c r="B59" s="253" t="inlineStr">
        <is>
          <t>Уровнемер</t>
        </is>
      </c>
      <c r="C59" s="248" t="inlineStr">
        <is>
          <t>Rosemount 2120</t>
        </is>
      </c>
      <c r="D59" s="248" t="inlineStr">
        <is>
          <t>MS13453800100005</t>
        </is>
      </c>
      <c r="E59" s="243" t="inlineStr">
        <is>
          <t>2011</t>
        </is>
      </c>
      <c r="F59" s="248" t="inlineStr"/>
      <c r="G59" s="248" t="inlineStr"/>
      <c r="H59" s="243" t="inlineStr">
        <is>
          <t>Н конденсата в Е801</t>
        </is>
      </c>
      <c r="I59" s="286" t="inlineStr">
        <is>
          <t>УПГ</t>
        </is>
      </c>
      <c r="J59" s="243" t="inlineStr">
        <is>
          <t>АСУ,А и ТМ (КЦ № 6)</t>
        </is>
      </c>
      <c r="K59" s="243" t="inlineStr"/>
      <c r="L59" s="248" t="inlineStr"/>
      <c r="M59" s="246" t="inlineStr"/>
      <c r="N59" s="245" t="inlineStr"/>
    </row>
    <row r="60" ht="15" customHeight="1" s="236">
      <c r="A60" s="243" t="n">
        <v>59</v>
      </c>
      <c r="B60" s="253" t="inlineStr">
        <is>
          <t>Уровнемер</t>
        </is>
      </c>
      <c r="C60" s="248" t="inlineStr">
        <is>
          <t>Rosemount 2120</t>
        </is>
      </c>
      <c r="D60" s="248" t="inlineStr">
        <is>
          <t>MS13453800100001</t>
        </is>
      </c>
      <c r="E60" s="243" t="inlineStr">
        <is>
          <t>2011</t>
        </is>
      </c>
      <c r="F60" s="248" t="inlineStr"/>
      <c r="G60" s="248" t="inlineStr"/>
      <c r="H60" s="243" t="inlineStr">
        <is>
          <t>Н конденсата в ФС801</t>
        </is>
      </c>
      <c r="I60" s="286" t="inlineStr">
        <is>
          <t>УПГ</t>
        </is>
      </c>
      <c r="J60" s="243" t="inlineStr">
        <is>
          <t>АСУ,А и ТМ (КЦ № 6)</t>
        </is>
      </c>
      <c r="K60" s="243" t="inlineStr"/>
      <c r="L60" s="248" t="inlineStr"/>
      <c r="M60" s="246" t="inlineStr"/>
      <c r="N60" s="245" t="inlineStr"/>
    </row>
    <row r="61" ht="15" customHeight="1" s="236">
      <c r="A61" s="243" t="n">
        <v>60</v>
      </c>
      <c r="B61" s="253" t="inlineStr">
        <is>
          <t>Уровнемер</t>
        </is>
      </c>
      <c r="C61" s="248" t="inlineStr">
        <is>
          <t>Rosemount 2120</t>
        </is>
      </c>
      <c r="D61" s="248" t="inlineStr">
        <is>
          <t>MS13453800100002</t>
        </is>
      </c>
      <c r="E61" s="243" t="inlineStr">
        <is>
          <t>2011</t>
        </is>
      </c>
      <c r="F61" s="248" t="inlineStr"/>
      <c r="G61" s="248" t="inlineStr"/>
      <c r="H61" s="243" t="inlineStr">
        <is>
          <t>Н конденсата в ФС802</t>
        </is>
      </c>
      <c r="I61" s="286" t="inlineStr">
        <is>
          <t>УПГ</t>
        </is>
      </c>
      <c r="J61" s="243" t="inlineStr">
        <is>
          <t>АСУ,А и ТМ (КЦ № 6)</t>
        </is>
      </c>
      <c r="K61" s="243" t="inlineStr"/>
      <c r="L61" s="248" t="inlineStr"/>
      <c r="M61" s="246" t="inlineStr"/>
      <c r="N61" s="245" t="inlineStr"/>
    </row>
    <row r="62">
      <c r="A62" s="243" t="n">
        <v>13</v>
      </c>
      <c r="B62" s="248" t="inlineStr">
        <is>
          <t>Расходомер</t>
        </is>
      </c>
      <c r="C62" s="276" t="inlineStr">
        <is>
          <t>F025-S12-0-C-A-Z-E-ZZZ-Z</t>
        </is>
      </c>
      <c r="D62" s="245" t="inlineStr">
        <is>
          <t>sensor 14232402 голова 3812918</t>
        </is>
      </c>
      <c r="E62" s="245" t="inlineStr">
        <is>
          <t>2011</t>
        </is>
      </c>
      <c r="F62" s="245" t="inlineStr">
        <is>
          <t>0,06….75,5 кг/с</t>
        </is>
      </c>
      <c r="G62" s="245" t="inlineStr">
        <is>
          <t>±0,5 (для газа)</t>
        </is>
      </c>
      <c r="H62" s="248" t="inlineStr">
        <is>
          <t>Расход топливного газа на 801/1</t>
        </is>
      </c>
      <c r="I62" s="243" t="inlineStr">
        <is>
          <t>УПГ</t>
        </is>
      </c>
      <c r="J62" s="243" t="inlineStr">
        <is>
          <t>АСУ,А и ТМ (КЦ № 6)</t>
        </is>
      </c>
      <c r="K62" s="243" t="inlineStr">
        <is>
          <t>2012</t>
        </is>
      </c>
      <c r="L62" s="243" t="inlineStr">
        <is>
          <t>48</t>
        </is>
      </c>
      <c r="M62" s="246" t="inlineStr"/>
      <c r="N62" s="245" t="inlineStr"/>
    </row>
    <row r="63">
      <c r="A63" s="243" t="n">
        <v>14</v>
      </c>
      <c r="B63" s="248" t="inlineStr">
        <is>
          <t>Расходомер</t>
        </is>
      </c>
      <c r="C63" s="276" t="inlineStr">
        <is>
          <t>F025-S12-0-C-A-Z-E-ZZZ-Z</t>
        </is>
      </c>
      <c r="D63" s="245" t="inlineStr">
        <is>
          <t>sensor 14233029 голова 3813003</t>
        </is>
      </c>
      <c r="E63" s="245" t="inlineStr">
        <is>
          <t>2011</t>
        </is>
      </c>
      <c r="F63" s="245" t="inlineStr">
        <is>
          <t>0,06….75,5 кг/с</t>
        </is>
      </c>
      <c r="G63" s="245" t="inlineStr">
        <is>
          <t>±0,5 (для газа)</t>
        </is>
      </c>
      <c r="H63" s="248" t="inlineStr">
        <is>
          <t>Расход топливного газа на 801/2</t>
        </is>
      </c>
      <c r="I63" s="243" t="inlineStr">
        <is>
          <t>УПГ</t>
        </is>
      </c>
      <c r="J63" s="243" t="inlineStr">
        <is>
          <t>АСУ,А и ТМ (КЦ № 6)</t>
        </is>
      </c>
      <c r="K63" s="243" t="inlineStr">
        <is>
          <t>2012</t>
        </is>
      </c>
      <c r="L63" s="243" t="inlineStr">
        <is>
          <t>48</t>
        </is>
      </c>
      <c r="M63" s="246" t="inlineStr"/>
      <c r="N63" s="245" t="inlineStr"/>
    </row>
    <row r="64">
      <c r="A64" s="243" t="n">
        <v>15</v>
      </c>
      <c r="B64" s="248" t="inlineStr">
        <is>
          <t>Расходомер</t>
        </is>
      </c>
      <c r="C64" s="276" t="inlineStr">
        <is>
          <t>F025-S12-0-C-A-Z-E-ZZZ-Z</t>
        </is>
      </c>
      <c r="D64" s="245" t="inlineStr">
        <is>
          <t>sensor 14233030 голова 3813019</t>
        </is>
      </c>
      <c r="E64" s="245" t="inlineStr">
        <is>
          <t>2011</t>
        </is>
      </c>
      <c r="F64" s="245" t="inlineStr">
        <is>
          <t>0,06….75,5 кг/с</t>
        </is>
      </c>
      <c r="G64" s="245" t="inlineStr">
        <is>
          <t>±0,5 (для газа)</t>
        </is>
      </c>
      <c r="H64" s="248" t="inlineStr">
        <is>
          <t>Расход топливного газа на РР802</t>
        </is>
      </c>
      <c r="I64" s="243" t="inlineStr">
        <is>
          <t>УПГ</t>
        </is>
      </c>
      <c r="J64" s="243" t="inlineStr">
        <is>
          <t>АСУ,А и ТМ (КЦ № 6)</t>
        </is>
      </c>
      <c r="K64" s="243" t="inlineStr">
        <is>
          <t>2012</t>
        </is>
      </c>
      <c r="L64" s="243" t="inlineStr">
        <is>
          <t>48</t>
        </is>
      </c>
      <c r="M64" s="246" t="inlineStr"/>
      <c r="N64" s="245" t="inlineStr"/>
    </row>
  </sheetData>
  <conditionalFormatting sqref="M1:M1048576">
    <cfRule type="expression" rank="0" priority="2" equalAverage="0" aboveAverage="0" dxfId="1" text="" percent="0" bottom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orizontalCentered="0" verticalCentered="0" headings="0" gridLines="0" gridLinesSet="1"/>
  <pageMargins left="0.25" right="0.25" top="0.75" bottom="0.75" header="0.511805555555555" footer="0.511805555555555"/>
  <pageSetup orientation="landscape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N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8" activePane="bottomLeft" state="frozen"/>
      <selection pane="topLeft" activeCell="A1" activeCellId="0" sqref="A1"/>
      <selection pane="bottomLeft" activeCell="M16" activeCellId="0" sqref="M16"/>
    </sheetView>
  </sheetViews>
  <sheetFormatPr baseColWidth="8" defaultColWidth="9.15625" defaultRowHeight="11.25" zeroHeight="0" outlineLevelRow="0"/>
  <cols>
    <col width="3.14" customWidth="1" style="281" min="1" max="1"/>
    <col width="17.58" customWidth="1" style="281" min="2" max="2"/>
    <col width="12.29" customWidth="1" style="281" min="3" max="3"/>
    <col width="15.29" customWidth="1" style="281" min="4" max="4"/>
    <col width="6.57" customWidth="1" style="281" min="5" max="5"/>
    <col width="10.58" customWidth="1" style="281" min="6" max="6"/>
    <col width="7.42" customWidth="1" style="281" min="7" max="7"/>
    <col width="19.85" customWidth="1" style="281" min="8" max="8"/>
    <col width="17.58" customWidth="1" style="281" min="9" max="9"/>
    <col width="17.42" customWidth="1" style="281" min="10" max="10"/>
    <col width="8" customWidth="1" style="281" min="11" max="11"/>
    <col width="9" customWidth="1" style="281" min="12" max="12"/>
    <col width="8.859999999999999" customWidth="1" style="287" min="13" max="13"/>
    <col width="9" customWidth="1" style="281" min="14" max="14"/>
    <col width="9.140000000000001" customWidth="1" style="281" min="15" max="1024"/>
  </cols>
  <sheetData>
    <row r="1" ht="45" customHeight="1" s="236">
      <c r="A1" s="239" t="inlineStr">
        <is>
          <t>№ п/п</t>
        </is>
      </c>
      <c r="B1" s="239" t="inlineStr">
        <is>
          <t>Наименование</t>
        </is>
      </c>
      <c r="C1" s="239" t="inlineStr">
        <is>
          <t>Тип</t>
        </is>
      </c>
      <c r="D1" s="239" t="inlineStr">
        <is>
          <t>Заводской 
номер</t>
        </is>
      </c>
      <c r="E1" s="240" t="inlineStr">
        <is>
          <t>Год выпуска</t>
        </is>
      </c>
      <c r="F1" s="239" t="inlineStr">
        <is>
          <t>Диапазон измерений</t>
        </is>
      </c>
      <c r="G1" s="239" t="inlineStr">
        <is>
          <t>Класс точности</t>
        </is>
      </c>
      <c r="H1" s="239" t="inlineStr">
        <is>
          <t>Место установки СИ</t>
        </is>
      </c>
      <c r="I1" s="239" t="inlineStr">
        <is>
          <t>Объект установки</t>
        </is>
      </c>
      <c r="J1" s="239" t="inlineStr">
        <is>
          <t>Подразделение</t>
        </is>
      </c>
      <c r="K1" s="239" t="inlineStr">
        <is>
          <t>Дата установки</t>
        </is>
      </c>
      <c r="L1" s="239" t="inlineStr">
        <is>
          <t>Межповерочный интервал, мес.</t>
        </is>
      </c>
      <c r="M1" s="240" t="inlineStr">
        <is>
          <t>Дата последней поверки / калибровки</t>
        </is>
      </c>
      <c r="N1" s="239" t="inlineStr">
        <is>
          <t>Поверка (П)/ Калибровка (К)</t>
        </is>
      </c>
    </row>
    <row r="2" ht="11.25" customHeight="1" s="236">
      <c r="A2" s="239" t="n">
        <v>1</v>
      </c>
      <c r="B2" s="241" t="inlineStr">
        <is>
          <t>Манометр технический</t>
        </is>
      </c>
      <c r="C2" s="242" t="inlineStr">
        <is>
          <t>МП4-УУ2</t>
        </is>
      </c>
      <c r="D2" s="242" t="inlineStr">
        <is>
          <t>15614</t>
        </is>
      </c>
      <c r="E2" s="242" t="inlineStr">
        <is>
          <t>2010</t>
        </is>
      </c>
      <c r="F2" s="239" t="inlineStr">
        <is>
          <t>0..160 кгс/см2</t>
        </is>
      </c>
      <c r="G2" s="242" t="inlineStr">
        <is>
          <t>1.5</t>
        </is>
      </c>
      <c r="H2" s="239" t="inlineStr">
        <is>
          <t>Р газа на входе ПУ1</t>
        </is>
      </c>
      <c r="I2" s="239" t="inlineStr">
        <is>
          <t>Установка очистки газа</t>
        </is>
      </c>
      <c r="J2" s="239" t="inlineStr">
        <is>
          <t>АСУ,А и ТМ (КЦ № 6)</t>
        </is>
      </c>
      <c r="K2" s="239" t="inlineStr">
        <is>
          <t>2012</t>
        </is>
      </c>
      <c r="L2" s="239" t="inlineStr">
        <is>
          <t>12</t>
        </is>
      </c>
      <c r="M2" s="240" t="inlineStr">
        <is>
          <t>26ДЯУ</t>
        </is>
      </c>
      <c r="N2" s="242" t="inlineStr">
        <is>
          <t>П</t>
        </is>
      </c>
    </row>
    <row r="3" ht="11.25" customHeight="1" s="236">
      <c r="A3" s="243" t="n">
        <v>2</v>
      </c>
      <c r="B3" s="244" t="inlineStr">
        <is>
          <t>Манометр технический</t>
        </is>
      </c>
      <c r="C3" s="245" t="inlineStr">
        <is>
          <t>МП4-УУ2</t>
        </is>
      </c>
      <c r="D3" s="245" t="inlineStr">
        <is>
          <t>15345</t>
        </is>
      </c>
      <c r="E3" s="245" t="inlineStr">
        <is>
          <t>2010</t>
        </is>
      </c>
      <c r="F3" s="243" t="inlineStr">
        <is>
          <t>0..160 кгс/см2</t>
        </is>
      </c>
      <c r="G3" s="245" t="inlineStr">
        <is>
          <t>1.5</t>
        </is>
      </c>
      <c r="H3" s="243" t="inlineStr">
        <is>
          <t>Р газа на выходе ПУ1</t>
        </is>
      </c>
      <c r="I3" s="243" t="inlineStr">
        <is>
          <t>Установка очистки газа</t>
        </is>
      </c>
      <c r="J3" s="243" t="inlineStr">
        <is>
          <t>АСУ,А и ТМ (КЦ № 6)</t>
        </is>
      </c>
      <c r="K3" s="243" t="inlineStr">
        <is>
          <t>2012</t>
        </is>
      </c>
      <c r="L3" s="243" t="inlineStr">
        <is>
          <t>12</t>
        </is>
      </c>
      <c r="M3" s="246" t="inlineStr">
        <is>
          <t>26ДЯУ</t>
        </is>
      </c>
      <c r="N3" s="245" t="inlineStr">
        <is>
          <t>П</t>
        </is>
      </c>
    </row>
    <row r="4" ht="11.25" customHeight="1" s="236">
      <c r="A4" s="243" t="n">
        <v>3</v>
      </c>
      <c r="B4" s="244" t="inlineStr">
        <is>
          <t>Манометр технический</t>
        </is>
      </c>
      <c r="C4" s="245" t="inlineStr">
        <is>
          <t>МП4-УУ2</t>
        </is>
      </c>
      <c r="D4" s="245" t="inlineStr">
        <is>
          <t>15076</t>
        </is>
      </c>
      <c r="E4" s="245" t="inlineStr">
        <is>
          <t>2010</t>
        </is>
      </c>
      <c r="F4" s="243" t="inlineStr">
        <is>
          <t>0..160 кгс/см2</t>
        </is>
      </c>
      <c r="G4" s="245" t="inlineStr">
        <is>
          <t>1.5</t>
        </is>
      </c>
      <c r="H4" s="243" t="inlineStr">
        <is>
          <t>Р газа на входе ПУ2</t>
        </is>
      </c>
      <c r="I4" s="243" t="inlineStr">
        <is>
          <t>Установка очистки газа</t>
        </is>
      </c>
      <c r="J4" s="243" t="inlineStr">
        <is>
          <t>АСУ,А и ТМ (КЦ № 6)</t>
        </is>
      </c>
      <c r="K4" s="243" t="inlineStr">
        <is>
          <t>2012</t>
        </is>
      </c>
      <c r="L4" s="243" t="inlineStr">
        <is>
          <t>12</t>
        </is>
      </c>
      <c r="M4" s="246" t="inlineStr">
        <is>
          <t>26ДЯУ</t>
        </is>
      </c>
      <c r="N4" s="245" t="inlineStr">
        <is>
          <t>П</t>
        </is>
      </c>
    </row>
    <row r="5" ht="11.25" customHeight="1" s="236">
      <c r="A5" s="243" t="n">
        <v>4</v>
      </c>
      <c r="B5" s="244" t="inlineStr">
        <is>
          <t>Манометр технический</t>
        </is>
      </c>
      <c r="C5" s="245" t="inlineStr">
        <is>
          <t>МП4-УУ2</t>
        </is>
      </c>
      <c r="D5" s="245" t="inlineStr">
        <is>
          <t>15322</t>
        </is>
      </c>
      <c r="E5" s="245" t="inlineStr">
        <is>
          <t>2010</t>
        </is>
      </c>
      <c r="F5" s="243" t="inlineStr">
        <is>
          <t>0..160 кгс/см2</t>
        </is>
      </c>
      <c r="G5" s="245" t="inlineStr">
        <is>
          <t>1.5</t>
        </is>
      </c>
      <c r="H5" s="243" t="inlineStr">
        <is>
          <t>Р газа на выходе ПУ2</t>
        </is>
      </c>
      <c r="I5" s="243" t="inlineStr">
        <is>
          <t>Установка очистки газа</t>
        </is>
      </c>
      <c r="J5" s="243" t="inlineStr">
        <is>
          <t>АСУ,А и ТМ (КЦ № 6)</t>
        </is>
      </c>
      <c r="K5" s="243" t="inlineStr">
        <is>
          <t>2012</t>
        </is>
      </c>
      <c r="L5" s="243" t="inlineStr">
        <is>
          <t>12</t>
        </is>
      </c>
      <c r="M5" s="246" t="inlineStr">
        <is>
          <t>26ДЯУ</t>
        </is>
      </c>
      <c r="N5" s="245" t="inlineStr">
        <is>
          <t>П</t>
        </is>
      </c>
    </row>
    <row r="6" ht="11.25" customHeight="1" s="236">
      <c r="A6" s="243" t="n">
        <v>5</v>
      </c>
      <c r="B6" s="244" t="inlineStr">
        <is>
          <t>Манометр технический</t>
        </is>
      </c>
      <c r="C6" s="245" t="inlineStr">
        <is>
          <t>МП4-УУ2</t>
        </is>
      </c>
      <c r="D6" s="245" t="inlineStr">
        <is>
          <t>15351</t>
        </is>
      </c>
      <c r="E6" s="245" t="inlineStr">
        <is>
          <t>2010</t>
        </is>
      </c>
      <c r="F6" s="243" t="inlineStr">
        <is>
          <t>0..160 кгс/см2</t>
        </is>
      </c>
      <c r="G6" s="245" t="inlineStr">
        <is>
          <t>1.5</t>
        </is>
      </c>
      <c r="H6" s="243" t="inlineStr">
        <is>
          <t>Р газа на входе ПУ3</t>
        </is>
      </c>
      <c r="I6" s="243" t="inlineStr">
        <is>
          <t>Установка очистки газа</t>
        </is>
      </c>
      <c r="J6" s="243" t="inlineStr">
        <is>
          <t>АСУ,А и ТМ (КЦ № 6)</t>
        </is>
      </c>
      <c r="K6" s="243" t="inlineStr">
        <is>
          <t>2012</t>
        </is>
      </c>
      <c r="L6" s="243" t="inlineStr">
        <is>
          <t>12</t>
        </is>
      </c>
      <c r="M6" s="246" t="inlineStr">
        <is>
          <t>26ДЯУ</t>
        </is>
      </c>
      <c r="N6" s="245" t="inlineStr">
        <is>
          <t>П</t>
        </is>
      </c>
    </row>
    <row r="7" ht="11.25" customHeight="1" s="236">
      <c r="A7" s="243" t="n">
        <v>6</v>
      </c>
      <c r="B7" s="244" t="inlineStr">
        <is>
          <t>Манометр технический</t>
        </is>
      </c>
      <c r="C7" s="245" t="inlineStr">
        <is>
          <t>МП4-УУ2</t>
        </is>
      </c>
      <c r="D7" s="245" t="inlineStr">
        <is>
          <t>15331</t>
        </is>
      </c>
      <c r="E7" s="245" t="inlineStr">
        <is>
          <t>2010</t>
        </is>
      </c>
      <c r="F7" s="243" t="inlineStr">
        <is>
          <t>0..160 кгс/см2</t>
        </is>
      </c>
      <c r="G7" s="245" t="inlineStr">
        <is>
          <t>1.5</t>
        </is>
      </c>
      <c r="H7" s="243" t="inlineStr">
        <is>
          <t>Р газа на выходе ПУ3</t>
        </is>
      </c>
      <c r="I7" s="243" t="inlineStr">
        <is>
          <t>Установка очистки газа</t>
        </is>
      </c>
      <c r="J7" s="243" t="inlineStr">
        <is>
          <t>АСУ,А и ТМ (КЦ № 6)</t>
        </is>
      </c>
      <c r="K7" s="243" t="inlineStr">
        <is>
          <t>2012</t>
        </is>
      </c>
      <c r="L7" s="243" t="inlineStr">
        <is>
          <t>12</t>
        </is>
      </c>
      <c r="M7" s="246" t="inlineStr">
        <is>
          <t>26ДЯУ</t>
        </is>
      </c>
      <c r="N7" s="245" t="inlineStr">
        <is>
          <t>П</t>
        </is>
      </c>
    </row>
    <row r="8" ht="11.25" customHeight="1" s="236">
      <c r="A8" s="243" t="n">
        <v>7</v>
      </c>
      <c r="B8" s="244" t="inlineStr">
        <is>
          <t>Манометр технический</t>
        </is>
      </c>
      <c r="C8" s="245" t="inlineStr">
        <is>
          <t>МП4-УУ2</t>
        </is>
      </c>
      <c r="D8" s="245" t="inlineStr">
        <is>
          <t>15081</t>
        </is>
      </c>
      <c r="E8" s="245" t="inlineStr">
        <is>
          <t>2010</t>
        </is>
      </c>
      <c r="F8" s="243" t="inlineStr">
        <is>
          <t>0..160 кгс/см2</t>
        </is>
      </c>
      <c r="G8" s="245" t="inlineStr">
        <is>
          <t>1.5</t>
        </is>
      </c>
      <c r="H8" s="243" t="inlineStr">
        <is>
          <t>Р газа на входе ПУ4</t>
        </is>
      </c>
      <c r="I8" s="243" t="inlineStr">
        <is>
          <t>Установка очистки газа</t>
        </is>
      </c>
      <c r="J8" s="243" t="inlineStr">
        <is>
          <t>АСУ,А и ТМ (КЦ № 6)</t>
        </is>
      </c>
      <c r="K8" s="243" t="inlineStr">
        <is>
          <t>2012</t>
        </is>
      </c>
      <c r="L8" s="243" t="inlineStr">
        <is>
          <t>12</t>
        </is>
      </c>
      <c r="M8" s="246" t="inlineStr">
        <is>
          <t>26ДЯУ</t>
        </is>
      </c>
      <c r="N8" s="245" t="inlineStr">
        <is>
          <t>П</t>
        </is>
      </c>
    </row>
    <row r="9" ht="11.25" customHeight="1" s="236">
      <c r="A9" s="243" t="n">
        <v>8</v>
      </c>
      <c r="B9" s="244" t="inlineStr">
        <is>
          <t>Манометр технический</t>
        </is>
      </c>
      <c r="C9" s="245" t="inlineStr">
        <is>
          <t>МП4-УУ2</t>
        </is>
      </c>
      <c r="D9" s="245" t="inlineStr">
        <is>
          <t>15333</t>
        </is>
      </c>
      <c r="E9" s="245" t="inlineStr">
        <is>
          <t>2010</t>
        </is>
      </c>
      <c r="F9" s="243" t="inlineStr">
        <is>
          <t>0..160 кгс/см2</t>
        </is>
      </c>
      <c r="G9" s="245" t="inlineStr">
        <is>
          <t>1.5</t>
        </is>
      </c>
      <c r="H9" s="243" t="inlineStr">
        <is>
          <t>Р газа на выходе ПУ4</t>
        </is>
      </c>
      <c r="I9" s="243" t="inlineStr">
        <is>
          <t>Установка очистки газа</t>
        </is>
      </c>
      <c r="J9" s="243" t="inlineStr">
        <is>
          <t>АСУ,А и ТМ (КЦ № 6)</t>
        </is>
      </c>
      <c r="K9" s="243" t="inlineStr">
        <is>
          <t>2012</t>
        </is>
      </c>
      <c r="L9" s="243" t="inlineStr">
        <is>
          <t>12</t>
        </is>
      </c>
      <c r="M9" s="246" t="inlineStr">
        <is>
          <t>26ДЯУ</t>
        </is>
      </c>
      <c r="N9" s="245" t="inlineStr">
        <is>
          <t>П</t>
        </is>
      </c>
    </row>
    <row r="10" ht="11.25" customHeight="1" s="236">
      <c r="A10" s="243" t="n">
        <v>9</v>
      </c>
      <c r="B10" s="244" t="inlineStr">
        <is>
          <t>Манометр технический</t>
        </is>
      </c>
      <c r="C10" s="245" t="inlineStr">
        <is>
          <t>МП4-УУ2</t>
        </is>
      </c>
      <c r="D10" s="245" t="inlineStr">
        <is>
          <t>15072</t>
        </is>
      </c>
      <c r="E10" s="245" t="inlineStr">
        <is>
          <t>2010</t>
        </is>
      </c>
      <c r="F10" s="243" t="inlineStr">
        <is>
          <t>0..160 кгс/см2</t>
        </is>
      </c>
      <c r="G10" s="245" t="inlineStr">
        <is>
          <t>1.5</t>
        </is>
      </c>
      <c r="H10" s="243" t="inlineStr">
        <is>
          <t>Р газа на входе ПУ5</t>
        </is>
      </c>
      <c r="I10" s="243" t="inlineStr">
        <is>
          <t>Установка очистки газа</t>
        </is>
      </c>
      <c r="J10" s="243" t="inlineStr">
        <is>
          <t>АСУ,А и ТМ (КЦ № 6)</t>
        </is>
      </c>
      <c r="K10" s="243" t="inlineStr">
        <is>
          <t>2012</t>
        </is>
      </c>
      <c r="L10" s="243" t="inlineStr">
        <is>
          <t>12</t>
        </is>
      </c>
      <c r="M10" s="246" t="inlineStr">
        <is>
          <t>26ДЯУ</t>
        </is>
      </c>
      <c r="N10" s="245" t="inlineStr">
        <is>
          <t>П</t>
        </is>
      </c>
    </row>
    <row r="11" ht="11.25" customHeight="1" s="236">
      <c r="A11" s="243" t="n">
        <v>10</v>
      </c>
      <c r="B11" s="244" t="inlineStr">
        <is>
          <t>Манометр технический</t>
        </is>
      </c>
      <c r="C11" s="245" t="inlineStr">
        <is>
          <t>МП4-УУ2</t>
        </is>
      </c>
      <c r="D11" s="245" t="inlineStr">
        <is>
          <t>15087</t>
        </is>
      </c>
      <c r="E11" s="245" t="inlineStr">
        <is>
          <t>2010</t>
        </is>
      </c>
      <c r="F11" s="243" t="inlineStr">
        <is>
          <t>0..160 кгс/см2</t>
        </is>
      </c>
      <c r="G11" s="245" t="inlineStr">
        <is>
          <t>1.5</t>
        </is>
      </c>
      <c r="H11" s="243" t="inlineStr">
        <is>
          <t>Р газа на выходе ПУ5</t>
        </is>
      </c>
      <c r="I11" s="243" t="inlineStr">
        <is>
          <t>Установка очистки газа</t>
        </is>
      </c>
      <c r="J11" s="243" t="inlineStr">
        <is>
          <t>АСУ,А и ТМ (КЦ № 6)</t>
        </is>
      </c>
      <c r="K11" s="243" t="inlineStr">
        <is>
          <t>2012</t>
        </is>
      </c>
      <c r="L11" s="243" t="inlineStr">
        <is>
          <t>12</t>
        </is>
      </c>
      <c r="M11" s="246" t="inlineStr">
        <is>
          <t>26ДЯУ</t>
        </is>
      </c>
      <c r="N11" s="245" t="inlineStr">
        <is>
          <t>П</t>
        </is>
      </c>
    </row>
    <row r="12" ht="11.25" customHeight="1" s="236">
      <c r="A12" s="243" t="n">
        <v>11</v>
      </c>
      <c r="B12" s="244" t="inlineStr">
        <is>
          <t>Манометр технический</t>
        </is>
      </c>
      <c r="C12" s="245" t="inlineStr">
        <is>
          <t>МП4-УУ2</t>
        </is>
      </c>
      <c r="D12" s="245" t="inlineStr">
        <is>
          <t>15349</t>
        </is>
      </c>
      <c r="E12" s="245" t="inlineStr">
        <is>
          <t>2010</t>
        </is>
      </c>
      <c r="F12" s="243" t="inlineStr">
        <is>
          <t>0..160 кгс/см2</t>
        </is>
      </c>
      <c r="G12" s="245" t="inlineStr">
        <is>
          <t>1.5</t>
        </is>
      </c>
      <c r="H12" s="243" t="inlineStr">
        <is>
          <t>Р газа на входе ПУ6</t>
        </is>
      </c>
      <c r="I12" s="243" t="inlineStr">
        <is>
          <t>Установка очистки газа</t>
        </is>
      </c>
      <c r="J12" s="243" t="inlineStr">
        <is>
          <t>АСУ,А и ТМ (КЦ № 6)</t>
        </is>
      </c>
      <c r="K12" s="243" t="inlineStr">
        <is>
          <t>2012</t>
        </is>
      </c>
      <c r="L12" s="243" t="inlineStr">
        <is>
          <t>12</t>
        </is>
      </c>
      <c r="M12" s="246" t="inlineStr">
        <is>
          <t>26ДЯУ</t>
        </is>
      </c>
      <c r="N12" s="245" t="inlineStr">
        <is>
          <t>П</t>
        </is>
      </c>
    </row>
    <row r="13" ht="11.25" customHeight="1" s="236">
      <c r="A13" s="243" t="n">
        <v>12</v>
      </c>
      <c r="B13" s="244" t="inlineStr">
        <is>
          <t>Манометр технический</t>
        </is>
      </c>
      <c r="C13" s="245" t="inlineStr">
        <is>
          <t>МП4-УУ2</t>
        </is>
      </c>
      <c r="D13" s="245" t="inlineStr">
        <is>
          <t>15334</t>
        </is>
      </c>
      <c r="E13" s="245" t="inlineStr">
        <is>
          <t>2010</t>
        </is>
      </c>
      <c r="F13" s="243" t="inlineStr">
        <is>
          <t>0..160 кгс/см2</t>
        </is>
      </c>
      <c r="G13" s="245" t="inlineStr">
        <is>
          <t>1.5</t>
        </is>
      </c>
      <c r="H13" s="243" t="inlineStr">
        <is>
          <t>Р газа на выходе ПУ6</t>
        </is>
      </c>
      <c r="I13" s="243" t="inlineStr">
        <is>
          <t>Установка очистки газа</t>
        </is>
      </c>
      <c r="J13" s="243" t="inlineStr">
        <is>
          <t>АСУ,А и ТМ (КЦ № 6)</t>
        </is>
      </c>
      <c r="K13" s="243" t="inlineStr">
        <is>
          <t>2012</t>
        </is>
      </c>
      <c r="L13" s="243" t="inlineStr">
        <is>
          <t>12</t>
        </is>
      </c>
      <c r="M13" s="246" t="inlineStr">
        <is>
          <t>26ДЯУ</t>
        </is>
      </c>
      <c r="N13" s="245" t="inlineStr">
        <is>
          <t>П</t>
        </is>
      </c>
    </row>
    <row r="14" ht="11.25" customHeight="1" s="236">
      <c r="A14" s="243" t="n">
        <v>13</v>
      </c>
      <c r="B14" s="244" t="inlineStr">
        <is>
          <t>Манометр технический</t>
        </is>
      </c>
      <c r="C14" s="245" t="inlineStr">
        <is>
          <t>МП4-УУ2</t>
        </is>
      </c>
      <c r="D14" s="245" t="inlineStr">
        <is>
          <t>15085</t>
        </is>
      </c>
      <c r="E14" s="245" t="inlineStr">
        <is>
          <t>2010</t>
        </is>
      </c>
      <c r="F14" s="243" t="inlineStr">
        <is>
          <t>0..160 кгс/см2</t>
        </is>
      </c>
      <c r="G14" s="245" t="inlineStr">
        <is>
          <t>1.5</t>
        </is>
      </c>
      <c r="H14" s="243" t="inlineStr">
        <is>
          <t>Р газа на входе ПУ</t>
        </is>
      </c>
      <c r="I14" s="243" t="inlineStr">
        <is>
          <t>Установка очистки газа</t>
        </is>
      </c>
      <c r="J14" s="243" t="inlineStr">
        <is>
          <t>АСУ,А и ТМ (КЦ № 6)</t>
        </is>
      </c>
      <c r="K14" s="243" t="inlineStr">
        <is>
          <t>2012</t>
        </is>
      </c>
      <c r="L14" s="243" t="inlineStr">
        <is>
          <t>12</t>
        </is>
      </c>
      <c r="M14" s="246" t="inlineStr">
        <is>
          <t>1К26</t>
        </is>
      </c>
      <c r="N14" s="245" t="inlineStr">
        <is>
          <t>К</t>
        </is>
      </c>
    </row>
    <row r="15" ht="11.25" customHeight="1" s="236">
      <c r="A15" s="243" t="n">
        <v>14</v>
      </c>
      <c r="B15" s="244" t="inlineStr">
        <is>
          <t>Манометр технический</t>
        </is>
      </c>
      <c r="C15" s="245" t="inlineStr">
        <is>
          <t>МП4-УУ2</t>
        </is>
      </c>
      <c r="D15" s="245" t="inlineStr">
        <is>
          <t>24</t>
        </is>
      </c>
      <c r="E15" s="245" t="inlineStr">
        <is>
          <t>2010</t>
        </is>
      </c>
      <c r="F15" s="243" t="inlineStr">
        <is>
          <t>0..160 кгс/см2</t>
        </is>
      </c>
      <c r="G15" s="245" t="inlineStr">
        <is>
          <t>1.5</t>
        </is>
      </c>
      <c r="H15" s="243" t="inlineStr">
        <is>
          <t>Р газа на выходе ПУ</t>
        </is>
      </c>
      <c r="I15" s="243" t="inlineStr">
        <is>
          <t>Установка очистки газа</t>
        </is>
      </c>
      <c r="J15" s="243" t="inlineStr">
        <is>
          <t>АСУ,А и ТМ (КЦ № 6)</t>
        </is>
      </c>
      <c r="K15" s="243" t="inlineStr">
        <is>
          <t>2012</t>
        </is>
      </c>
      <c r="L15" s="243" t="inlineStr">
        <is>
          <t>12</t>
        </is>
      </c>
      <c r="M15" s="246" t="inlineStr">
        <is>
          <t>1К26</t>
        </is>
      </c>
      <c r="N15" s="245" t="inlineStr">
        <is>
          <t>К</t>
        </is>
      </c>
    </row>
    <row r="16" ht="22.5" customHeight="1" s="236">
      <c r="A16" s="239">
        <f>IF(B16&lt;&gt;"", COUNTA($B$2:B16), "")</f>
        <v/>
      </c>
      <c r="B16" s="241" t="inlineStr">
        <is>
          <t>Манометр технический</t>
        </is>
      </c>
      <c r="C16" s="242" t="inlineStr">
        <is>
          <t>МП4-УУ2</t>
        </is>
      </c>
      <c r="D16" s="242" t="n"/>
      <c r="E16" s="242" t="n">
        <v>2013</v>
      </c>
      <c r="F16" s="239" t="inlineStr">
        <is>
          <t>0..10 кгс/см2</t>
        </is>
      </c>
      <c r="G16" s="242" t="n">
        <v>1.5</v>
      </c>
      <c r="H16" s="239" t="inlineStr">
        <is>
          <t>Р в конденсатной емкости Е3</t>
        </is>
      </c>
      <c r="I16" s="239" t="inlineStr">
        <is>
          <t>Установка очистки газа</t>
        </is>
      </c>
      <c r="J16" s="239" t="inlineStr">
        <is>
          <t>АСУ,А и ТМ (КЦ № 6)</t>
        </is>
      </c>
      <c r="K16" s="239" t="n">
        <v>2012</v>
      </c>
      <c r="L16" s="239" t="n">
        <v>12</v>
      </c>
      <c r="M16" s="288" t="inlineStr">
        <is>
          <t>25ДЯУ</t>
        </is>
      </c>
      <c r="N16" s="242" t="inlineStr">
        <is>
          <t>П</t>
        </is>
      </c>
    </row>
    <row r="17" ht="22.5" customHeight="1" s="236">
      <c r="A17" s="243" t="n">
        <v>16</v>
      </c>
      <c r="B17" s="244" t="inlineStr">
        <is>
          <t>Термометр биметаллический</t>
        </is>
      </c>
      <c r="C17" s="245" t="inlineStr">
        <is>
          <t>ТБ-2</t>
        </is>
      </c>
      <c r="D17" s="245" t="inlineStr">
        <is>
          <t>2021</t>
        </is>
      </c>
      <c r="E17" s="245" t="inlineStr">
        <is>
          <t>2010</t>
        </is>
      </c>
      <c r="F17" s="243" t="inlineStr">
        <is>
          <t>0 .. 100°С</t>
        </is>
      </c>
      <c r="G17" s="245" t="inlineStr">
        <is>
          <t>1</t>
        </is>
      </c>
      <c r="H17" s="243" t="inlineStr">
        <is>
          <t>Температура конденсата в ПУ1</t>
        </is>
      </c>
      <c r="I17" s="243" t="inlineStr">
        <is>
          <t>Установка очистки газа</t>
        </is>
      </c>
      <c r="J17" s="243" t="inlineStr">
        <is>
          <t>АСУ,А и ТМ (КЦ № 6)</t>
        </is>
      </c>
      <c r="K17" s="243" t="inlineStr">
        <is>
          <t>2012</t>
        </is>
      </c>
      <c r="L17" s="243" t="inlineStr">
        <is>
          <t>24</t>
        </is>
      </c>
      <c r="M17" s="289" t="inlineStr">
        <is>
          <t>2К26</t>
        </is>
      </c>
      <c r="N17" s="245" t="inlineStr">
        <is>
          <t>К</t>
        </is>
      </c>
    </row>
    <row r="18" ht="22.5" customHeight="1" s="236">
      <c r="A18" s="243" t="n">
        <v>17</v>
      </c>
      <c r="B18" s="244" t="inlineStr">
        <is>
          <t>Термометр биметаллический</t>
        </is>
      </c>
      <c r="C18" s="245" t="inlineStr">
        <is>
          <t>ТБ-2</t>
        </is>
      </c>
      <c r="D18" s="245" t="inlineStr">
        <is>
          <t>9128</t>
        </is>
      </c>
      <c r="E18" s="245" t="inlineStr">
        <is>
          <t>2010</t>
        </is>
      </c>
      <c r="F18" s="243" t="inlineStr">
        <is>
          <t>0 .. 100°С</t>
        </is>
      </c>
      <c r="G18" s="245" t="inlineStr">
        <is>
          <t>1</t>
        </is>
      </c>
      <c r="H18" s="243" t="inlineStr">
        <is>
          <t>Температура конденсата в ПУ2</t>
        </is>
      </c>
      <c r="I18" s="243" t="inlineStr">
        <is>
          <t>Установка очистки газа</t>
        </is>
      </c>
      <c r="J18" s="243" t="inlineStr">
        <is>
          <t>АСУ,А и ТМ (КЦ № 6)</t>
        </is>
      </c>
      <c r="K18" s="243" t="inlineStr">
        <is>
          <t>2012</t>
        </is>
      </c>
      <c r="L18" s="243" t="inlineStr">
        <is>
          <t>24</t>
        </is>
      </c>
      <c r="M18" s="289" t="inlineStr">
        <is>
          <t>2К26</t>
        </is>
      </c>
      <c r="N18" s="245" t="inlineStr">
        <is>
          <t>К</t>
        </is>
      </c>
    </row>
    <row r="19" ht="22.5" customHeight="1" s="236">
      <c r="A19" s="243" t="n">
        <v>18</v>
      </c>
      <c r="B19" s="244" t="inlineStr">
        <is>
          <t>Термометр биметаллический</t>
        </is>
      </c>
      <c r="C19" s="245" t="inlineStr">
        <is>
          <t>ТБ-2</t>
        </is>
      </c>
      <c r="D19" s="245" t="inlineStr">
        <is>
          <t>8763</t>
        </is>
      </c>
      <c r="E19" s="245" t="inlineStr">
        <is>
          <t>2010</t>
        </is>
      </c>
      <c r="F19" s="243" t="inlineStr">
        <is>
          <t>0 .. 100°С</t>
        </is>
      </c>
      <c r="G19" s="245" t="inlineStr">
        <is>
          <t>1</t>
        </is>
      </c>
      <c r="H19" s="243" t="inlineStr">
        <is>
          <t>Температура конденсата в ПУ3</t>
        </is>
      </c>
      <c r="I19" s="243" t="inlineStr">
        <is>
          <t>Установка очистки газа</t>
        </is>
      </c>
      <c r="J19" s="243" t="inlineStr">
        <is>
          <t>АСУ,А и ТМ (КЦ № 6)</t>
        </is>
      </c>
      <c r="K19" s="243" t="inlineStr">
        <is>
          <t>2012</t>
        </is>
      </c>
      <c r="L19" s="243" t="inlineStr">
        <is>
          <t>24</t>
        </is>
      </c>
      <c r="M19" s="289" t="inlineStr">
        <is>
          <t>2К26</t>
        </is>
      </c>
      <c r="N19" s="245" t="inlineStr">
        <is>
          <t>К</t>
        </is>
      </c>
    </row>
    <row r="20" ht="22.5" customHeight="1" s="236">
      <c r="A20" s="243" t="n">
        <v>19</v>
      </c>
      <c r="B20" s="244" t="inlineStr">
        <is>
          <t>Термометр биметаллический</t>
        </is>
      </c>
      <c r="C20" s="245" t="inlineStr">
        <is>
          <t>ТБ-2</t>
        </is>
      </c>
      <c r="D20" s="245" t="inlineStr">
        <is>
          <t>1479</t>
        </is>
      </c>
      <c r="E20" s="245" t="inlineStr">
        <is>
          <t>2010</t>
        </is>
      </c>
      <c r="F20" s="243" t="inlineStr">
        <is>
          <t>0 .. 100°С</t>
        </is>
      </c>
      <c r="G20" s="245" t="inlineStr">
        <is>
          <t>1</t>
        </is>
      </c>
      <c r="H20" s="243" t="inlineStr">
        <is>
          <t>Температура конденсата в ПУ4</t>
        </is>
      </c>
      <c r="I20" s="243" t="inlineStr">
        <is>
          <t>Установка очистки газа</t>
        </is>
      </c>
      <c r="J20" s="243" t="inlineStr">
        <is>
          <t>АСУ,А и ТМ (КЦ № 6)</t>
        </is>
      </c>
      <c r="K20" s="243" t="inlineStr">
        <is>
          <t>2012</t>
        </is>
      </c>
      <c r="L20" s="243" t="inlineStr">
        <is>
          <t>24</t>
        </is>
      </c>
      <c r="M20" s="289" t="inlineStr">
        <is>
          <t>2К26</t>
        </is>
      </c>
      <c r="N20" s="245" t="inlineStr">
        <is>
          <t>К</t>
        </is>
      </c>
    </row>
    <row r="21" ht="22.5" customHeight="1" s="236">
      <c r="A21" s="243" t="n">
        <v>20</v>
      </c>
      <c r="B21" s="244" t="inlineStr">
        <is>
          <t>Термометр биметаллический</t>
        </is>
      </c>
      <c r="C21" s="245" t="inlineStr">
        <is>
          <t>ТБ-2</t>
        </is>
      </c>
      <c r="D21" s="245" t="inlineStr">
        <is>
          <t>7703</t>
        </is>
      </c>
      <c r="E21" s="245" t="inlineStr">
        <is>
          <t>2010</t>
        </is>
      </c>
      <c r="F21" s="243" t="inlineStr">
        <is>
          <t>0 .. 100°С</t>
        </is>
      </c>
      <c r="G21" s="245" t="inlineStr">
        <is>
          <t>1</t>
        </is>
      </c>
      <c r="H21" s="243" t="inlineStr">
        <is>
          <t>Температура конденсата в ПУ5</t>
        </is>
      </c>
      <c r="I21" s="243" t="inlineStr">
        <is>
          <t>Установка очистки газа</t>
        </is>
      </c>
      <c r="J21" s="243" t="inlineStr">
        <is>
          <t>АСУ,А и ТМ (КЦ № 6)</t>
        </is>
      </c>
      <c r="K21" s="243" t="inlineStr">
        <is>
          <t>2012</t>
        </is>
      </c>
      <c r="L21" s="243" t="inlineStr">
        <is>
          <t>24</t>
        </is>
      </c>
      <c r="M21" s="289" t="inlineStr">
        <is>
          <t>2К26</t>
        </is>
      </c>
      <c r="N21" s="245" t="inlineStr">
        <is>
          <t>К</t>
        </is>
      </c>
    </row>
    <row r="22" ht="22.5" customHeight="1" s="236">
      <c r="A22" s="243" t="n">
        <v>21</v>
      </c>
      <c r="B22" s="244" t="inlineStr">
        <is>
          <t>Термометр биметаллический</t>
        </is>
      </c>
      <c r="C22" s="245" t="inlineStr">
        <is>
          <t>ТБ-2</t>
        </is>
      </c>
      <c r="D22" s="245" t="inlineStr">
        <is>
          <t>7712</t>
        </is>
      </c>
      <c r="E22" s="245" t="inlineStr">
        <is>
          <t>2010</t>
        </is>
      </c>
      <c r="F22" s="243" t="inlineStr">
        <is>
          <t>0 .. 100°С</t>
        </is>
      </c>
      <c r="G22" s="245" t="inlineStr">
        <is>
          <t>1</t>
        </is>
      </c>
      <c r="H22" s="243" t="inlineStr">
        <is>
          <t>Температура конденсата в ПУ6</t>
        </is>
      </c>
      <c r="I22" s="243" t="inlineStr">
        <is>
          <t>Установка очистки газа</t>
        </is>
      </c>
      <c r="J22" s="243" t="inlineStr">
        <is>
          <t>АСУ,А и ТМ (КЦ № 6)</t>
        </is>
      </c>
      <c r="K22" s="243" t="inlineStr">
        <is>
          <t>2012</t>
        </is>
      </c>
      <c r="L22" s="243" t="inlineStr">
        <is>
          <t>24</t>
        </is>
      </c>
      <c r="M22" s="289" t="inlineStr">
        <is>
          <t>2К26</t>
        </is>
      </c>
      <c r="N22" s="245" t="inlineStr">
        <is>
          <t>К</t>
        </is>
      </c>
    </row>
    <row r="23" ht="11.25" customHeight="1" s="236">
      <c r="A23" s="243" t="n">
        <v>22</v>
      </c>
      <c r="B23" s="244" t="inlineStr">
        <is>
          <t>Уровнемер</t>
        </is>
      </c>
      <c r="C23" s="245" t="inlineStr">
        <is>
          <t>Rosemount 2120</t>
        </is>
      </c>
      <c r="D23" s="245" t="inlineStr">
        <is>
          <t>MS13395900100007</t>
        </is>
      </c>
      <c r="E23" s="245" t="inlineStr">
        <is>
          <t>2011</t>
        </is>
      </c>
      <c r="F23" s="243" t="inlineStr"/>
      <c r="G23" s="245" t="inlineStr"/>
      <c r="H23" s="243" t="inlineStr">
        <is>
          <t>Уровень конденсата в ПУ1</t>
        </is>
      </c>
      <c r="I23" s="243" t="inlineStr">
        <is>
          <t>Установка очистки газа</t>
        </is>
      </c>
      <c r="J23" s="243" t="inlineStr">
        <is>
          <t>АСУ,А и ТМ (КЦ № 6)</t>
        </is>
      </c>
      <c r="K23" s="243" t="inlineStr"/>
      <c r="L23" s="243" t="inlineStr"/>
      <c r="M23" s="289" t="inlineStr"/>
      <c r="N23" s="245" t="inlineStr"/>
    </row>
    <row r="24" ht="11.25" customHeight="1" s="236">
      <c r="A24" s="243" t="n">
        <v>23</v>
      </c>
      <c r="B24" s="244" t="inlineStr">
        <is>
          <t>Уровнемер</t>
        </is>
      </c>
      <c r="C24" s="245" t="inlineStr">
        <is>
          <t>Rosemount 2120</t>
        </is>
      </c>
      <c r="D24" s="245" t="inlineStr">
        <is>
          <t>MS13395900100004</t>
        </is>
      </c>
      <c r="E24" s="245" t="inlineStr">
        <is>
          <t>2011</t>
        </is>
      </c>
      <c r="F24" s="243" t="inlineStr"/>
      <c r="G24" s="245" t="inlineStr"/>
      <c r="H24" s="243" t="inlineStr">
        <is>
          <t>Уровень конденсата в ПУ2</t>
        </is>
      </c>
      <c r="I24" s="243" t="inlineStr">
        <is>
          <t>Установка очистки газа</t>
        </is>
      </c>
      <c r="J24" s="243" t="inlineStr">
        <is>
          <t>АСУ,А и ТМ (КЦ № 6)</t>
        </is>
      </c>
      <c r="K24" s="243" t="inlineStr"/>
      <c r="L24" s="243" t="inlineStr"/>
      <c r="M24" s="289" t="inlineStr"/>
      <c r="N24" s="245" t="inlineStr"/>
    </row>
    <row r="25" ht="11.25" customHeight="1" s="236">
      <c r="A25" s="243" t="n">
        <v>24</v>
      </c>
      <c r="B25" s="244" t="inlineStr">
        <is>
          <t>Уровнемер</t>
        </is>
      </c>
      <c r="C25" s="245" t="inlineStr">
        <is>
          <t>Rosemount 2120</t>
        </is>
      </c>
      <c r="D25" s="245" t="inlineStr">
        <is>
          <t>MS13395900100008</t>
        </is>
      </c>
      <c r="E25" s="245" t="inlineStr">
        <is>
          <t>2011</t>
        </is>
      </c>
      <c r="F25" s="243" t="inlineStr"/>
      <c r="G25" s="245" t="inlineStr"/>
      <c r="H25" s="243" t="inlineStr">
        <is>
          <t>Уровень конденсата в ПУ3</t>
        </is>
      </c>
      <c r="I25" s="243" t="inlineStr">
        <is>
          <t>Установка очистки газа</t>
        </is>
      </c>
      <c r="J25" s="243" t="inlineStr">
        <is>
          <t>АСУ,А и ТМ (КЦ № 6)</t>
        </is>
      </c>
      <c r="K25" s="243" t="inlineStr"/>
      <c r="L25" s="243" t="inlineStr"/>
      <c r="M25" s="289" t="inlineStr"/>
      <c r="N25" s="245" t="inlineStr"/>
    </row>
    <row r="26" ht="11.25" customHeight="1" s="236">
      <c r="A26" s="243" t="n">
        <v>25</v>
      </c>
      <c r="B26" s="244" t="inlineStr">
        <is>
          <t>Уровнемер</t>
        </is>
      </c>
      <c r="C26" s="245" t="inlineStr">
        <is>
          <t>Rosemount 2120</t>
        </is>
      </c>
      <c r="D26" s="245" t="inlineStr">
        <is>
          <t>MS13395900100002</t>
        </is>
      </c>
      <c r="E26" s="245" t="inlineStr">
        <is>
          <t>2011</t>
        </is>
      </c>
      <c r="F26" s="243" t="inlineStr"/>
      <c r="G26" s="245" t="inlineStr"/>
      <c r="H26" s="243" t="inlineStr">
        <is>
          <t>Уровень конденсата в ПУ4</t>
        </is>
      </c>
      <c r="I26" s="243" t="inlineStr">
        <is>
          <t>Установка очистки газа</t>
        </is>
      </c>
      <c r="J26" s="243" t="inlineStr">
        <is>
          <t>АСУ,А и ТМ (КЦ № 6)</t>
        </is>
      </c>
      <c r="K26" s="243" t="inlineStr"/>
      <c r="L26" s="243" t="inlineStr"/>
      <c r="M26" s="289" t="inlineStr"/>
      <c r="N26" s="245" t="inlineStr"/>
    </row>
    <row r="27" ht="11.25" customHeight="1" s="236">
      <c r="A27" s="243" t="n">
        <v>26</v>
      </c>
      <c r="B27" s="244" t="inlineStr">
        <is>
          <t>Уровнемер</t>
        </is>
      </c>
      <c r="C27" s="245" t="inlineStr">
        <is>
          <t>Rosemount 2120</t>
        </is>
      </c>
      <c r="D27" s="245" t="inlineStr">
        <is>
          <t>MS13395900100003</t>
        </is>
      </c>
      <c r="E27" s="245" t="inlineStr">
        <is>
          <t>2011</t>
        </is>
      </c>
      <c r="F27" s="243" t="inlineStr"/>
      <c r="G27" s="245" t="inlineStr"/>
      <c r="H27" s="243" t="inlineStr">
        <is>
          <t>Уровень конденсата в ПУ5</t>
        </is>
      </c>
      <c r="I27" s="243" t="inlineStr">
        <is>
          <t>Установка очистки газа</t>
        </is>
      </c>
      <c r="J27" s="243" t="inlineStr">
        <is>
          <t>АСУ,А и ТМ (КЦ № 6)</t>
        </is>
      </c>
      <c r="K27" s="243" t="inlineStr"/>
      <c r="L27" s="243" t="inlineStr"/>
      <c r="M27" s="289" t="inlineStr"/>
      <c r="N27" s="245" t="inlineStr"/>
    </row>
    <row r="28" ht="11.25" customHeight="1" s="236">
      <c r="A28" s="243" t="n">
        <v>27</v>
      </c>
      <c r="B28" s="244" t="inlineStr">
        <is>
          <t>Уровнемер</t>
        </is>
      </c>
      <c r="C28" s="245" t="inlineStr">
        <is>
          <t>Rosemount 2120</t>
        </is>
      </c>
      <c r="D28" s="245" t="inlineStr">
        <is>
          <t>MS13395900100001</t>
        </is>
      </c>
      <c r="E28" s="245" t="inlineStr">
        <is>
          <t>2011</t>
        </is>
      </c>
      <c r="F28" s="243" t="inlineStr"/>
      <c r="G28" s="245" t="inlineStr"/>
      <c r="H28" s="243" t="inlineStr">
        <is>
          <t>Уровень конденсата в ПУ6</t>
        </is>
      </c>
      <c r="I28" s="243" t="inlineStr">
        <is>
          <t>Установка очистки газа</t>
        </is>
      </c>
      <c r="J28" s="243" t="inlineStr">
        <is>
          <t>АСУ,А и ТМ (КЦ № 6)</t>
        </is>
      </c>
      <c r="K28" s="243" t="inlineStr"/>
      <c r="L28" s="243" t="inlineStr"/>
      <c r="M28" s="289" t="inlineStr"/>
      <c r="N28" s="245" t="inlineStr"/>
    </row>
    <row r="29">
      <c r="A29" s="243" t="n">
        <v>15</v>
      </c>
      <c r="B29" s="248" t="inlineStr">
        <is>
          <t>Манометр технический</t>
        </is>
      </c>
      <c r="C29" s="276" t="inlineStr">
        <is>
          <t>МП4-УУ2</t>
        </is>
      </c>
      <c r="D29" s="245" t="inlineStr"/>
      <c r="E29" s="245" t="inlineStr">
        <is>
          <t>2013</t>
        </is>
      </c>
      <c r="F29" s="245" t="inlineStr">
        <is>
          <t>0..10 кгс/см2</t>
        </is>
      </c>
      <c r="G29" s="245" t="inlineStr">
        <is>
          <t>1.5</t>
        </is>
      </c>
      <c r="H29" s="248" t="inlineStr">
        <is>
          <t>Р в конденсатной емкости Е3</t>
        </is>
      </c>
      <c r="I29" s="243" t="inlineStr">
        <is>
          <t>Установка очистки газа</t>
        </is>
      </c>
      <c r="J29" s="243" t="inlineStr">
        <is>
          <t>АСУ,А и ТМ (КЦ № 6)</t>
        </is>
      </c>
      <c r="K29" s="243" t="inlineStr">
        <is>
          <t>2012</t>
        </is>
      </c>
      <c r="L29" s="243" t="inlineStr">
        <is>
          <t>12</t>
        </is>
      </c>
      <c r="M29" s="246" t="inlineStr">
        <is>
          <t>25ДЯУ</t>
        </is>
      </c>
      <c r="N29" s="245" t="inlineStr">
        <is>
          <t>П</t>
        </is>
      </c>
    </row>
  </sheetData>
  <conditionalFormatting sqref="M1:M1048576">
    <cfRule type="expression" rank="0" priority="2" equalAverage="0" aboveAverage="0" dxfId="1" text="" percent="0" bottom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orizontalCentered="0" verticalCentered="0" headings="0" gridLines="0" gridLinesSet="1"/>
  <pageMargins left="0.25" right="0.25" top="0.75" bottom="0.75" header="0.511805555555555" footer="0.511805555555555"/>
  <pageSetup orientation="landscape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O1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9" activePane="bottomLeft" state="frozen"/>
      <selection pane="topLeft" activeCell="A1" activeCellId="0" sqref="A1"/>
      <selection pane="bottomLeft" activeCell="M118" activeCellId="0" sqref="M118"/>
    </sheetView>
  </sheetViews>
  <sheetFormatPr baseColWidth="8" defaultColWidth="9.15625" defaultRowHeight="15" zeroHeight="0" outlineLevelRow="0"/>
  <cols>
    <col width="3.57" customWidth="1" style="235" min="1" max="1"/>
    <col width="23.01" customWidth="1" style="235" min="2" max="2"/>
    <col width="28.29" customWidth="1" style="235" min="3" max="3"/>
    <col width="9.289999999999999" customWidth="1" style="235" min="4" max="4"/>
    <col width="6.57" customWidth="1" style="235" min="5" max="5"/>
    <col width="14.01" customWidth="1" style="235" min="6" max="6"/>
    <col width="7.42" customWidth="1" style="235" min="7" max="7"/>
    <col width="26.71" customWidth="1" style="235" min="8" max="8"/>
    <col width="8" customWidth="1" style="235" min="9" max="9"/>
    <col width="17.42" customWidth="1" style="235" min="10" max="10"/>
    <col width="8" customWidth="1" style="235" min="11" max="11"/>
    <col width="9" customWidth="1" style="235" min="12" max="12"/>
    <col width="8" customWidth="1" style="235" min="13" max="13"/>
    <col width="9" customWidth="1" style="235" min="14" max="14"/>
    <col width="9.140000000000001" customWidth="1" style="235" min="15" max="1024"/>
  </cols>
  <sheetData>
    <row r="1" ht="45" customHeight="1" s="236">
      <c r="A1" s="239" t="inlineStr">
        <is>
          <t>№ п/п</t>
        </is>
      </c>
      <c r="B1" s="239" t="inlineStr">
        <is>
          <t>Наименование</t>
        </is>
      </c>
      <c r="C1" s="239" t="inlineStr">
        <is>
          <t>Тип</t>
        </is>
      </c>
      <c r="D1" s="239" t="inlineStr">
        <is>
          <t>Заводской номер</t>
        </is>
      </c>
      <c r="E1" s="240" t="inlineStr">
        <is>
          <t>Год 
выпуска</t>
        </is>
      </c>
      <c r="F1" s="239" t="inlineStr">
        <is>
          <t>Диапазон измерений</t>
        </is>
      </c>
      <c r="G1" s="239" t="inlineStr">
        <is>
          <t>Класс точности</t>
        </is>
      </c>
      <c r="H1" s="239" t="inlineStr">
        <is>
          <t>Место установки СИ</t>
        </is>
      </c>
      <c r="I1" s="239" t="inlineStr">
        <is>
          <t>Объект установки</t>
        </is>
      </c>
      <c r="J1" s="239" t="inlineStr">
        <is>
          <t>Подразделение</t>
        </is>
      </c>
      <c r="K1" s="239" t="inlineStr">
        <is>
          <t>Дата установки</t>
        </is>
      </c>
      <c r="L1" s="239" t="inlineStr">
        <is>
          <t>Межповерочный интервал, мес.</t>
        </is>
      </c>
      <c r="M1" s="240" t="inlineStr">
        <is>
          <t xml:space="preserve">Дата последней поверки </t>
        </is>
      </c>
      <c r="N1" s="239" t="inlineStr">
        <is>
          <t>Поверка (П)/ Калибровка (К)</t>
        </is>
      </c>
    </row>
    <row r="2" ht="15" customHeight="1" s="236">
      <c r="A2" s="239" t="n">
        <v>1</v>
      </c>
      <c r="B2" s="241" t="inlineStr">
        <is>
          <t>Манометр технический</t>
        </is>
      </c>
      <c r="C2" s="242" t="inlineStr">
        <is>
          <t>КМ2</t>
        </is>
      </c>
      <c r="D2" s="242" t="inlineStr">
        <is>
          <t>15006</t>
        </is>
      </c>
      <c r="E2" s="242" t="inlineStr">
        <is>
          <t>2010</t>
        </is>
      </c>
      <c r="F2" s="251" t="inlineStr">
        <is>
          <t>0..60 kPa</t>
        </is>
      </c>
      <c r="G2" s="239" t="inlineStr">
        <is>
          <t>1.5</t>
        </is>
      </c>
      <c r="H2" s="239" t="inlineStr">
        <is>
          <t>Р газа в общем коллекторе</t>
        </is>
      </c>
      <c r="I2" s="239" t="inlineStr">
        <is>
          <t>Котельная</t>
        </is>
      </c>
      <c r="J2" s="239" t="inlineStr">
        <is>
          <t>АСУ,А и ТМ (КЦ № 6)</t>
        </is>
      </c>
      <c r="K2" s="239" t="inlineStr">
        <is>
          <t>2012</t>
        </is>
      </c>
      <c r="L2" s="239" t="inlineStr">
        <is>
          <t>12</t>
        </is>
      </c>
      <c r="M2" s="240" t="inlineStr">
        <is>
          <t>26ДЯУ</t>
        </is>
      </c>
      <c r="N2" s="242" t="inlineStr">
        <is>
          <t>П</t>
        </is>
      </c>
    </row>
    <row r="3" ht="15" customHeight="1" s="236">
      <c r="A3" s="243" t="n">
        <v>2</v>
      </c>
      <c r="B3" s="244" t="inlineStr">
        <is>
          <t>Манометр технический</t>
        </is>
      </c>
      <c r="C3" s="245" t="inlineStr">
        <is>
          <t>КМ2</t>
        </is>
      </c>
      <c r="D3" s="245" t="inlineStr">
        <is>
          <t>15010</t>
        </is>
      </c>
      <c r="E3" s="245" t="inlineStr">
        <is>
          <t>2010</t>
        </is>
      </c>
      <c r="F3" s="248" t="inlineStr">
        <is>
          <t>0..60 kPa</t>
        </is>
      </c>
      <c r="G3" s="243" t="inlineStr">
        <is>
          <t>1.5</t>
        </is>
      </c>
      <c r="H3" s="243" t="inlineStr">
        <is>
          <t>Р газа после РД до Г5</t>
        </is>
      </c>
      <c r="I3" s="243" t="inlineStr">
        <is>
          <t>Котельная</t>
        </is>
      </c>
      <c r="J3" s="243" t="inlineStr">
        <is>
          <t>АСУ,А и ТМ (КЦ № 6)</t>
        </is>
      </c>
      <c r="K3" s="243" t="inlineStr">
        <is>
          <t>2012</t>
        </is>
      </c>
      <c r="L3" s="243" t="inlineStr">
        <is>
          <t>12</t>
        </is>
      </c>
      <c r="M3" s="246" t="inlineStr">
        <is>
          <t>26ДЯУ</t>
        </is>
      </c>
      <c r="N3" s="245" t="inlineStr">
        <is>
          <t>П</t>
        </is>
      </c>
    </row>
    <row r="4" ht="15" customHeight="1" s="236">
      <c r="A4" s="243" t="n">
        <v>3</v>
      </c>
      <c r="B4" s="244" t="inlineStr">
        <is>
          <t>Манометр технический</t>
        </is>
      </c>
      <c r="C4" s="245" t="inlineStr">
        <is>
          <t>МТИ</t>
        </is>
      </c>
      <c r="D4" s="245" t="inlineStr">
        <is>
          <t>4334</t>
        </is>
      </c>
      <c r="E4" s="245" t="inlineStr">
        <is>
          <t>2003</t>
        </is>
      </c>
      <c r="F4" s="248" t="inlineStr">
        <is>
          <t>0..6 кгс/см2</t>
        </is>
      </c>
      <c r="G4" s="243" t="inlineStr">
        <is>
          <t>0.6</t>
        </is>
      </c>
      <c r="H4" s="243" t="inlineStr">
        <is>
          <t>Р газа до Рд после Г4</t>
        </is>
      </c>
      <c r="I4" s="243" t="inlineStr">
        <is>
          <t>Котельная</t>
        </is>
      </c>
      <c r="J4" s="243" t="inlineStr">
        <is>
          <t>АСУ,А и ТМ (КЦ № 6)</t>
        </is>
      </c>
      <c r="K4" s="243" t="inlineStr">
        <is>
          <t>2012</t>
        </is>
      </c>
      <c r="L4" s="243" t="inlineStr">
        <is>
          <t>12</t>
        </is>
      </c>
      <c r="M4" s="246" t="inlineStr">
        <is>
          <t>26ДЯУ</t>
        </is>
      </c>
      <c r="N4" s="245" t="inlineStr">
        <is>
          <t>П</t>
        </is>
      </c>
    </row>
    <row r="5" ht="15" customHeight="1" s="236">
      <c r="A5" s="243" t="n">
        <v>4</v>
      </c>
      <c r="B5" s="244" t="inlineStr">
        <is>
          <t>Манометр технический</t>
        </is>
      </c>
      <c r="C5" s="245" t="inlineStr">
        <is>
          <t>ТМ6</t>
        </is>
      </c>
      <c r="D5" s="245" t="inlineStr">
        <is>
          <t>5103</t>
        </is>
      </c>
      <c r="E5" s="245" t="inlineStr">
        <is>
          <t>2010</t>
        </is>
      </c>
      <c r="F5" s="248" t="inlineStr">
        <is>
          <t>0..6 кгс/см2</t>
        </is>
      </c>
      <c r="G5" s="243" t="inlineStr">
        <is>
          <t>1.5</t>
        </is>
      </c>
      <c r="H5" s="243" t="inlineStr">
        <is>
          <t>Р газа после КТЗ до КЗ</t>
        </is>
      </c>
      <c r="I5" s="243" t="inlineStr">
        <is>
          <t>Котельная</t>
        </is>
      </c>
      <c r="J5" s="243" t="inlineStr">
        <is>
          <t>АСУ,А и ТМ (КЦ № 6)</t>
        </is>
      </c>
      <c r="K5" s="243" t="inlineStr">
        <is>
          <t>2012</t>
        </is>
      </c>
      <c r="L5" s="243" t="inlineStr">
        <is>
          <t>12</t>
        </is>
      </c>
      <c r="M5" s="246" t="inlineStr">
        <is>
          <t>26ДЯУ</t>
        </is>
      </c>
      <c r="N5" s="245" t="inlineStr">
        <is>
          <t>П</t>
        </is>
      </c>
    </row>
    <row r="6" ht="15" customHeight="1" s="236">
      <c r="A6" s="243" t="n">
        <v>5</v>
      </c>
      <c r="B6" s="244" t="inlineStr">
        <is>
          <t>Манометр технический</t>
        </is>
      </c>
      <c r="C6" s="245" t="inlineStr">
        <is>
          <t>КМ2</t>
        </is>
      </c>
      <c r="D6" s="245" t="inlineStr">
        <is>
          <t>15008</t>
        </is>
      </c>
      <c r="E6" s="245" t="inlineStr">
        <is>
          <t>2010</t>
        </is>
      </c>
      <c r="F6" s="248" t="inlineStr">
        <is>
          <t>0..60 kPa</t>
        </is>
      </c>
      <c r="G6" s="243" t="inlineStr">
        <is>
          <t>1.5</t>
        </is>
      </c>
      <c r="H6" s="243" t="inlineStr">
        <is>
          <t>Котел 1. Р газа до счетчика</t>
        </is>
      </c>
      <c r="I6" s="243" t="inlineStr">
        <is>
          <t>Котельная</t>
        </is>
      </c>
      <c r="J6" s="243" t="inlineStr">
        <is>
          <t>АСУ,А и ТМ (КЦ № 6)</t>
        </is>
      </c>
      <c r="K6" s="243" t="inlineStr">
        <is>
          <t>2012</t>
        </is>
      </c>
      <c r="L6" s="243" t="inlineStr">
        <is>
          <t>12</t>
        </is>
      </c>
      <c r="M6" s="246" t="inlineStr">
        <is>
          <t>26ДЯУ</t>
        </is>
      </c>
      <c r="N6" s="245" t="inlineStr">
        <is>
          <t>П</t>
        </is>
      </c>
    </row>
    <row r="7" ht="15" customHeight="1" s="236">
      <c r="A7" s="243" t="n">
        <v>6</v>
      </c>
      <c r="B7" s="244" t="inlineStr">
        <is>
          <t>Манометр технический</t>
        </is>
      </c>
      <c r="C7" s="245" t="inlineStr">
        <is>
          <t>Wika</t>
        </is>
      </c>
      <c r="D7" s="245" t="inlineStr">
        <is>
          <t>15011</t>
        </is>
      </c>
      <c r="E7" s="245" t="inlineStr">
        <is>
          <t>2010</t>
        </is>
      </c>
      <c r="F7" s="248" t="inlineStr">
        <is>
          <t>0..400 mbar</t>
        </is>
      </c>
      <c r="G7" s="243" t="inlineStr">
        <is>
          <t>1.5</t>
        </is>
      </c>
      <c r="H7" s="243" t="inlineStr">
        <is>
          <t>Котел 1. Р газа РБ1</t>
        </is>
      </c>
      <c r="I7" s="243" t="inlineStr">
        <is>
          <t>Котельная</t>
        </is>
      </c>
      <c r="J7" s="243" t="inlineStr">
        <is>
          <t>АСУ,А и ТМ (КЦ № 6)</t>
        </is>
      </c>
      <c r="K7" s="243" t="inlineStr">
        <is>
          <t>2012</t>
        </is>
      </c>
      <c r="L7" s="243" t="inlineStr">
        <is>
          <t>12</t>
        </is>
      </c>
      <c r="M7" s="246" t="inlineStr">
        <is>
          <t>26ДЯУ</t>
        </is>
      </c>
      <c r="N7" s="245" t="inlineStr">
        <is>
          <t>П</t>
        </is>
      </c>
    </row>
    <row r="8" ht="15" customHeight="1" s="236">
      <c r="A8" s="243" t="n">
        <v>7</v>
      </c>
      <c r="B8" s="244" t="inlineStr">
        <is>
          <t>Манометр технический</t>
        </is>
      </c>
      <c r="C8" s="245" t="inlineStr">
        <is>
          <t>ТМ5</t>
        </is>
      </c>
      <c r="D8" s="245" t="inlineStr">
        <is>
          <t>15023</t>
        </is>
      </c>
      <c r="E8" s="245" t="inlineStr">
        <is>
          <t>2010</t>
        </is>
      </c>
      <c r="F8" s="248" t="inlineStr">
        <is>
          <t>0..4 кгс/см2</t>
        </is>
      </c>
      <c r="G8" s="243" t="inlineStr">
        <is>
          <t>1.5</t>
        </is>
      </c>
      <c r="H8" s="243" t="inlineStr">
        <is>
          <t>Котел 1. Р воды на входе в котел</t>
        </is>
      </c>
      <c r="I8" s="243" t="inlineStr">
        <is>
          <t>Котельная</t>
        </is>
      </c>
      <c r="J8" s="243" t="inlineStr">
        <is>
          <t>АСУ,А и ТМ (КЦ № 6)</t>
        </is>
      </c>
      <c r="K8" s="243" t="inlineStr">
        <is>
          <t>2012</t>
        </is>
      </c>
      <c r="L8" s="243" t="inlineStr">
        <is>
          <t>12</t>
        </is>
      </c>
      <c r="M8" s="246" t="inlineStr">
        <is>
          <t>26ДЯУ</t>
        </is>
      </c>
      <c r="N8" s="245" t="inlineStr">
        <is>
          <t>П</t>
        </is>
      </c>
    </row>
    <row r="9" ht="15" customHeight="1" s="236">
      <c r="A9" s="243" t="n">
        <v>8</v>
      </c>
      <c r="B9" s="244" t="inlineStr">
        <is>
          <t>Манометр технический</t>
        </is>
      </c>
      <c r="C9" s="245" t="inlineStr">
        <is>
          <t>ТМ5</t>
        </is>
      </c>
      <c r="D9" s="245" t="inlineStr">
        <is>
          <t>15048</t>
        </is>
      </c>
      <c r="E9" s="245" t="inlineStr">
        <is>
          <t>2010</t>
        </is>
      </c>
      <c r="F9" s="248" t="inlineStr">
        <is>
          <t>0..4 кгс/см2</t>
        </is>
      </c>
      <c r="G9" s="243" t="inlineStr">
        <is>
          <t>1.5</t>
        </is>
      </c>
      <c r="H9" s="243" t="inlineStr">
        <is>
          <t>Котел 1. Р воды после НР1</t>
        </is>
      </c>
      <c r="I9" s="243" t="inlineStr">
        <is>
          <t>Котельная</t>
        </is>
      </c>
      <c r="J9" s="243" t="inlineStr">
        <is>
          <t>АСУ,А и ТМ (КЦ № 6)</t>
        </is>
      </c>
      <c r="K9" s="243" t="inlineStr">
        <is>
          <t>2012</t>
        </is>
      </c>
      <c r="L9" s="243" t="inlineStr">
        <is>
          <t>12</t>
        </is>
      </c>
      <c r="M9" s="246" t="inlineStr">
        <is>
          <t>26ДЯУ</t>
        </is>
      </c>
      <c r="N9" s="245" t="inlineStr">
        <is>
          <t>П</t>
        </is>
      </c>
    </row>
    <row r="10" ht="15" customHeight="1" s="236">
      <c r="A10" s="243" t="n">
        <v>9</v>
      </c>
      <c r="B10" s="244" t="inlineStr">
        <is>
          <t>Манометр технический</t>
        </is>
      </c>
      <c r="C10" s="245" t="inlineStr">
        <is>
          <t>ТМ5</t>
        </is>
      </c>
      <c r="D10" s="245" t="inlineStr">
        <is>
          <t>15058</t>
        </is>
      </c>
      <c r="E10" s="245" t="inlineStr">
        <is>
          <t>2010</t>
        </is>
      </c>
      <c r="F10" s="248" t="inlineStr">
        <is>
          <t>0..4 кгс/см2</t>
        </is>
      </c>
      <c r="G10" s="243" t="inlineStr">
        <is>
          <t>1.5</t>
        </is>
      </c>
      <c r="H10" s="243" t="inlineStr">
        <is>
          <t>Котел 1. Р воды до НР1</t>
        </is>
      </c>
      <c r="I10" s="243" t="inlineStr">
        <is>
          <t>Котельная</t>
        </is>
      </c>
      <c r="J10" s="243" t="inlineStr">
        <is>
          <t>АСУ,А и ТМ (КЦ № 6)</t>
        </is>
      </c>
      <c r="K10" s="243" t="inlineStr">
        <is>
          <t>2012</t>
        </is>
      </c>
      <c r="L10" s="243" t="inlineStr">
        <is>
          <t>12</t>
        </is>
      </c>
      <c r="M10" s="246" t="inlineStr">
        <is>
          <t>26ДЯУ</t>
        </is>
      </c>
      <c r="N10" s="245" t="inlineStr">
        <is>
          <t>П</t>
        </is>
      </c>
    </row>
    <row r="11" ht="15" customHeight="1" s="236">
      <c r="A11" s="243" t="n">
        <v>10</v>
      </c>
      <c r="B11" s="244" t="inlineStr">
        <is>
          <t>Манометр технический</t>
        </is>
      </c>
      <c r="C11" s="245" t="inlineStr">
        <is>
          <t>ТМ5</t>
        </is>
      </c>
      <c r="D11" s="245" t="inlineStr">
        <is>
          <t>15069</t>
        </is>
      </c>
      <c r="E11" s="245" t="inlineStr">
        <is>
          <t>2010</t>
        </is>
      </c>
      <c r="F11" s="248" t="inlineStr">
        <is>
          <t>0..6 кгс/см2</t>
        </is>
      </c>
      <c r="G11" s="243" t="inlineStr">
        <is>
          <t>1.5</t>
        </is>
      </c>
      <c r="H11" s="243" t="inlineStr">
        <is>
          <t>Котел 1. Р воды на выходе из котла</t>
        </is>
      </c>
      <c r="I11" s="243" t="inlineStr">
        <is>
          <t>Котельная</t>
        </is>
      </c>
      <c r="J11" s="243" t="inlineStr">
        <is>
          <t>АСУ,А и ТМ (КЦ № 6)</t>
        </is>
      </c>
      <c r="K11" s="243" t="inlineStr">
        <is>
          <t>2012</t>
        </is>
      </c>
      <c r="L11" s="243" t="inlineStr">
        <is>
          <t>12</t>
        </is>
      </c>
      <c r="M11" s="246" t="inlineStr">
        <is>
          <t>26ДЯУ</t>
        </is>
      </c>
      <c r="N11" s="245" t="inlineStr">
        <is>
          <t>П</t>
        </is>
      </c>
    </row>
    <row r="12" ht="15" customHeight="1" s="236">
      <c r="A12" s="243" t="n">
        <v>11</v>
      </c>
      <c r="B12" s="244" t="inlineStr">
        <is>
          <t>Манометр технический</t>
        </is>
      </c>
      <c r="C12" s="245" t="inlineStr">
        <is>
          <t>КМ2</t>
        </is>
      </c>
      <c r="D12" s="245" t="inlineStr">
        <is>
          <t>15007</t>
        </is>
      </c>
      <c r="E12" s="245" t="inlineStr">
        <is>
          <t>2010</t>
        </is>
      </c>
      <c r="F12" s="248" t="inlineStr">
        <is>
          <t>0..60 kPa</t>
        </is>
      </c>
      <c r="G12" s="243" t="inlineStr">
        <is>
          <t>1.5</t>
        </is>
      </c>
      <c r="H12" s="243" t="inlineStr">
        <is>
          <t>Котел 2. Р газа до счетчика</t>
        </is>
      </c>
      <c r="I12" s="243" t="inlineStr">
        <is>
          <t>Котельная</t>
        </is>
      </c>
      <c r="J12" s="243" t="inlineStr">
        <is>
          <t>АСУ,А и ТМ (КЦ № 6)</t>
        </is>
      </c>
      <c r="K12" s="243" t="inlineStr">
        <is>
          <t>2012</t>
        </is>
      </c>
      <c r="L12" s="243" t="inlineStr">
        <is>
          <t>12</t>
        </is>
      </c>
      <c r="M12" s="246" t="inlineStr">
        <is>
          <t>26ДЯУ</t>
        </is>
      </c>
      <c r="N12" s="245" t="inlineStr">
        <is>
          <t>П</t>
        </is>
      </c>
    </row>
    <row r="13" ht="15" customHeight="1" s="236">
      <c r="A13" s="243" t="n">
        <v>12</v>
      </c>
      <c r="B13" s="244" t="inlineStr">
        <is>
          <t>Манометр технический</t>
        </is>
      </c>
      <c r="C13" s="245" t="inlineStr">
        <is>
          <t>Wika</t>
        </is>
      </c>
      <c r="D13" s="245" t="inlineStr">
        <is>
          <t>15012</t>
        </is>
      </c>
      <c r="E13" s="245" t="inlineStr">
        <is>
          <t>2010</t>
        </is>
      </c>
      <c r="F13" s="248" t="inlineStr">
        <is>
          <t>0..400 mbar</t>
        </is>
      </c>
      <c r="G13" s="243" t="inlineStr">
        <is>
          <t>1.5</t>
        </is>
      </c>
      <c r="H13" s="243" t="inlineStr">
        <is>
          <t>Котел 2. Р газа РБ2</t>
        </is>
      </c>
      <c r="I13" s="243" t="inlineStr">
        <is>
          <t>Котельная</t>
        </is>
      </c>
      <c r="J13" s="243" t="inlineStr">
        <is>
          <t>АСУ,А и ТМ (КЦ № 6)</t>
        </is>
      </c>
      <c r="K13" s="243" t="inlineStr">
        <is>
          <t>2012</t>
        </is>
      </c>
      <c r="L13" s="243" t="inlineStr">
        <is>
          <t>12</t>
        </is>
      </c>
      <c r="M13" s="246" t="inlineStr">
        <is>
          <t>26ДЯУ</t>
        </is>
      </c>
      <c r="N13" s="245" t="inlineStr">
        <is>
          <t>П</t>
        </is>
      </c>
    </row>
    <row r="14" ht="15" customHeight="1" s="236">
      <c r="A14" s="239">
        <f>IF(B14&lt;&gt;"", COUNTA($B$2:B14), "")</f>
        <v/>
      </c>
      <c r="B14" s="241" t="inlineStr">
        <is>
          <t>Манометр технический</t>
        </is>
      </c>
      <c r="C14" s="242" t="inlineStr">
        <is>
          <t>ТМ5</t>
        </is>
      </c>
      <c r="D14" s="242" t="n">
        <v>15052</v>
      </c>
      <c r="E14" s="242" t="n">
        <v>2010</v>
      </c>
      <c r="F14" s="239" t="inlineStr">
        <is>
          <t>0..4 кгс/см2</t>
        </is>
      </c>
      <c r="G14" s="239" t="n">
        <v>1.5</v>
      </c>
      <c r="H14" s="239" t="inlineStr">
        <is>
          <t>Котел 2. Р воды на входе в котел</t>
        </is>
      </c>
      <c r="I14" s="239" t="inlineStr">
        <is>
          <t>Котельная</t>
        </is>
      </c>
      <c r="J14" s="239" t="inlineStr">
        <is>
          <t>АСУ,А и ТМ (КЦ № 6)</t>
        </is>
      </c>
      <c r="K14" s="239" t="n">
        <v>2012</v>
      </c>
      <c r="L14" s="239" t="n">
        <v>12</v>
      </c>
      <c r="M14" s="240" t="inlineStr">
        <is>
          <t>26ДЯУ</t>
        </is>
      </c>
      <c r="N14" s="242" t="inlineStr">
        <is>
          <t>П</t>
        </is>
      </c>
    </row>
    <row r="15" ht="15" customHeight="1" s="236">
      <c r="A15" s="243" t="n">
        <v>14</v>
      </c>
      <c r="B15" s="244" t="inlineStr">
        <is>
          <t>Манометр технический</t>
        </is>
      </c>
      <c r="C15" s="245" t="inlineStr">
        <is>
          <t>ТМ5</t>
        </is>
      </c>
      <c r="D15" s="245" t="inlineStr">
        <is>
          <t>15061</t>
        </is>
      </c>
      <c r="E15" s="245" t="inlineStr">
        <is>
          <t>2010</t>
        </is>
      </c>
      <c r="F15" s="243" t="inlineStr">
        <is>
          <t>0..4 кгс/см2</t>
        </is>
      </c>
      <c r="G15" s="243" t="inlineStr">
        <is>
          <t>1.5</t>
        </is>
      </c>
      <c r="H15" s="243" t="inlineStr">
        <is>
          <t>Котел 2. Р воды после НР2</t>
        </is>
      </c>
      <c r="I15" s="243" t="inlineStr">
        <is>
          <t>Котельная</t>
        </is>
      </c>
      <c r="J15" s="243" t="inlineStr">
        <is>
          <t>АСУ,А и ТМ (КЦ № 6)</t>
        </is>
      </c>
      <c r="K15" s="243" t="inlineStr">
        <is>
          <t>2012</t>
        </is>
      </c>
      <c r="L15" s="243" t="inlineStr">
        <is>
          <t>12</t>
        </is>
      </c>
      <c r="M15" s="246" t="inlineStr">
        <is>
          <t>26ДЯУ</t>
        </is>
      </c>
      <c r="N15" s="245" t="inlineStr">
        <is>
          <t>П</t>
        </is>
      </c>
    </row>
    <row r="16" ht="15" customHeight="1" s="236">
      <c r="A16" s="243" t="n">
        <v>15</v>
      </c>
      <c r="B16" s="244" t="inlineStr">
        <is>
          <t>Манометр технический</t>
        </is>
      </c>
      <c r="C16" s="245" t="inlineStr">
        <is>
          <t>ТМ5</t>
        </is>
      </c>
      <c r="D16" s="245" t="inlineStr">
        <is>
          <t>15054</t>
        </is>
      </c>
      <c r="E16" s="245" t="inlineStr">
        <is>
          <t>2010</t>
        </is>
      </c>
      <c r="F16" s="243" t="inlineStr">
        <is>
          <t>0..4 кгс/см2</t>
        </is>
      </c>
      <c r="G16" s="243" t="inlineStr">
        <is>
          <t>1.5</t>
        </is>
      </c>
      <c r="H16" s="243" t="inlineStr">
        <is>
          <t>Котел 2. Р воды до НР2</t>
        </is>
      </c>
      <c r="I16" s="243" t="inlineStr">
        <is>
          <t>Котельная</t>
        </is>
      </c>
      <c r="J16" s="243" t="inlineStr">
        <is>
          <t>АСУ,А и ТМ (КЦ № 6)</t>
        </is>
      </c>
      <c r="K16" s="243" t="inlineStr">
        <is>
          <t>2012</t>
        </is>
      </c>
      <c r="L16" s="243" t="inlineStr">
        <is>
          <t>12</t>
        </is>
      </c>
      <c r="M16" s="246" t="inlineStr">
        <is>
          <t>26ДЯУ</t>
        </is>
      </c>
      <c r="N16" s="245" t="inlineStr">
        <is>
          <t>П</t>
        </is>
      </c>
    </row>
    <row r="17" ht="15" customHeight="1" s="236">
      <c r="A17" s="243" t="n">
        <v>16</v>
      </c>
      <c r="B17" s="244" t="inlineStr">
        <is>
          <t>Манометр технический</t>
        </is>
      </c>
      <c r="C17" s="245" t="inlineStr">
        <is>
          <t>МП3-УТ2</t>
        </is>
      </c>
      <c r="D17" s="245" t="inlineStr">
        <is>
          <t>1322111</t>
        </is>
      </c>
      <c r="E17" s="245" t="inlineStr">
        <is>
          <t>2010</t>
        </is>
      </c>
      <c r="F17" s="243" t="inlineStr">
        <is>
          <t>0..6 кгс/см2</t>
        </is>
      </c>
      <c r="G17" s="243" t="inlineStr">
        <is>
          <t>1.5</t>
        </is>
      </c>
      <c r="H17" s="243" t="inlineStr">
        <is>
          <t>Котел 2. Р воды на выходе из котла</t>
        </is>
      </c>
      <c r="I17" s="243" t="inlineStr">
        <is>
          <t>Котельная</t>
        </is>
      </c>
      <c r="J17" s="243" t="inlineStr">
        <is>
          <t>АСУ,А и ТМ (КЦ № 6)</t>
        </is>
      </c>
      <c r="K17" s="243" t="inlineStr">
        <is>
          <t>2012</t>
        </is>
      </c>
      <c r="L17" s="243" t="inlineStr">
        <is>
          <t>12</t>
        </is>
      </c>
      <c r="M17" s="246" t="inlineStr">
        <is>
          <t>26ДЯУ</t>
        </is>
      </c>
      <c r="N17" s="245" t="inlineStr">
        <is>
          <t>П</t>
        </is>
      </c>
    </row>
    <row r="18" ht="15" customHeight="1" s="236">
      <c r="A18" s="243" t="n">
        <v>17</v>
      </c>
      <c r="B18" s="244" t="inlineStr">
        <is>
          <t>Манометр технический</t>
        </is>
      </c>
      <c r="C18" s="245" t="inlineStr">
        <is>
          <t>КМ2</t>
        </is>
      </c>
      <c r="D18" s="245" t="inlineStr">
        <is>
          <t>15009</t>
        </is>
      </c>
      <c r="E18" s="245" t="inlineStr">
        <is>
          <t>2010</t>
        </is>
      </c>
      <c r="F18" s="243" t="inlineStr">
        <is>
          <t>0..60 kPa</t>
        </is>
      </c>
      <c r="G18" s="243" t="inlineStr">
        <is>
          <t>1.5</t>
        </is>
      </c>
      <c r="H18" s="243" t="inlineStr">
        <is>
          <t>Котел 3. Р газа до счетчика</t>
        </is>
      </c>
      <c r="I18" s="243" t="inlineStr">
        <is>
          <t>Котельная</t>
        </is>
      </c>
      <c r="J18" s="243" t="inlineStr">
        <is>
          <t>АСУ,А и ТМ (КЦ № 6)</t>
        </is>
      </c>
      <c r="K18" s="243" t="inlineStr">
        <is>
          <t>2012</t>
        </is>
      </c>
      <c r="L18" s="243" t="inlineStr">
        <is>
          <t>12</t>
        </is>
      </c>
      <c r="M18" s="246" t="inlineStr">
        <is>
          <t>26ДЯУ</t>
        </is>
      </c>
      <c r="N18" s="245" t="inlineStr">
        <is>
          <t>П</t>
        </is>
      </c>
    </row>
    <row r="19" ht="15" customHeight="1" s="236">
      <c r="A19" s="243" t="n">
        <v>18</v>
      </c>
      <c r="B19" s="244" t="inlineStr">
        <is>
          <t>Манометр технический</t>
        </is>
      </c>
      <c r="C19" s="245" t="inlineStr">
        <is>
          <t>Wika</t>
        </is>
      </c>
      <c r="D19" s="245" t="inlineStr">
        <is>
          <t>15013</t>
        </is>
      </c>
      <c r="E19" s="245" t="inlineStr">
        <is>
          <t>2010</t>
        </is>
      </c>
      <c r="F19" s="243" t="inlineStr">
        <is>
          <t>0..400 mbar</t>
        </is>
      </c>
      <c r="G19" s="243" t="inlineStr">
        <is>
          <t>1.5</t>
        </is>
      </c>
      <c r="H19" s="243" t="inlineStr">
        <is>
          <t>Котел 3. Р газа РБ3</t>
        </is>
      </c>
      <c r="I19" s="243" t="inlineStr">
        <is>
          <t>Котельная</t>
        </is>
      </c>
      <c r="J19" s="243" t="inlineStr">
        <is>
          <t>АСУ,А и ТМ (КЦ № 6)</t>
        </is>
      </c>
      <c r="K19" s="243" t="inlineStr">
        <is>
          <t>2012</t>
        </is>
      </c>
      <c r="L19" s="243" t="inlineStr">
        <is>
          <t>12</t>
        </is>
      </c>
      <c r="M19" s="246" t="inlineStr">
        <is>
          <t>26ДЯУ</t>
        </is>
      </c>
      <c r="N19" s="245" t="inlineStr">
        <is>
          <t>П</t>
        </is>
      </c>
    </row>
    <row r="20" ht="15" customHeight="1" s="236">
      <c r="A20" s="243" t="n">
        <v>19</v>
      </c>
      <c r="B20" s="244" t="inlineStr">
        <is>
          <t>Манометр технический</t>
        </is>
      </c>
      <c r="C20" s="245" t="inlineStr">
        <is>
          <t>ТМ5</t>
        </is>
      </c>
      <c r="D20" s="245" t="inlineStr">
        <is>
          <t>15059</t>
        </is>
      </c>
      <c r="E20" s="245" t="inlineStr">
        <is>
          <t>2010</t>
        </is>
      </c>
      <c r="F20" s="243" t="inlineStr">
        <is>
          <t>0..4 кгс/см2</t>
        </is>
      </c>
      <c r="G20" s="243" t="inlineStr">
        <is>
          <t>1.5</t>
        </is>
      </c>
      <c r="H20" s="243" t="inlineStr">
        <is>
          <t>Котел 3. Р воды на входе в котел</t>
        </is>
      </c>
      <c r="I20" s="243" t="inlineStr">
        <is>
          <t>Котельная</t>
        </is>
      </c>
      <c r="J20" s="243" t="inlineStr">
        <is>
          <t>АСУ,А и ТМ (КЦ № 6)</t>
        </is>
      </c>
      <c r="K20" s="243" t="inlineStr">
        <is>
          <t>2012</t>
        </is>
      </c>
      <c r="L20" s="243" t="inlineStr">
        <is>
          <t>12</t>
        </is>
      </c>
      <c r="M20" s="246" t="inlineStr">
        <is>
          <t>26ДЯУ</t>
        </is>
      </c>
      <c r="N20" s="245" t="inlineStr">
        <is>
          <t>П</t>
        </is>
      </c>
    </row>
    <row r="21" ht="15" customHeight="1" s="236">
      <c r="A21" s="243" t="n">
        <v>20</v>
      </c>
      <c r="B21" s="244" t="inlineStr">
        <is>
          <t>Манометр технический</t>
        </is>
      </c>
      <c r="C21" s="245" t="inlineStr">
        <is>
          <t>ТМ5</t>
        </is>
      </c>
      <c r="D21" s="245" t="inlineStr">
        <is>
          <t>15028</t>
        </is>
      </c>
      <c r="E21" s="245" t="inlineStr">
        <is>
          <t>2010</t>
        </is>
      </c>
      <c r="F21" s="243" t="inlineStr">
        <is>
          <t>0..4 кгс/см2</t>
        </is>
      </c>
      <c r="G21" s="243" t="inlineStr">
        <is>
          <t>1.5</t>
        </is>
      </c>
      <c r="H21" s="243" t="inlineStr">
        <is>
          <t>Котел 3. Р воды после НР3</t>
        </is>
      </c>
      <c r="I21" s="243" t="inlineStr">
        <is>
          <t>Котельная</t>
        </is>
      </c>
      <c r="J21" s="243" t="inlineStr">
        <is>
          <t>АСУ,А и ТМ (КЦ № 6)</t>
        </is>
      </c>
      <c r="K21" s="243" t="inlineStr">
        <is>
          <t>2012</t>
        </is>
      </c>
      <c r="L21" s="243" t="inlineStr">
        <is>
          <t>12</t>
        </is>
      </c>
      <c r="M21" s="246" t="inlineStr">
        <is>
          <t>26ДЯУ</t>
        </is>
      </c>
      <c r="N21" s="245" t="inlineStr">
        <is>
          <t>П</t>
        </is>
      </c>
    </row>
    <row r="22" ht="15" customHeight="1" s="236">
      <c r="A22" s="243" t="n">
        <v>21</v>
      </c>
      <c r="B22" s="244" t="inlineStr">
        <is>
          <t>Манометр технический</t>
        </is>
      </c>
      <c r="C22" s="245" t="inlineStr">
        <is>
          <t>МП3-УТ2</t>
        </is>
      </c>
      <c r="D22" s="245" t="inlineStr">
        <is>
          <t>1426119</t>
        </is>
      </c>
      <c r="E22" s="245" t="inlineStr">
        <is>
          <t>2010</t>
        </is>
      </c>
      <c r="F22" s="243" t="inlineStr">
        <is>
          <t>0..4 кгс/см2</t>
        </is>
      </c>
      <c r="G22" s="243" t="inlineStr">
        <is>
          <t>1.5</t>
        </is>
      </c>
      <c r="H22" s="243" t="inlineStr">
        <is>
          <t>Котел 3. Р воды на выходе из котла</t>
        </is>
      </c>
      <c r="I22" s="243" t="inlineStr">
        <is>
          <t>Котельная</t>
        </is>
      </c>
      <c r="J22" s="243" t="inlineStr">
        <is>
          <t>АСУ,А и ТМ (КЦ № 6)</t>
        </is>
      </c>
      <c r="K22" s="243" t="inlineStr">
        <is>
          <t>2012</t>
        </is>
      </c>
      <c r="L22" s="243" t="inlineStr">
        <is>
          <t>12</t>
        </is>
      </c>
      <c r="M22" s="246" t="inlineStr">
        <is>
          <t>26ДЯУ</t>
        </is>
      </c>
      <c r="N22" s="245" t="inlineStr">
        <is>
          <t>П</t>
        </is>
      </c>
    </row>
    <row r="23" ht="15" customHeight="1" s="236">
      <c r="A23" s="243" t="n">
        <v>22</v>
      </c>
      <c r="B23" s="244" t="inlineStr">
        <is>
          <t>Манометр технический</t>
        </is>
      </c>
      <c r="C23" s="245" t="inlineStr">
        <is>
          <t>ТМ5</t>
        </is>
      </c>
      <c r="D23" s="245" t="inlineStr">
        <is>
          <t>15024</t>
        </is>
      </c>
      <c r="E23" s="245" t="inlineStr">
        <is>
          <t>2010</t>
        </is>
      </c>
      <c r="F23" s="243" t="inlineStr">
        <is>
          <t>0..6 кгс/см2</t>
        </is>
      </c>
      <c r="G23" s="243" t="inlineStr">
        <is>
          <t>1.5</t>
        </is>
      </c>
      <c r="H23" s="243" t="inlineStr">
        <is>
          <t>Котел 3. Р воды до НР3</t>
        </is>
      </c>
      <c r="I23" s="243" t="inlineStr">
        <is>
          <t>Котельная</t>
        </is>
      </c>
      <c r="J23" s="243" t="inlineStr">
        <is>
          <t>АСУ,А и ТМ (КЦ № 6)</t>
        </is>
      </c>
      <c r="K23" s="243" t="inlineStr">
        <is>
          <t>2012</t>
        </is>
      </c>
      <c r="L23" s="243" t="inlineStr">
        <is>
          <t>12</t>
        </is>
      </c>
      <c r="M23" s="246" t="inlineStr">
        <is>
          <t>26ДЯУ</t>
        </is>
      </c>
      <c r="N23" s="245" t="inlineStr">
        <is>
          <t>П</t>
        </is>
      </c>
    </row>
    <row r="24" ht="15" customHeight="1" s="236">
      <c r="A24" s="243" t="n">
        <v>23</v>
      </c>
      <c r="B24" s="244" t="inlineStr">
        <is>
          <t>Манометр технический</t>
        </is>
      </c>
      <c r="C24" s="245" t="inlineStr">
        <is>
          <t>МП4-УУ2</t>
        </is>
      </c>
      <c r="D24" s="245" t="inlineStr">
        <is>
          <t>15052</t>
        </is>
      </c>
      <c r="E24" s="245" t="inlineStr">
        <is>
          <t>2010</t>
        </is>
      </c>
      <c r="F24" s="243" t="inlineStr">
        <is>
          <t>0..4 кгс/см2</t>
        </is>
      </c>
      <c r="G24" s="243" t="inlineStr">
        <is>
          <t>1.5</t>
        </is>
      </c>
      <c r="H24" s="243" t="inlineStr">
        <is>
          <t>Р воды в коллекторе Т2</t>
        </is>
      </c>
      <c r="I24" s="243" t="inlineStr">
        <is>
          <t>Котельная</t>
        </is>
      </c>
      <c r="J24" s="243" t="inlineStr">
        <is>
          <t>АСУ,А и ТМ (КЦ № 6)</t>
        </is>
      </c>
      <c r="K24" s="243" t="inlineStr">
        <is>
          <t>2012</t>
        </is>
      </c>
      <c r="L24" s="243" t="inlineStr">
        <is>
          <t>12</t>
        </is>
      </c>
      <c r="M24" s="246" t="inlineStr">
        <is>
          <t>26ДЯУ</t>
        </is>
      </c>
      <c r="N24" s="245" t="inlineStr">
        <is>
          <t>П</t>
        </is>
      </c>
    </row>
    <row r="25" ht="15" customHeight="1" s="236">
      <c r="A25" s="243" t="n">
        <v>24</v>
      </c>
      <c r="B25" s="244" t="inlineStr">
        <is>
          <t>Манометр технический</t>
        </is>
      </c>
      <c r="C25" s="245" t="inlineStr">
        <is>
          <t>МП3-УУ2</t>
        </is>
      </c>
      <c r="D25" s="245" t="inlineStr">
        <is>
          <t>15521</t>
        </is>
      </c>
      <c r="E25" s="245" t="inlineStr">
        <is>
          <t>2010</t>
        </is>
      </c>
      <c r="F25" s="243" t="inlineStr">
        <is>
          <t>0..4 кгс/см2</t>
        </is>
      </c>
      <c r="G25" s="243" t="inlineStr">
        <is>
          <t>1.5</t>
        </is>
      </c>
      <c r="H25" s="243" t="inlineStr">
        <is>
          <t>Р воды на вых. В коллектор</t>
        </is>
      </c>
      <c r="I25" s="243" t="inlineStr">
        <is>
          <t>Котельная</t>
        </is>
      </c>
      <c r="J25" s="243" t="inlineStr">
        <is>
          <t>АСУ,А и ТМ (КЦ № 6)</t>
        </is>
      </c>
      <c r="K25" s="243" t="inlineStr">
        <is>
          <t>2012</t>
        </is>
      </c>
      <c r="L25" s="243" t="inlineStr">
        <is>
          <t>12</t>
        </is>
      </c>
      <c r="M25" s="246" t="inlineStr">
        <is>
          <t>26ДЯУ</t>
        </is>
      </c>
      <c r="N25" s="245" t="inlineStr">
        <is>
          <t>П</t>
        </is>
      </c>
    </row>
    <row r="26" ht="15" customHeight="1" s="236">
      <c r="A26" s="243" t="n">
        <v>25</v>
      </c>
      <c r="B26" s="244" t="inlineStr">
        <is>
          <t>Манометр технический</t>
        </is>
      </c>
      <c r="C26" s="245" t="inlineStr">
        <is>
          <t>МП3-УТ2</t>
        </is>
      </c>
      <c r="D26" s="245" t="inlineStr">
        <is>
          <t>1426129</t>
        </is>
      </c>
      <c r="E26" s="245" t="inlineStr">
        <is>
          <t>2010</t>
        </is>
      </c>
      <c r="F26" s="243" t="inlineStr">
        <is>
          <t>0..6 кгс/см2</t>
        </is>
      </c>
      <c r="G26" s="243" t="inlineStr">
        <is>
          <t>1</t>
        </is>
      </c>
      <c r="H26" s="243" t="inlineStr">
        <is>
          <t>Р воды до НПВ1</t>
        </is>
      </c>
      <c r="I26" s="243" t="inlineStr">
        <is>
          <t>Котельная</t>
        </is>
      </c>
      <c r="J26" s="243" t="inlineStr">
        <is>
          <t>АСУ,А и ТМ (КЦ № 6)</t>
        </is>
      </c>
      <c r="K26" s="243" t="inlineStr">
        <is>
          <t>2012</t>
        </is>
      </c>
      <c r="L26" s="243" t="inlineStr">
        <is>
          <t>12</t>
        </is>
      </c>
      <c r="M26" s="246" t="inlineStr">
        <is>
          <t>26ДЯУ</t>
        </is>
      </c>
      <c r="N26" s="245" t="inlineStr">
        <is>
          <t>П</t>
        </is>
      </c>
    </row>
    <row r="27" ht="15" customHeight="1" s="236">
      <c r="A27" s="243" t="n">
        <v>26</v>
      </c>
      <c r="B27" s="244" t="inlineStr">
        <is>
          <t>Манометр технический</t>
        </is>
      </c>
      <c r="C27" s="245" t="inlineStr">
        <is>
          <t>МП3-УТ2</t>
        </is>
      </c>
      <c r="D27" s="245" t="inlineStr">
        <is>
          <t>146275</t>
        </is>
      </c>
      <c r="E27" s="245" t="inlineStr">
        <is>
          <t>2010</t>
        </is>
      </c>
      <c r="F27" s="243" t="inlineStr">
        <is>
          <t>0..6 кгс/см2</t>
        </is>
      </c>
      <c r="G27" s="243" t="inlineStr">
        <is>
          <t>1</t>
        </is>
      </c>
      <c r="H27" s="243" t="inlineStr">
        <is>
          <t>Р воды после НПВ1</t>
        </is>
      </c>
      <c r="I27" s="243" t="inlineStr">
        <is>
          <t>Котельная</t>
        </is>
      </c>
      <c r="J27" s="243" t="inlineStr">
        <is>
          <t>АСУ,А и ТМ (КЦ № 6)</t>
        </is>
      </c>
      <c r="K27" s="243" t="inlineStr">
        <is>
          <t>2012</t>
        </is>
      </c>
      <c r="L27" s="243" t="inlineStr">
        <is>
          <t>12</t>
        </is>
      </c>
      <c r="M27" s="246" t="inlineStr">
        <is>
          <t>26ДЯУ</t>
        </is>
      </c>
      <c r="N27" s="245" t="inlineStr">
        <is>
          <t>П</t>
        </is>
      </c>
    </row>
    <row r="28" ht="15" customHeight="1" s="236">
      <c r="A28" s="243" t="n">
        <v>27</v>
      </c>
      <c r="B28" s="244" t="inlineStr">
        <is>
          <t>Манометр технический</t>
        </is>
      </c>
      <c r="C28" s="245" t="inlineStr">
        <is>
          <t>ДМ8008-ВУ-УУ2</t>
        </is>
      </c>
      <c r="D28" s="245" t="inlineStr">
        <is>
          <t>15628</t>
        </is>
      </c>
      <c r="E28" s="245" t="inlineStr">
        <is>
          <t>2010</t>
        </is>
      </c>
      <c r="F28" s="243" t="inlineStr">
        <is>
          <t>0..6 кгс/см2</t>
        </is>
      </c>
      <c r="G28" s="243" t="inlineStr">
        <is>
          <t>1.5</t>
        </is>
      </c>
      <c r="H28" s="243" t="inlineStr">
        <is>
          <t>Р воды до НПВ2</t>
        </is>
      </c>
      <c r="I28" s="243" t="inlineStr">
        <is>
          <t>Котельная</t>
        </is>
      </c>
      <c r="J28" s="243" t="inlineStr">
        <is>
          <t>АСУ,А и ТМ (КЦ № 6)</t>
        </is>
      </c>
      <c r="K28" s="243" t="inlineStr">
        <is>
          <t>2012</t>
        </is>
      </c>
      <c r="L28" s="243" t="inlineStr">
        <is>
          <t>12</t>
        </is>
      </c>
      <c r="M28" s="246" t="inlineStr">
        <is>
          <t>26ДЯУ</t>
        </is>
      </c>
      <c r="N28" s="245" t="inlineStr">
        <is>
          <t>П</t>
        </is>
      </c>
    </row>
    <row r="29" ht="15" customHeight="1" s="236">
      <c r="A29" s="243" t="n">
        <v>28</v>
      </c>
      <c r="B29" s="244" t="inlineStr">
        <is>
          <t>Манометр технический</t>
        </is>
      </c>
      <c r="C29" s="245" t="inlineStr">
        <is>
          <t>ДМ8008-ВУ-УУ2</t>
        </is>
      </c>
      <c r="D29" s="245" t="inlineStr">
        <is>
          <t>51752</t>
        </is>
      </c>
      <c r="E29" s="245" t="inlineStr">
        <is>
          <t>2010</t>
        </is>
      </c>
      <c r="F29" s="243" t="inlineStr">
        <is>
          <t>0..6 кгс/см2</t>
        </is>
      </c>
      <c r="G29" s="243" t="inlineStr">
        <is>
          <t>1.5</t>
        </is>
      </c>
      <c r="H29" s="243" t="inlineStr">
        <is>
          <t>Р воды после НПВ2</t>
        </is>
      </c>
      <c r="I29" s="243" t="inlineStr">
        <is>
          <t>Котельная</t>
        </is>
      </c>
      <c r="J29" s="243" t="inlineStr">
        <is>
          <t>АСУ,А и ТМ (КЦ № 6)</t>
        </is>
      </c>
      <c r="K29" s="243" t="inlineStr">
        <is>
          <t>2012</t>
        </is>
      </c>
      <c r="L29" s="243" t="inlineStr">
        <is>
          <t>12</t>
        </is>
      </c>
      <c r="M29" s="246" t="inlineStr">
        <is>
          <t>26ДЯУ</t>
        </is>
      </c>
      <c r="N29" s="245" t="inlineStr">
        <is>
          <t>П</t>
        </is>
      </c>
    </row>
    <row r="30" ht="22.5" customHeight="1" s="236">
      <c r="A30" s="243" t="n">
        <v>29</v>
      </c>
      <c r="B30" s="244" t="inlineStr">
        <is>
          <t>Манометр технический</t>
        </is>
      </c>
      <c r="C30" s="245" t="inlineStr">
        <is>
          <t>ТМ5</t>
        </is>
      </c>
      <c r="D30" s="245" t="inlineStr">
        <is>
          <t>15025</t>
        </is>
      </c>
      <c r="E30" s="245" t="inlineStr">
        <is>
          <t>2010</t>
        </is>
      </c>
      <c r="F30" s="243" t="inlineStr">
        <is>
          <t>0..4 кгс/см2</t>
        </is>
      </c>
      <c r="G30" s="243" t="inlineStr">
        <is>
          <t>1.5</t>
        </is>
      </c>
      <c r="H30" s="243" t="inlineStr">
        <is>
          <t>Р воды после резервного насоса собственных нужд</t>
        </is>
      </c>
      <c r="I30" s="243" t="inlineStr">
        <is>
          <t>Котельная</t>
        </is>
      </c>
      <c r="J30" s="243" t="inlineStr">
        <is>
          <t>АСУ,А и ТМ (КЦ № 6)</t>
        </is>
      </c>
      <c r="K30" s="243" t="inlineStr">
        <is>
          <t>2012</t>
        </is>
      </c>
      <c r="L30" s="243" t="inlineStr">
        <is>
          <t>12</t>
        </is>
      </c>
      <c r="M30" s="246" t="inlineStr">
        <is>
          <t>26ДЯУ</t>
        </is>
      </c>
      <c r="N30" s="245" t="inlineStr">
        <is>
          <t>П</t>
        </is>
      </c>
    </row>
    <row r="31" ht="33.75" customHeight="1" s="236">
      <c r="A31" s="243" t="n">
        <v>30</v>
      </c>
      <c r="B31" s="244" t="inlineStr">
        <is>
          <t>Манометр технический</t>
        </is>
      </c>
      <c r="C31" s="245" t="inlineStr">
        <is>
          <t>МП3-УТ2</t>
        </is>
      </c>
      <c r="D31" s="245" t="inlineStr">
        <is>
          <t>1426130</t>
        </is>
      </c>
      <c r="E31" s="245" t="inlineStr">
        <is>
          <t>2010</t>
        </is>
      </c>
      <c r="F31" s="243" t="inlineStr">
        <is>
          <t>0..6 кгс/см2</t>
        </is>
      </c>
      <c r="G31" s="243" t="inlineStr">
        <is>
          <t>1</t>
        </is>
      </c>
      <c r="H31" s="243" t="inlineStr">
        <is>
          <t>Р воды после основного и резервного насосов собственных нужд в коллектор</t>
        </is>
      </c>
      <c r="I31" s="243" t="inlineStr">
        <is>
          <t>Котельная</t>
        </is>
      </c>
      <c r="J31" s="243" t="inlineStr">
        <is>
          <t>АСУ,А и ТМ (КЦ № 6)</t>
        </is>
      </c>
      <c r="K31" s="243" t="inlineStr">
        <is>
          <t>2012</t>
        </is>
      </c>
      <c r="L31" s="243" t="inlineStr">
        <is>
          <t>12</t>
        </is>
      </c>
      <c r="M31" s="246" t="inlineStr">
        <is>
          <t>26ДЯУ</t>
        </is>
      </c>
      <c r="N31" s="245" t="inlineStr">
        <is>
          <t>П</t>
        </is>
      </c>
    </row>
    <row r="32" ht="22.5" customHeight="1" s="236">
      <c r="A32" s="243" t="n">
        <v>31</v>
      </c>
      <c r="B32" s="244" t="inlineStr">
        <is>
          <t>Манометр технический</t>
        </is>
      </c>
      <c r="C32" s="245" t="inlineStr">
        <is>
          <t>ТМ5</t>
        </is>
      </c>
      <c r="D32" s="245" t="inlineStr">
        <is>
          <t>15065</t>
        </is>
      </c>
      <c r="E32" s="245" t="inlineStr">
        <is>
          <t>2010</t>
        </is>
      </c>
      <c r="F32" s="243" t="inlineStr">
        <is>
          <t>0..6 кгс/см2</t>
        </is>
      </c>
      <c r="G32" s="243" t="inlineStr">
        <is>
          <t>1.5</t>
        </is>
      </c>
      <c r="H32" s="243" t="inlineStr">
        <is>
          <t>Р воды до основного насоса собственных нужд</t>
        </is>
      </c>
      <c r="I32" s="243" t="inlineStr">
        <is>
          <t>Котельная</t>
        </is>
      </c>
      <c r="J32" s="243" t="inlineStr">
        <is>
          <t>АСУ,А и ТМ (КЦ № 6)</t>
        </is>
      </c>
      <c r="K32" s="243" t="inlineStr">
        <is>
          <t>2012</t>
        </is>
      </c>
      <c r="L32" s="243" t="inlineStr">
        <is>
          <t>12</t>
        </is>
      </c>
      <c r="M32" s="246" t="inlineStr">
        <is>
          <t>26ДЯУ</t>
        </is>
      </c>
      <c r="N32" s="245" t="inlineStr">
        <is>
          <t>П</t>
        </is>
      </c>
    </row>
    <row r="33" ht="22.5" customHeight="1" s="236">
      <c r="A33" s="243" t="n">
        <v>32</v>
      </c>
      <c r="B33" s="244" t="inlineStr">
        <is>
          <t>Манометр технический</t>
        </is>
      </c>
      <c r="C33" s="245" t="inlineStr">
        <is>
          <t>ТМ5</t>
        </is>
      </c>
      <c r="D33" s="245" t="inlineStr">
        <is>
          <t>15050</t>
        </is>
      </c>
      <c r="E33" s="245" t="inlineStr">
        <is>
          <t>2010</t>
        </is>
      </c>
      <c r="F33" s="243" t="inlineStr">
        <is>
          <t>0..4 кгс/см2</t>
        </is>
      </c>
      <c r="G33" s="243" t="inlineStr">
        <is>
          <t>1.5</t>
        </is>
      </c>
      <c r="H33" s="243" t="inlineStr">
        <is>
          <t>Р воды до резервного насоса собственных нужд</t>
        </is>
      </c>
      <c r="I33" s="243" t="inlineStr">
        <is>
          <t>Котельная</t>
        </is>
      </c>
      <c r="J33" s="243" t="inlineStr">
        <is>
          <t>АСУ,А и ТМ (КЦ № 6)</t>
        </is>
      </c>
      <c r="K33" s="243" t="inlineStr">
        <is>
          <t>2012</t>
        </is>
      </c>
      <c r="L33" s="243" t="inlineStr">
        <is>
          <t>12</t>
        </is>
      </c>
      <c r="M33" s="246" t="inlineStr">
        <is>
          <t>26ДЯУ</t>
        </is>
      </c>
      <c r="N33" s="245" t="inlineStr">
        <is>
          <t>П</t>
        </is>
      </c>
    </row>
    <row r="34" ht="22.5" customHeight="1" s="236">
      <c r="A34" s="243" t="n">
        <v>33</v>
      </c>
      <c r="B34" s="244" t="inlineStr">
        <is>
          <t>Манометр технический</t>
        </is>
      </c>
      <c r="C34" s="245" t="inlineStr">
        <is>
          <t>ТМ5</t>
        </is>
      </c>
      <c r="D34" s="245" t="inlineStr">
        <is>
          <t>15064</t>
        </is>
      </c>
      <c r="E34" s="245" t="inlineStr">
        <is>
          <t>2010</t>
        </is>
      </c>
      <c r="F34" s="243" t="inlineStr">
        <is>
          <t>0..6 кгс/см2</t>
        </is>
      </c>
      <c r="G34" s="243" t="inlineStr">
        <is>
          <t>1.5</t>
        </is>
      </c>
      <c r="H34" s="243" t="inlineStr">
        <is>
          <t>Р воды после основного насоса собственных нужд</t>
        </is>
      </c>
      <c r="I34" s="243" t="inlineStr">
        <is>
          <t>Котельная</t>
        </is>
      </c>
      <c r="J34" s="243" t="inlineStr">
        <is>
          <t>АСУ,А и ТМ (КЦ № 6)</t>
        </is>
      </c>
      <c r="K34" s="243" t="inlineStr">
        <is>
          <t>2012</t>
        </is>
      </c>
      <c r="L34" s="243" t="inlineStr">
        <is>
          <t>12</t>
        </is>
      </c>
      <c r="M34" s="246" t="inlineStr">
        <is>
          <t>26ДЯУ</t>
        </is>
      </c>
      <c r="N34" s="245" t="inlineStr">
        <is>
          <t>П</t>
        </is>
      </c>
    </row>
    <row r="35" ht="15" customHeight="1" s="236">
      <c r="A35" s="243" t="n">
        <v>34</v>
      </c>
      <c r="B35" s="244" t="inlineStr">
        <is>
          <t>Манометр технический</t>
        </is>
      </c>
      <c r="C35" s="245" t="inlineStr">
        <is>
          <t>ТМ5</t>
        </is>
      </c>
      <c r="D35" s="245" t="inlineStr">
        <is>
          <t>15051</t>
        </is>
      </c>
      <c r="E35" s="245" t="inlineStr">
        <is>
          <t>2010</t>
        </is>
      </c>
      <c r="F35" s="243" t="inlineStr">
        <is>
          <t>0..4 кгс/см2</t>
        </is>
      </c>
      <c r="G35" s="243" t="inlineStr">
        <is>
          <t>1.5</t>
        </is>
      </c>
      <c r="H35" s="243" t="inlineStr">
        <is>
          <t>Р воды перед смесителем</t>
        </is>
      </c>
      <c r="I35" s="243" t="inlineStr">
        <is>
          <t>Котельная</t>
        </is>
      </c>
      <c r="J35" s="243" t="inlineStr">
        <is>
          <t>АСУ,А и ТМ (КЦ № 6)</t>
        </is>
      </c>
      <c r="K35" s="243" t="inlineStr">
        <is>
          <t>2012</t>
        </is>
      </c>
      <c r="L35" s="243" t="inlineStr">
        <is>
          <t>12</t>
        </is>
      </c>
      <c r="M35" s="246" t="inlineStr">
        <is>
          <t>26ДЯУ</t>
        </is>
      </c>
      <c r="N35" s="245" t="inlineStr">
        <is>
          <t>П</t>
        </is>
      </c>
    </row>
    <row r="36" ht="15" customHeight="1" s="236">
      <c r="A36" s="243" t="n">
        <v>35</v>
      </c>
      <c r="B36" s="244" t="inlineStr">
        <is>
          <t>Манометр технический</t>
        </is>
      </c>
      <c r="C36" s="245" t="inlineStr">
        <is>
          <t>ТМ5</t>
        </is>
      </c>
      <c r="D36" s="245" t="inlineStr">
        <is>
          <t>15056</t>
        </is>
      </c>
      <c r="E36" s="245" t="inlineStr">
        <is>
          <t>2010</t>
        </is>
      </c>
      <c r="F36" s="243" t="inlineStr">
        <is>
          <t>0..4 кгс/см2</t>
        </is>
      </c>
      <c r="G36" s="243" t="inlineStr">
        <is>
          <t>1.5</t>
        </is>
      </c>
      <c r="H36" s="243" t="inlineStr">
        <is>
          <t>Р воды в общий коллектор</t>
        </is>
      </c>
      <c r="I36" s="243" t="inlineStr">
        <is>
          <t>Котельная</t>
        </is>
      </c>
      <c r="J36" s="243" t="inlineStr">
        <is>
          <t>АСУ,А и ТМ (КЦ № 6)</t>
        </is>
      </c>
      <c r="K36" s="243" t="inlineStr">
        <is>
          <t>2012</t>
        </is>
      </c>
      <c r="L36" s="243" t="inlineStr">
        <is>
          <t>12</t>
        </is>
      </c>
      <c r="M36" s="246" t="inlineStr">
        <is>
          <t>26ДЯУ</t>
        </is>
      </c>
      <c r="N36" s="245" t="inlineStr">
        <is>
          <t>П</t>
        </is>
      </c>
    </row>
    <row r="37" ht="15" customHeight="1" s="236">
      <c r="A37" s="243" t="n">
        <v>36</v>
      </c>
      <c r="B37" s="244" t="inlineStr">
        <is>
          <t>Манометр технический</t>
        </is>
      </c>
      <c r="C37" s="245" t="inlineStr">
        <is>
          <t>ТМ5</t>
        </is>
      </c>
      <c r="D37" s="245" t="inlineStr">
        <is>
          <t>15053</t>
        </is>
      </c>
      <c r="E37" s="245" t="inlineStr">
        <is>
          <t>2010</t>
        </is>
      </c>
      <c r="F37" s="243" t="inlineStr">
        <is>
          <t>0..4 кгс/см2</t>
        </is>
      </c>
      <c r="G37" s="243" t="inlineStr">
        <is>
          <t>1.5</t>
        </is>
      </c>
      <c r="H37" s="243" t="inlineStr">
        <is>
          <t>Р воды из ТС собственных нужд</t>
        </is>
      </c>
      <c r="I37" s="243" t="inlineStr">
        <is>
          <t>Котельная</t>
        </is>
      </c>
      <c r="J37" s="243" t="inlineStr">
        <is>
          <t>АСУ,А и ТМ (КЦ № 6)</t>
        </is>
      </c>
      <c r="K37" s="243" t="inlineStr">
        <is>
          <t>2012</t>
        </is>
      </c>
      <c r="L37" s="243" t="inlineStr">
        <is>
          <t>12</t>
        </is>
      </c>
      <c r="M37" s="246" t="inlineStr">
        <is>
          <t>26ДЯУ</t>
        </is>
      </c>
      <c r="N37" s="245" t="inlineStr">
        <is>
          <t>П</t>
        </is>
      </c>
    </row>
    <row r="38" ht="15" customHeight="1" s="236">
      <c r="A38" s="243" t="n">
        <v>37</v>
      </c>
      <c r="B38" s="244" t="inlineStr">
        <is>
          <t>Манометр технический</t>
        </is>
      </c>
      <c r="C38" s="245" t="inlineStr">
        <is>
          <t>ДМ8008-ВУ-У2</t>
        </is>
      </c>
      <c r="D38" s="245" t="inlineStr">
        <is>
          <t>15161</t>
        </is>
      </c>
      <c r="E38" s="245" t="inlineStr">
        <is>
          <t>2010</t>
        </is>
      </c>
      <c r="F38" s="243" t="inlineStr">
        <is>
          <t>0…6 кгс/см2</t>
        </is>
      </c>
      <c r="G38" s="243" t="inlineStr">
        <is>
          <t>1.5</t>
        </is>
      </c>
      <c r="H38" s="243" t="inlineStr">
        <is>
          <t>Р воды на ХВО после РД</t>
        </is>
      </c>
      <c r="I38" s="243" t="inlineStr">
        <is>
          <t>Котельная</t>
        </is>
      </c>
      <c r="J38" s="243" t="inlineStr">
        <is>
          <t>АСУ,А и ТМ (КЦ № 6)</t>
        </is>
      </c>
      <c r="K38" s="243" t="inlineStr">
        <is>
          <t>2012</t>
        </is>
      </c>
      <c r="L38" s="243" t="inlineStr">
        <is>
          <t>12</t>
        </is>
      </c>
      <c r="M38" s="246" t="inlineStr">
        <is>
          <t>26ДЯУ</t>
        </is>
      </c>
      <c r="N38" s="245" t="inlineStr">
        <is>
          <t>П</t>
        </is>
      </c>
    </row>
    <row r="39" ht="15" customHeight="1" s="236">
      <c r="A39" s="243" t="n">
        <v>38</v>
      </c>
      <c r="B39" s="244" t="inlineStr">
        <is>
          <t>Манометр технический</t>
        </is>
      </c>
      <c r="C39" s="245" t="inlineStr">
        <is>
          <t>МП3-УУ2</t>
        </is>
      </c>
      <c r="D39" s="245" t="inlineStr">
        <is>
          <t>600488</t>
        </is>
      </c>
      <c r="E39" s="245" t="inlineStr">
        <is>
          <t>2010</t>
        </is>
      </c>
      <c r="F39" s="243" t="inlineStr">
        <is>
          <t>0..6 кгс/см2</t>
        </is>
      </c>
      <c r="G39" s="243" t="inlineStr">
        <is>
          <t>1.5</t>
        </is>
      </c>
      <c r="H39" s="243" t="inlineStr">
        <is>
          <t>Р воды на ХВО до РД</t>
        </is>
      </c>
      <c r="I39" s="243" t="inlineStr">
        <is>
          <t>Котельная</t>
        </is>
      </c>
      <c r="J39" s="243" t="inlineStr">
        <is>
          <t>АСУ,А и ТМ (КЦ № 6)</t>
        </is>
      </c>
      <c r="K39" s="243" t="inlineStr">
        <is>
          <t>2012</t>
        </is>
      </c>
      <c r="L39" s="243" t="inlineStr">
        <is>
          <t>12</t>
        </is>
      </c>
      <c r="M39" s="246" t="inlineStr">
        <is>
          <t>26ДЯУ</t>
        </is>
      </c>
      <c r="N39" s="245" t="inlineStr">
        <is>
          <t>П</t>
        </is>
      </c>
    </row>
    <row r="40" ht="15" customHeight="1" s="236">
      <c r="A40" s="243" t="n">
        <v>39</v>
      </c>
      <c r="B40" s="244" t="inlineStr">
        <is>
          <t>Манометр технический</t>
        </is>
      </c>
      <c r="C40" s="245" t="inlineStr">
        <is>
          <t>ТМ5</t>
        </is>
      </c>
      <c r="D40" s="245" t="inlineStr">
        <is>
          <t>15067</t>
        </is>
      </c>
      <c r="E40" s="245" t="inlineStr">
        <is>
          <t>2010</t>
        </is>
      </c>
      <c r="F40" s="243" t="inlineStr">
        <is>
          <t>0..6 кгс/см2</t>
        </is>
      </c>
      <c r="G40" s="243" t="inlineStr">
        <is>
          <t>1.5</t>
        </is>
      </c>
      <c r="H40" s="243" t="inlineStr">
        <is>
          <t>Р воды на ХВО перед фильтром</t>
        </is>
      </c>
      <c r="I40" s="243" t="inlineStr">
        <is>
          <t>Котельная</t>
        </is>
      </c>
      <c r="J40" s="243" t="inlineStr">
        <is>
          <t>АСУ,А и ТМ (КЦ № 6)</t>
        </is>
      </c>
      <c r="K40" s="243" t="inlineStr">
        <is>
          <t>2012</t>
        </is>
      </c>
      <c r="L40" s="243" t="inlineStr">
        <is>
          <t>12</t>
        </is>
      </c>
      <c r="M40" s="246" t="inlineStr">
        <is>
          <t>26ДЯУ</t>
        </is>
      </c>
      <c r="N40" s="245" t="inlineStr">
        <is>
          <t>П</t>
        </is>
      </c>
    </row>
    <row r="41" ht="15" customHeight="1" s="236">
      <c r="A41" s="243" t="n">
        <v>40</v>
      </c>
      <c r="B41" s="244" t="inlineStr">
        <is>
          <t>Манометр технический</t>
        </is>
      </c>
      <c r="C41" s="245" t="inlineStr">
        <is>
          <t>ТМ5</t>
        </is>
      </c>
      <c r="D41" s="245" t="inlineStr">
        <is>
          <t>15068</t>
        </is>
      </c>
      <c r="E41" s="245" t="inlineStr">
        <is>
          <t>2010</t>
        </is>
      </c>
      <c r="F41" s="243" t="inlineStr">
        <is>
          <t>0..6 кгс/см2</t>
        </is>
      </c>
      <c r="G41" s="243" t="inlineStr">
        <is>
          <t>1.5</t>
        </is>
      </c>
      <c r="H41" s="243" t="inlineStr">
        <is>
          <t>Р воды на ХВО перед расходомером</t>
        </is>
      </c>
      <c r="I41" s="243" t="inlineStr">
        <is>
          <t>Котельная</t>
        </is>
      </c>
      <c r="J41" s="243" t="inlineStr">
        <is>
          <t>АСУ,А и ТМ (КЦ № 6)</t>
        </is>
      </c>
      <c r="K41" s="243" t="inlineStr">
        <is>
          <t>2012</t>
        </is>
      </c>
      <c r="L41" s="243" t="inlineStr">
        <is>
          <t>12</t>
        </is>
      </c>
      <c r="M41" s="246" t="inlineStr">
        <is>
          <t>26ДЯУ</t>
        </is>
      </c>
      <c r="N41" s="245" t="inlineStr">
        <is>
          <t>П</t>
        </is>
      </c>
    </row>
    <row r="42" ht="15" customHeight="1" s="236">
      <c r="A42" s="243" t="n">
        <v>41</v>
      </c>
      <c r="B42" s="244" t="inlineStr">
        <is>
          <t>Манометр технический</t>
        </is>
      </c>
      <c r="C42" s="245" t="inlineStr">
        <is>
          <t>МП3-УТ2</t>
        </is>
      </c>
      <c r="D42" s="245" t="inlineStr">
        <is>
          <t>1322110</t>
        </is>
      </c>
      <c r="E42" s="245" t="inlineStr">
        <is>
          <t>2010</t>
        </is>
      </c>
      <c r="F42" s="243" t="inlineStr">
        <is>
          <t>0..6 кгс/см2</t>
        </is>
      </c>
      <c r="G42" s="243" t="inlineStr">
        <is>
          <t>1.5</t>
        </is>
      </c>
      <c r="H42" s="243" t="inlineStr">
        <is>
          <t>Р воды на ХВО перед В5</t>
        </is>
      </c>
      <c r="I42" s="243" t="inlineStr">
        <is>
          <t>Котельная</t>
        </is>
      </c>
      <c r="J42" s="243" t="inlineStr">
        <is>
          <t>АСУ,А и ТМ (КЦ № 6)</t>
        </is>
      </c>
      <c r="K42" s="243" t="inlineStr">
        <is>
          <t>2012</t>
        </is>
      </c>
      <c r="L42" s="243" t="inlineStr">
        <is>
          <t>12</t>
        </is>
      </c>
      <c r="M42" s="246" t="inlineStr">
        <is>
          <t>26ДЯУ</t>
        </is>
      </c>
      <c r="N42" s="245" t="inlineStr">
        <is>
          <t>П</t>
        </is>
      </c>
    </row>
    <row r="43" ht="15" customHeight="1" s="236">
      <c r="A43" s="243" t="n">
        <v>42</v>
      </c>
      <c r="B43" s="244" t="inlineStr">
        <is>
          <t>Манометр технический</t>
        </is>
      </c>
      <c r="C43" s="245" t="inlineStr">
        <is>
          <t>МП3-УТ2</t>
        </is>
      </c>
      <c r="D43" s="245" t="inlineStr">
        <is>
          <t>1426125</t>
        </is>
      </c>
      <c r="E43" s="245" t="inlineStr">
        <is>
          <t>2010</t>
        </is>
      </c>
      <c r="F43" s="243" t="inlineStr">
        <is>
          <t>0..6 кгс/см2</t>
        </is>
      </c>
      <c r="G43" s="243" t="inlineStr">
        <is>
          <t>1</t>
        </is>
      </c>
      <c r="H43" s="243" t="inlineStr">
        <is>
          <t>Р воды на ХВО после В6</t>
        </is>
      </c>
      <c r="I43" s="243" t="inlineStr">
        <is>
          <t>Котельная</t>
        </is>
      </c>
      <c r="J43" s="243" t="inlineStr">
        <is>
          <t>АСУ,А и ТМ (КЦ № 6)</t>
        </is>
      </c>
      <c r="K43" s="243" t="inlineStr">
        <is>
          <t>2012</t>
        </is>
      </c>
      <c r="L43" s="243" t="inlineStr">
        <is>
          <t>12</t>
        </is>
      </c>
      <c r="M43" s="246" t="inlineStr">
        <is>
          <t>26ДЯУ</t>
        </is>
      </c>
      <c r="N43" s="245" t="inlineStr">
        <is>
          <t>П</t>
        </is>
      </c>
    </row>
    <row r="44" ht="15" customHeight="1" s="236">
      <c r="A44" s="243" t="n">
        <v>43</v>
      </c>
      <c r="B44" s="244" t="inlineStr">
        <is>
          <t>Манометр технический</t>
        </is>
      </c>
      <c r="C44" s="245" t="inlineStr">
        <is>
          <t>ТМ5</t>
        </is>
      </c>
      <c r="D44" s="245" t="inlineStr">
        <is>
          <t>15060</t>
        </is>
      </c>
      <c r="E44" s="245" t="inlineStr">
        <is>
          <t>2010</t>
        </is>
      </c>
      <c r="F44" s="243" t="inlineStr">
        <is>
          <t>0..4 кгс/см2</t>
        </is>
      </c>
      <c r="G44" s="243" t="inlineStr">
        <is>
          <t>1.5</t>
        </is>
      </c>
      <c r="H44" s="243" t="inlineStr">
        <is>
          <t>Р воды до сетевого насоса СН1</t>
        </is>
      </c>
      <c r="I44" s="243" t="inlineStr">
        <is>
          <t>Котельная</t>
        </is>
      </c>
      <c r="J44" s="243" t="inlineStr">
        <is>
          <t>АСУ,А и ТМ (КЦ № 6)</t>
        </is>
      </c>
      <c r="K44" s="243" t="inlineStr">
        <is>
          <t>2012</t>
        </is>
      </c>
      <c r="L44" s="243" t="inlineStr">
        <is>
          <t>12</t>
        </is>
      </c>
      <c r="M44" s="246" t="inlineStr">
        <is>
          <t>26ДЯУ</t>
        </is>
      </c>
      <c r="N44" s="245" t="inlineStr">
        <is>
          <t>П</t>
        </is>
      </c>
    </row>
    <row r="45" ht="15" customHeight="1" s="236">
      <c r="A45" s="243" t="n">
        <v>44</v>
      </c>
      <c r="B45" s="244" t="inlineStr">
        <is>
          <t>Манометр технический</t>
        </is>
      </c>
      <c r="C45" s="245" t="inlineStr">
        <is>
          <t>ТМ5</t>
        </is>
      </c>
      <c r="D45" s="245" t="inlineStr">
        <is>
          <t>15057</t>
        </is>
      </c>
      <c r="E45" s="245" t="inlineStr">
        <is>
          <t>2010</t>
        </is>
      </c>
      <c r="F45" s="243" t="inlineStr">
        <is>
          <t>0..4 кгс/см2</t>
        </is>
      </c>
      <c r="G45" s="243" t="inlineStr">
        <is>
          <t>1.5</t>
        </is>
      </c>
      <c r="H45" s="243" t="inlineStr">
        <is>
          <t>Р воды до сетевого насоса СН2</t>
        </is>
      </c>
      <c r="I45" s="243" t="inlineStr">
        <is>
          <t>Котельная</t>
        </is>
      </c>
      <c r="J45" s="243" t="inlineStr">
        <is>
          <t>АСУ,А и ТМ (КЦ № 6)</t>
        </is>
      </c>
      <c r="K45" s="243" t="inlineStr">
        <is>
          <t>2012</t>
        </is>
      </c>
      <c r="L45" s="243" t="inlineStr">
        <is>
          <t>12</t>
        </is>
      </c>
      <c r="M45" s="246" t="inlineStr">
        <is>
          <t>26ДЯУ</t>
        </is>
      </c>
      <c r="N45" s="245" t="inlineStr">
        <is>
          <t>П</t>
        </is>
      </c>
    </row>
    <row r="46" ht="15" customHeight="1" s="236">
      <c r="A46" s="243" t="n">
        <v>45</v>
      </c>
      <c r="B46" s="244" t="inlineStr">
        <is>
          <t>Манометр технический</t>
        </is>
      </c>
      <c r="C46" s="245" t="inlineStr">
        <is>
          <t>Wika</t>
        </is>
      </c>
      <c r="D46" s="245" t="inlineStr">
        <is>
          <t>14550</t>
        </is>
      </c>
      <c r="E46" s="245" t="inlineStr">
        <is>
          <t>2010</t>
        </is>
      </c>
      <c r="F46" s="243" t="inlineStr">
        <is>
          <t>0..10 кгс/см2</t>
        </is>
      </c>
      <c r="G46" s="243" t="inlineStr">
        <is>
          <t>1</t>
        </is>
      </c>
      <c r="H46" s="243" t="inlineStr">
        <is>
          <t>Р воды после сетевого насоса СН1</t>
        </is>
      </c>
      <c r="I46" s="243" t="inlineStr">
        <is>
          <t>Котельная</t>
        </is>
      </c>
      <c r="J46" s="243" t="inlineStr">
        <is>
          <t>АСУ,А и ТМ (КЦ № 6)</t>
        </is>
      </c>
      <c r="K46" s="243" t="inlineStr">
        <is>
          <t>2012</t>
        </is>
      </c>
      <c r="L46" s="243" t="inlineStr">
        <is>
          <t>12</t>
        </is>
      </c>
      <c r="M46" s="246" t="inlineStr">
        <is>
          <t>26ДЯУ</t>
        </is>
      </c>
      <c r="N46" s="245" t="inlineStr">
        <is>
          <t>П</t>
        </is>
      </c>
    </row>
    <row r="47" ht="15" customHeight="1" s="236">
      <c r="A47" s="243" t="n">
        <v>46</v>
      </c>
      <c r="B47" s="244" t="inlineStr">
        <is>
          <t>Манометр технический</t>
        </is>
      </c>
      <c r="C47" s="245" t="inlineStr">
        <is>
          <t>Wika</t>
        </is>
      </c>
      <c r="D47" s="245" t="inlineStr">
        <is>
          <t>14549</t>
        </is>
      </c>
      <c r="E47" s="245" t="inlineStr">
        <is>
          <t>2010</t>
        </is>
      </c>
      <c r="F47" s="243" t="inlineStr">
        <is>
          <t>0..10 кгс/см2</t>
        </is>
      </c>
      <c r="G47" s="243" t="inlineStr">
        <is>
          <t>1</t>
        </is>
      </c>
      <c r="H47" s="243" t="inlineStr">
        <is>
          <t>Р воды после сетевого насоса СН2</t>
        </is>
      </c>
      <c r="I47" s="243" t="inlineStr">
        <is>
          <t>Котельная</t>
        </is>
      </c>
      <c r="J47" s="243" t="inlineStr">
        <is>
          <t>АСУ,А и ТМ (КЦ № 6)</t>
        </is>
      </c>
      <c r="K47" s="243" t="inlineStr">
        <is>
          <t>2012</t>
        </is>
      </c>
      <c r="L47" s="243" t="inlineStr">
        <is>
          <t>12</t>
        </is>
      </c>
      <c r="M47" s="246" t="inlineStr">
        <is>
          <t>26ДЯУ</t>
        </is>
      </c>
      <c r="N47" s="245" t="inlineStr">
        <is>
          <t>П</t>
        </is>
      </c>
    </row>
    <row r="48" ht="15" customHeight="1" s="236">
      <c r="A48" s="243" t="n">
        <v>47</v>
      </c>
      <c r="B48" s="244" t="inlineStr">
        <is>
          <t>Манометр технический</t>
        </is>
      </c>
      <c r="C48" s="245" t="inlineStr">
        <is>
          <t>ДМ8008-ВУ-УУ2</t>
        </is>
      </c>
      <c r="D48" s="245" t="inlineStr">
        <is>
          <t>50290</t>
        </is>
      </c>
      <c r="E48" s="245" t="inlineStr">
        <is>
          <t>2010</t>
        </is>
      </c>
      <c r="F48" s="243" t="inlineStr">
        <is>
          <t>0..6 кгс/см2</t>
        </is>
      </c>
      <c r="G48" s="243" t="inlineStr">
        <is>
          <t>1.5</t>
        </is>
      </c>
      <c r="H48" s="243" t="inlineStr">
        <is>
          <t>Р воды на выходе в теплосеть</t>
        </is>
      </c>
      <c r="I48" s="243" t="inlineStr">
        <is>
          <t>Котельная</t>
        </is>
      </c>
      <c r="J48" s="243" t="inlineStr">
        <is>
          <t>АСУ,А и ТМ (КЦ № 6)</t>
        </is>
      </c>
      <c r="K48" s="243" t="inlineStr">
        <is>
          <t>2012</t>
        </is>
      </c>
      <c r="L48" s="243" t="inlineStr">
        <is>
          <t>12</t>
        </is>
      </c>
      <c r="M48" s="246" t="inlineStr">
        <is>
          <t>26ДЯУ</t>
        </is>
      </c>
      <c r="N48" s="245" t="inlineStr">
        <is>
          <t>П</t>
        </is>
      </c>
      <c r="O48" s="290" t="n"/>
    </row>
    <row r="49" ht="15" customHeight="1" s="236">
      <c r="A49" s="243" t="n">
        <v>48</v>
      </c>
      <c r="B49" s="244" t="inlineStr">
        <is>
          <t>Манометр технический</t>
        </is>
      </c>
      <c r="C49" s="245" t="inlineStr">
        <is>
          <t>ТМ5</t>
        </is>
      </c>
      <c r="D49" s="245" t="inlineStr">
        <is>
          <t>15590</t>
        </is>
      </c>
      <c r="E49" s="245" t="inlineStr">
        <is>
          <t>2010</t>
        </is>
      </c>
      <c r="F49" s="243" t="inlineStr">
        <is>
          <t>0..6 кгс/см2</t>
        </is>
      </c>
      <c r="G49" s="243" t="inlineStr">
        <is>
          <t>1.5</t>
        </is>
      </c>
      <c r="H49" s="243" t="inlineStr">
        <is>
          <t>Р воды на входе после фильтра</t>
        </is>
      </c>
      <c r="I49" s="243" t="inlineStr">
        <is>
          <t>Котельная</t>
        </is>
      </c>
      <c r="J49" s="243" t="inlineStr">
        <is>
          <t>АСУ,А и ТМ (КЦ № 6)</t>
        </is>
      </c>
      <c r="K49" s="243" t="inlineStr">
        <is>
          <t>2012</t>
        </is>
      </c>
      <c r="L49" s="243" t="inlineStr">
        <is>
          <t>12</t>
        </is>
      </c>
      <c r="M49" s="246" t="inlineStr">
        <is>
          <t>26ДЯУ</t>
        </is>
      </c>
      <c r="N49" s="245" t="inlineStr">
        <is>
          <t>П</t>
        </is>
      </c>
    </row>
    <row r="50" ht="15" customHeight="1" s="236">
      <c r="A50" s="243" t="n">
        <v>49</v>
      </c>
      <c r="B50" s="244" t="inlineStr">
        <is>
          <t>Манометр технический</t>
        </is>
      </c>
      <c r="C50" s="245" t="inlineStr">
        <is>
          <t>МП3-УТ2</t>
        </is>
      </c>
      <c r="D50" s="245" t="inlineStr">
        <is>
          <t>600489</t>
        </is>
      </c>
      <c r="E50" s="245" t="inlineStr">
        <is>
          <t>2010</t>
        </is>
      </c>
      <c r="F50" s="243" t="inlineStr">
        <is>
          <t>0..6 кгс/см2</t>
        </is>
      </c>
      <c r="G50" s="243" t="inlineStr">
        <is>
          <t>1.5</t>
        </is>
      </c>
      <c r="H50" s="243" t="inlineStr">
        <is>
          <t>Р воды на входе до фильтра</t>
        </is>
      </c>
      <c r="I50" s="243" t="inlineStr">
        <is>
          <t>Котельная</t>
        </is>
      </c>
      <c r="J50" s="243" t="inlineStr">
        <is>
          <t>АСУ,А и ТМ (КЦ № 6)</t>
        </is>
      </c>
      <c r="K50" s="243" t="inlineStr">
        <is>
          <t>2012</t>
        </is>
      </c>
      <c r="L50" s="243" t="inlineStr">
        <is>
          <t>12</t>
        </is>
      </c>
      <c r="M50" s="246" t="inlineStr">
        <is>
          <t>26ДЯУ</t>
        </is>
      </c>
      <c r="N50" s="245" t="inlineStr">
        <is>
          <t>П</t>
        </is>
      </c>
    </row>
    <row r="51" ht="15" customHeight="1" s="236">
      <c r="A51" s="243" t="n">
        <v>50</v>
      </c>
      <c r="B51" s="244" t="inlineStr">
        <is>
          <t>Манометр технический</t>
        </is>
      </c>
      <c r="C51" s="245" t="inlineStr">
        <is>
          <t>ДМ02-100-1-G</t>
        </is>
      </c>
      <c r="D51" s="245" t="inlineStr">
        <is>
          <t>15183</t>
        </is>
      </c>
      <c r="E51" s="245" t="inlineStr">
        <is>
          <t>2010</t>
        </is>
      </c>
      <c r="F51" s="243" t="inlineStr">
        <is>
          <t>0...6bar</t>
        </is>
      </c>
      <c r="G51" s="243" t="inlineStr">
        <is>
          <t>1.5</t>
        </is>
      </c>
      <c r="H51" s="243" t="inlineStr">
        <is>
          <t>Р газа после Г7 перед Г6</t>
        </is>
      </c>
      <c r="I51" s="243" t="inlineStr">
        <is>
          <t>Котельная</t>
        </is>
      </c>
      <c r="J51" s="243" t="inlineStr">
        <is>
          <t>АСУ,А и ТМ (КЦ № 6)</t>
        </is>
      </c>
      <c r="K51" s="243" t="inlineStr">
        <is>
          <t>2012</t>
        </is>
      </c>
      <c r="L51" s="243" t="inlineStr">
        <is>
          <t>12</t>
        </is>
      </c>
      <c r="M51" s="246" t="inlineStr">
        <is>
          <t>26ДЯУ</t>
        </is>
      </c>
      <c r="N51" s="245" t="inlineStr">
        <is>
          <t>П</t>
        </is>
      </c>
    </row>
    <row r="52" ht="15" customHeight="1" s="236">
      <c r="A52" s="243" t="n">
        <v>51</v>
      </c>
      <c r="B52" s="244" t="inlineStr">
        <is>
          <t>Газоанализатор CO</t>
        </is>
      </c>
      <c r="C52" s="245" t="inlineStr">
        <is>
          <t>SGY CO0 V4 NC01</t>
        </is>
      </c>
      <c r="D52" s="245" t="inlineStr">
        <is>
          <t>464064</t>
        </is>
      </c>
      <c r="E52" s="245" t="inlineStr">
        <is>
          <t>2010</t>
        </is>
      </c>
      <c r="F52" s="243" t="inlineStr">
        <is>
          <t>0..500 ppm</t>
        </is>
      </c>
      <c r="G52" s="243" t="inlineStr"/>
      <c r="H52" s="243" t="inlineStr">
        <is>
          <t>Шкаф автоматики (AT3)</t>
        </is>
      </c>
      <c r="I52" s="243" t="inlineStr">
        <is>
          <t>Котельная</t>
        </is>
      </c>
      <c r="J52" s="243" t="inlineStr">
        <is>
          <t>АСУ,А и ТМ (КЦ № 6)</t>
        </is>
      </c>
      <c r="K52" s="243" t="inlineStr">
        <is>
          <t>2012</t>
        </is>
      </c>
      <c r="L52" s="243" t="inlineStr">
        <is>
          <t>12</t>
        </is>
      </c>
      <c r="M52" s="246" t="inlineStr"/>
      <c r="N52" s="245" t="inlineStr"/>
    </row>
    <row r="53" ht="15" customHeight="1" s="236">
      <c r="A53" s="243" t="n">
        <v>52</v>
      </c>
      <c r="B53" s="244" t="inlineStr">
        <is>
          <t>Газоанализатор CH4</t>
        </is>
      </c>
      <c r="C53" s="245" t="inlineStr">
        <is>
          <t>SGY ME0 V4 NC01</t>
        </is>
      </c>
      <c r="D53" s="245" t="inlineStr">
        <is>
          <t>464066</t>
        </is>
      </c>
      <c r="E53" s="245" t="inlineStr">
        <is>
          <t>2010</t>
        </is>
      </c>
      <c r="F53" s="243" t="inlineStr">
        <is>
          <t>0..50 % L.E.L.</t>
        </is>
      </c>
      <c r="G53" s="243" t="inlineStr"/>
      <c r="H53" s="243" t="inlineStr">
        <is>
          <t>Шкаф автоматики (AT2)</t>
        </is>
      </c>
      <c r="I53" s="243" t="inlineStr">
        <is>
          <t>Котельная</t>
        </is>
      </c>
      <c r="J53" s="243" t="inlineStr">
        <is>
          <t>АСУ,А и ТМ (КЦ № 6)</t>
        </is>
      </c>
      <c r="K53" s="243" t="inlineStr">
        <is>
          <t>2012</t>
        </is>
      </c>
      <c r="L53" s="243" t="inlineStr">
        <is>
          <t>12</t>
        </is>
      </c>
      <c r="M53" s="246" t="inlineStr"/>
      <c r="N53" s="245" t="inlineStr"/>
    </row>
    <row r="54" ht="15" customHeight="1" s="236">
      <c r="A54" s="243" t="n">
        <v>53</v>
      </c>
      <c r="B54" s="244" t="inlineStr">
        <is>
          <t>Газоанализатор CH4</t>
        </is>
      </c>
      <c r="C54" s="245" t="inlineStr">
        <is>
          <t>SGY ME 0 V4NCSE</t>
        </is>
      </c>
      <c r="D54" s="245" t="inlineStr">
        <is>
          <t>137737</t>
        </is>
      </c>
      <c r="E54" s="245" t="inlineStr">
        <is>
          <t>2010</t>
        </is>
      </c>
      <c r="F54" s="243" t="inlineStr">
        <is>
          <t>0..50 % L.E.L.</t>
        </is>
      </c>
      <c r="G54" s="243" t="inlineStr"/>
      <c r="H54" s="243" t="inlineStr">
        <is>
          <t>Шкаф автоматики (AT1)</t>
        </is>
      </c>
      <c r="I54" s="243" t="inlineStr">
        <is>
          <t>Котельная</t>
        </is>
      </c>
      <c r="J54" s="243" t="inlineStr">
        <is>
          <t>АСУ,А и ТМ (КЦ № 6)</t>
        </is>
      </c>
      <c r="K54" s="243" t="inlineStr">
        <is>
          <t>2012</t>
        </is>
      </c>
      <c r="L54" s="243" t="inlineStr">
        <is>
          <t>12</t>
        </is>
      </c>
      <c r="M54" s="246" t="inlineStr"/>
      <c r="N54" s="245" t="inlineStr"/>
    </row>
    <row r="55" ht="15" customHeight="1" s="236">
      <c r="A55" s="243" t="n">
        <v>54</v>
      </c>
      <c r="B55" s="244" t="inlineStr">
        <is>
          <t>Корректор расхода газа</t>
        </is>
      </c>
      <c r="C55" s="245" t="inlineStr">
        <is>
          <t>EK270</t>
        </is>
      </c>
      <c r="D55" s="245" t="inlineStr">
        <is>
          <t>12105934</t>
        </is>
      </c>
      <c r="E55" s="245" t="inlineStr">
        <is>
          <t>2010</t>
        </is>
      </c>
      <c r="F55" s="243" t="inlineStr"/>
      <c r="G55" s="243" t="inlineStr"/>
      <c r="H55" s="243" t="inlineStr">
        <is>
          <t>Счетчик газа на входе в котельную</t>
        </is>
      </c>
      <c r="I55" s="243" t="inlineStr">
        <is>
          <t>Котельная</t>
        </is>
      </c>
      <c r="J55" s="243" t="inlineStr">
        <is>
          <t>АСУ,А и ТМ (КЦ № 6)</t>
        </is>
      </c>
      <c r="K55" s="243" t="inlineStr">
        <is>
          <t>2012</t>
        </is>
      </c>
      <c r="L55" s="243" t="inlineStr">
        <is>
          <t>12</t>
        </is>
      </c>
      <c r="M55" s="246" t="inlineStr"/>
      <c r="N55" s="245" t="inlineStr"/>
    </row>
    <row r="56" ht="22.5" customHeight="1" s="236">
      <c r="A56" s="243" t="n">
        <v>55</v>
      </c>
      <c r="B56" s="244" t="inlineStr">
        <is>
          <t>Датчик перепада давления</t>
        </is>
      </c>
      <c r="C56" s="245" t="inlineStr">
        <is>
          <t>АИР 20/М2-ДД модель 400</t>
        </is>
      </c>
      <c r="D56" s="245" t="inlineStr">
        <is>
          <t>20-74142</t>
        </is>
      </c>
      <c r="E56" s="245" t="inlineStr">
        <is>
          <t>2012</t>
        </is>
      </c>
      <c r="F56" s="243" t="inlineStr">
        <is>
          <t>0…1,6 МПа</t>
        </is>
      </c>
      <c r="G56" s="243" t="inlineStr"/>
      <c r="H56" s="243" t="inlineStr">
        <is>
          <t>Перепад счетчика газа на входе в котельную</t>
        </is>
      </c>
      <c r="I56" s="243" t="inlineStr">
        <is>
          <t>Котельная</t>
        </is>
      </c>
      <c r="J56" s="243" t="inlineStr">
        <is>
          <t>АСУ,А и ТМ (КЦ № 6)</t>
        </is>
      </c>
      <c r="K56" s="243" t="inlineStr">
        <is>
          <t>2012</t>
        </is>
      </c>
      <c r="L56" s="243" t="inlineStr">
        <is>
          <t>12</t>
        </is>
      </c>
      <c r="M56" s="246" t="inlineStr"/>
      <c r="N56" s="245" t="inlineStr"/>
    </row>
    <row r="57" ht="15" customHeight="1" s="236">
      <c r="A57" s="243" t="n">
        <v>56</v>
      </c>
      <c r="B57" s="244" t="inlineStr">
        <is>
          <t>Датчик давления</t>
        </is>
      </c>
      <c r="C57" s="245" t="inlineStr">
        <is>
          <t>АДР-0,25 (Агава)</t>
        </is>
      </c>
      <c r="D57" s="245" t="inlineStr">
        <is>
          <t>12040487</t>
        </is>
      </c>
      <c r="E57" s="245" t="inlineStr">
        <is>
          <t>2010</t>
        </is>
      </c>
      <c r="F57" s="243" t="inlineStr"/>
      <c r="G57" s="243" t="inlineStr"/>
      <c r="H57" s="243" t="inlineStr">
        <is>
          <t>Разрежение в газоходе котла №1</t>
        </is>
      </c>
      <c r="I57" s="243" t="inlineStr">
        <is>
          <t>Котельная</t>
        </is>
      </c>
      <c r="J57" s="243" t="inlineStr">
        <is>
          <t>АСУ,А и ТМ (КЦ № 6)</t>
        </is>
      </c>
      <c r="K57" s="243" t="inlineStr">
        <is>
          <t>2012</t>
        </is>
      </c>
      <c r="L57" s="243" t="inlineStr">
        <is>
          <t>12</t>
        </is>
      </c>
      <c r="M57" s="246" t="inlineStr"/>
      <c r="N57" s="245" t="inlineStr"/>
    </row>
    <row r="58" ht="15" customHeight="1" s="236">
      <c r="A58" s="243" t="n">
        <v>57</v>
      </c>
      <c r="B58" s="244" t="inlineStr">
        <is>
          <t>Датчик температуры</t>
        </is>
      </c>
      <c r="C58" s="245" t="inlineStr">
        <is>
          <t>Элемер ТС-1088/6 Pt100</t>
        </is>
      </c>
      <c r="D58" s="245" t="inlineStr">
        <is>
          <t>8199</t>
        </is>
      </c>
      <c r="E58" s="245" t="inlineStr">
        <is>
          <t>2012</t>
        </is>
      </c>
      <c r="F58" s="243" t="inlineStr">
        <is>
          <t>­50 .. 200°С</t>
        </is>
      </c>
      <c r="G58" s="243" t="inlineStr"/>
      <c r="H58" s="243" t="inlineStr">
        <is>
          <t>Т воды на входе в котел №1</t>
        </is>
      </c>
      <c r="I58" s="243" t="inlineStr">
        <is>
          <t>Котельная</t>
        </is>
      </c>
      <c r="J58" s="243" t="inlineStr">
        <is>
          <t>АСУ,А и ТМ (КЦ № 6)</t>
        </is>
      </c>
      <c r="K58" s="243" t="inlineStr">
        <is>
          <t>2012</t>
        </is>
      </c>
      <c r="L58" s="243" t="inlineStr">
        <is>
          <t>12</t>
        </is>
      </c>
      <c r="M58" s="246" t="inlineStr"/>
      <c r="N58" s="245" t="inlineStr"/>
    </row>
    <row r="59" ht="15" customHeight="1" s="236">
      <c r="A59" s="243" t="n">
        <v>58</v>
      </c>
      <c r="B59" s="244" t="inlineStr">
        <is>
          <t>Сигнализатор температуры</t>
        </is>
      </c>
      <c r="C59" s="245" t="inlineStr">
        <is>
          <t>Sauter</t>
        </is>
      </c>
      <c r="D59" s="245" t="inlineStr">
        <is>
          <t>1134</t>
        </is>
      </c>
      <c r="E59" s="245" t="inlineStr">
        <is>
          <t>2010</t>
        </is>
      </c>
      <c r="F59" s="243" t="inlineStr">
        <is>
          <t>0…130°С</t>
        </is>
      </c>
      <c r="G59" s="243" t="inlineStr"/>
      <c r="H59" s="243" t="inlineStr">
        <is>
          <t>Т воды в котле №1</t>
        </is>
      </c>
      <c r="I59" s="243" t="inlineStr">
        <is>
          <t>Котельная</t>
        </is>
      </c>
      <c r="J59" s="243" t="inlineStr">
        <is>
          <t>АСУ,А и ТМ (КЦ № 6)</t>
        </is>
      </c>
      <c r="K59" s="243" t="inlineStr">
        <is>
          <t>2012</t>
        </is>
      </c>
      <c r="L59" s="243" t="inlineStr">
        <is>
          <t>12</t>
        </is>
      </c>
      <c r="M59" s="246" t="inlineStr"/>
      <c r="N59" s="245" t="inlineStr"/>
    </row>
    <row r="60" ht="15" customHeight="1" s="236">
      <c r="A60" s="243" t="n">
        <v>59</v>
      </c>
      <c r="B60" s="244" t="inlineStr">
        <is>
          <t>Датчик температуры</t>
        </is>
      </c>
      <c r="C60" s="245" t="inlineStr">
        <is>
          <t>Элемер ТС-1088/6 Pt100</t>
        </is>
      </c>
      <c r="D60" s="245" t="inlineStr">
        <is>
          <t>8200</t>
        </is>
      </c>
      <c r="E60" s="245" t="inlineStr">
        <is>
          <t>2012</t>
        </is>
      </c>
      <c r="F60" s="243" t="inlineStr">
        <is>
          <t>­50 .. 200°С</t>
        </is>
      </c>
      <c r="G60" s="243" t="inlineStr"/>
      <c r="H60" s="243" t="inlineStr">
        <is>
          <t>Т воды на выходе котла №1</t>
        </is>
      </c>
      <c r="I60" s="243" t="inlineStr">
        <is>
          <t>Котельная</t>
        </is>
      </c>
      <c r="J60" s="243" t="inlineStr">
        <is>
          <t>АСУ,А и ТМ (КЦ № 6)</t>
        </is>
      </c>
      <c r="K60" s="243" t="inlineStr">
        <is>
          <t>2012</t>
        </is>
      </c>
      <c r="L60" s="243" t="inlineStr">
        <is>
          <t>12</t>
        </is>
      </c>
      <c r="M60" s="246" t="inlineStr"/>
      <c r="N60" s="245" t="inlineStr"/>
    </row>
    <row r="61" ht="15" customHeight="1" s="236">
      <c r="A61" s="243" t="n">
        <v>60</v>
      </c>
      <c r="B61" s="244" t="inlineStr">
        <is>
          <t>Датчик температуры</t>
        </is>
      </c>
      <c r="C61" s="245" t="inlineStr">
        <is>
          <t>Элемер ТС-1088/6 Pt100</t>
        </is>
      </c>
      <c r="D61" s="245" t="inlineStr">
        <is>
          <t>8201</t>
        </is>
      </c>
      <c r="E61" s="245" t="inlineStr">
        <is>
          <t>2012</t>
        </is>
      </c>
      <c r="F61" s="243" t="inlineStr">
        <is>
          <t>­50 .. 200°С</t>
        </is>
      </c>
      <c r="G61" s="243" t="inlineStr"/>
      <c r="H61" s="243" t="inlineStr">
        <is>
          <t>Т воды на выходе котла №1</t>
        </is>
      </c>
      <c r="I61" s="243" t="inlineStr">
        <is>
          <t>Котельная</t>
        </is>
      </c>
      <c r="J61" s="243" t="inlineStr">
        <is>
          <t>АСУ,А и ТМ (КЦ № 6)</t>
        </is>
      </c>
      <c r="K61" s="243" t="inlineStr">
        <is>
          <t>2012</t>
        </is>
      </c>
      <c r="L61" s="243" t="inlineStr">
        <is>
          <t>12</t>
        </is>
      </c>
      <c r="M61" s="246" t="inlineStr"/>
      <c r="N61" s="245" t="inlineStr"/>
    </row>
    <row r="62" ht="15" customHeight="1" s="236">
      <c r="A62" s="243" t="n">
        <v>61</v>
      </c>
      <c r="B62" s="244" t="inlineStr">
        <is>
          <t>Сигнализатор давления</t>
        </is>
      </c>
      <c r="C62" s="245" t="inlineStr">
        <is>
          <t>Fantini cosmi</t>
        </is>
      </c>
      <c r="D62" s="245" t="inlineStr">
        <is>
          <t>118341</t>
        </is>
      </c>
      <c r="E62" s="245" t="inlineStr">
        <is>
          <t>2010</t>
        </is>
      </c>
      <c r="F62" s="243" t="inlineStr"/>
      <c r="G62" s="243" t="inlineStr"/>
      <c r="H62" s="243" t="inlineStr">
        <is>
          <t>Р воды на выходе котла №1 (низкое)</t>
        </is>
      </c>
      <c r="I62" s="243" t="inlineStr">
        <is>
          <t>Котельная</t>
        </is>
      </c>
      <c r="J62" s="243" t="inlineStr">
        <is>
          <t>АСУ,А и ТМ (КЦ № 6)</t>
        </is>
      </c>
      <c r="K62" s="243" t="inlineStr">
        <is>
          <t>2012</t>
        </is>
      </c>
      <c r="L62" s="243" t="inlineStr">
        <is>
          <t>12</t>
        </is>
      </c>
      <c r="M62" s="246" t="inlineStr"/>
      <c r="N62" s="245" t="inlineStr"/>
    </row>
    <row r="63" ht="22.5" customHeight="1" s="236">
      <c r="A63" s="243" t="n">
        <v>62</v>
      </c>
      <c r="B63" s="244" t="inlineStr">
        <is>
          <t>Сигнализатор давления</t>
        </is>
      </c>
      <c r="C63" s="245" t="inlineStr">
        <is>
          <t>Fantini cosmi</t>
        </is>
      </c>
      <c r="D63" s="245" t="inlineStr">
        <is>
          <t>118238</t>
        </is>
      </c>
      <c r="E63" s="245" t="inlineStr">
        <is>
          <t>2010</t>
        </is>
      </c>
      <c r="F63" s="243" t="inlineStr"/>
      <c r="G63" s="243" t="inlineStr"/>
      <c r="H63" s="243" t="inlineStr">
        <is>
          <t>Р воды на выходе котла №1 (высокое)</t>
        </is>
      </c>
      <c r="I63" s="243" t="inlineStr">
        <is>
          <t>Котельная</t>
        </is>
      </c>
      <c r="J63" s="243" t="inlineStr">
        <is>
          <t>АСУ,А и ТМ (КЦ № 6)</t>
        </is>
      </c>
      <c r="K63" s="243" t="inlineStr">
        <is>
          <t>2012</t>
        </is>
      </c>
      <c r="L63" s="243" t="inlineStr">
        <is>
          <t>12</t>
        </is>
      </c>
      <c r="M63" s="246" t="inlineStr"/>
      <c r="N63" s="245" t="inlineStr"/>
    </row>
    <row r="64" ht="15" customHeight="1" s="236">
      <c r="A64" s="243" t="n">
        <v>63</v>
      </c>
      <c r="B64" s="244" t="inlineStr">
        <is>
          <t>Датчик давления</t>
        </is>
      </c>
      <c r="C64" s="245" t="inlineStr">
        <is>
          <t>Агава АДР-2,5.4.1</t>
        </is>
      </c>
      <c r="D64" s="245" t="inlineStr">
        <is>
          <t>12040677</t>
        </is>
      </c>
      <c r="E64" s="245" t="inlineStr">
        <is>
          <t>2010</t>
        </is>
      </c>
      <c r="F64" s="243" t="inlineStr"/>
      <c r="G64" s="243" t="inlineStr"/>
      <c r="H64" s="243" t="inlineStr">
        <is>
          <t>Р воздуха на горелку котла №1</t>
        </is>
      </c>
      <c r="I64" s="243" t="inlineStr">
        <is>
          <t>Котельная</t>
        </is>
      </c>
      <c r="J64" s="243" t="inlineStr">
        <is>
          <t>АСУ,А и ТМ (КЦ № 6)</t>
        </is>
      </c>
      <c r="K64" s="243" t="inlineStr">
        <is>
          <t>2012</t>
        </is>
      </c>
      <c r="L64" s="243" t="inlineStr">
        <is>
          <t>12</t>
        </is>
      </c>
      <c r="M64" s="246" t="inlineStr"/>
      <c r="N64" s="245" t="inlineStr"/>
    </row>
    <row r="65" ht="15" customHeight="1" s="236">
      <c r="A65" s="243" t="n">
        <v>64</v>
      </c>
      <c r="B65" s="244" t="inlineStr">
        <is>
          <t>Датчик давления</t>
        </is>
      </c>
      <c r="C65" s="245" t="inlineStr">
        <is>
          <t>Агава АДР-2,5.4.1</t>
        </is>
      </c>
      <c r="D65" s="245" t="inlineStr">
        <is>
          <t>12040669</t>
        </is>
      </c>
      <c r="E65" s="245" t="inlineStr">
        <is>
          <t>2010</t>
        </is>
      </c>
      <c r="F65" s="243" t="inlineStr"/>
      <c r="G65" s="243" t="inlineStr"/>
      <c r="H65" s="243" t="inlineStr">
        <is>
          <t>Р газа перед горелкой котла №1</t>
        </is>
      </c>
      <c r="I65" s="243" t="inlineStr">
        <is>
          <t>Котельная</t>
        </is>
      </c>
      <c r="J65" s="243" t="inlineStr">
        <is>
          <t>АСУ,А и ТМ (КЦ № 6)</t>
        </is>
      </c>
      <c r="K65" s="243" t="inlineStr">
        <is>
          <t>2012</t>
        </is>
      </c>
      <c r="L65" s="243" t="inlineStr">
        <is>
          <t>12</t>
        </is>
      </c>
      <c r="M65" s="246" t="inlineStr"/>
      <c r="N65" s="245" t="inlineStr"/>
    </row>
    <row r="66" ht="15" customHeight="1" s="236">
      <c r="A66" s="243" t="n">
        <v>65</v>
      </c>
      <c r="B66" s="244" t="inlineStr">
        <is>
          <t>Датчик температуры</t>
        </is>
      </c>
      <c r="C66" s="245" t="inlineStr">
        <is>
          <t>Элемер ТС-1088/6 Pt100</t>
        </is>
      </c>
      <c r="D66" s="245" t="inlineStr">
        <is>
          <t>4728</t>
        </is>
      </c>
      <c r="E66" s="245" t="inlineStr">
        <is>
          <t>2012</t>
        </is>
      </c>
      <c r="F66" s="243" t="inlineStr">
        <is>
          <t>­50 .. 350°С</t>
        </is>
      </c>
      <c r="G66" s="243" t="inlineStr"/>
      <c r="H66" s="243" t="inlineStr">
        <is>
          <t>Т дымовых газов котла №1</t>
        </is>
      </c>
      <c r="I66" s="243" t="inlineStr">
        <is>
          <t>Котельная</t>
        </is>
      </c>
      <c r="J66" s="243" t="inlineStr">
        <is>
          <t>АСУ,А и ТМ (КЦ № 6)</t>
        </is>
      </c>
      <c r="K66" s="243" t="inlineStr">
        <is>
          <t>2012</t>
        </is>
      </c>
      <c r="L66" s="243" t="inlineStr">
        <is>
          <t>12</t>
        </is>
      </c>
      <c r="M66" s="246" t="inlineStr"/>
      <c r="N66" s="245" t="inlineStr"/>
    </row>
    <row r="67" ht="15" customHeight="1" s="236">
      <c r="A67" s="243" t="n">
        <v>66</v>
      </c>
      <c r="B67" s="244" t="inlineStr">
        <is>
          <t>Датчик давления</t>
        </is>
      </c>
      <c r="C67" s="245" t="inlineStr">
        <is>
          <t>АДР-0,25 (Агава)</t>
        </is>
      </c>
      <c r="D67" s="245" t="inlineStr">
        <is>
          <t>12030479</t>
        </is>
      </c>
      <c r="E67" s="245" t="inlineStr">
        <is>
          <t>2010</t>
        </is>
      </c>
      <c r="F67" s="243" t="inlineStr"/>
      <c r="G67" s="243" t="inlineStr"/>
      <c r="H67" s="243" t="inlineStr">
        <is>
          <t>Разрежение в газоходе котла №2</t>
        </is>
      </c>
      <c r="I67" s="243" t="inlineStr">
        <is>
          <t>Котельная</t>
        </is>
      </c>
      <c r="J67" s="243" t="inlineStr">
        <is>
          <t>АСУ,А и ТМ (КЦ № 6)</t>
        </is>
      </c>
      <c r="K67" s="243" t="inlineStr">
        <is>
          <t>2012</t>
        </is>
      </c>
      <c r="L67" s="243" t="inlineStr">
        <is>
          <t>12</t>
        </is>
      </c>
      <c r="M67" s="246" t="inlineStr"/>
      <c r="N67" s="245" t="inlineStr"/>
    </row>
    <row r="68" ht="15" customHeight="1" s="236">
      <c r="A68" s="243" t="n">
        <v>67</v>
      </c>
      <c r="B68" s="244" t="inlineStr">
        <is>
          <t>Датчик температуры</t>
        </is>
      </c>
      <c r="C68" s="245" t="inlineStr">
        <is>
          <t>Элемер ТС-1088/6 Pt100</t>
        </is>
      </c>
      <c r="D68" s="245" t="inlineStr">
        <is>
          <t>8197</t>
        </is>
      </c>
      <c r="E68" s="245" t="inlineStr">
        <is>
          <t>2012</t>
        </is>
      </c>
      <c r="F68" s="243" t="inlineStr">
        <is>
          <t>­50 .. 200°С</t>
        </is>
      </c>
      <c r="G68" s="243" t="inlineStr"/>
      <c r="H68" s="243" t="inlineStr">
        <is>
          <t>Т воды на входе в котел №2</t>
        </is>
      </c>
      <c r="I68" s="243" t="inlineStr">
        <is>
          <t>Котельная</t>
        </is>
      </c>
      <c r="J68" s="243" t="inlineStr">
        <is>
          <t>АСУ,А и ТМ (КЦ № 6)</t>
        </is>
      </c>
      <c r="K68" s="243" t="inlineStr">
        <is>
          <t>2012</t>
        </is>
      </c>
      <c r="L68" s="243" t="inlineStr">
        <is>
          <t>12</t>
        </is>
      </c>
      <c r="M68" s="246" t="inlineStr"/>
      <c r="N68" s="245" t="inlineStr"/>
    </row>
    <row r="69" ht="15" customHeight="1" s="236">
      <c r="A69" s="243" t="n">
        <v>68</v>
      </c>
      <c r="B69" s="244" t="inlineStr">
        <is>
          <t>Сигнализатор температуры</t>
        </is>
      </c>
      <c r="C69" s="245" t="inlineStr">
        <is>
          <t>Sauter</t>
        </is>
      </c>
      <c r="D69" s="245" t="inlineStr">
        <is>
          <t>1143</t>
        </is>
      </c>
      <c r="E69" s="245" t="inlineStr">
        <is>
          <t>2010</t>
        </is>
      </c>
      <c r="F69" s="243" t="inlineStr">
        <is>
          <t>0…130°С</t>
        </is>
      </c>
      <c r="G69" s="243" t="inlineStr"/>
      <c r="H69" s="243" t="inlineStr">
        <is>
          <t>Т воды в котле №2</t>
        </is>
      </c>
      <c r="I69" s="243" t="inlineStr">
        <is>
          <t>Котельная</t>
        </is>
      </c>
      <c r="J69" s="243" t="inlineStr">
        <is>
          <t>АСУ,А и ТМ (КЦ № 6)</t>
        </is>
      </c>
      <c r="K69" s="243" t="inlineStr">
        <is>
          <t>2012</t>
        </is>
      </c>
      <c r="L69" s="243" t="inlineStr">
        <is>
          <t>12</t>
        </is>
      </c>
      <c r="M69" s="246" t="inlineStr"/>
      <c r="N69" s="245" t="inlineStr"/>
    </row>
    <row r="70" ht="15" customHeight="1" s="236">
      <c r="A70" s="243" t="n">
        <v>69</v>
      </c>
      <c r="B70" s="244" t="inlineStr">
        <is>
          <t>Датчик температуры</t>
        </is>
      </c>
      <c r="C70" s="245" t="inlineStr">
        <is>
          <t>Элемер ТС-1088/6 Pt100</t>
        </is>
      </c>
      <c r="D70" s="245" t="inlineStr">
        <is>
          <t>8195</t>
        </is>
      </c>
      <c r="E70" s="245" t="inlineStr">
        <is>
          <t>2012</t>
        </is>
      </c>
      <c r="F70" s="243" t="inlineStr">
        <is>
          <t>­50 .. 200°С</t>
        </is>
      </c>
      <c r="G70" s="243" t="inlineStr"/>
      <c r="H70" s="243" t="inlineStr">
        <is>
          <t>Т воды на выходе котла №2</t>
        </is>
      </c>
      <c r="I70" s="243" t="inlineStr">
        <is>
          <t>Котельная</t>
        </is>
      </c>
      <c r="J70" s="243" t="inlineStr">
        <is>
          <t>АСУ,А и ТМ (КЦ № 6)</t>
        </is>
      </c>
      <c r="K70" s="243" t="inlineStr">
        <is>
          <t>2012</t>
        </is>
      </c>
      <c r="L70" s="243" t="inlineStr">
        <is>
          <t>12</t>
        </is>
      </c>
      <c r="M70" s="246" t="inlineStr"/>
      <c r="N70" s="245" t="inlineStr"/>
    </row>
    <row r="71" ht="15" customHeight="1" s="236">
      <c r="A71" s="243" t="n">
        <v>70</v>
      </c>
      <c r="B71" s="244" t="inlineStr">
        <is>
          <t>Датчик температуры</t>
        </is>
      </c>
      <c r="C71" s="245" t="inlineStr">
        <is>
          <t>Элемер ТС-1088/6 Pt100</t>
        </is>
      </c>
      <c r="D71" s="245" t="inlineStr">
        <is>
          <t>8198</t>
        </is>
      </c>
      <c r="E71" s="245" t="inlineStr">
        <is>
          <t>2012</t>
        </is>
      </c>
      <c r="F71" s="243" t="inlineStr">
        <is>
          <t>­50 .. 200°С</t>
        </is>
      </c>
      <c r="G71" s="243" t="inlineStr"/>
      <c r="H71" s="243" t="inlineStr">
        <is>
          <t>Т воды на выходе котла №2</t>
        </is>
      </c>
      <c r="I71" s="243" t="inlineStr">
        <is>
          <t>Котельная</t>
        </is>
      </c>
      <c r="J71" s="243" t="inlineStr">
        <is>
          <t>АСУ,А и ТМ (КЦ № 6)</t>
        </is>
      </c>
      <c r="K71" s="243" t="inlineStr">
        <is>
          <t>2012</t>
        </is>
      </c>
      <c r="L71" s="243" t="inlineStr">
        <is>
          <t>12</t>
        </is>
      </c>
      <c r="M71" s="246" t="inlineStr"/>
      <c r="N71" s="245" t="inlineStr"/>
    </row>
    <row r="72" ht="15" customHeight="1" s="236">
      <c r="A72" s="243" t="n">
        <v>71</v>
      </c>
      <c r="B72" s="244" t="inlineStr">
        <is>
          <t>Сигнализатор давления</t>
        </is>
      </c>
      <c r="C72" s="245" t="inlineStr">
        <is>
          <t>Fantini cosmi</t>
        </is>
      </c>
      <c r="D72" s="245" t="inlineStr">
        <is>
          <t>118228</t>
        </is>
      </c>
      <c r="E72" s="245" t="inlineStr">
        <is>
          <t>2010</t>
        </is>
      </c>
      <c r="F72" s="243" t="inlineStr"/>
      <c r="G72" s="243" t="inlineStr"/>
      <c r="H72" s="243" t="inlineStr">
        <is>
          <t>Р воды на выходе котла №2 (низкое)</t>
        </is>
      </c>
      <c r="I72" s="243" t="inlineStr">
        <is>
          <t>Котельная</t>
        </is>
      </c>
      <c r="J72" s="243" t="inlineStr">
        <is>
          <t>АСУ,А и ТМ (КЦ № 6)</t>
        </is>
      </c>
      <c r="K72" s="243" t="inlineStr">
        <is>
          <t>2012</t>
        </is>
      </c>
      <c r="L72" s="243" t="inlineStr">
        <is>
          <t>12</t>
        </is>
      </c>
      <c r="M72" s="246" t="inlineStr"/>
      <c r="N72" s="245" t="inlineStr"/>
    </row>
    <row r="73" ht="22.5" customHeight="1" s="236">
      <c r="A73" s="243" t="n">
        <v>72</v>
      </c>
      <c r="B73" s="244" t="inlineStr">
        <is>
          <t>Сигнализатор давления</t>
        </is>
      </c>
      <c r="C73" s="245" t="inlineStr">
        <is>
          <t>Fantini cosmi</t>
        </is>
      </c>
      <c r="D73" s="245" t="inlineStr">
        <is>
          <t>118412</t>
        </is>
      </c>
      <c r="E73" s="245" t="inlineStr">
        <is>
          <t>2010</t>
        </is>
      </c>
      <c r="F73" s="243" t="inlineStr"/>
      <c r="G73" s="243" t="inlineStr"/>
      <c r="H73" s="243" t="inlineStr">
        <is>
          <t>Р воды на выходе котла №2 (высокое)</t>
        </is>
      </c>
      <c r="I73" s="243" t="inlineStr">
        <is>
          <t>Котельная</t>
        </is>
      </c>
      <c r="J73" s="243" t="inlineStr">
        <is>
          <t>АСУ,А и ТМ (КЦ № 6)</t>
        </is>
      </c>
      <c r="K73" s="243" t="inlineStr">
        <is>
          <t>2012</t>
        </is>
      </c>
      <c r="L73" s="243" t="inlineStr">
        <is>
          <t>12</t>
        </is>
      </c>
      <c r="M73" s="246" t="inlineStr"/>
      <c r="N73" s="245" t="inlineStr"/>
    </row>
    <row r="74" ht="15" customHeight="1" s="236">
      <c r="A74" s="243" t="n">
        <v>73</v>
      </c>
      <c r="B74" s="244" t="inlineStr">
        <is>
          <t>Датчик давления</t>
        </is>
      </c>
      <c r="C74" s="245" t="inlineStr">
        <is>
          <t>Агава АДР-2,5.4.1</t>
        </is>
      </c>
      <c r="D74" s="245" t="inlineStr">
        <is>
          <t>12040667</t>
        </is>
      </c>
      <c r="E74" s="245" t="inlineStr">
        <is>
          <t>2010</t>
        </is>
      </c>
      <c r="F74" s="243" t="inlineStr"/>
      <c r="G74" s="243" t="inlineStr"/>
      <c r="H74" s="243" t="inlineStr">
        <is>
          <t>Р воздуха на горелку котла №2</t>
        </is>
      </c>
      <c r="I74" s="243" t="inlineStr">
        <is>
          <t>Котельная</t>
        </is>
      </c>
      <c r="J74" s="243" t="inlineStr">
        <is>
          <t>АСУ,А и ТМ (КЦ № 6)</t>
        </is>
      </c>
      <c r="K74" s="243" t="inlineStr">
        <is>
          <t>2012</t>
        </is>
      </c>
      <c r="L74" s="243" t="inlineStr">
        <is>
          <t>12</t>
        </is>
      </c>
      <c r="M74" s="246" t="inlineStr"/>
      <c r="N74" s="245" t="inlineStr"/>
    </row>
    <row r="75" ht="15" customHeight="1" s="236">
      <c r="A75" s="243" t="n">
        <v>74</v>
      </c>
      <c r="B75" s="244" t="inlineStr">
        <is>
          <t>Датчик давления</t>
        </is>
      </c>
      <c r="C75" s="245" t="inlineStr">
        <is>
          <t>Агава АДР-2,5.4.1</t>
        </is>
      </c>
      <c r="D75" s="245" t="inlineStr">
        <is>
          <t>12040674</t>
        </is>
      </c>
      <c r="E75" s="245" t="inlineStr">
        <is>
          <t>2010</t>
        </is>
      </c>
      <c r="F75" s="243" t="inlineStr"/>
      <c r="G75" s="243" t="inlineStr"/>
      <c r="H75" s="243" t="inlineStr">
        <is>
          <t>Р газа перед горелкой котла №2</t>
        </is>
      </c>
      <c r="I75" s="243" t="inlineStr">
        <is>
          <t>Котельная</t>
        </is>
      </c>
      <c r="J75" s="243" t="inlineStr">
        <is>
          <t>АСУ,А и ТМ (КЦ № 6)</t>
        </is>
      </c>
      <c r="K75" s="243" t="inlineStr">
        <is>
          <t>2012</t>
        </is>
      </c>
      <c r="L75" s="243" t="inlineStr">
        <is>
          <t>12</t>
        </is>
      </c>
      <c r="M75" s="246" t="inlineStr"/>
      <c r="N75" s="245" t="inlineStr"/>
    </row>
    <row r="76" ht="15" customHeight="1" s="236">
      <c r="A76" s="243" t="n">
        <v>75</v>
      </c>
      <c r="B76" s="244" t="inlineStr">
        <is>
          <t>Датчик температуры</t>
        </is>
      </c>
      <c r="C76" s="245" t="inlineStr">
        <is>
          <t>Элемер ТС-1088/6 Pt100</t>
        </is>
      </c>
      <c r="D76" s="245" t="inlineStr">
        <is>
          <t>4704</t>
        </is>
      </c>
      <c r="E76" s="245" t="inlineStr">
        <is>
          <t>2012</t>
        </is>
      </c>
      <c r="F76" s="243" t="inlineStr">
        <is>
          <t>­50 .. 350°С</t>
        </is>
      </c>
      <c r="G76" s="243" t="inlineStr"/>
      <c r="H76" s="243" t="inlineStr">
        <is>
          <t>Т дымовых газов котла №2</t>
        </is>
      </c>
      <c r="I76" s="243" t="inlineStr">
        <is>
          <t>Котельная</t>
        </is>
      </c>
      <c r="J76" s="243" t="inlineStr">
        <is>
          <t>АСУ,А и ТМ (КЦ № 6)</t>
        </is>
      </c>
      <c r="K76" s="243" t="inlineStr">
        <is>
          <t>2012</t>
        </is>
      </c>
      <c r="L76" s="243" t="inlineStr">
        <is>
          <t>12</t>
        </is>
      </c>
      <c r="M76" s="246" t="inlineStr"/>
      <c r="N76" s="245" t="inlineStr"/>
    </row>
    <row r="77" ht="15" customHeight="1" s="236">
      <c r="A77" s="243" t="n">
        <v>76</v>
      </c>
      <c r="B77" s="244" t="inlineStr">
        <is>
          <t>Датчик давления</t>
        </is>
      </c>
      <c r="C77" s="245" t="inlineStr">
        <is>
          <t>АДР-0,25 (Агава)</t>
        </is>
      </c>
      <c r="D77" s="245" t="inlineStr">
        <is>
          <t>12040486</t>
        </is>
      </c>
      <c r="E77" s="245" t="inlineStr">
        <is>
          <t>2010</t>
        </is>
      </c>
      <c r="F77" s="243" t="inlineStr"/>
      <c r="G77" s="243" t="inlineStr"/>
      <c r="H77" s="243" t="inlineStr">
        <is>
          <t>Разрежение в газоходе котла №3</t>
        </is>
      </c>
      <c r="I77" s="243" t="inlineStr">
        <is>
          <t>Котельная</t>
        </is>
      </c>
      <c r="J77" s="243" t="inlineStr">
        <is>
          <t>АСУ,А и ТМ (КЦ № 6)</t>
        </is>
      </c>
      <c r="K77" s="243" t="inlineStr">
        <is>
          <t>2012</t>
        </is>
      </c>
      <c r="L77" s="243" t="inlineStr">
        <is>
          <t>12</t>
        </is>
      </c>
      <c r="M77" s="246" t="inlineStr"/>
      <c r="N77" s="245" t="inlineStr"/>
    </row>
    <row r="78" ht="15" customHeight="1" s="236">
      <c r="A78" s="243" t="n">
        <v>77</v>
      </c>
      <c r="B78" s="244" t="inlineStr">
        <is>
          <t>Датчик температуры</t>
        </is>
      </c>
      <c r="C78" s="245" t="inlineStr">
        <is>
          <t>Элемер ТС-1088/6 Pt100</t>
        </is>
      </c>
      <c r="D78" s="245" t="inlineStr">
        <is>
          <t>8193</t>
        </is>
      </c>
      <c r="E78" s="245" t="inlineStr">
        <is>
          <t>2012</t>
        </is>
      </c>
      <c r="F78" s="243" t="inlineStr">
        <is>
          <t>­50 .. 200°С</t>
        </is>
      </c>
      <c r="G78" s="243" t="inlineStr"/>
      <c r="H78" s="243" t="inlineStr">
        <is>
          <t>Т воды на входе в котел №3</t>
        </is>
      </c>
      <c r="I78" s="243" t="inlineStr">
        <is>
          <t>Котельная</t>
        </is>
      </c>
      <c r="J78" s="243" t="inlineStr">
        <is>
          <t>АСУ,А и ТМ (КЦ № 6)</t>
        </is>
      </c>
      <c r="K78" s="243" t="inlineStr">
        <is>
          <t>2012</t>
        </is>
      </c>
      <c r="L78" s="243" t="inlineStr">
        <is>
          <t>12</t>
        </is>
      </c>
      <c r="M78" s="246" t="inlineStr"/>
      <c r="N78" s="245" t="inlineStr"/>
    </row>
    <row r="79" ht="15" customHeight="1" s="236">
      <c r="A79" s="243" t="n">
        <v>78</v>
      </c>
      <c r="B79" s="244" t="inlineStr">
        <is>
          <t>Сигнализатор температуры</t>
        </is>
      </c>
      <c r="C79" s="245" t="inlineStr">
        <is>
          <t>Sauter</t>
        </is>
      </c>
      <c r="D79" s="245" t="inlineStr">
        <is>
          <t>1146</t>
        </is>
      </c>
      <c r="E79" s="245" t="inlineStr">
        <is>
          <t>2010</t>
        </is>
      </c>
      <c r="F79" s="243" t="inlineStr">
        <is>
          <t>0…130°С</t>
        </is>
      </c>
      <c r="G79" s="243" t="inlineStr"/>
      <c r="H79" s="243" t="inlineStr">
        <is>
          <t>Т воды в котле №3</t>
        </is>
      </c>
      <c r="I79" s="243" t="inlineStr">
        <is>
          <t>Котельная</t>
        </is>
      </c>
      <c r="J79" s="243" t="inlineStr">
        <is>
          <t>АСУ,А и ТМ (КЦ № 6)</t>
        </is>
      </c>
      <c r="K79" s="243" t="inlineStr">
        <is>
          <t>2012</t>
        </is>
      </c>
      <c r="L79" s="243" t="inlineStr">
        <is>
          <t>12</t>
        </is>
      </c>
      <c r="M79" s="246" t="inlineStr"/>
      <c r="N79" s="245" t="inlineStr"/>
    </row>
    <row r="80" ht="15" customHeight="1" s="236">
      <c r="A80" s="243" t="n">
        <v>79</v>
      </c>
      <c r="B80" s="244" t="inlineStr">
        <is>
          <t>Датчик температуры</t>
        </is>
      </c>
      <c r="C80" s="245" t="inlineStr">
        <is>
          <t>Элемер ТС-1088/6 Pt100</t>
        </is>
      </c>
      <c r="D80" s="245" t="inlineStr">
        <is>
          <t>8194</t>
        </is>
      </c>
      <c r="E80" s="245" t="inlineStr">
        <is>
          <t>2012</t>
        </is>
      </c>
      <c r="F80" s="243" t="inlineStr">
        <is>
          <t>­50 .. 200°С</t>
        </is>
      </c>
      <c r="G80" s="243" t="inlineStr"/>
      <c r="H80" s="243" t="inlineStr">
        <is>
          <t>Т воды на выходе котла №3</t>
        </is>
      </c>
      <c r="I80" s="243" t="inlineStr">
        <is>
          <t>Котельная</t>
        </is>
      </c>
      <c r="J80" s="243" t="inlineStr">
        <is>
          <t>АСУ,А и ТМ (КЦ № 6)</t>
        </is>
      </c>
      <c r="K80" s="243" t="inlineStr">
        <is>
          <t>2012</t>
        </is>
      </c>
      <c r="L80" s="243" t="inlineStr">
        <is>
          <t>12</t>
        </is>
      </c>
      <c r="M80" s="246" t="inlineStr"/>
      <c r="N80" s="245" t="inlineStr"/>
    </row>
    <row r="81" ht="15" customHeight="1" s="236">
      <c r="A81" s="243" t="n">
        <v>80</v>
      </c>
      <c r="B81" s="244" t="inlineStr">
        <is>
          <t>Датчик температуры</t>
        </is>
      </c>
      <c r="C81" s="245" t="inlineStr">
        <is>
          <t>Элемер ТС-1088/6 Pt100</t>
        </is>
      </c>
      <c r="D81" s="245" t="inlineStr">
        <is>
          <t>8192</t>
        </is>
      </c>
      <c r="E81" s="245" t="inlineStr">
        <is>
          <t>2012</t>
        </is>
      </c>
      <c r="F81" s="243" t="inlineStr">
        <is>
          <t>­50 .. 200°С</t>
        </is>
      </c>
      <c r="G81" s="243" t="inlineStr"/>
      <c r="H81" s="243" t="inlineStr">
        <is>
          <t>Т воды на выходе котла №3</t>
        </is>
      </c>
      <c r="I81" s="243" t="inlineStr">
        <is>
          <t>Котельная</t>
        </is>
      </c>
      <c r="J81" s="243" t="inlineStr">
        <is>
          <t>АСУ,А и ТМ (КЦ № 6)</t>
        </is>
      </c>
      <c r="K81" s="243" t="inlineStr">
        <is>
          <t>2012</t>
        </is>
      </c>
      <c r="L81" s="243" t="inlineStr">
        <is>
          <t>12</t>
        </is>
      </c>
      <c r="M81" s="246" t="inlineStr"/>
      <c r="N81" s="245" t="inlineStr"/>
    </row>
    <row r="82" ht="15" customHeight="1" s="236">
      <c r="A82" s="243" t="n">
        <v>81</v>
      </c>
      <c r="B82" s="244" t="inlineStr">
        <is>
          <t>Сигнализатор давления</t>
        </is>
      </c>
      <c r="C82" s="245" t="inlineStr">
        <is>
          <t>Fantini cosmi</t>
        </is>
      </c>
      <c r="D82" s="245" t="inlineStr">
        <is>
          <t>118366</t>
        </is>
      </c>
      <c r="E82" s="245" t="inlineStr">
        <is>
          <t>2010</t>
        </is>
      </c>
      <c r="F82" s="243" t="inlineStr"/>
      <c r="G82" s="243" t="inlineStr"/>
      <c r="H82" s="243" t="inlineStr">
        <is>
          <t>Р воды на выходе котла №3 (низкое)</t>
        </is>
      </c>
      <c r="I82" s="243" t="inlineStr">
        <is>
          <t>Котельная</t>
        </is>
      </c>
      <c r="J82" s="243" t="inlineStr">
        <is>
          <t>АСУ,А и ТМ (КЦ № 6)</t>
        </is>
      </c>
      <c r="K82" s="243" t="inlineStr">
        <is>
          <t>2012</t>
        </is>
      </c>
      <c r="L82" s="243" t="inlineStr">
        <is>
          <t>12</t>
        </is>
      </c>
      <c r="M82" s="246" t="inlineStr"/>
      <c r="N82" s="245" t="inlineStr"/>
    </row>
    <row r="83" ht="22.5" customHeight="1" s="236">
      <c r="A83" s="243" t="n">
        <v>82</v>
      </c>
      <c r="B83" s="244" t="inlineStr">
        <is>
          <t>Сигнализатор давления</t>
        </is>
      </c>
      <c r="C83" s="245" t="inlineStr">
        <is>
          <t>Fantini cosmi</t>
        </is>
      </c>
      <c r="D83" s="245" t="inlineStr">
        <is>
          <t>118227</t>
        </is>
      </c>
      <c r="E83" s="245" t="inlineStr">
        <is>
          <t>2010</t>
        </is>
      </c>
      <c r="F83" s="243" t="inlineStr"/>
      <c r="G83" s="243" t="inlineStr"/>
      <c r="H83" s="243" t="inlineStr">
        <is>
          <t>Р воды на выходе котла №3 (высокое)</t>
        </is>
      </c>
      <c r="I83" s="243" t="inlineStr">
        <is>
          <t>Котельная</t>
        </is>
      </c>
      <c r="J83" s="243" t="inlineStr">
        <is>
          <t>АСУ,А и ТМ (КЦ № 6)</t>
        </is>
      </c>
      <c r="K83" s="243" t="inlineStr">
        <is>
          <t>2012</t>
        </is>
      </c>
      <c r="L83" s="243" t="inlineStr">
        <is>
          <t>12</t>
        </is>
      </c>
      <c r="M83" s="246" t="inlineStr"/>
      <c r="N83" s="245" t="inlineStr"/>
    </row>
    <row r="84" ht="15" customHeight="1" s="236">
      <c r="A84" s="243" t="n">
        <v>83</v>
      </c>
      <c r="B84" s="244" t="inlineStr">
        <is>
          <t>Датчик давления</t>
        </is>
      </c>
      <c r="C84" s="245" t="inlineStr">
        <is>
          <t>Агава АДР-2,5.4.1</t>
        </is>
      </c>
      <c r="D84" s="245" t="inlineStr">
        <is>
          <t>12040661</t>
        </is>
      </c>
      <c r="E84" s="245" t="inlineStr">
        <is>
          <t>2010</t>
        </is>
      </c>
      <c r="F84" s="243" t="inlineStr"/>
      <c r="G84" s="243" t="inlineStr"/>
      <c r="H84" s="243" t="inlineStr">
        <is>
          <t>Р воздуха на горелку котла №3</t>
        </is>
      </c>
      <c r="I84" s="243" t="inlineStr">
        <is>
          <t>Котельная</t>
        </is>
      </c>
      <c r="J84" s="243" t="inlineStr">
        <is>
          <t>АСУ,А и ТМ (КЦ № 6)</t>
        </is>
      </c>
      <c r="K84" s="243" t="inlineStr">
        <is>
          <t>2012</t>
        </is>
      </c>
      <c r="L84" s="243" t="inlineStr">
        <is>
          <t>12</t>
        </is>
      </c>
      <c r="M84" s="246" t="inlineStr"/>
      <c r="N84" s="245" t="inlineStr"/>
    </row>
    <row r="85" ht="15" customHeight="1" s="236">
      <c r="A85" s="243" t="n">
        <v>84</v>
      </c>
      <c r="B85" s="244" t="inlineStr">
        <is>
          <t>Датчик давления</t>
        </is>
      </c>
      <c r="C85" s="245" t="inlineStr">
        <is>
          <t>Агава АДР-2,5.4.1</t>
        </is>
      </c>
      <c r="D85" s="245" t="inlineStr">
        <is>
          <t>12040671</t>
        </is>
      </c>
      <c r="E85" s="245" t="inlineStr">
        <is>
          <t>2010</t>
        </is>
      </c>
      <c r="F85" s="243" t="inlineStr"/>
      <c r="G85" s="243" t="inlineStr"/>
      <c r="H85" s="243" t="inlineStr">
        <is>
          <t>Р газа перед горелкой котла №3</t>
        </is>
      </c>
      <c r="I85" s="243" t="inlineStr">
        <is>
          <t>Котельная</t>
        </is>
      </c>
      <c r="J85" s="243" t="inlineStr">
        <is>
          <t>АСУ,А и ТМ (КЦ № 6)</t>
        </is>
      </c>
      <c r="K85" s="243" t="inlineStr">
        <is>
          <t>2012</t>
        </is>
      </c>
      <c r="L85" s="243" t="inlineStr">
        <is>
          <t>12</t>
        </is>
      </c>
      <c r="M85" s="246" t="inlineStr"/>
      <c r="N85" s="245" t="inlineStr"/>
    </row>
    <row r="86" ht="15" customHeight="1" s="236">
      <c r="A86" s="243" t="n">
        <v>85</v>
      </c>
      <c r="B86" s="244" t="inlineStr">
        <is>
          <t>Датчик температуры</t>
        </is>
      </c>
      <c r="C86" s="245" t="inlineStr">
        <is>
          <t>Элемер ТС-1088/6 Pt100</t>
        </is>
      </c>
      <c r="D86" s="245" t="inlineStr">
        <is>
          <t>4710</t>
        </is>
      </c>
      <c r="E86" s="245" t="inlineStr">
        <is>
          <t>2012</t>
        </is>
      </c>
      <c r="F86" s="243" t="inlineStr">
        <is>
          <t>­50 .. 350°С</t>
        </is>
      </c>
      <c r="G86" s="243" t="inlineStr"/>
      <c r="H86" s="243" t="inlineStr">
        <is>
          <t>Т дымовых газов котла №3</t>
        </is>
      </c>
      <c r="I86" s="243" t="inlineStr">
        <is>
          <t>Котельная</t>
        </is>
      </c>
      <c r="J86" s="243" t="inlineStr">
        <is>
          <t>АСУ,А и ТМ (КЦ № 6)</t>
        </is>
      </c>
      <c r="K86" s="243" t="inlineStr">
        <is>
          <t>2012</t>
        </is>
      </c>
      <c r="L86" s="243" t="inlineStr">
        <is>
          <t>12</t>
        </is>
      </c>
      <c r="M86" s="246" t="inlineStr"/>
      <c r="N86" s="245" t="inlineStr"/>
    </row>
    <row r="87" ht="22.5" customHeight="1" s="236">
      <c r="A87" s="243" t="n">
        <v>86</v>
      </c>
      <c r="B87" s="244" t="inlineStr">
        <is>
          <t>Датчик перепада давления</t>
        </is>
      </c>
      <c r="C87" s="245" t="inlineStr">
        <is>
          <t>DEM-202</t>
        </is>
      </c>
      <c r="D87" s="245" t="inlineStr">
        <is>
          <t>008652</t>
        </is>
      </c>
      <c r="E87" s="245" t="inlineStr">
        <is>
          <t>2010</t>
        </is>
      </c>
      <c r="F87" s="243" t="inlineStr">
        <is>
          <t>-0,05…0,5 MPa</t>
        </is>
      </c>
      <c r="G87" s="243" t="inlineStr"/>
      <c r="H87" s="243" t="inlineStr">
        <is>
          <t>Перепад Р на насосах циркуляции К1</t>
        </is>
      </c>
      <c r="I87" s="243" t="inlineStr">
        <is>
          <t>Котельная</t>
        </is>
      </c>
      <c r="J87" s="243" t="inlineStr">
        <is>
          <t>АСУ,А и ТМ (КЦ № 6)</t>
        </is>
      </c>
      <c r="K87" s="243" t="inlineStr">
        <is>
          <t>2012</t>
        </is>
      </c>
      <c r="L87" s="243" t="inlineStr">
        <is>
          <t>12</t>
        </is>
      </c>
      <c r="M87" s="246" t="inlineStr"/>
      <c r="N87" s="245" t="inlineStr"/>
    </row>
    <row r="88" ht="22.5" customHeight="1" s="236">
      <c r="A88" s="243" t="n">
        <v>87</v>
      </c>
      <c r="B88" s="244" t="inlineStr">
        <is>
          <t>Датчик температуры</t>
        </is>
      </c>
      <c r="C88" s="245" t="inlineStr">
        <is>
          <t>Элемер ТС-1088/6 Pt100</t>
        </is>
      </c>
      <c r="D88" s="245" t="inlineStr">
        <is>
          <t>8191</t>
        </is>
      </c>
      <c r="E88" s="245" t="inlineStr">
        <is>
          <t>2012</t>
        </is>
      </c>
      <c r="F88" s="243" t="inlineStr">
        <is>
          <t>­50 .. 200°С</t>
        </is>
      </c>
      <c r="G88" s="243" t="inlineStr"/>
      <c r="H88" s="243" t="inlineStr">
        <is>
          <t>Т прямой сетевой воды к потребителям</t>
        </is>
      </c>
      <c r="I88" s="243" t="inlineStr">
        <is>
          <t>Котельная</t>
        </is>
      </c>
      <c r="J88" s="243" t="inlineStr">
        <is>
          <t>АСУ,А и ТМ (КЦ № 6)</t>
        </is>
      </c>
      <c r="K88" s="243" t="inlineStr">
        <is>
          <t>2012</t>
        </is>
      </c>
      <c r="L88" s="243" t="inlineStr">
        <is>
          <t>12</t>
        </is>
      </c>
      <c r="M88" s="246" t="inlineStr"/>
      <c r="N88" s="245" t="inlineStr"/>
    </row>
    <row r="89" ht="15" customHeight="1" s="236">
      <c r="A89" s="243" t="n">
        <v>88</v>
      </c>
      <c r="B89" s="244" t="inlineStr">
        <is>
          <t>Датчик давления</t>
        </is>
      </c>
      <c r="C89" s="245" t="inlineStr">
        <is>
          <t>ДДМ-03-ДИ</t>
        </is>
      </c>
      <c r="D89" s="245" t="inlineStr">
        <is>
          <t>206-073</t>
        </is>
      </c>
      <c r="E89" s="245" t="inlineStr">
        <is>
          <t>2010</t>
        </is>
      </c>
      <c r="F89" s="243" t="inlineStr">
        <is>
          <t>0..600kPa</t>
        </is>
      </c>
      <c r="G89" s="243" t="inlineStr"/>
      <c r="H89" s="243" t="inlineStr">
        <is>
          <t>Р обратной сетевой воды</t>
        </is>
      </c>
      <c r="I89" s="243" t="inlineStr">
        <is>
          <t>Котельная</t>
        </is>
      </c>
      <c r="J89" s="243" t="inlineStr">
        <is>
          <t>АСУ,А и ТМ (КЦ № 6)</t>
        </is>
      </c>
      <c r="K89" s="243" t="inlineStr">
        <is>
          <t>2012</t>
        </is>
      </c>
      <c r="L89" s="243" t="inlineStr">
        <is>
          <t>12</t>
        </is>
      </c>
      <c r="M89" s="246" t="inlineStr"/>
      <c r="N89" s="245" t="inlineStr"/>
    </row>
    <row r="90" ht="15" customHeight="1" s="236">
      <c r="A90" s="243" t="n">
        <v>89</v>
      </c>
      <c r="B90" s="244" t="inlineStr">
        <is>
          <t>Датчик давления</t>
        </is>
      </c>
      <c r="C90" s="245" t="inlineStr">
        <is>
          <t>АИР-10/М1-ДИ</t>
        </is>
      </c>
      <c r="D90" s="245" t="inlineStr">
        <is>
          <t>14466</t>
        </is>
      </c>
      <c r="E90" s="245" t="inlineStr">
        <is>
          <t>2012</t>
        </is>
      </c>
      <c r="F90" s="243" t="inlineStr">
        <is>
          <t>0... 2.5 Mpa</t>
        </is>
      </c>
      <c r="G90" s="243" t="inlineStr">
        <is>
          <t>0,4</t>
        </is>
      </c>
      <c r="H90" s="243" t="inlineStr">
        <is>
          <t>Р водопроводной воды</t>
        </is>
      </c>
      <c r="I90" s="243" t="inlineStr">
        <is>
          <t>Котельная</t>
        </is>
      </c>
      <c r="J90" s="243" t="inlineStr">
        <is>
          <t>АСУ,А и ТМ (КЦ № 6)</t>
        </is>
      </c>
      <c r="K90" s="243" t="inlineStr">
        <is>
          <t>2012</t>
        </is>
      </c>
      <c r="L90" s="243" t="inlineStr">
        <is>
          <t>12</t>
        </is>
      </c>
      <c r="M90" s="246" t="inlineStr"/>
      <c r="N90" s="245" t="inlineStr"/>
    </row>
    <row r="91" ht="22.5" customHeight="1" s="236">
      <c r="A91" s="243" t="n">
        <v>90</v>
      </c>
      <c r="B91" s="244" t="inlineStr">
        <is>
          <t>Датчик давления</t>
        </is>
      </c>
      <c r="C91" s="245" t="inlineStr">
        <is>
          <t>АИР-10/М1-ДИ</t>
        </is>
      </c>
      <c r="D91" s="245" t="inlineStr">
        <is>
          <t>64480</t>
        </is>
      </c>
      <c r="E91" s="245" t="inlineStr">
        <is>
          <t>2012</t>
        </is>
      </c>
      <c r="F91" s="243" t="inlineStr">
        <is>
          <t>0..0,6 Mpa (max. 2.5 Mpa)</t>
        </is>
      </c>
      <c r="G91" s="243" t="inlineStr">
        <is>
          <t>0,4</t>
        </is>
      </c>
      <c r="H91" s="243" t="inlineStr">
        <is>
          <t>Р воды перед насосами К4</t>
        </is>
      </c>
      <c r="I91" s="243" t="inlineStr">
        <is>
          <t>Котельная</t>
        </is>
      </c>
      <c r="J91" s="243" t="inlineStr">
        <is>
          <t>АСУ,А и ТМ (КЦ № 6)</t>
        </is>
      </c>
      <c r="K91" s="243" t="inlineStr">
        <is>
          <t>2012</t>
        </is>
      </c>
      <c r="L91" s="243" t="inlineStr">
        <is>
          <t>12</t>
        </is>
      </c>
      <c r="M91" s="246" t="inlineStr"/>
      <c r="N91" s="245" t="inlineStr"/>
    </row>
    <row r="92" ht="15" customHeight="1" s="236">
      <c r="A92" s="243" t="n">
        <v>91</v>
      </c>
      <c r="B92" s="244" t="inlineStr">
        <is>
          <t>Датчик температуры</t>
        </is>
      </c>
      <c r="C92" s="245" t="inlineStr">
        <is>
          <t>Элемер ТС-1088/6 Pt100</t>
        </is>
      </c>
      <c r="D92" s="245" t="inlineStr">
        <is>
          <t>8196</t>
        </is>
      </c>
      <c r="E92" s="245" t="inlineStr">
        <is>
          <t>2010</t>
        </is>
      </c>
      <c r="F92" s="243" t="inlineStr">
        <is>
          <t>­50 .. 200°С</t>
        </is>
      </c>
      <c r="G92" s="243" t="inlineStr"/>
      <c r="H92" s="243" t="inlineStr">
        <is>
          <t>Т теплоносителя на АВО</t>
        </is>
      </c>
      <c r="I92" s="243" t="inlineStr">
        <is>
          <t>Котельная</t>
        </is>
      </c>
      <c r="J92" s="243" t="inlineStr">
        <is>
          <t>АСУ,А и ТМ (КЦ № 6)</t>
        </is>
      </c>
      <c r="K92" s="243" t="inlineStr">
        <is>
          <t>2012</t>
        </is>
      </c>
      <c r="L92" s="243" t="inlineStr">
        <is>
          <t>12</t>
        </is>
      </c>
      <c r="M92" s="246" t="inlineStr"/>
      <c r="N92" s="245" t="inlineStr"/>
    </row>
    <row r="93" ht="15" customHeight="1" s="236">
      <c r="A93" s="243" t="n">
        <v>92</v>
      </c>
      <c r="B93" s="244" t="inlineStr">
        <is>
          <t>Датчик давления</t>
        </is>
      </c>
      <c r="C93" s="245" t="inlineStr">
        <is>
          <t>КРТ5-1</t>
        </is>
      </c>
      <c r="D93" s="245" t="inlineStr">
        <is>
          <t>443650</t>
        </is>
      </c>
      <c r="E93" s="245" t="inlineStr">
        <is>
          <t>2010</t>
        </is>
      </c>
      <c r="F93" s="243" t="inlineStr">
        <is>
          <t>0…1 MPa</t>
        </is>
      </c>
      <c r="G93" s="243" t="inlineStr"/>
      <c r="H93" s="243" t="inlineStr">
        <is>
          <t>Р воды после насосов К3</t>
        </is>
      </c>
      <c r="I93" s="243" t="inlineStr">
        <is>
          <t>Котельная</t>
        </is>
      </c>
      <c r="J93" s="243" t="inlineStr">
        <is>
          <t>АСУ,А и ТМ (КЦ № 6)</t>
        </is>
      </c>
      <c r="K93" s="243" t="inlineStr">
        <is>
          <t>2012</t>
        </is>
      </c>
      <c r="L93" s="243" t="inlineStr">
        <is>
          <t>12</t>
        </is>
      </c>
      <c r="M93" s="246" t="inlineStr"/>
      <c r="N93" s="245" t="inlineStr"/>
    </row>
    <row r="94" ht="22.5" customHeight="1" s="236">
      <c r="A94" s="243" t="n">
        <v>93</v>
      </c>
      <c r="B94" s="244" t="inlineStr">
        <is>
          <t>Датчик давления</t>
        </is>
      </c>
      <c r="C94" s="245" t="inlineStr">
        <is>
          <t>АИР-10/М1-ДИ</t>
        </is>
      </c>
      <c r="D94" s="245" t="inlineStr">
        <is>
          <t>64324</t>
        </is>
      </c>
      <c r="E94" s="245" t="inlineStr">
        <is>
          <t>2012</t>
        </is>
      </c>
      <c r="F94" s="243" t="inlineStr">
        <is>
          <t>0..1 Mpa (max. 2.5 Mpa)</t>
        </is>
      </c>
      <c r="G94" s="243" t="inlineStr">
        <is>
          <t>0,4</t>
        </is>
      </c>
      <c r="H94" s="243" t="inlineStr">
        <is>
          <t>Р воды перед насосами К2</t>
        </is>
      </c>
      <c r="I94" s="243" t="inlineStr">
        <is>
          <t>Котельная</t>
        </is>
      </c>
      <c r="J94" s="243" t="inlineStr">
        <is>
          <t>АСУ,А и ТМ (КЦ № 6)</t>
        </is>
      </c>
      <c r="K94" s="243" t="inlineStr">
        <is>
          <t>2012</t>
        </is>
      </c>
      <c r="L94" s="243" t="inlineStr">
        <is>
          <t>12</t>
        </is>
      </c>
      <c r="M94" s="246" t="inlineStr"/>
      <c r="N94" s="245" t="inlineStr"/>
    </row>
    <row r="95" ht="15" customHeight="1" s="236">
      <c r="A95" s="243" t="n">
        <v>94</v>
      </c>
      <c r="B95" s="244" t="inlineStr">
        <is>
          <t>Датчик температуры</t>
        </is>
      </c>
      <c r="C95" s="245" t="inlineStr">
        <is>
          <t>Элемер ТС-1288/4 Pt100</t>
        </is>
      </c>
      <c r="D95" s="245" t="inlineStr">
        <is>
          <t>7759</t>
        </is>
      </c>
      <c r="E95" s="245" t="inlineStr">
        <is>
          <t>2012</t>
        </is>
      </c>
      <c r="F95" s="243" t="inlineStr">
        <is>
          <t>­50..50°С</t>
        </is>
      </c>
      <c r="G95" s="243" t="inlineStr"/>
      <c r="H95" s="243" t="inlineStr">
        <is>
          <t>Т воздуха в помещении</t>
        </is>
      </c>
      <c r="I95" s="243" t="inlineStr">
        <is>
          <t>Котельная</t>
        </is>
      </c>
      <c r="J95" s="243" t="inlineStr">
        <is>
          <t>АСУ,А и ТМ (КЦ № 6)</t>
        </is>
      </c>
      <c r="K95" s="243" t="inlineStr">
        <is>
          <t>2012</t>
        </is>
      </c>
      <c r="L95" s="243" t="inlineStr">
        <is>
          <t>12</t>
        </is>
      </c>
      <c r="M95" s="246" t="inlineStr"/>
      <c r="N95" s="245" t="inlineStr"/>
    </row>
    <row r="96" ht="15" customHeight="1" s="236">
      <c r="A96" s="243" t="n">
        <v>95</v>
      </c>
      <c r="B96" s="244" t="inlineStr">
        <is>
          <t>Датчик давления</t>
        </is>
      </c>
      <c r="C96" s="245" t="inlineStr">
        <is>
          <t>АИР-10/М1-ДИ</t>
        </is>
      </c>
      <c r="D96" s="245" t="inlineStr">
        <is>
          <t>64485</t>
        </is>
      </c>
      <c r="E96" s="245" t="inlineStr">
        <is>
          <t>2012</t>
        </is>
      </c>
      <c r="F96" s="243" t="inlineStr">
        <is>
          <t>0... 2.5 Mpa</t>
        </is>
      </c>
      <c r="G96" s="243" t="inlineStr">
        <is>
          <t>0,4</t>
        </is>
      </c>
      <c r="H96" s="243" t="inlineStr">
        <is>
          <t>Р воды после насосов К4</t>
        </is>
      </c>
      <c r="I96" s="243" t="inlineStr">
        <is>
          <t>Котельная</t>
        </is>
      </c>
      <c r="J96" s="243" t="inlineStr">
        <is>
          <t>АСУ,А и ТМ (КЦ № 6)</t>
        </is>
      </c>
      <c r="K96" s="243" t="inlineStr">
        <is>
          <t>2012</t>
        </is>
      </c>
      <c r="L96" s="243" t="inlineStr">
        <is>
          <t>12</t>
        </is>
      </c>
      <c r="M96" s="246" t="inlineStr"/>
      <c r="N96" s="245" t="inlineStr"/>
    </row>
    <row r="97" ht="22.5" customHeight="1" s="236">
      <c r="A97" s="243" t="n">
        <v>96</v>
      </c>
      <c r="B97" s="244" t="inlineStr">
        <is>
          <t>Датчик давления</t>
        </is>
      </c>
      <c r="C97" s="245" t="inlineStr">
        <is>
          <t>АИР-10/М1-ДИ</t>
        </is>
      </c>
      <c r="D97" s="245" t="inlineStr">
        <is>
          <t>64313</t>
        </is>
      </c>
      <c r="E97" s="245" t="inlineStr">
        <is>
          <t>2012</t>
        </is>
      </c>
      <c r="F97" s="243" t="inlineStr">
        <is>
          <t>0..1 Mpa (max. 2.5 Mpa)</t>
        </is>
      </c>
      <c r="G97" s="243" t="inlineStr">
        <is>
          <t>0,3</t>
        </is>
      </c>
      <c r="H97" s="243" t="inlineStr">
        <is>
          <t>Р сетевой воды к потребителю</t>
        </is>
      </c>
      <c r="I97" s="243" t="inlineStr">
        <is>
          <t>Котельная</t>
        </is>
      </c>
      <c r="J97" s="243" t="inlineStr">
        <is>
          <t>АСУ,А и ТМ (КЦ № 6)</t>
        </is>
      </c>
      <c r="K97" s="243" t="inlineStr">
        <is>
          <t>2012</t>
        </is>
      </c>
      <c r="L97" s="243" t="inlineStr">
        <is>
          <t>12</t>
        </is>
      </c>
      <c r="M97" s="246" t="inlineStr"/>
      <c r="N97" s="245" t="inlineStr"/>
    </row>
    <row r="98" ht="22.5" customHeight="1" s="236">
      <c r="A98" s="243" t="n">
        <v>97</v>
      </c>
      <c r="B98" s="244" t="inlineStr">
        <is>
          <t>Датчик давления</t>
        </is>
      </c>
      <c r="C98" s="245" t="inlineStr">
        <is>
          <t>АИР-10/М1-ДИ</t>
        </is>
      </c>
      <c r="D98" s="245" t="inlineStr">
        <is>
          <t>64483</t>
        </is>
      </c>
      <c r="E98" s="245" t="inlineStr">
        <is>
          <t>2012</t>
        </is>
      </c>
      <c r="F98" s="243" t="inlineStr">
        <is>
          <t>0..0,4 Mpa (max. 2.5 Mpa)</t>
        </is>
      </c>
      <c r="G98" s="243" t="inlineStr">
        <is>
          <t>0,5</t>
        </is>
      </c>
      <c r="H98" s="243" t="inlineStr">
        <is>
          <t>Р воды от потребителя теплосети</t>
        </is>
      </c>
      <c r="I98" s="243" t="inlineStr">
        <is>
          <t>Котельная</t>
        </is>
      </c>
      <c r="J98" s="243" t="inlineStr">
        <is>
          <t>АСУ,А и ТМ (КЦ № 6)</t>
        </is>
      </c>
      <c r="K98" s="243" t="inlineStr">
        <is>
          <t>2012</t>
        </is>
      </c>
      <c r="L98" s="243" t="inlineStr">
        <is>
          <t>12</t>
        </is>
      </c>
      <c r="M98" s="246" t="inlineStr"/>
      <c r="N98" s="245" t="inlineStr"/>
    </row>
    <row r="99" ht="15" customHeight="1" s="236">
      <c r="A99" s="243" t="n">
        <v>98</v>
      </c>
      <c r="B99" s="248" t="inlineStr">
        <is>
          <t>Термометр биметаллический</t>
        </is>
      </c>
      <c r="C99" s="245" t="inlineStr">
        <is>
          <t>БТ5</t>
        </is>
      </c>
      <c r="D99" s="245" t="inlineStr">
        <is>
          <t>15045</t>
        </is>
      </c>
      <c r="E99" s="245" t="inlineStr"/>
      <c r="F99" s="243" t="inlineStr">
        <is>
          <t>­40…+60°С</t>
        </is>
      </c>
      <c r="G99" s="243" t="inlineStr">
        <is>
          <t>1.5</t>
        </is>
      </c>
      <c r="H99" s="243" t="inlineStr">
        <is>
          <t>Т газа на входе в котельную</t>
        </is>
      </c>
      <c r="I99" s="243" t="inlineStr">
        <is>
          <t>Котельная</t>
        </is>
      </c>
      <c r="J99" s="243" t="inlineStr">
        <is>
          <t>АСУ,А и ТМ (КЦ № 6)</t>
        </is>
      </c>
      <c r="K99" s="243" t="inlineStr"/>
      <c r="L99" s="243" t="inlineStr">
        <is>
          <t>24</t>
        </is>
      </c>
      <c r="M99" s="246" t="inlineStr">
        <is>
          <t>25ДЯУ</t>
        </is>
      </c>
      <c r="N99" s="245" t="inlineStr">
        <is>
          <t>П</t>
        </is>
      </c>
    </row>
    <row r="100" ht="15" customHeight="1" s="236">
      <c r="A100" s="243" t="n">
        <v>99</v>
      </c>
      <c r="B100" s="248" t="inlineStr">
        <is>
          <t>Термометр биметаллический</t>
        </is>
      </c>
      <c r="C100" s="245" t="inlineStr">
        <is>
          <t>БТ5</t>
        </is>
      </c>
      <c r="D100" s="245" t="inlineStr">
        <is>
          <t>15040</t>
        </is>
      </c>
      <c r="E100" s="245" t="inlineStr"/>
      <c r="F100" s="243" t="inlineStr">
        <is>
          <t>0…+160°С</t>
        </is>
      </c>
      <c r="G100" s="243" t="inlineStr">
        <is>
          <t>1.5</t>
        </is>
      </c>
      <c r="H100" s="243" t="inlineStr">
        <is>
          <t>Т воды на выходе котла №1</t>
        </is>
      </c>
      <c r="I100" s="243" t="inlineStr">
        <is>
          <t>Котельная</t>
        </is>
      </c>
      <c r="J100" s="243" t="inlineStr">
        <is>
          <t>АСУ,А и ТМ (КЦ № 6)</t>
        </is>
      </c>
      <c r="K100" s="243" t="inlineStr"/>
      <c r="L100" s="243" t="inlineStr">
        <is>
          <t>24</t>
        </is>
      </c>
      <c r="M100" s="246" t="inlineStr">
        <is>
          <t>25ДЯУ</t>
        </is>
      </c>
      <c r="N100" s="245" t="inlineStr">
        <is>
          <t>П</t>
        </is>
      </c>
    </row>
    <row r="101" ht="15" customHeight="1" s="236">
      <c r="A101" s="243" t="n">
        <v>100</v>
      </c>
      <c r="B101" s="248" t="inlineStr">
        <is>
          <t>Термометр биметаллический</t>
        </is>
      </c>
      <c r="C101" s="245" t="inlineStr">
        <is>
          <t>БТ5</t>
        </is>
      </c>
      <c r="D101" s="245" t="inlineStr">
        <is>
          <t>15046</t>
        </is>
      </c>
      <c r="E101" s="245" t="inlineStr"/>
      <c r="F101" s="243" t="inlineStr">
        <is>
          <t>0…+350°С</t>
        </is>
      </c>
      <c r="G101" s="243" t="inlineStr">
        <is>
          <t>1.5</t>
        </is>
      </c>
      <c r="H101" s="243" t="inlineStr">
        <is>
          <t>Т дымовых газов котла №1</t>
        </is>
      </c>
      <c r="I101" s="243" t="inlineStr">
        <is>
          <t>Котельная</t>
        </is>
      </c>
      <c r="J101" s="243" t="inlineStr">
        <is>
          <t>АСУ,А и ТМ (КЦ № 6)</t>
        </is>
      </c>
      <c r="K101" s="243" t="inlineStr"/>
      <c r="L101" s="243" t="inlineStr">
        <is>
          <t>24</t>
        </is>
      </c>
      <c r="M101" s="246" t="inlineStr">
        <is>
          <t>25ДЯУ</t>
        </is>
      </c>
      <c r="N101" s="245" t="inlineStr">
        <is>
          <t>П</t>
        </is>
      </c>
    </row>
    <row r="102" ht="15" customHeight="1" s="236">
      <c r="A102" s="243" t="n">
        <v>101</v>
      </c>
      <c r="B102" s="248" t="inlineStr">
        <is>
          <t>Термометр биметаллический</t>
        </is>
      </c>
      <c r="C102" s="245" t="inlineStr">
        <is>
          <t>БТ5</t>
        </is>
      </c>
      <c r="D102" s="245" t="inlineStr">
        <is>
          <t>15034</t>
        </is>
      </c>
      <c r="E102" s="245" t="inlineStr"/>
      <c r="F102" s="243" t="inlineStr">
        <is>
          <t>0…+160°С</t>
        </is>
      </c>
      <c r="G102" s="243" t="inlineStr">
        <is>
          <t>1.5</t>
        </is>
      </c>
      <c r="H102" s="243" t="inlineStr">
        <is>
          <t>Т воды на выходе котла №2</t>
        </is>
      </c>
      <c r="I102" s="243" t="inlineStr">
        <is>
          <t>Котельная</t>
        </is>
      </c>
      <c r="J102" s="243" t="inlineStr">
        <is>
          <t>АСУ,А и ТМ (КЦ № 6)</t>
        </is>
      </c>
      <c r="K102" s="243" t="inlineStr"/>
      <c r="L102" s="243" t="inlineStr">
        <is>
          <t>24</t>
        </is>
      </c>
      <c r="M102" s="246" t="inlineStr">
        <is>
          <t>25ДЯУ</t>
        </is>
      </c>
      <c r="N102" s="245" t="inlineStr">
        <is>
          <t>П</t>
        </is>
      </c>
    </row>
    <row r="103" ht="15" customHeight="1" s="236">
      <c r="A103" s="243" t="n">
        <v>102</v>
      </c>
      <c r="B103" s="248" t="inlineStr">
        <is>
          <t>Термометр биметаллический</t>
        </is>
      </c>
      <c r="C103" s="245" t="inlineStr">
        <is>
          <t>БТ5</t>
        </is>
      </c>
      <c r="D103" s="245" t="inlineStr">
        <is>
          <t>15047</t>
        </is>
      </c>
      <c r="E103" s="245" t="inlineStr"/>
      <c r="F103" s="243" t="inlineStr">
        <is>
          <t>0…+350°С</t>
        </is>
      </c>
      <c r="G103" s="243" t="inlineStr">
        <is>
          <t>1.5</t>
        </is>
      </c>
      <c r="H103" s="243" t="inlineStr">
        <is>
          <t>Т дымовых газов котла №2</t>
        </is>
      </c>
      <c r="I103" s="243" t="inlineStr">
        <is>
          <t>Котельная</t>
        </is>
      </c>
      <c r="J103" s="243" t="inlineStr">
        <is>
          <t>АСУ,А и ТМ (КЦ № 6)</t>
        </is>
      </c>
      <c r="K103" s="243" t="inlineStr"/>
      <c r="L103" s="243" t="inlineStr">
        <is>
          <t>24</t>
        </is>
      </c>
      <c r="M103" s="246" t="inlineStr">
        <is>
          <t>25ДЯУ</t>
        </is>
      </c>
      <c r="N103" s="245" t="inlineStr">
        <is>
          <t>П</t>
        </is>
      </c>
    </row>
    <row r="104" ht="15" customHeight="1" s="236">
      <c r="A104" s="243" t="n">
        <v>103</v>
      </c>
      <c r="B104" s="248" t="inlineStr">
        <is>
          <t>Термометр биметаллический</t>
        </is>
      </c>
      <c r="C104" s="245" t="inlineStr">
        <is>
          <t>БТ5</t>
        </is>
      </c>
      <c r="D104" s="245" t="inlineStr">
        <is>
          <t>15043</t>
        </is>
      </c>
      <c r="E104" s="245" t="inlineStr"/>
      <c r="F104" s="243" t="inlineStr">
        <is>
          <t>0…+120°С</t>
        </is>
      </c>
      <c r="G104" s="243" t="inlineStr">
        <is>
          <t>1.5</t>
        </is>
      </c>
      <c r="H104" s="243" t="inlineStr">
        <is>
          <t>Т воды на входе котла №2</t>
        </is>
      </c>
      <c r="I104" s="243" t="inlineStr">
        <is>
          <t>Котельная</t>
        </is>
      </c>
      <c r="J104" s="243" t="inlineStr">
        <is>
          <t>АСУ,А и ТМ (КЦ № 6)</t>
        </is>
      </c>
      <c r="K104" s="243" t="inlineStr"/>
      <c r="L104" s="243" t="inlineStr">
        <is>
          <t>24</t>
        </is>
      </c>
      <c r="M104" s="246" t="inlineStr">
        <is>
          <t>25ДЯУ</t>
        </is>
      </c>
      <c r="N104" s="245" t="inlineStr">
        <is>
          <t>П</t>
        </is>
      </c>
    </row>
    <row r="105" ht="22.5" customHeight="1" s="236">
      <c r="A105" s="243" t="n">
        <v>104</v>
      </c>
      <c r="B105" s="248" t="inlineStr">
        <is>
          <t>Термометр биметаллический</t>
        </is>
      </c>
      <c r="C105" s="245" t="inlineStr">
        <is>
          <t>БТ5</t>
        </is>
      </c>
      <c r="D105" s="245" t="inlineStr">
        <is>
          <t>15038</t>
        </is>
      </c>
      <c r="E105" s="245" t="inlineStr"/>
      <c r="F105" s="243" t="inlineStr">
        <is>
          <t>0…+100°С</t>
        </is>
      </c>
      <c r="G105" s="243" t="inlineStr">
        <is>
          <t>1.5</t>
        </is>
      </c>
      <c r="H105" s="243" t="inlineStr">
        <is>
          <t>Т жидкого топлива на входе в котел №3</t>
        </is>
      </c>
      <c r="I105" s="243" t="inlineStr">
        <is>
          <t>Котельная</t>
        </is>
      </c>
      <c r="J105" s="243" t="inlineStr">
        <is>
          <t>АСУ,А и ТМ (КЦ № 6)</t>
        </is>
      </c>
      <c r="K105" s="243" t="inlineStr"/>
      <c r="L105" s="243" t="inlineStr">
        <is>
          <t>24</t>
        </is>
      </c>
      <c r="M105" s="246" t="inlineStr">
        <is>
          <t>25ДЯУ</t>
        </is>
      </c>
      <c r="N105" s="245" t="inlineStr">
        <is>
          <t>К</t>
        </is>
      </c>
    </row>
    <row r="106" ht="22.5" customHeight="1" s="236">
      <c r="A106" s="243" t="n">
        <v>105</v>
      </c>
      <c r="B106" s="248" t="inlineStr">
        <is>
          <t>Термометр биметаллический</t>
        </is>
      </c>
      <c r="C106" s="245" t="inlineStr">
        <is>
          <t>БТ5</t>
        </is>
      </c>
      <c r="D106" s="245" t="inlineStr">
        <is>
          <t>15030</t>
        </is>
      </c>
      <c r="E106" s="245" t="inlineStr"/>
      <c r="F106" s="243" t="inlineStr">
        <is>
          <t>0…+120°С</t>
        </is>
      </c>
      <c r="G106" s="243" t="inlineStr">
        <is>
          <t>1.5</t>
        </is>
      </c>
      <c r="H106" s="243" t="inlineStr">
        <is>
          <t>Т воды из теплосети собственных нужд</t>
        </is>
      </c>
      <c r="I106" s="243" t="inlineStr">
        <is>
          <t>Котельная</t>
        </is>
      </c>
      <c r="J106" s="243" t="inlineStr">
        <is>
          <t>АСУ,А и ТМ (КЦ № 6)</t>
        </is>
      </c>
      <c r="K106" s="243" t="inlineStr"/>
      <c r="L106" s="243" t="inlineStr">
        <is>
          <t>24</t>
        </is>
      </c>
      <c r="M106" s="246" t="inlineStr">
        <is>
          <t>25ДЯУ</t>
        </is>
      </c>
      <c r="N106" s="245" t="inlineStr">
        <is>
          <t>П</t>
        </is>
      </c>
    </row>
    <row r="107" ht="15" customHeight="1" s="236">
      <c r="A107" s="243" t="n">
        <v>106</v>
      </c>
      <c r="B107" s="248" t="inlineStr">
        <is>
          <t>Термометр биметаллический</t>
        </is>
      </c>
      <c r="C107" s="245" t="inlineStr">
        <is>
          <t>БТ5</t>
        </is>
      </c>
      <c r="D107" s="245" t="inlineStr">
        <is>
          <t>15037</t>
        </is>
      </c>
      <c r="E107" s="245" t="inlineStr"/>
      <c r="F107" s="243" t="inlineStr">
        <is>
          <t>0…+120°С</t>
        </is>
      </c>
      <c r="G107" s="243" t="inlineStr">
        <is>
          <t>1.5</t>
        </is>
      </c>
      <c r="H107" s="243" t="inlineStr">
        <is>
          <t>Т воды в Т2</t>
        </is>
      </c>
      <c r="I107" s="243" t="inlineStr">
        <is>
          <t>Котельная</t>
        </is>
      </c>
      <c r="J107" s="243" t="inlineStr">
        <is>
          <t>АСУ,А и ТМ (КЦ № 6)</t>
        </is>
      </c>
      <c r="K107" s="243" t="inlineStr"/>
      <c r="L107" s="243" t="inlineStr">
        <is>
          <t>24</t>
        </is>
      </c>
      <c r="M107" s="246" t="inlineStr">
        <is>
          <t>25ДЯУ</t>
        </is>
      </c>
      <c r="N107" s="245" t="inlineStr">
        <is>
          <t>П</t>
        </is>
      </c>
    </row>
    <row r="108" ht="15" customHeight="1" s="236">
      <c r="A108" s="243" t="n">
        <v>107</v>
      </c>
      <c r="B108" s="248" t="inlineStr">
        <is>
          <t>Термометр биметаллический</t>
        </is>
      </c>
      <c r="C108" s="245" t="inlineStr">
        <is>
          <t>БТ5</t>
        </is>
      </c>
      <c r="D108" s="245" t="inlineStr">
        <is>
          <t>15032</t>
        </is>
      </c>
      <c r="E108" s="245" t="inlineStr"/>
      <c r="F108" s="243" t="inlineStr">
        <is>
          <t>0…+160°С</t>
        </is>
      </c>
      <c r="G108" s="243" t="inlineStr">
        <is>
          <t>1.5</t>
        </is>
      </c>
      <c r="H108" s="243" t="inlineStr">
        <is>
          <t>Т перед смесителями</t>
        </is>
      </c>
      <c r="I108" s="243" t="inlineStr">
        <is>
          <t>Котельная</t>
        </is>
      </c>
      <c r="J108" s="243" t="inlineStr">
        <is>
          <t>АСУ,А и ТМ (КЦ № 6)</t>
        </is>
      </c>
      <c r="K108" s="243" t="inlineStr"/>
      <c r="L108" s="243" t="inlineStr">
        <is>
          <t>24</t>
        </is>
      </c>
      <c r="M108" s="246" t="inlineStr">
        <is>
          <t>25ДЯУ</t>
        </is>
      </c>
      <c r="N108" s="245" t="inlineStr">
        <is>
          <t>П</t>
        </is>
      </c>
    </row>
    <row r="109" ht="22.5" customHeight="1" s="236">
      <c r="A109" s="243" t="n">
        <v>108</v>
      </c>
      <c r="B109" s="248" t="inlineStr">
        <is>
          <t>Термометр биметаллический</t>
        </is>
      </c>
      <c r="C109" s="245" t="inlineStr">
        <is>
          <t>БТ5</t>
        </is>
      </c>
      <c r="D109" s="245" t="inlineStr">
        <is>
          <t>15039</t>
        </is>
      </c>
      <c r="E109" s="245" t="inlineStr"/>
      <c r="F109" s="243" t="inlineStr">
        <is>
          <t>0…+160°С</t>
        </is>
      </c>
      <c r="G109" s="243" t="inlineStr">
        <is>
          <t>1.5</t>
        </is>
      </c>
      <c r="H109" s="243" t="inlineStr">
        <is>
          <t>Т воды после основного и резервного насоса</t>
        </is>
      </c>
      <c r="I109" s="243" t="inlineStr">
        <is>
          <t>Котельная</t>
        </is>
      </c>
      <c r="J109" s="243" t="inlineStr">
        <is>
          <t>АСУ,А и ТМ (КЦ № 6)</t>
        </is>
      </c>
      <c r="K109" s="243" t="inlineStr"/>
      <c r="L109" s="243" t="inlineStr">
        <is>
          <t>24</t>
        </is>
      </c>
      <c r="M109" s="246" t="inlineStr">
        <is>
          <t>25ДЯУ</t>
        </is>
      </c>
      <c r="N109" s="245" t="inlineStr">
        <is>
          <t>П</t>
        </is>
      </c>
    </row>
    <row r="110" ht="15" customHeight="1" s="236">
      <c r="A110" s="243" t="n">
        <v>109</v>
      </c>
      <c r="B110" s="248" t="inlineStr">
        <is>
          <t>Термометр биметаллический</t>
        </is>
      </c>
      <c r="C110" s="245" t="inlineStr">
        <is>
          <t>БТ5</t>
        </is>
      </c>
      <c r="D110" s="245" t="inlineStr">
        <is>
          <t>15031</t>
        </is>
      </c>
      <c r="E110" s="245" t="inlineStr"/>
      <c r="F110" s="243" t="inlineStr">
        <is>
          <t>0…+350°С</t>
        </is>
      </c>
      <c r="G110" s="243" t="inlineStr">
        <is>
          <t>1.5</t>
        </is>
      </c>
      <c r="H110" s="243" t="inlineStr">
        <is>
          <t>Т дымовых газов котла №3</t>
        </is>
      </c>
      <c r="I110" s="243" t="inlineStr">
        <is>
          <t>Котельная</t>
        </is>
      </c>
      <c r="J110" s="243" t="inlineStr">
        <is>
          <t>АСУ,А и ТМ (КЦ № 6)</t>
        </is>
      </c>
      <c r="K110" s="243" t="inlineStr"/>
      <c r="L110" s="243" t="inlineStr">
        <is>
          <t>24</t>
        </is>
      </c>
      <c r="M110" s="246" t="inlineStr">
        <is>
          <t>25ДЯУ</t>
        </is>
      </c>
      <c r="N110" s="245" t="inlineStr">
        <is>
          <t>П</t>
        </is>
      </c>
    </row>
    <row r="111" ht="15" customHeight="1" s="236">
      <c r="A111" s="243" t="n">
        <v>110</v>
      </c>
      <c r="B111" s="248" t="inlineStr">
        <is>
          <t>Термометр биметаллический</t>
        </is>
      </c>
      <c r="C111" s="245" t="inlineStr">
        <is>
          <t>БТ5</t>
        </is>
      </c>
      <c r="D111" s="245" t="inlineStr">
        <is>
          <t>15041</t>
        </is>
      </c>
      <c r="E111" s="245" t="inlineStr"/>
      <c r="F111" s="243" t="inlineStr">
        <is>
          <t>0…+120°С</t>
        </is>
      </c>
      <c r="G111" s="243" t="inlineStr">
        <is>
          <t>1.5</t>
        </is>
      </c>
      <c r="H111" s="243" t="inlineStr">
        <is>
          <t>Т воды на входе в котел №3</t>
        </is>
      </c>
      <c r="I111" s="243" t="inlineStr">
        <is>
          <t>Котельная</t>
        </is>
      </c>
      <c r="J111" s="243" t="inlineStr">
        <is>
          <t>АСУ,А и ТМ (КЦ № 6)</t>
        </is>
      </c>
      <c r="K111" s="243" t="inlineStr"/>
      <c r="L111" s="243" t="inlineStr">
        <is>
          <t>24</t>
        </is>
      </c>
      <c r="M111" s="246" t="inlineStr">
        <is>
          <t>25ДЯУ</t>
        </is>
      </c>
      <c r="N111" s="245" t="inlineStr">
        <is>
          <t>П</t>
        </is>
      </c>
    </row>
    <row r="112" ht="15" customHeight="1" s="236">
      <c r="A112" s="243" t="n">
        <v>111</v>
      </c>
      <c r="B112" s="248" t="inlineStr">
        <is>
          <t>Термометр биметаллический</t>
        </is>
      </c>
      <c r="C112" s="245" t="inlineStr">
        <is>
          <t>БТ5</t>
        </is>
      </c>
      <c r="D112" s="245" t="inlineStr">
        <is>
          <t>15029</t>
        </is>
      </c>
      <c r="E112" s="245" t="inlineStr"/>
      <c r="F112" s="243" t="inlineStr">
        <is>
          <t>0…+160°С</t>
        </is>
      </c>
      <c r="G112" s="243" t="inlineStr">
        <is>
          <t>1.5</t>
        </is>
      </c>
      <c r="H112" s="243" t="inlineStr">
        <is>
          <t>Т воды на выходе котла №3</t>
        </is>
      </c>
      <c r="I112" s="243" t="inlineStr">
        <is>
          <t>Котельная</t>
        </is>
      </c>
      <c r="J112" s="243" t="inlineStr">
        <is>
          <t>АСУ,А и ТМ (КЦ № 6)</t>
        </is>
      </c>
      <c r="K112" s="243" t="inlineStr"/>
      <c r="L112" s="243" t="inlineStr">
        <is>
          <t>24</t>
        </is>
      </c>
      <c r="M112" s="246" t="inlineStr">
        <is>
          <t>25ДЯУ</t>
        </is>
      </c>
      <c r="N112" s="245" t="inlineStr">
        <is>
          <t>П</t>
        </is>
      </c>
    </row>
    <row r="113" ht="15" customHeight="1" s="236">
      <c r="A113" s="243" t="n">
        <v>112</v>
      </c>
      <c r="B113" s="248" t="inlineStr">
        <is>
          <t>Термометр биметаллический</t>
        </is>
      </c>
      <c r="C113" s="245" t="inlineStr">
        <is>
          <t>БТ5</t>
        </is>
      </c>
      <c r="D113" s="245" t="inlineStr">
        <is>
          <t>15033</t>
        </is>
      </c>
      <c r="E113" s="245" t="inlineStr"/>
      <c r="F113" s="243" t="inlineStr">
        <is>
          <t>0…+160°С</t>
        </is>
      </c>
      <c r="G113" s="243" t="inlineStr">
        <is>
          <t>1.5</t>
        </is>
      </c>
      <c r="H113" s="243" t="inlineStr">
        <is>
          <t>Т воды в Т1</t>
        </is>
      </c>
      <c r="I113" s="243" t="inlineStr">
        <is>
          <t>Котельная</t>
        </is>
      </c>
      <c r="J113" s="243" t="inlineStr">
        <is>
          <t>АСУ,А и ТМ (КЦ № 6)</t>
        </is>
      </c>
      <c r="K113" s="243" t="inlineStr"/>
      <c r="L113" s="243" t="inlineStr">
        <is>
          <t>24</t>
        </is>
      </c>
      <c r="M113" s="246" t="inlineStr">
        <is>
          <t>25ДЯУ</t>
        </is>
      </c>
      <c r="N113" s="245" t="inlineStr">
        <is>
          <t>П</t>
        </is>
      </c>
    </row>
    <row r="114" ht="15" customHeight="1" s="236">
      <c r="A114" s="243" t="n">
        <v>113</v>
      </c>
      <c r="B114" s="248" t="inlineStr">
        <is>
          <t>Термометр биметаллический</t>
        </is>
      </c>
      <c r="C114" s="245" t="inlineStr">
        <is>
          <t>БТ5</t>
        </is>
      </c>
      <c r="D114" s="245" t="inlineStr">
        <is>
          <t>15044</t>
        </is>
      </c>
      <c r="E114" s="245" t="inlineStr"/>
      <c r="F114" s="243" t="inlineStr">
        <is>
          <t>0…+120°С</t>
        </is>
      </c>
      <c r="G114" s="243" t="inlineStr">
        <is>
          <t>1.5</t>
        </is>
      </c>
      <c r="H114" s="243" t="inlineStr">
        <is>
          <t>Т воды в общем коллекторе Т2</t>
        </is>
      </c>
      <c r="I114" s="243" t="inlineStr">
        <is>
          <t>Котельная</t>
        </is>
      </c>
      <c r="J114" s="243" t="inlineStr">
        <is>
          <t>АСУ,А и ТМ (КЦ № 6)</t>
        </is>
      </c>
      <c r="K114" s="243" t="inlineStr"/>
      <c r="L114" s="243" t="inlineStr">
        <is>
          <t>24</t>
        </is>
      </c>
      <c r="M114" s="246" t="inlineStr">
        <is>
          <t>25ДЯУ</t>
        </is>
      </c>
      <c r="N114" s="245" t="inlineStr">
        <is>
          <t>П</t>
        </is>
      </c>
    </row>
    <row r="115" ht="15" customHeight="1" s="236">
      <c r="A115" s="243" t="n">
        <v>114</v>
      </c>
      <c r="B115" s="248" t="inlineStr">
        <is>
          <t>Термометр биметаллический</t>
        </is>
      </c>
      <c r="C115" s="245" t="inlineStr">
        <is>
          <t>БТ5</t>
        </is>
      </c>
      <c r="D115" s="245" t="inlineStr">
        <is>
          <t>15042</t>
        </is>
      </c>
      <c r="E115" s="245" t="inlineStr"/>
      <c r="F115" s="243" t="inlineStr">
        <is>
          <t>0…+160°С</t>
        </is>
      </c>
      <c r="G115" s="243" t="inlineStr">
        <is>
          <t>1.5</t>
        </is>
      </c>
      <c r="H115" s="243" t="inlineStr">
        <is>
          <t>Т воды на выходе котельной</t>
        </is>
      </c>
      <c r="I115" s="243" t="inlineStr">
        <is>
          <t>Котельная</t>
        </is>
      </c>
      <c r="J115" s="243" t="inlineStr">
        <is>
          <t>АСУ,А и ТМ (КЦ № 6)</t>
        </is>
      </c>
      <c r="K115" s="243" t="inlineStr"/>
      <c r="L115" s="243" t="inlineStr">
        <is>
          <t>24</t>
        </is>
      </c>
      <c r="M115" s="246" t="inlineStr">
        <is>
          <t>25ДЯУ</t>
        </is>
      </c>
      <c r="N115" s="245" t="inlineStr">
        <is>
          <t>П</t>
        </is>
      </c>
    </row>
    <row r="116" ht="15" customHeight="1" s="236">
      <c r="A116" s="243" t="n">
        <v>115</v>
      </c>
      <c r="B116" s="248" t="inlineStr">
        <is>
          <t>Термометр биметаллический</t>
        </is>
      </c>
      <c r="C116" s="245" t="inlineStr">
        <is>
          <t>БТ5</t>
        </is>
      </c>
      <c r="D116" s="245" t="inlineStr">
        <is>
          <t>15036</t>
        </is>
      </c>
      <c r="E116" s="245" t="inlineStr"/>
      <c r="F116" s="243" t="inlineStr">
        <is>
          <t>0…+120°С</t>
        </is>
      </c>
      <c r="G116" s="243" t="inlineStr">
        <is>
          <t>1.5</t>
        </is>
      </c>
      <c r="H116" s="243" t="inlineStr">
        <is>
          <t>Т воды на входе в котельную</t>
        </is>
      </c>
      <c r="I116" s="243" t="inlineStr">
        <is>
          <t>Котельная</t>
        </is>
      </c>
      <c r="J116" s="243" t="inlineStr">
        <is>
          <t>АСУ,А и ТМ (КЦ № 6)</t>
        </is>
      </c>
      <c r="K116" s="243" t="inlineStr"/>
      <c r="L116" s="243" t="inlineStr">
        <is>
          <t>24</t>
        </is>
      </c>
      <c r="M116" s="246" t="inlineStr">
        <is>
          <t>25ДЯУ</t>
        </is>
      </c>
      <c r="N116" s="245" t="inlineStr">
        <is>
          <t>П</t>
        </is>
      </c>
    </row>
    <row r="117" ht="15" customHeight="1" s="236">
      <c r="A117" s="243" t="n">
        <v>116</v>
      </c>
      <c r="B117" s="248" t="inlineStr">
        <is>
          <t>Термометр биметаллический</t>
        </is>
      </c>
      <c r="C117" s="245" t="inlineStr">
        <is>
          <t>БТ5</t>
        </is>
      </c>
      <c r="D117" s="245" t="inlineStr">
        <is>
          <t>15035</t>
        </is>
      </c>
      <c r="E117" s="245" t="inlineStr"/>
      <c r="F117" s="243" t="inlineStr">
        <is>
          <t>0…+120°С</t>
        </is>
      </c>
      <c r="G117" s="243" t="inlineStr">
        <is>
          <t>1.5</t>
        </is>
      </c>
      <c r="H117" s="243" t="inlineStr">
        <is>
          <t>Т воды на входе котла №1</t>
        </is>
      </c>
      <c r="I117" s="243" t="inlineStr">
        <is>
          <t>Котельная</t>
        </is>
      </c>
      <c r="J117" s="243" t="inlineStr">
        <is>
          <t>АСУ,А и ТМ (КЦ № 6)</t>
        </is>
      </c>
      <c r="K117" s="243" t="inlineStr"/>
      <c r="L117" s="243" t="inlineStr">
        <is>
          <t>24</t>
        </is>
      </c>
      <c r="M117" s="246" t="inlineStr">
        <is>
          <t>25ДЯУ</t>
        </is>
      </c>
      <c r="N117" s="245" t="inlineStr">
        <is>
          <t>П</t>
        </is>
      </c>
    </row>
    <row r="118" ht="15" customHeight="1" s="236">
      <c r="A118" s="243" t="n">
        <v>117</v>
      </c>
      <c r="B118" s="248" t="inlineStr">
        <is>
          <t>Термометр биметаллический</t>
        </is>
      </c>
      <c r="C118" s="245" t="inlineStr">
        <is>
          <t>БТ5</t>
        </is>
      </c>
      <c r="D118" s="245" t="inlineStr">
        <is>
          <t>15071</t>
        </is>
      </c>
      <c r="E118" s="245" t="inlineStr"/>
      <c r="F118" s="243" t="inlineStr">
        <is>
          <t>-40…+60°С</t>
        </is>
      </c>
      <c r="G118" s="243" t="inlineStr">
        <is>
          <t>1.5</t>
        </is>
      </c>
      <c r="H118" s="243" t="inlineStr">
        <is>
          <t>Т воды на ХВО перед фильтром</t>
        </is>
      </c>
      <c r="I118" s="243" t="inlineStr">
        <is>
          <t>Котельная</t>
        </is>
      </c>
      <c r="J118" s="243" t="inlineStr">
        <is>
          <t>АСУ,А и ТМ (КЦ № 6)</t>
        </is>
      </c>
      <c r="K118" s="243" t="inlineStr"/>
      <c r="L118" s="243" t="inlineStr">
        <is>
          <t>24</t>
        </is>
      </c>
      <c r="M118" s="246" t="inlineStr">
        <is>
          <t>25ДЯУ</t>
        </is>
      </c>
      <c r="N118" s="245" t="inlineStr">
        <is>
          <t>П</t>
        </is>
      </c>
    </row>
    <row r="119" ht="15" customHeight="1" s="236">
      <c r="A119" s="243" t="n">
        <v>118</v>
      </c>
      <c r="B119" s="248" t="inlineStr">
        <is>
          <t>Счетчик газа</t>
        </is>
      </c>
      <c r="C119" s="245" t="inlineStr">
        <is>
          <t>G25</t>
        </is>
      </c>
      <c r="D119" s="245" t="inlineStr">
        <is>
          <t>12031265</t>
        </is>
      </c>
      <c r="E119" s="245" t="inlineStr">
        <is>
          <t>2012</t>
        </is>
      </c>
      <c r="F119" s="243" t="inlineStr"/>
      <c r="G119" s="243" t="inlineStr"/>
      <c r="H119" s="243" t="inlineStr">
        <is>
          <t>Счетчик газа на входе в котельную</t>
        </is>
      </c>
      <c r="I119" s="243" t="inlineStr">
        <is>
          <t>Котельная</t>
        </is>
      </c>
      <c r="J119" s="243" t="inlineStr">
        <is>
          <t>АСУ,А и ТМ (КЦ № 6)</t>
        </is>
      </c>
      <c r="K119" s="243" t="inlineStr"/>
      <c r="L119" s="243" t="inlineStr"/>
      <c r="M119" s="246" t="inlineStr"/>
      <c r="N119" s="245" t="inlineStr"/>
    </row>
    <row r="120" ht="15" customHeight="1" s="236">
      <c r="A120" s="243" t="n">
        <v>119</v>
      </c>
      <c r="B120" s="248" t="inlineStr">
        <is>
          <t>Счетчик газа</t>
        </is>
      </c>
      <c r="C120" s="245" t="inlineStr">
        <is>
          <t>G40</t>
        </is>
      </c>
      <c r="D120" s="245" t="inlineStr">
        <is>
          <t>12020926</t>
        </is>
      </c>
      <c r="E120" s="245" t="inlineStr">
        <is>
          <t>2012</t>
        </is>
      </c>
      <c r="F120" s="243" t="inlineStr"/>
      <c r="G120" s="243" t="inlineStr"/>
      <c r="H120" s="243" t="inlineStr">
        <is>
          <t>Счетчик котла №1</t>
        </is>
      </c>
      <c r="I120" s="243" t="inlineStr">
        <is>
          <t>Котельная</t>
        </is>
      </c>
      <c r="J120" s="243" t="inlineStr">
        <is>
          <t>АСУ,А и ТМ (КЦ № 6)</t>
        </is>
      </c>
      <c r="K120" s="243" t="inlineStr"/>
      <c r="L120" s="243" t="inlineStr"/>
      <c r="M120" s="246" t="inlineStr"/>
      <c r="N120" s="245" t="inlineStr"/>
    </row>
    <row r="121" ht="15" customHeight="1" s="236">
      <c r="A121" s="243" t="n">
        <v>120</v>
      </c>
      <c r="B121" s="248" t="inlineStr">
        <is>
          <t>Счетчик газа</t>
        </is>
      </c>
      <c r="C121" s="245" t="inlineStr">
        <is>
          <t>G40</t>
        </is>
      </c>
      <c r="D121" s="245" t="inlineStr">
        <is>
          <t>12020705</t>
        </is>
      </c>
      <c r="E121" s="245" t="inlineStr">
        <is>
          <t>2012</t>
        </is>
      </c>
      <c r="F121" s="243" t="inlineStr"/>
      <c r="G121" s="243" t="inlineStr"/>
      <c r="H121" s="243" t="inlineStr">
        <is>
          <t>Счетчик котла №2</t>
        </is>
      </c>
      <c r="I121" s="243" t="inlineStr">
        <is>
          <t>Котельная</t>
        </is>
      </c>
      <c r="J121" s="243" t="inlineStr">
        <is>
          <t>АСУ,А и ТМ (КЦ № 6)</t>
        </is>
      </c>
      <c r="K121" s="243" t="inlineStr"/>
      <c r="L121" s="243" t="inlineStr"/>
      <c r="M121" s="246" t="inlineStr"/>
      <c r="N121" s="245" t="inlineStr"/>
    </row>
    <row r="122" ht="15" customHeight="1" s="236">
      <c r="A122" s="243" t="n">
        <v>121</v>
      </c>
      <c r="B122" s="248" t="inlineStr">
        <is>
          <t>Счетчик газа</t>
        </is>
      </c>
      <c r="C122" s="245" t="inlineStr">
        <is>
          <t>G40</t>
        </is>
      </c>
      <c r="D122" s="245" t="inlineStr">
        <is>
          <t>12020928</t>
        </is>
      </c>
      <c r="E122" s="245" t="inlineStr">
        <is>
          <t>2012</t>
        </is>
      </c>
      <c r="F122" s="243" t="inlineStr"/>
      <c r="G122" s="243" t="inlineStr"/>
      <c r="H122" s="243" t="inlineStr">
        <is>
          <t>Счетчик котла №3</t>
        </is>
      </c>
      <c r="I122" s="243" t="inlineStr">
        <is>
          <t>Котельная</t>
        </is>
      </c>
      <c r="J122" s="243" t="inlineStr">
        <is>
          <t>АСУ,А и ТМ (КЦ № 6)</t>
        </is>
      </c>
      <c r="K122" s="243" t="inlineStr"/>
      <c r="L122" s="243" t="inlineStr"/>
      <c r="M122" s="246" t="inlineStr"/>
      <c r="N122" s="245" t="inlineStr"/>
    </row>
    <row r="123" ht="22.5" customHeight="1" s="236">
      <c r="A123" s="243" t="n">
        <v>122</v>
      </c>
      <c r="B123" s="249" t="inlineStr">
        <is>
          <t>Преобразователь избыточного давления</t>
        </is>
      </c>
      <c r="C123" s="245" t="inlineStr">
        <is>
          <t>В составе фильтра MADAS FGM DN50</t>
        </is>
      </c>
      <c r="D123" s="245" t="inlineStr">
        <is>
          <t>2741</t>
        </is>
      </c>
      <c r="E123" s="245" t="inlineStr"/>
      <c r="F123" s="243" t="inlineStr">
        <is>
          <t>0…20bar</t>
        </is>
      </c>
      <c r="G123" s="243" t="inlineStr">
        <is>
          <t>1.5</t>
        </is>
      </c>
      <c r="H123" s="243" t="inlineStr">
        <is>
          <t>Перепад давления на фильтре газа</t>
        </is>
      </c>
      <c r="I123" s="243" t="inlineStr">
        <is>
          <t>Котельная</t>
        </is>
      </c>
      <c r="J123" s="243" t="inlineStr">
        <is>
          <t>АСУ,А и ТМ (КЦ № 6)</t>
        </is>
      </c>
      <c r="K123" s="243" t="inlineStr"/>
      <c r="L123" s="243" t="inlineStr"/>
      <c r="M123" s="246" t="inlineStr"/>
      <c r="N123" s="245" t="inlineStr"/>
    </row>
    <row r="124" ht="15" customHeight="1" s="236">
      <c r="A124" s="243" t="n">
        <v>123</v>
      </c>
      <c r="B124" s="244" t="inlineStr">
        <is>
          <t>Датчик температуры</t>
        </is>
      </c>
      <c r="C124" s="245" t="inlineStr">
        <is>
          <t>Элемер ТС-1088/6 Pt100</t>
        </is>
      </c>
      <c r="D124" s="245" t="inlineStr">
        <is>
          <t>8190</t>
        </is>
      </c>
      <c r="E124" s="245" t="inlineStr">
        <is>
          <t>2012</t>
        </is>
      </c>
      <c r="F124" s="243" t="inlineStr">
        <is>
          <t>­50…+200°С</t>
        </is>
      </c>
      <c r="G124" s="243" t="inlineStr"/>
      <c r="H124" s="243" t="inlineStr">
        <is>
          <t>Т воды в сливном колодце</t>
        </is>
      </c>
      <c r="I124" s="243" t="inlineStr">
        <is>
          <t>Котельная</t>
        </is>
      </c>
      <c r="J124" s="243" t="inlineStr">
        <is>
          <t>АСУ,А и ТМ (КЦ № 6)</t>
        </is>
      </c>
      <c r="K124" s="243" t="inlineStr"/>
      <c r="L124" s="243" t="inlineStr"/>
      <c r="M124" s="246" t="inlineStr"/>
      <c r="N124" s="245" t="inlineStr"/>
    </row>
    <row r="125" ht="15" customHeight="1" s="236">
      <c r="A125" s="243" t="n">
        <v>124</v>
      </c>
      <c r="B125" s="244" t="inlineStr">
        <is>
          <t>Датчик температуры</t>
        </is>
      </c>
      <c r="C125" s="245" t="inlineStr">
        <is>
          <t>Взлет ТСПpt500</t>
        </is>
      </c>
      <c r="D125" s="245" t="inlineStr">
        <is>
          <t>1142558</t>
        </is>
      </c>
      <c r="E125" s="245" t="inlineStr"/>
      <c r="F125" s="243" t="inlineStr">
        <is>
          <t>0…+180°С</t>
        </is>
      </c>
      <c r="G125" s="243" t="inlineStr"/>
      <c r="H125" s="243" t="inlineStr">
        <is>
          <t>Т воды к потребителям теплосети</t>
        </is>
      </c>
      <c r="I125" s="243" t="inlineStr">
        <is>
          <t>Котельная</t>
        </is>
      </c>
      <c r="J125" s="243" t="inlineStr">
        <is>
          <t>АСУ,А и ТМ (КЦ № 6)</t>
        </is>
      </c>
      <c r="K125" s="243" t="inlineStr"/>
      <c r="L125" s="243" t="inlineStr"/>
      <c r="M125" s="246" t="inlineStr"/>
      <c r="N125" s="245" t="inlineStr"/>
    </row>
    <row r="126" ht="15" customHeight="1" s="236">
      <c r="A126" s="243" t="n">
        <v>125</v>
      </c>
      <c r="B126" s="244" t="inlineStr">
        <is>
          <t>Датчик температуры</t>
        </is>
      </c>
      <c r="C126" s="245" t="inlineStr">
        <is>
          <t>Взлет ТСПpt500</t>
        </is>
      </c>
      <c r="D126" s="245" t="inlineStr">
        <is>
          <t>1144959</t>
        </is>
      </c>
      <c r="E126" s="245" t="inlineStr"/>
      <c r="F126" s="243" t="inlineStr">
        <is>
          <t>0…+180°С</t>
        </is>
      </c>
      <c r="G126" s="243" t="inlineStr"/>
      <c r="H126" s="243" t="inlineStr">
        <is>
          <t>Т воды от потребителям теплосети</t>
        </is>
      </c>
      <c r="I126" s="243" t="inlineStr">
        <is>
          <t>Котельная</t>
        </is>
      </c>
      <c r="J126" s="243" t="inlineStr">
        <is>
          <t>АСУ,А и ТМ (КЦ № 6)</t>
        </is>
      </c>
      <c r="K126" s="243" t="inlineStr"/>
      <c r="L126" s="243" t="inlineStr"/>
      <c r="M126" s="246" t="inlineStr"/>
      <c r="N126" s="245" t="inlineStr"/>
    </row>
    <row r="127" ht="15" customHeight="1" s="236">
      <c r="A127" s="243" t="n">
        <v>126</v>
      </c>
      <c r="B127" s="244" t="inlineStr">
        <is>
          <t>Датчик температуры</t>
        </is>
      </c>
      <c r="C127" s="245" t="inlineStr">
        <is>
          <t>Взлет ТСПpt500</t>
        </is>
      </c>
      <c r="D127" s="245" t="inlineStr">
        <is>
          <t>1206348</t>
        </is>
      </c>
      <c r="E127" s="245" t="inlineStr"/>
      <c r="F127" s="243" t="inlineStr">
        <is>
          <t>0…+180°С</t>
        </is>
      </c>
      <c r="G127" s="243" t="inlineStr"/>
      <c r="H127" s="243" t="inlineStr">
        <is>
          <t>Т водопроводной воды</t>
        </is>
      </c>
      <c r="I127" s="243" t="inlineStr">
        <is>
          <t>Котельная</t>
        </is>
      </c>
      <c r="J127" s="243" t="inlineStr">
        <is>
          <t>АСУ,А и ТМ (КЦ № 6)</t>
        </is>
      </c>
      <c r="K127" s="243" t="inlineStr"/>
      <c r="L127" s="243" t="inlineStr"/>
      <c r="M127" s="246" t="inlineStr"/>
      <c r="N127" s="245" t="inlineStr"/>
    </row>
    <row r="128" ht="15" customHeight="1" s="236">
      <c r="A128" s="243" t="n">
        <v>127</v>
      </c>
      <c r="B128" s="248" t="inlineStr">
        <is>
          <t>Расходомер электромагнитный</t>
        </is>
      </c>
      <c r="C128" s="245" t="inlineStr">
        <is>
          <t>Взлет ЭР ЭРСВ-420Ф</t>
        </is>
      </c>
      <c r="D128" s="245" t="inlineStr">
        <is>
          <t>1150818</t>
        </is>
      </c>
      <c r="E128" s="245" t="inlineStr"/>
      <c r="F128" s="243" t="inlineStr"/>
      <c r="G128" s="243" t="inlineStr"/>
      <c r="H128" s="243" t="inlineStr">
        <is>
          <t>Расход прямой воды</t>
        </is>
      </c>
      <c r="I128" s="243" t="inlineStr">
        <is>
          <t>Котельная</t>
        </is>
      </c>
      <c r="J128" s="243" t="inlineStr">
        <is>
          <t>АСУ,А и ТМ (КЦ № 6)</t>
        </is>
      </c>
      <c r="K128" s="243" t="inlineStr"/>
      <c r="L128" s="243" t="inlineStr"/>
      <c r="M128" s="246" t="inlineStr"/>
      <c r="N128" s="245" t="inlineStr"/>
    </row>
    <row r="129" ht="15" customHeight="1" s="236">
      <c r="A129" s="243" t="n">
        <v>128</v>
      </c>
      <c r="B129" s="248" t="inlineStr">
        <is>
          <t>Расходомер электромагнитный</t>
        </is>
      </c>
      <c r="C129" s="245" t="inlineStr">
        <is>
          <t>Взлет ЭР ЭРСВ-420Ф</t>
        </is>
      </c>
      <c r="D129" s="245" t="inlineStr">
        <is>
          <t>1151082</t>
        </is>
      </c>
      <c r="E129" s="245" t="inlineStr"/>
      <c r="F129" s="243" t="inlineStr"/>
      <c r="G129" s="243" t="inlineStr"/>
      <c r="H129" s="243" t="inlineStr">
        <is>
          <t>Расход обратной воды</t>
        </is>
      </c>
      <c r="I129" s="243" t="inlineStr">
        <is>
          <t>Котельная</t>
        </is>
      </c>
      <c r="J129" s="243" t="inlineStr">
        <is>
          <t>АСУ,А и ТМ (КЦ № 6)</t>
        </is>
      </c>
      <c r="K129" s="243" t="inlineStr"/>
      <c r="L129" s="243" t="inlineStr"/>
      <c r="M129" s="246" t="inlineStr"/>
      <c r="N129" s="245" t="inlineStr"/>
    </row>
    <row r="130" ht="15" customHeight="1" s="236">
      <c r="A130" s="243" t="n">
        <v>129</v>
      </c>
      <c r="B130" s="248" t="inlineStr">
        <is>
          <t>Расходомер электромагнитный</t>
        </is>
      </c>
      <c r="C130" s="245" t="inlineStr">
        <is>
          <t>Взлет ЭР ЭРСВ-420Ф</t>
        </is>
      </c>
      <c r="D130" s="245" t="inlineStr">
        <is>
          <t>1101022</t>
        </is>
      </c>
      <c r="E130" s="245" t="inlineStr"/>
      <c r="F130" s="243" t="inlineStr"/>
      <c r="G130" s="243" t="inlineStr"/>
      <c r="H130" s="243" t="inlineStr">
        <is>
          <t>Расход подпиточной воды</t>
        </is>
      </c>
      <c r="I130" s="243" t="inlineStr">
        <is>
          <t>Котельная</t>
        </is>
      </c>
      <c r="J130" s="243" t="inlineStr">
        <is>
          <t>АСУ,А и ТМ (КЦ № 6)</t>
        </is>
      </c>
      <c r="K130" s="243" t="inlineStr"/>
      <c r="L130" s="243" t="inlineStr"/>
      <c r="M130" s="246" t="inlineStr"/>
      <c r="N130" s="245" t="inlineStr"/>
    </row>
    <row r="131" ht="15" customHeight="1" s="236">
      <c r="A131" s="243" t="n">
        <v>130</v>
      </c>
      <c r="B131" s="248" t="inlineStr">
        <is>
          <t>Тепловычислитель</t>
        </is>
      </c>
      <c r="C131" s="245" t="inlineStr">
        <is>
          <t>Взлет ТСРВ-027</t>
        </is>
      </c>
      <c r="D131" s="245" t="inlineStr">
        <is>
          <t>1100137</t>
        </is>
      </c>
      <c r="E131" s="245" t="inlineStr"/>
      <c r="F131" s="243" t="inlineStr"/>
      <c r="G131" s="243" t="inlineStr"/>
      <c r="H131" s="243" t="inlineStr">
        <is>
          <t>Расход воды в котельной</t>
        </is>
      </c>
      <c r="I131" s="243" t="inlineStr">
        <is>
          <t>Котельная</t>
        </is>
      </c>
      <c r="J131" s="243" t="inlineStr">
        <is>
          <t>АСУ,А и ТМ (КЦ № 6)</t>
        </is>
      </c>
      <c r="K131" s="243" t="inlineStr"/>
      <c r="L131" s="243" t="inlineStr"/>
      <c r="M131" s="246" t="inlineStr"/>
      <c r="N131" s="245" t="inlineStr"/>
    </row>
    <row r="132" ht="15" customHeight="1" s="236">
      <c r="A132" s="243" t="n">
        <v>131</v>
      </c>
      <c r="B132" s="248" t="inlineStr">
        <is>
          <t>Счетчик воды</t>
        </is>
      </c>
      <c r="C132" s="245" t="inlineStr">
        <is>
          <t>itelma WFW2</t>
        </is>
      </c>
      <c r="D132" s="245" t="inlineStr">
        <is>
          <t>11-0978922</t>
        </is>
      </c>
      <c r="E132" s="245" t="inlineStr"/>
      <c r="F132" s="243" t="inlineStr"/>
      <c r="G132" s="243" t="inlineStr"/>
      <c r="H132" s="243" t="inlineStr">
        <is>
          <t>Расход воды на ХВО В5</t>
        </is>
      </c>
      <c r="I132" s="243" t="inlineStr">
        <is>
          <t>Котельная</t>
        </is>
      </c>
      <c r="J132" s="243" t="inlineStr">
        <is>
          <t>АСУ,А и ТМ (КЦ № 6)</t>
        </is>
      </c>
      <c r="K132" s="243" t="inlineStr"/>
      <c r="L132" s="243" t="inlineStr"/>
      <c r="M132" s="246" t="inlineStr"/>
      <c r="N132" s="245" t="inlineStr"/>
    </row>
    <row r="133" ht="15" customHeight="1" s="236">
      <c r="A133" s="260" t="n"/>
      <c r="B133" s="260" t="n"/>
      <c r="C133" s="260" t="n"/>
      <c r="D133" s="260" t="n"/>
      <c r="E133" s="260" t="n"/>
      <c r="F133" s="261" t="n"/>
      <c r="G133" s="260" t="n"/>
      <c r="H133" s="260" t="n"/>
      <c r="I133" s="260" t="n"/>
      <c r="J133" s="260" t="n"/>
    </row>
    <row r="134" ht="15" customHeight="1" s="236">
      <c r="A134" s="291" t="n"/>
      <c r="B134" s="291" t="n"/>
      <c r="C134" s="291" t="n"/>
      <c r="D134" s="291" t="n"/>
      <c r="E134" s="291" t="n"/>
      <c r="F134" s="292" t="n"/>
      <c r="G134" s="291" t="n"/>
      <c r="H134" s="291" t="n"/>
      <c r="I134" s="291" t="n"/>
      <c r="J134" s="291" t="n"/>
    </row>
    <row r="135" ht="15" customHeight="1" s="236">
      <c r="A135" s="291" t="n"/>
      <c r="B135" s="291" t="n"/>
      <c r="C135" s="291" t="n"/>
      <c r="D135" s="291" t="n"/>
      <c r="E135" s="291" t="n"/>
      <c r="F135" s="292" t="n"/>
      <c r="G135" s="291" t="n"/>
      <c r="H135" s="291" t="n"/>
      <c r="I135" s="291" t="n"/>
      <c r="J135" s="291" t="n"/>
    </row>
    <row r="136" ht="15" customHeight="1" s="236">
      <c r="A136" s="291" t="n"/>
      <c r="B136" s="291" t="n"/>
      <c r="C136" s="291" t="n"/>
      <c r="D136" s="291" t="n"/>
      <c r="E136" s="291" t="n"/>
      <c r="F136" s="292" t="n"/>
      <c r="G136" s="291" t="n"/>
      <c r="H136" s="291" t="n"/>
      <c r="I136" s="291" t="n"/>
      <c r="J136" s="291" t="n"/>
    </row>
    <row r="137" ht="15" customHeight="1" s="236">
      <c r="A137" s="291" t="n"/>
      <c r="B137" s="291" t="n"/>
      <c r="C137" s="291" t="n"/>
      <c r="D137" s="291" t="n"/>
      <c r="E137" s="291" t="n"/>
      <c r="F137" s="292" t="n"/>
      <c r="G137" s="291" t="n"/>
      <c r="H137" s="291" t="n"/>
      <c r="I137" s="291" t="n"/>
      <c r="J137" s="291" t="n"/>
    </row>
    <row r="138" ht="15" customHeight="1" s="236">
      <c r="A138" s="291" t="n"/>
      <c r="B138" s="291" t="n"/>
      <c r="C138" s="291" t="n"/>
      <c r="D138" s="291" t="n"/>
      <c r="E138" s="291" t="n"/>
      <c r="F138" s="292" t="n"/>
      <c r="G138" s="291" t="n"/>
      <c r="H138" s="291" t="n"/>
      <c r="I138" s="291" t="n"/>
      <c r="J138" s="291" t="n"/>
    </row>
    <row r="139" ht="15" customHeight="1" s="236">
      <c r="A139" s="291" t="n"/>
      <c r="B139" s="291" t="n"/>
      <c r="C139" s="291" t="n"/>
      <c r="D139" s="291" t="n"/>
      <c r="E139" s="291" t="n"/>
      <c r="F139" s="292" t="n"/>
      <c r="G139" s="291" t="n"/>
      <c r="H139" s="291" t="n"/>
      <c r="I139" s="291" t="n"/>
      <c r="J139" s="291" t="n"/>
    </row>
    <row r="140" ht="15" customHeight="1" s="236">
      <c r="A140" s="291" t="n"/>
      <c r="B140" s="291" t="n"/>
      <c r="C140" s="291" t="n"/>
      <c r="D140" s="291" t="n"/>
      <c r="E140" s="291" t="n"/>
      <c r="F140" s="292" t="n"/>
      <c r="G140" s="291" t="n"/>
      <c r="H140" s="291" t="n"/>
      <c r="I140" s="291" t="n"/>
      <c r="J140" s="291" t="n"/>
    </row>
  </sheetData>
  <conditionalFormatting sqref="M1:M1048576">
    <cfRule type="expression" rank="0" priority="2" equalAverage="0" aboveAverage="0" dxfId="1" text="" percent="0" bottom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orizontalCentered="0" verticalCentered="0" headings="0" gridLines="0" gridLinesSet="1"/>
  <pageMargins left="0.25" right="0.25" top="0.75" bottom="0.75" header="0.511805555555555" footer="0.511805555555555"/>
  <pageSetup orientation="portrait" paperSize="9" scale="47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N14"/>
  <sheetViews>
    <sheetView showFormulas="0" showGridLines="1" showRowColHeaders="1" showZeros="1" rightToLeft="0" tabSelected="0" showOutlineSymbols="1" defaultGridColor="1" view="normal" topLeftCell="D1" colorId="64" zoomScale="136" zoomScaleNormal="136" zoomScalePageLayoutView="100" workbookViewId="0">
      <pane xSplit="0" ySplit="1" topLeftCell="A20" activePane="bottomLeft" state="frozen"/>
      <selection pane="topLeft" activeCell="D1" activeCellId="0" sqref="D1"/>
      <selection pane="bottomLeft" activeCell="M2" activeCellId="0" sqref="M2"/>
    </sheetView>
  </sheetViews>
  <sheetFormatPr baseColWidth="8" defaultColWidth="9.15625" defaultRowHeight="15" zeroHeight="0" outlineLevelRow="0"/>
  <cols>
    <col width="3.14" customWidth="1" style="235" min="1" max="1"/>
    <col width="19.85" customWidth="1" style="235" min="2" max="2"/>
    <col width="17.58" customWidth="1" style="235" min="3" max="3"/>
    <col width="8" customWidth="1" style="235" min="4" max="4"/>
    <col width="6.57" customWidth="1" style="235" min="5" max="5"/>
    <col width="11.42" customWidth="1" style="235" min="6" max="6"/>
    <col width="7.42" customWidth="1" style="235" min="7" max="7"/>
    <col width="19.29" customWidth="1" style="235" min="8" max="8"/>
    <col width="17.71" customWidth="1" style="235" min="9" max="9"/>
    <col width="17.42" customWidth="1" style="235" min="10" max="10"/>
    <col width="8" customWidth="1" style="235" min="11" max="11"/>
    <col width="9" customWidth="1" style="235" min="12" max="12"/>
    <col width="8.859999999999999" customWidth="1" style="235" min="13" max="13"/>
    <col width="9" customWidth="1" style="235" min="14" max="14"/>
    <col width="9.140000000000001" customWidth="1" style="235" min="15" max="1024"/>
  </cols>
  <sheetData>
    <row r="1" ht="45" customHeight="1" s="236">
      <c r="A1" s="239" t="inlineStr">
        <is>
          <t>№ п/п</t>
        </is>
      </c>
      <c r="B1" s="239" t="inlineStr">
        <is>
          <t>Наименование</t>
        </is>
      </c>
      <c r="C1" s="239" t="inlineStr">
        <is>
          <t>Тип</t>
        </is>
      </c>
      <c r="D1" s="239" t="inlineStr">
        <is>
          <t>Заводской
номер</t>
        </is>
      </c>
      <c r="E1" s="240" t="inlineStr">
        <is>
          <t>Год
выпуска</t>
        </is>
      </c>
      <c r="F1" s="239" t="inlineStr">
        <is>
          <t>Диапазон измерений</t>
        </is>
      </c>
      <c r="G1" s="239" t="inlineStr">
        <is>
          <t>Класс точности</t>
        </is>
      </c>
      <c r="H1" s="239" t="inlineStr">
        <is>
          <t>Место установки СИ</t>
        </is>
      </c>
      <c r="I1" s="239" t="inlineStr">
        <is>
          <t>Объект установки</t>
        </is>
      </c>
      <c r="J1" s="239" t="inlineStr">
        <is>
          <t>Подразделение</t>
        </is>
      </c>
      <c r="K1" s="239" t="inlineStr">
        <is>
          <t>Дата установки</t>
        </is>
      </c>
      <c r="L1" s="239" t="inlineStr">
        <is>
          <t>Межповерочный интервал, мес.</t>
        </is>
      </c>
      <c r="M1" s="240" t="inlineStr">
        <is>
          <t>Дата последней поверки / калибровки</t>
        </is>
      </c>
      <c r="N1" s="239" t="inlineStr">
        <is>
          <t>Поверка (П)/ Калибровка (К)</t>
        </is>
      </c>
    </row>
    <row r="2" ht="15" customHeight="1" s="236">
      <c r="A2" s="239" t="n">
        <v>1</v>
      </c>
      <c r="B2" s="241" t="inlineStr">
        <is>
          <t>Манометр технический</t>
        </is>
      </c>
      <c r="C2" s="239" t="inlineStr">
        <is>
          <t>ТМ5</t>
        </is>
      </c>
      <c r="D2" s="239" t="inlineStr">
        <is>
          <t>13</t>
        </is>
      </c>
      <c r="E2" s="242" t="inlineStr">
        <is>
          <t>2010</t>
        </is>
      </c>
      <c r="F2" s="239" t="inlineStr">
        <is>
          <t>0..1,6 MPa</t>
        </is>
      </c>
      <c r="G2" s="239" t="inlineStr">
        <is>
          <t>1.5</t>
        </is>
      </c>
      <c r="H2" s="240" t="inlineStr">
        <is>
          <t>Р на входе</t>
        </is>
      </c>
      <c r="I2" s="239" t="inlineStr">
        <is>
          <t>КОС, блок доп. очистки</t>
        </is>
      </c>
      <c r="J2" s="239" t="inlineStr">
        <is>
          <t>АСУ,А и ТМ (КЦ № 6)</t>
        </is>
      </c>
      <c r="K2" s="239" t="inlineStr">
        <is>
          <t>2012</t>
        </is>
      </c>
      <c r="L2" s="239" t="inlineStr">
        <is>
          <t>12</t>
        </is>
      </c>
      <c r="M2" s="240" t="inlineStr">
        <is>
          <t>3К2\6</t>
        </is>
      </c>
      <c r="N2" s="239" t="inlineStr">
        <is>
          <t>К</t>
        </is>
      </c>
    </row>
    <row r="3" ht="22.5" customHeight="1" s="236">
      <c r="A3" s="243" t="n">
        <v>2</v>
      </c>
      <c r="B3" s="244" t="inlineStr">
        <is>
          <t>Манометр технический</t>
        </is>
      </c>
      <c r="C3" s="243" t="inlineStr">
        <is>
          <t>ТМ5</t>
        </is>
      </c>
      <c r="D3" s="243" t="inlineStr">
        <is>
          <t>15486</t>
        </is>
      </c>
      <c r="E3" s="245" t="inlineStr">
        <is>
          <t>2010</t>
        </is>
      </c>
      <c r="F3" s="243" t="inlineStr">
        <is>
          <t>0..1,6 MPa</t>
        </is>
      </c>
      <c r="G3" s="243" t="inlineStr">
        <is>
          <t>1.5</t>
        </is>
      </c>
      <c r="H3" s="246" t="inlineStr">
        <is>
          <t>Р после промывочного насоса</t>
        </is>
      </c>
      <c r="I3" s="243" t="inlineStr">
        <is>
          <t>КОС, блок доп. очистки</t>
        </is>
      </c>
      <c r="J3" s="243" t="inlineStr">
        <is>
          <t>АСУ,А и ТМ (КЦ № 6)</t>
        </is>
      </c>
      <c r="K3" s="243" t="inlineStr">
        <is>
          <t>2012</t>
        </is>
      </c>
      <c r="L3" s="243" t="inlineStr">
        <is>
          <t>12</t>
        </is>
      </c>
      <c r="M3" s="246" t="inlineStr">
        <is>
          <t>3К2\6</t>
        </is>
      </c>
      <c r="N3" s="243" t="inlineStr">
        <is>
          <t>К</t>
        </is>
      </c>
    </row>
    <row r="4" ht="15" customHeight="1" s="236">
      <c r="A4" s="243" t="n">
        <v>3</v>
      </c>
      <c r="B4" s="244" t="inlineStr">
        <is>
          <t>Манометр технический</t>
        </is>
      </c>
      <c r="C4" s="243" t="inlineStr">
        <is>
          <t>ДМ02-100-1-G</t>
        </is>
      </c>
      <c r="D4" s="243" t="inlineStr">
        <is>
          <t>15284</t>
        </is>
      </c>
      <c r="E4" s="245" t="inlineStr">
        <is>
          <t>2010</t>
        </is>
      </c>
      <c r="F4" s="243" t="inlineStr">
        <is>
          <t>0..10 Bar</t>
        </is>
      </c>
      <c r="G4" s="243" t="inlineStr">
        <is>
          <t>1.5</t>
        </is>
      </c>
      <c r="H4" s="246" t="inlineStr">
        <is>
          <t>Р на выходе</t>
        </is>
      </c>
      <c r="I4" s="243" t="inlineStr">
        <is>
          <t>КОС, блок доп. очистки</t>
        </is>
      </c>
      <c r="J4" s="243" t="inlineStr">
        <is>
          <t>АСУ,А и ТМ (КЦ № 6)</t>
        </is>
      </c>
      <c r="K4" s="243" t="inlineStr">
        <is>
          <t>2012</t>
        </is>
      </c>
      <c r="L4" s="243" t="inlineStr">
        <is>
          <t>12</t>
        </is>
      </c>
      <c r="M4" s="246" t="inlineStr">
        <is>
          <t>3К2\6</t>
        </is>
      </c>
      <c r="N4" s="243" t="inlineStr">
        <is>
          <t>К</t>
        </is>
      </c>
    </row>
    <row r="5" ht="22.5" customHeight="1" s="236">
      <c r="A5" s="243" t="n">
        <v>4</v>
      </c>
      <c r="B5" s="244" t="inlineStr">
        <is>
          <t>Манометр технический</t>
        </is>
      </c>
      <c r="C5" s="243" t="inlineStr">
        <is>
          <t>ТМ5</t>
        </is>
      </c>
      <c r="D5" s="243" t="inlineStr">
        <is>
          <t>7095</t>
        </is>
      </c>
      <c r="E5" s="245" t="inlineStr">
        <is>
          <t>2010</t>
        </is>
      </c>
      <c r="F5" s="243" t="inlineStr">
        <is>
          <t>0..1,6 MPa</t>
        </is>
      </c>
      <c r="G5" s="243" t="inlineStr">
        <is>
          <t>1.5</t>
        </is>
      </c>
      <c r="H5" s="246" t="inlineStr">
        <is>
          <t>Р воды на сорбционном фильтре 4 (на схеме 2.2)</t>
        </is>
      </c>
      <c r="I5" s="243" t="inlineStr">
        <is>
          <t>КОС, блок доп. очистки</t>
        </is>
      </c>
      <c r="J5" s="243" t="inlineStr">
        <is>
          <t>АСУ,А и ТМ (КЦ № 6)</t>
        </is>
      </c>
      <c r="K5" s="243" t="inlineStr">
        <is>
          <t>2012</t>
        </is>
      </c>
      <c r="L5" s="243" t="inlineStr">
        <is>
          <t>12</t>
        </is>
      </c>
      <c r="M5" s="246" t="inlineStr">
        <is>
          <t>3К2\6</t>
        </is>
      </c>
      <c r="N5" s="243" t="inlineStr">
        <is>
          <t>К</t>
        </is>
      </c>
    </row>
    <row r="6" ht="22.5" customHeight="1" s="236">
      <c r="A6" s="243" t="n">
        <v>5</v>
      </c>
      <c r="B6" s="244" t="inlineStr">
        <is>
          <t>Манометр технический</t>
        </is>
      </c>
      <c r="C6" s="243" t="inlineStr">
        <is>
          <t>ТМ5</t>
        </is>
      </c>
      <c r="D6" s="243" t="inlineStr">
        <is>
          <t>15427</t>
        </is>
      </c>
      <c r="E6" s="245" t="inlineStr">
        <is>
          <t>2010</t>
        </is>
      </c>
      <c r="F6" s="243" t="inlineStr">
        <is>
          <t>0..16 кгс/см2</t>
        </is>
      </c>
      <c r="G6" s="243" t="inlineStr">
        <is>
          <t>1.5</t>
        </is>
      </c>
      <c r="H6" s="246" t="inlineStr">
        <is>
          <t>Р воды на осветлительном фильтре 2 (на схеме 2.1)</t>
        </is>
      </c>
      <c r="I6" s="243" t="inlineStr">
        <is>
          <t>КОС, блок доп. очистки</t>
        </is>
      </c>
      <c r="J6" s="243" t="inlineStr">
        <is>
          <t>АСУ,А и ТМ (КЦ № 6)</t>
        </is>
      </c>
      <c r="K6" s="243" t="inlineStr">
        <is>
          <t>2012</t>
        </is>
      </c>
      <c r="L6" s="243" t="inlineStr">
        <is>
          <t>12</t>
        </is>
      </c>
      <c r="M6" s="246" t="inlineStr">
        <is>
          <t>3К2\6</t>
        </is>
      </c>
      <c r="N6" s="243" t="inlineStr">
        <is>
          <t>К</t>
        </is>
      </c>
    </row>
    <row r="7" ht="22.5" customHeight="1" s="236">
      <c r="A7" s="243" t="n">
        <v>6</v>
      </c>
      <c r="B7" s="244" t="inlineStr">
        <is>
          <t>Манометр технический</t>
        </is>
      </c>
      <c r="C7" s="243" t="inlineStr">
        <is>
          <t>ТМ5</t>
        </is>
      </c>
      <c r="D7" s="243" t="inlineStr">
        <is>
          <t>7000202</t>
        </is>
      </c>
      <c r="E7" s="245" t="inlineStr">
        <is>
          <t>2010</t>
        </is>
      </c>
      <c r="F7" s="243" t="inlineStr">
        <is>
          <t>0..1,6 MPa</t>
        </is>
      </c>
      <c r="G7" s="243" t="inlineStr">
        <is>
          <t>1.5</t>
        </is>
      </c>
      <c r="H7" s="246" t="inlineStr">
        <is>
          <t>Р воды на осветлительном фильтре 1 (на схеме 2.1)</t>
        </is>
      </c>
      <c r="I7" s="243" t="inlineStr">
        <is>
          <t>КОС, блок доп. очистки</t>
        </is>
      </c>
      <c r="J7" s="243" t="inlineStr">
        <is>
          <t>АСУ,А и ТМ (КЦ № 6)</t>
        </is>
      </c>
      <c r="K7" s="243" t="inlineStr">
        <is>
          <t>2012</t>
        </is>
      </c>
      <c r="L7" s="243" t="inlineStr">
        <is>
          <t>12</t>
        </is>
      </c>
      <c r="M7" s="246" t="inlineStr">
        <is>
          <t>3К2\6</t>
        </is>
      </c>
      <c r="N7" s="243" t="inlineStr">
        <is>
          <t>К</t>
        </is>
      </c>
    </row>
    <row r="8" ht="22.5" customHeight="1" s="236">
      <c r="A8" s="243" t="n">
        <v>7</v>
      </c>
      <c r="B8" s="244" t="inlineStr">
        <is>
          <t>Манометр технический</t>
        </is>
      </c>
      <c r="C8" s="243" t="inlineStr">
        <is>
          <t>ТМ5</t>
        </is>
      </c>
      <c r="D8" s="243" t="inlineStr">
        <is>
          <t>15428</t>
        </is>
      </c>
      <c r="E8" s="245" t="inlineStr">
        <is>
          <t>2010</t>
        </is>
      </c>
      <c r="F8" s="243" t="inlineStr">
        <is>
          <t>0..16 кгс/см2</t>
        </is>
      </c>
      <c r="G8" s="243" t="inlineStr">
        <is>
          <t>1.5</t>
        </is>
      </c>
      <c r="H8" s="246" t="inlineStr">
        <is>
          <t>Р воды на сорбционном фильтре 3 (на схеме 2.2)</t>
        </is>
      </c>
      <c r="I8" s="243" t="inlineStr">
        <is>
          <t>КОС, блок доп. очистки</t>
        </is>
      </c>
      <c r="J8" s="243" t="inlineStr">
        <is>
          <t>АСУ,А и ТМ (КЦ № 6)</t>
        </is>
      </c>
      <c r="K8" s="243" t="inlineStr">
        <is>
          <t>2012</t>
        </is>
      </c>
      <c r="L8" s="243" t="inlineStr">
        <is>
          <t>12</t>
        </is>
      </c>
      <c r="M8" s="246" t="inlineStr">
        <is>
          <t>3К2\6</t>
        </is>
      </c>
      <c r="N8" s="243" t="inlineStr">
        <is>
          <t>К</t>
        </is>
      </c>
    </row>
    <row r="9" ht="22.5" customHeight="1" s="236">
      <c r="A9" s="243" t="n">
        <v>8</v>
      </c>
      <c r="B9" s="244" t="inlineStr">
        <is>
          <t>Измеритель-регулятор</t>
        </is>
      </c>
      <c r="C9" s="243" t="inlineStr">
        <is>
          <t>Измеритель-регулятор ТРМ1</t>
        </is>
      </c>
      <c r="D9" s="243" t="inlineStr">
        <is>
          <t>б/н</t>
        </is>
      </c>
      <c r="E9" s="245" t="inlineStr">
        <is>
          <t>2012</t>
        </is>
      </c>
      <c r="F9" s="243" t="inlineStr">
        <is>
          <t>универсальный вход</t>
        </is>
      </c>
      <c r="G9" s="243" t="inlineStr"/>
      <c r="H9" s="246" t="inlineStr"/>
      <c r="I9" s="243" t="inlineStr">
        <is>
          <t>КОС</t>
        </is>
      </c>
      <c r="J9" s="243" t="inlineStr">
        <is>
          <t>АСУ,А и ТМ (КЦ № 6)</t>
        </is>
      </c>
      <c r="K9" s="243" t="inlineStr">
        <is>
          <t>2012</t>
        </is>
      </c>
      <c r="L9" s="243" t="inlineStr"/>
      <c r="M9" s="246" t="inlineStr"/>
      <c r="N9" s="243" t="inlineStr"/>
    </row>
    <row r="10" ht="15" customHeight="1" s="236">
      <c r="A10" s="243" t="n">
        <v>9</v>
      </c>
      <c r="B10" s="244" t="inlineStr">
        <is>
          <t>Термометр сопротивления</t>
        </is>
      </c>
      <c r="C10" s="243" t="inlineStr">
        <is>
          <t>ТСМ МЕТРАН-203-04</t>
        </is>
      </c>
      <c r="D10" s="243" t="inlineStr">
        <is>
          <t>2074421</t>
        </is>
      </c>
      <c r="E10" s="245" t="inlineStr">
        <is>
          <t>2012</t>
        </is>
      </c>
      <c r="F10" s="243" t="inlineStr"/>
      <c r="G10" s="243" t="inlineStr"/>
      <c r="H10" s="246" t="inlineStr">
        <is>
          <t>Т воздуха в помещении</t>
        </is>
      </c>
      <c r="I10" s="243" t="inlineStr">
        <is>
          <t>КОС</t>
        </is>
      </c>
      <c r="J10" s="243" t="inlineStr">
        <is>
          <t>АСУ,А и ТМ (КЦ № 6)</t>
        </is>
      </c>
      <c r="K10" s="243" t="inlineStr">
        <is>
          <t>2012</t>
        </is>
      </c>
      <c r="L10" s="243" t="inlineStr"/>
      <c r="M10" s="246" t="inlineStr"/>
      <c r="N10" s="243" t="inlineStr"/>
    </row>
    <row r="11" ht="22.5" customHeight="1" s="236">
      <c r="A11" s="243" t="n">
        <v>10</v>
      </c>
      <c r="B11" s="244" t="inlineStr">
        <is>
          <t>Расходомер электромагнитный</t>
        </is>
      </c>
      <c r="C11" s="243" t="inlineStr">
        <is>
          <t>Взлет ЭРСВ-420Ф</t>
        </is>
      </c>
      <c r="D11" s="243" t="inlineStr">
        <is>
          <t>1320197</t>
        </is>
      </c>
      <c r="E11" s="245" t="inlineStr">
        <is>
          <t>2012</t>
        </is>
      </c>
      <c r="F11" s="243" t="inlineStr"/>
      <c r="G11" s="243" t="inlineStr"/>
      <c r="H11" s="246" t="inlineStr">
        <is>
          <t>Расход сточных вод</t>
        </is>
      </c>
      <c r="I11" s="243" t="inlineStr">
        <is>
          <t>КОС</t>
        </is>
      </c>
      <c r="J11" s="243" t="inlineStr">
        <is>
          <t>АСУ,А и ТМ (КЦ № 6)</t>
        </is>
      </c>
      <c r="K11" s="243" t="inlineStr"/>
      <c r="L11" s="243" t="inlineStr"/>
      <c r="M11" s="246" t="inlineStr"/>
      <c r="N11" s="243" t="inlineStr"/>
    </row>
    <row r="12" ht="22.5" customHeight="1" s="236">
      <c r="A12" s="243" t="n">
        <v>11</v>
      </c>
      <c r="B12" s="248" t="inlineStr">
        <is>
          <t>Расходомер счетчик ультразвуковой</t>
        </is>
      </c>
      <c r="C12" s="243" t="inlineStr">
        <is>
          <t>Взлет РСЛ</t>
        </is>
      </c>
      <c r="D12" s="243" t="inlineStr">
        <is>
          <t>1200296</t>
        </is>
      </c>
      <c r="E12" s="245" t="inlineStr">
        <is>
          <t>2012</t>
        </is>
      </c>
      <c r="F12" s="243" t="inlineStr"/>
      <c r="G12" s="243" t="inlineStr"/>
      <c r="H12" s="246" t="inlineStr">
        <is>
          <t>Расход очищенных сточных вод</t>
        </is>
      </c>
      <c r="I12" s="243" t="inlineStr">
        <is>
          <t>КОС</t>
        </is>
      </c>
      <c r="J12" s="243" t="inlineStr">
        <is>
          <t>АСУ,А и ТМ (КЦ № 6)</t>
        </is>
      </c>
      <c r="K12" s="243" t="inlineStr"/>
      <c r="L12" s="243" t="inlineStr"/>
      <c r="M12" s="246" t="inlineStr"/>
      <c r="N12" s="243" t="inlineStr"/>
    </row>
    <row r="13" ht="22.5" customHeight="1" s="236">
      <c r="A13" s="243" t="n">
        <v>12</v>
      </c>
      <c r="B13" s="248" t="inlineStr">
        <is>
          <t>Тепловычислитель</t>
        </is>
      </c>
      <c r="C13" s="243" t="inlineStr">
        <is>
          <t>Взлет ТСРВ-034</t>
        </is>
      </c>
      <c r="D13" s="243" t="inlineStr">
        <is>
          <t>1303083</t>
        </is>
      </c>
      <c r="E13" s="245" t="inlineStr">
        <is>
          <t>2012</t>
        </is>
      </c>
      <c r="F13" s="243" t="inlineStr"/>
      <c r="G13" s="243" t="inlineStr"/>
      <c r="H13" s="246" t="inlineStr">
        <is>
          <t>Расход очищенных сточных вод</t>
        </is>
      </c>
      <c r="I13" s="243" t="inlineStr">
        <is>
          <t>КОС</t>
        </is>
      </c>
      <c r="J13" s="243" t="inlineStr">
        <is>
          <t>АСУ,А и ТМ (КЦ № 6)</t>
        </is>
      </c>
      <c r="K13" s="243" t="inlineStr"/>
      <c r="L13" s="243" t="inlineStr"/>
      <c r="M13" s="246" t="inlineStr"/>
      <c r="N13" s="243" t="inlineStr"/>
    </row>
    <row r="14" ht="22.5" customHeight="1" s="236">
      <c r="A14" s="243" t="n">
        <v>13</v>
      </c>
      <c r="B14" s="244" t="inlineStr">
        <is>
          <t>Расходомер счетчик электромагнитный</t>
        </is>
      </c>
      <c r="C14" s="243" t="inlineStr">
        <is>
          <t>ТЭР ОФ-032</t>
        </is>
      </c>
      <c r="D14" s="243" t="inlineStr">
        <is>
          <t>1200193</t>
        </is>
      </c>
      <c r="E14" s="245" t="inlineStr">
        <is>
          <t>2012</t>
        </is>
      </c>
      <c r="F14" s="243" t="inlineStr"/>
      <c r="G14" s="243" t="inlineStr"/>
      <c r="H14" s="246" t="inlineStr">
        <is>
          <t>Расход бытовых сточных вод</t>
        </is>
      </c>
      <c r="I14" s="243" t="inlineStr">
        <is>
          <t>КОС</t>
        </is>
      </c>
      <c r="J14" s="243" t="inlineStr">
        <is>
          <t>АСУ,А и ТМ (КЦ № 6)</t>
        </is>
      </c>
      <c r="K14" s="243" t="inlineStr"/>
      <c r="L14" s="243" t="inlineStr"/>
      <c r="M14" s="246" t="inlineStr"/>
      <c r="N14" s="243" t="inlineStr"/>
    </row>
  </sheetData>
  <conditionalFormatting sqref="M1:M1048576">
    <cfRule type="expression" rank="0" priority="2" equalAverage="0" aboveAverage="0" dxfId="1" text="" percent="0" bottom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orizontalCentered="0" verticalCentered="0" headings="0" gridLines="0" gridLinesSet="1"/>
  <pageMargins left="0.236111111111111" right="0.236111111111111" top="0.236111111111111" bottom="0.236111111111111" header="0.511805555555555" footer="0.511805555555555"/>
  <pageSetup orientation="landscape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1"/>
  </sheetPr>
  <dimension ref="A1:O20"/>
  <sheetViews>
    <sheetView showFormulas="0" showGridLines="1" showRowColHeaders="1" showZeros="1" rightToLeft="0" tabSelected="0" showOutlineSymbols="1" defaultGridColor="1" view="normal" topLeftCell="B1" colorId="64" zoomScale="100" zoomScaleNormal="100" zoomScalePageLayoutView="100" workbookViewId="0">
      <pane xSplit="0" ySplit="1" topLeftCell="A2" activePane="bottomLeft" state="frozen"/>
      <selection pane="topLeft" activeCell="B1" activeCellId="0" sqref="B1"/>
      <selection pane="bottomLeft" activeCell="D7" activeCellId="0" sqref="D7"/>
    </sheetView>
  </sheetViews>
  <sheetFormatPr baseColWidth="8" defaultColWidth="8.55078125" defaultRowHeight="15" zeroHeight="0" outlineLevelRow="0"/>
  <cols>
    <col width="3.14" customWidth="1" style="235" min="1" max="1"/>
    <col width="18.42" customWidth="1" style="235" min="2" max="2"/>
    <col width="12.29" customWidth="1" style="235" min="3" max="3"/>
    <col width="8.42" customWidth="1" style="235" min="4" max="4"/>
    <col width="6.57" customWidth="1" style="235" min="5" max="5"/>
    <col width="8.289999999999999" customWidth="1" style="235" min="6" max="6"/>
    <col width="7.42" customWidth="1" style="235" min="7" max="7"/>
    <col width="25" customWidth="1" style="235" min="8" max="8"/>
    <col width="8" customWidth="1" style="235" min="9" max="9"/>
    <col width="17.42" customWidth="1" style="235" min="10" max="10"/>
    <col width="8" customWidth="1" style="235" min="11" max="11"/>
    <col width="9" customWidth="1" style="235" min="12" max="12"/>
    <col width="8.859999999999999" customWidth="1" style="235" min="13" max="13"/>
    <col width="9" customWidth="1" style="235" min="14" max="14"/>
  </cols>
  <sheetData>
    <row r="1" ht="45" customHeight="1" s="236">
      <c r="A1" s="239" t="inlineStr">
        <is>
          <t>№ п/п</t>
        </is>
      </c>
      <c r="B1" s="239" t="inlineStr">
        <is>
          <t>Наименование</t>
        </is>
      </c>
      <c r="C1" s="239" t="inlineStr">
        <is>
          <t>Тип</t>
        </is>
      </c>
      <c r="D1" s="239" t="inlineStr">
        <is>
          <t>Заводской номер</t>
        </is>
      </c>
      <c r="E1" s="240" t="inlineStr">
        <is>
          <t>Год 
выпуска</t>
        </is>
      </c>
      <c r="F1" s="239" t="inlineStr">
        <is>
          <t>Диапазон измерений</t>
        </is>
      </c>
      <c r="G1" s="239" t="inlineStr">
        <is>
          <t>Класс точности</t>
        </is>
      </c>
      <c r="H1" s="239" t="inlineStr">
        <is>
          <t>Место установки СИ</t>
        </is>
      </c>
      <c r="I1" s="239" t="inlineStr">
        <is>
          <t>Объект установки</t>
        </is>
      </c>
      <c r="J1" s="239" t="inlineStr">
        <is>
          <t>Подразделение</t>
        </is>
      </c>
      <c r="K1" s="239" t="inlineStr">
        <is>
          <t>Дата установки</t>
        </is>
      </c>
      <c r="L1" s="239" t="inlineStr">
        <is>
          <t>Межповерочный интервал, мес.</t>
        </is>
      </c>
      <c r="M1" s="240" t="inlineStr">
        <is>
          <t>Дата последней поверки / калибровки</t>
        </is>
      </c>
      <c r="N1" s="239" t="inlineStr">
        <is>
          <t>Поверка (П)/ Калибровка (К)</t>
        </is>
      </c>
    </row>
    <row r="2" ht="15" customFormat="1" customHeight="1" s="235">
      <c r="A2" s="293" t="n">
        <v>1</v>
      </c>
      <c r="B2" s="294" t="inlineStr">
        <is>
          <t>Манометр технический</t>
        </is>
      </c>
      <c r="C2" s="295" t="inlineStr">
        <is>
          <t>ДМ02-100-1-G</t>
        </is>
      </c>
      <c r="D2" s="295" t="inlineStr">
        <is>
          <t>15416</t>
        </is>
      </c>
      <c r="E2" s="295" t="inlineStr">
        <is>
          <t>2010</t>
        </is>
      </c>
      <c r="F2" s="295" t="inlineStr">
        <is>
          <t>0..6 Bar</t>
        </is>
      </c>
      <c r="G2" s="295" t="inlineStr">
        <is>
          <t>1.5</t>
        </is>
      </c>
      <c r="H2" s="293" t="inlineStr">
        <is>
          <t>Р воды после Ф на входе НСХПВ</t>
        </is>
      </c>
      <c r="I2" s="295" t="inlineStr">
        <is>
          <t>НСХПВ</t>
        </is>
      </c>
      <c r="J2" s="293" t="inlineStr">
        <is>
          <t>АСУ,А и ТМ (КЦ № 6)</t>
        </is>
      </c>
      <c r="K2" s="293" t="inlineStr">
        <is>
          <t>2012</t>
        </is>
      </c>
      <c r="L2" s="293" t="inlineStr">
        <is>
          <t>12</t>
        </is>
      </c>
      <c r="M2" s="296" t="inlineStr">
        <is>
          <t>1К26</t>
        </is>
      </c>
      <c r="N2" s="295" t="inlineStr">
        <is>
          <t>К</t>
        </is>
      </c>
    </row>
    <row r="3" ht="15" customFormat="1" customHeight="1" s="235">
      <c r="A3" s="297" t="n">
        <v>2</v>
      </c>
      <c r="B3" s="298" t="inlineStr">
        <is>
          <t>Манометр технический</t>
        </is>
      </c>
      <c r="C3" s="299" t="inlineStr">
        <is>
          <t>ДМ02-100-1-G</t>
        </is>
      </c>
      <c r="D3" s="299" t="inlineStr">
        <is>
          <t>15154</t>
        </is>
      </c>
      <c r="E3" s="299" t="inlineStr">
        <is>
          <t>2010</t>
        </is>
      </c>
      <c r="F3" s="299" t="inlineStr">
        <is>
          <t>0..6 Bar</t>
        </is>
      </c>
      <c r="G3" s="299" t="inlineStr">
        <is>
          <t>1.5</t>
        </is>
      </c>
      <c r="H3" s="297" t="inlineStr">
        <is>
          <t>Р воды до Ф на входе НСХПВ</t>
        </is>
      </c>
      <c r="I3" s="299" t="inlineStr">
        <is>
          <t>НСХПВ</t>
        </is>
      </c>
      <c r="J3" s="297" t="inlineStr">
        <is>
          <t>АСУ,А и ТМ (КЦ № 6)</t>
        </is>
      </c>
      <c r="K3" s="297" t="inlineStr">
        <is>
          <t>2012</t>
        </is>
      </c>
      <c r="L3" s="297" t="inlineStr">
        <is>
          <t>12</t>
        </is>
      </c>
      <c r="M3" s="300" t="inlineStr">
        <is>
          <t>1К26</t>
        </is>
      </c>
      <c r="N3" s="299" t="inlineStr">
        <is>
          <t>К</t>
        </is>
      </c>
    </row>
    <row r="4" ht="15" customFormat="1" customHeight="1" s="235">
      <c r="A4" s="297" t="n">
        <v>3</v>
      </c>
      <c r="B4" s="298" t="inlineStr">
        <is>
          <t>Манометр технический</t>
        </is>
      </c>
      <c r="C4" s="299" t="inlineStr">
        <is>
          <t>ДМ02-100-1-G</t>
        </is>
      </c>
      <c r="D4" s="299" t="inlineStr">
        <is>
          <t>15205</t>
        </is>
      </c>
      <c r="E4" s="299" t="inlineStr">
        <is>
          <t>2010</t>
        </is>
      </c>
      <c r="F4" s="299" t="inlineStr">
        <is>
          <t>0..6 Bar</t>
        </is>
      </c>
      <c r="G4" s="299" t="inlineStr">
        <is>
          <t>1.5</t>
        </is>
      </c>
      <c r="H4" s="297" t="inlineStr">
        <is>
          <t>Р воды после Ф на входе НСХПВ</t>
        </is>
      </c>
      <c r="I4" s="299" t="inlineStr">
        <is>
          <t>НСХПВ</t>
        </is>
      </c>
      <c r="J4" s="297" t="inlineStr">
        <is>
          <t>АСУ,А и ТМ (КЦ № 6)</t>
        </is>
      </c>
      <c r="K4" s="297" t="inlineStr">
        <is>
          <t>2012</t>
        </is>
      </c>
      <c r="L4" s="297" t="inlineStr">
        <is>
          <t>12</t>
        </is>
      </c>
      <c r="M4" s="300" t="inlineStr">
        <is>
          <t>1К26</t>
        </is>
      </c>
      <c r="N4" s="299" t="inlineStr">
        <is>
          <t>К</t>
        </is>
      </c>
    </row>
    <row r="5" ht="15" customFormat="1" customHeight="1" s="235">
      <c r="A5" s="297" t="n">
        <v>4</v>
      </c>
      <c r="B5" s="298" t="inlineStr">
        <is>
          <t>Манометр технический</t>
        </is>
      </c>
      <c r="C5" s="299" t="inlineStr">
        <is>
          <t>ДМ8008-ВУ-У2</t>
        </is>
      </c>
      <c r="D5" s="299" t="inlineStr">
        <is>
          <t>15584</t>
        </is>
      </c>
      <c r="E5" s="299" t="inlineStr">
        <is>
          <t>2010</t>
        </is>
      </c>
      <c r="F5" s="299" t="inlineStr">
        <is>
          <t>0..6 Bar</t>
        </is>
      </c>
      <c r="G5" s="299" t="inlineStr">
        <is>
          <t>1.5</t>
        </is>
      </c>
      <c r="H5" s="297" t="inlineStr">
        <is>
          <t>Р воды до Ф на входе НСХПВ</t>
        </is>
      </c>
      <c r="I5" s="299" t="inlineStr">
        <is>
          <t>НСХПВ</t>
        </is>
      </c>
      <c r="J5" s="297" t="inlineStr">
        <is>
          <t>АСУ,А и ТМ (КЦ № 6)</t>
        </is>
      </c>
      <c r="K5" s="297" t="inlineStr">
        <is>
          <t>2012</t>
        </is>
      </c>
      <c r="L5" s="297" t="inlineStr">
        <is>
          <t>12</t>
        </is>
      </c>
      <c r="M5" s="300" t="inlineStr">
        <is>
          <t>1К26</t>
        </is>
      </c>
      <c r="N5" s="299" t="inlineStr">
        <is>
          <t>К</t>
        </is>
      </c>
    </row>
    <row r="6" ht="22.5" customFormat="1" customHeight="1" s="235">
      <c r="A6" s="297" t="n">
        <v>5</v>
      </c>
      <c r="B6" s="298" t="inlineStr">
        <is>
          <t>Манометр технический</t>
        </is>
      </c>
      <c r="C6" s="299" t="inlineStr">
        <is>
          <t>ДМ02-100-1-G</t>
        </is>
      </c>
      <c r="D6" s="299" t="inlineStr">
        <is>
          <t>15585</t>
        </is>
      </c>
      <c r="E6" s="299" t="inlineStr">
        <is>
          <t>2010</t>
        </is>
      </c>
      <c r="F6" s="299" t="inlineStr">
        <is>
          <t>-1..24 Bar</t>
        </is>
      </c>
      <c r="G6" s="299" t="inlineStr">
        <is>
          <t>1.5</t>
        </is>
      </c>
      <c r="H6" s="297" t="inlineStr">
        <is>
          <t>Р воды перед насосной станцией подачи исходной воды</t>
        </is>
      </c>
      <c r="I6" s="299" t="inlineStr">
        <is>
          <t>НСХПВ</t>
        </is>
      </c>
      <c r="J6" s="297" t="inlineStr">
        <is>
          <t>АСУ,А и ТМ (КЦ № 6)</t>
        </is>
      </c>
      <c r="K6" s="297" t="inlineStr">
        <is>
          <t>2012</t>
        </is>
      </c>
      <c r="L6" s="297" t="inlineStr">
        <is>
          <t>12</t>
        </is>
      </c>
      <c r="M6" s="300" t="inlineStr">
        <is>
          <t>1К26</t>
        </is>
      </c>
      <c r="N6" s="299" t="inlineStr">
        <is>
          <t>К</t>
        </is>
      </c>
    </row>
    <row r="7" ht="22.5" customFormat="1" customHeight="1" s="235">
      <c r="A7" s="297" t="n">
        <v>6</v>
      </c>
      <c r="B7" s="298" t="inlineStr">
        <is>
          <t>Манометр технический</t>
        </is>
      </c>
      <c r="C7" s="299" t="inlineStr">
        <is>
          <t>ДМ8008-ВУ-У2</t>
        </is>
      </c>
      <c r="D7" s="299" t="inlineStr">
        <is>
          <t>50291</t>
        </is>
      </c>
      <c r="E7" s="299" t="inlineStr">
        <is>
          <t>2012</t>
        </is>
      </c>
      <c r="F7" s="299" t="inlineStr">
        <is>
          <t>0..6 Bar</t>
        </is>
      </c>
      <c r="G7" s="299" t="inlineStr">
        <is>
          <t>1.5</t>
        </is>
      </c>
      <c r="H7" s="297" t="inlineStr">
        <is>
          <t>Р воды после насосной станции подачи исходной воды</t>
        </is>
      </c>
      <c r="I7" s="299" t="inlineStr">
        <is>
          <t>НСХПВ</t>
        </is>
      </c>
      <c r="J7" s="297" t="inlineStr">
        <is>
          <t>АСУ,А и ТМ (КЦ № 6)</t>
        </is>
      </c>
      <c r="K7" s="297" t="inlineStr">
        <is>
          <t>2012</t>
        </is>
      </c>
      <c r="L7" s="297" t="inlineStr">
        <is>
          <t>12</t>
        </is>
      </c>
      <c r="M7" s="300" t="inlineStr">
        <is>
          <t>1К26</t>
        </is>
      </c>
      <c r="N7" s="299" t="inlineStr">
        <is>
          <t>К</t>
        </is>
      </c>
    </row>
    <row r="8" ht="22.5" customFormat="1" customHeight="1" s="235">
      <c r="A8" s="297" t="n">
        <v>7</v>
      </c>
      <c r="B8" s="298" t="inlineStr">
        <is>
          <t>Манометр технический</t>
        </is>
      </c>
      <c r="C8" s="299" t="inlineStr">
        <is>
          <t>ДМ02-100-1-G</t>
        </is>
      </c>
      <c r="D8" s="299" t="inlineStr">
        <is>
          <t>15206</t>
        </is>
      </c>
      <c r="E8" s="299" t="inlineStr">
        <is>
          <t>2010</t>
        </is>
      </c>
      <c r="F8" s="299" t="inlineStr">
        <is>
          <t>0..6 Bar</t>
        </is>
      </c>
      <c r="G8" s="299" t="inlineStr">
        <is>
          <t>1.5</t>
        </is>
      </c>
      <c r="H8" s="297" t="inlineStr">
        <is>
          <t>Р воды перед фильтром грубой очистки № 1</t>
        </is>
      </c>
      <c r="I8" s="299" t="inlineStr">
        <is>
          <t>НСХПВ</t>
        </is>
      </c>
      <c r="J8" s="297" t="inlineStr">
        <is>
          <t>АСУ,А и ТМ (КЦ № 6)</t>
        </is>
      </c>
      <c r="K8" s="297" t="inlineStr">
        <is>
          <t>2012</t>
        </is>
      </c>
      <c r="L8" s="297" t="inlineStr">
        <is>
          <t>12</t>
        </is>
      </c>
      <c r="M8" s="300" t="inlineStr">
        <is>
          <t>1К26</t>
        </is>
      </c>
      <c r="N8" s="299" t="inlineStr">
        <is>
          <t>К</t>
        </is>
      </c>
    </row>
    <row r="9" ht="22.5" customFormat="1" customHeight="1" s="235">
      <c r="A9" s="297" t="n">
        <v>8</v>
      </c>
      <c r="B9" s="298" t="inlineStr">
        <is>
          <t>Манометр технический</t>
        </is>
      </c>
      <c r="C9" s="299" t="inlineStr">
        <is>
          <t>ДМ02-100-1-G</t>
        </is>
      </c>
      <c r="D9" s="299" t="inlineStr">
        <is>
          <t>15152</t>
        </is>
      </c>
      <c r="E9" s="299" t="inlineStr">
        <is>
          <t>2010</t>
        </is>
      </c>
      <c r="F9" s="299" t="inlineStr">
        <is>
          <t>0..6 Bar</t>
        </is>
      </c>
      <c r="G9" s="299" t="inlineStr">
        <is>
          <t>1.5</t>
        </is>
      </c>
      <c r="H9" s="297" t="inlineStr">
        <is>
          <t>Р воды после фильтра грубой очистки № 1</t>
        </is>
      </c>
      <c r="I9" s="299" t="inlineStr">
        <is>
          <t>НСХПВ</t>
        </is>
      </c>
      <c r="J9" s="297" t="inlineStr">
        <is>
          <t>АСУ,А и ТМ (КЦ № 6)</t>
        </is>
      </c>
      <c r="K9" s="297" t="inlineStr">
        <is>
          <t>2012</t>
        </is>
      </c>
      <c r="L9" s="297" t="inlineStr">
        <is>
          <t>12</t>
        </is>
      </c>
      <c r="M9" s="300" t="inlineStr">
        <is>
          <t>1К26</t>
        </is>
      </c>
      <c r="N9" s="299" t="inlineStr">
        <is>
          <t>К</t>
        </is>
      </c>
    </row>
    <row r="10" ht="22.5" customFormat="1" customHeight="1" s="235">
      <c r="A10" s="297" t="n">
        <v>9</v>
      </c>
      <c r="B10" s="298" t="inlineStr">
        <is>
          <t>Манометр технический</t>
        </is>
      </c>
      <c r="C10" s="299" t="inlineStr">
        <is>
          <t>ДМ02-100-1-G</t>
        </is>
      </c>
      <c r="D10" s="299" t="inlineStr">
        <is>
          <t>15187</t>
        </is>
      </c>
      <c r="E10" s="299" t="inlineStr">
        <is>
          <t>2010</t>
        </is>
      </c>
      <c r="F10" s="299" t="inlineStr">
        <is>
          <t>0..6 Bar</t>
        </is>
      </c>
      <c r="G10" s="299" t="inlineStr">
        <is>
          <t>1.5</t>
        </is>
      </c>
      <c r="H10" s="297" t="inlineStr">
        <is>
          <t>Р воды перед фильтром грубой очистки № 2</t>
        </is>
      </c>
      <c r="I10" s="299" t="inlineStr">
        <is>
          <t>НСХПВ</t>
        </is>
      </c>
      <c r="J10" s="297" t="inlineStr">
        <is>
          <t>АСУ,А и ТМ (КЦ № 6)</t>
        </is>
      </c>
      <c r="K10" s="297" t="inlineStr">
        <is>
          <t>2012</t>
        </is>
      </c>
      <c r="L10" s="297" t="inlineStr">
        <is>
          <t>12</t>
        </is>
      </c>
      <c r="M10" s="300" t="inlineStr">
        <is>
          <t>1К26</t>
        </is>
      </c>
      <c r="N10" s="299" t="inlineStr">
        <is>
          <t>К</t>
        </is>
      </c>
    </row>
    <row r="11" ht="22.5" customFormat="1" customHeight="1" s="235">
      <c r="A11" s="297" t="n">
        <v>10</v>
      </c>
      <c r="B11" s="298" t="inlineStr">
        <is>
          <t>Манометр технический</t>
        </is>
      </c>
      <c r="C11" s="299" t="inlineStr">
        <is>
          <t>ДМ02-100-1-G</t>
        </is>
      </c>
      <c r="D11" s="299" t="inlineStr">
        <is>
          <t>15185</t>
        </is>
      </c>
      <c r="E11" s="299" t="inlineStr">
        <is>
          <t>2010</t>
        </is>
      </c>
      <c r="F11" s="299" t="inlineStr">
        <is>
          <t>0..6 Bar</t>
        </is>
      </c>
      <c r="G11" s="299" t="inlineStr">
        <is>
          <t>1.5</t>
        </is>
      </c>
      <c r="H11" s="297" t="inlineStr">
        <is>
          <t>Р воды после фильтра грубой очистки № 2</t>
        </is>
      </c>
      <c r="I11" s="299" t="inlineStr">
        <is>
          <t>НСХПВ</t>
        </is>
      </c>
      <c r="J11" s="297" t="inlineStr">
        <is>
          <t>АСУ,А и ТМ (КЦ № 6)</t>
        </is>
      </c>
      <c r="K11" s="297" t="inlineStr">
        <is>
          <t>2012</t>
        </is>
      </c>
      <c r="L11" s="297" t="inlineStr">
        <is>
          <t>12</t>
        </is>
      </c>
      <c r="M11" s="300" t="inlineStr">
        <is>
          <t>1К26</t>
        </is>
      </c>
      <c r="N11" s="299" t="inlineStr">
        <is>
          <t>К</t>
        </is>
      </c>
    </row>
    <row r="12" ht="22.5" customFormat="1" customHeight="1" s="235">
      <c r="A12" s="297" t="n">
        <v>11</v>
      </c>
      <c r="B12" s="298" t="inlineStr">
        <is>
          <t>Манометр технический</t>
        </is>
      </c>
      <c r="C12" s="299" t="inlineStr">
        <is>
          <t>ДМ02-100-1-G</t>
        </is>
      </c>
      <c r="D12" s="299" t="inlineStr">
        <is>
          <t>15156</t>
        </is>
      </c>
      <c r="E12" s="299" t="inlineStr">
        <is>
          <t>2010</t>
        </is>
      </c>
      <c r="F12" s="299" t="inlineStr">
        <is>
          <t>0..6 Bar</t>
        </is>
      </c>
      <c r="G12" s="299" t="inlineStr">
        <is>
          <t>1.5</t>
        </is>
      </c>
      <c r="H12" s="297" t="inlineStr">
        <is>
          <t>Р воды перед фильтром сорбционным</t>
        </is>
      </c>
      <c r="I12" s="299" t="inlineStr">
        <is>
          <t>НСХПВ</t>
        </is>
      </c>
      <c r="J12" s="297" t="inlineStr">
        <is>
          <t>АСУ,А и ТМ (КЦ № 6)</t>
        </is>
      </c>
      <c r="K12" s="297" t="inlineStr">
        <is>
          <t>2012</t>
        </is>
      </c>
      <c r="L12" s="297" t="inlineStr">
        <is>
          <t>12</t>
        </is>
      </c>
      <c r="M12" s="300" t="inlineStr">
        <is>
          <t>1К26</t>
        </is>
      </c>
      <c r="N12" s="299" t="inlineStr">
        <is>
          <t>К</t>
        </is>
      </c>
    </row>
    <row r="13" ht="22.5" customFormat="1" customHeight="1" s="235">
      <c r="A13" s="297" t="n">
        <v>12</v>
      </c>
      <c r="B13" s="298" t="inlineStr">
        <is>
          <t>Манометр технический</t>
        </is>
      </c>
      <c r="C13" s="299" t="inlineStr">
        <is>
          <t>ДМ02-100-1-G</t>
        </is>
      </c>
      <c r="D13" s="299" t="inlineStr">
        <is>
          <t>15437</t>
        </is>
      </c>
      <c r="E13" s="299" t="inlineStr">
        <is>
          <t>2010</t>
        </is>
      </c>
      <c r="F13" s="299" t="inlineStr">
        <is>
          <t>0..6 Bar</t>
        </is>
      </c>
      <c r="G13" s="299" t="inlineStr">
        <is>
          <t>1.5</t>
        </is>
      </c>
      <c r="H13" s="297" t="inlineStr">
        <is>
          <t>Р воды после фильтра сорбционного</t>
        </is>
      </c>
      <c r="I13" s="299" t="inlineStr">
        <is>
          <t>НСХПВ</t>
        </is>
      </c>
      <c r="J13" s="297" t="inlineStr">
        <is>
          <t>АСУ,А и ТМ (КЦ № 6)</t>
        </is>
      </c>
      <c r="K13" s="297" t="inlineStr">
        <is>
          <t>2012</t>
        </is>
      </c>
      <c r="L13" s="297" t="inlineStr">
        <is>
          <t>12</t>
        </is>
      </c>
      <c r="M13" s="300" t="inlineStr">
        <is>
          <t>1К26</t>
        </is>
      </c>
      <c r="N13" s="299" t="inlineStr">
        <is>
          <t>К</t>
        </is>
      </c>
    </row>
    <row r="14" ht="22.5" customFormat="1" customHeight="1" s="235">
      <c r="A14" s="297" t="n">
        <v>13</v>
      </c>
      <c r="B14" s="298" t="inlineStr">
        <is>
          <t>Манометр технический</t>
        </is>
      </c>
      <c r="C14" s="299" t="inlineStr">
        <is>
          <t>ДМ02-100-1-G</t>
        </is>
      </c>
      <c r="D14" s="299" t="inlineStr">
        <is>
          <t>15153</t>
        </is>
      </c>
      <c r="E14" s="299" t="inlineStr">
        <is>
          <t>2010</t>
        </is>
      </c>
      <c r="F14" s="299" t="inlineStr">
        <is>
          <t>0..6 Bar</t>
        </is>
      </c>
      <c r="G14" s="299" t="inlineStr">
        <is>
          <t>1.5</t>
        </is>
      </c>
      <c r="H14" s="297" t="inlineStr">
        <is>
          <t>Р воды после промывочных насосов</t>
        </is>
      </c>
      <c r="I14" s="299" t="inlineStr">
        <is>
          <t>НСХПВ</t>
        </is>
      </c>
      <c r="J14" s="297" t="inlineStr">
        <is>
          <t>АСУ,А и ТМ (КЦ № 6)</t>
        </is>
      </c>
      <c r="K14" s="297" t="inlineStr">
        <is>
          <t>2012</t>
        </is>
      </c>
      <c r="L14" s="297" t="inlineStr">
        <is>
          <t>12</t>
        </is>
      </c>
      <c r="M14" s="300" t="inlineStr">
        <is>
          <t>1К26</t>
        </is>
      </c>
      <c r="N14" s="299" t="inlineStr">
        <is>
          <t>К</t>
        </is>
      </c>
    </row>
    <row r="15" ht="15" customFormat="1" customHeight="1" s="235">
      <c r="A15" s="297" t="n">
        <v>14</v>
      </c>
      <c r="B15" s="298" t="inlineStr">
        <is>
          <t>Манометр технический</t>
        </is>
      </c>
      <c r="C15" s="299" t="inlineStr">
        <is>
          <t>ДМ02-100-1-G</t>
        </is>
      </c>
      <c r="D15" s="299" t="inlineStr">
        <is>
          <t>15155</t>
        </is>
      </c>
      <c r="E15" s="299" t="inlineStr">
        <is>
          <t>2010</t>
        </is>
      </c>
      <c r="F15" s="299" t="inlineStr">
        <is>
          <t>0..6 Bar</t>
        </is>
      </c>
      <c r="G15" s="299" t="inlineStr">
        <is>
          <t>1.5</t>
        </is>
      </c>
      <c r="H15" s="297" t="inlineStr">
        <is>
          <t>Р воды перед ОСМОСом</t>
        </is>
      </c>
      <c r="I15" s="299" t="inlineStr">
        <is>
          <t>НСХПВ</t>
        </is>
      </c>
      <c r="J15" s="297" t="inlineStr">
        <is>
          <t>АСУ,А и ТМ (КЦ № 6)</t>
        </is>
      </c>
      <c r="K15" s="297" t="inlineStr">
        <is>
          <t>2012</t>
        </is>
      </c>
      <c r="L15" s="297" t="inlineStr">
        <is>
          <t>12</t>
        </is>
      </c>
      <c r="M15" s="300" t="inlineStr">
        <is>
          <t>1К26</t>
        </is>
      </c>
      <c r="N15" s="299" t="inlineStr">
        <is>
          <t>К</t>
        </is>
      </c>
    </row>
    <row r="16" ht="15" customFormat="1" customHeight="1" s="235">
      <c r="A16" s="297" t="n">
        <v>15</v>
      </c>
      <c r="B16" s="298" t="inlineStr">
        <is>
          <t>Манометр технический</t>
        </is>
      </c>
      <c r="C16" s="299" t="inlineStr">
        <is>
          <t>ДМ02-100-1-G</t>
        </is>
      </c>
      <c r="D16" s="299" t="inlineStr">
        <is>
          <t>15418</t>
        </is>
      </c>
      <c r="E16" s="299" t="inlineStr">
        <is>
          <t>2010</t>
        </is>
      </c>
      <c r="F16" s="299" t="inlineStr">
        <is>
          <t>0..6 Bar</t>
        </is>
      </c>
      <c r="G16" s="299" t="inlineStr">
        <is>
          <t>1.5</t>
        </is>
      </c>
      <c r="H16" s="297" t="inlineStr">
        <is>
          <t>Р воды на выходе НСХПВ</t>
        </is>
      </c>
      <c r="I16" s="299" t="inlineStr">
        <is>
          <t>НСХПВ</t>
        </is>
      </c>
      <c r="J16" s="297" t="inlineStr">
        <is>
          <t>АСУ,А и ТМ (КЦ № 6)</t>
        </is>
      </c>
      <c r="K16" s="297" t="inlineStr">
        <is>
          <t>2012</t>
        </is>
      </c>
      <c r="L16" s="297" t="inlineStr">
        <is>
          <t>12</t>
        </is>
      </c>
      <c r="M16" s="300" t="inlineStr">
        <is>
          <t>1К26</t>
        </is>
      </c>
      <c r="N16" s="299" t="inlineStr">
        <is>
          <t>К</t>
        </is>
      </c>
    </row>
    <row r="17" ht="22.5" customFormat="1" customHeight="1" s="235">
      <c r="A17" s="297" t="n">
        <v>16</v>
      </c>
      <c r="B17" s="298" t="inlineStr">
        <is>
          <t>Манометр технический</t>
        </is>
      </c>
      <c r="C17" s="299" t="inlineStr">
        <is>
          <t>ДМ02-100-1-G</t>
        </is>
      </c>
      <c r="D17" s="299" t="inlineStr">
        <is>
          <t>15510</t>
        </is>
      </c>
      <c r="E17" s="299" t="inlineStr">
        <is>
          <t>2010</t>
        </is>
      </c>
      <c r="F17" s="299" t="inlineStr">
        <is>
          <t>-1..24 Bar</t>
        </is>
      </c>
      <c r="G17" s="299" t="inlineStr">
        <is>
          <t>1.5</t>
        </is>
      </c>
      <c r="H17" s="297" t="inlineStr">
        <is>
          <t>Р воды на входе в насосную станцию III подъема</t>
        </is>
      </c>
      <c r="I17" s="299" t="inlineStr">
        <is>
          <t>НСХПВ</t>
        </is>
      </c>
      <c r="J17" s="297" t="inlineStr">
        <is>
          <t>АСУ,А и ТМ (КЦ № 6)</t>
        </is>
      </c>
      <c r="K17" s="297" t="inlineStr">
        <is>
          <t>2012</t>
        </is>
      </c>
      <c r="L17" s="297" t="inlineStr">
        <is>
          <t>12</t>
        </is>
      </c>
      <c r="M17" s="300" t="inlineStr">
        <is>
          <t>1К26</t>
        </is>
      </c>
      <c r="N17" s="299" t="inlineStr">
        <is>
          <t>К</t>
        </is>
      </c>
      <c r="O17" s="250" t="n"/>
    </row>
    <row r="18" ht="22.5" customFormat="1" customHeight="1" s="235">
      <c r="A18" s="297" t="n">
        <v>17</v>
      </c>
      <c r="B18" s="298" t="inlineStr">
        <is>
          <t>Расходомер импульсный</t>
        </is>
      </c>
      <c r="C18" s="299" t="inlineStr"/>
      <c r="D18" s="299" t="inlineStr">
        <is>
          <t>12-004371</t>
        </is>
      </c>
      <c r="E18" s="299" t="inlineStr"/>
      <c r="F18" s="299" t="inlineStr"/>
      <c r="G18" s="299" t="inlineStr">
        <is>
          <t>0.25</t>
        </is>
      </c>
      <c r="H18" s="297" t="inlineStr">
        <is>
          <t>Расходомер импульсный на схеме 2</t>
        </is>
      </c>
      <c r="I18" s="299" t="inlineStr">
        <is>
          <t>НСХПВ</t>
        </is>
      </c>
      <c r="J18" s="297" t="inlineStr">
        <is>
          <t>АСУ,А и ТМ (КЦ № 6)</t>
        </is>
      </c>
      <c r="K18" s="297" t="inlineStr"/>
      <c r="L18" s="297" t="inlineStr"/>
      <c r="M18" s="300" t="inlineStr"/>
      <c r="N18" s="299" t="inlineStr"/>
      <c r="O18" s="250" t="n"/>
    </row>
    <row r="19" ht="15" customFormat="1" customHeight="1" s="235">
      <c r="A19" s="297" t="n">
        <v>18</v>
      </c>
      <c r="B19" s="298" t="inlineStr">
        <is>
          <t>Расходомер импульсный</t>
        </is>
      </c>
      <c r="C19" s="299" t="inlineStr"/>
      <c r="D19" s="299" t="inlineStr">
        <is>
          <t>12-005803</t>
        </is>
      </c>
      <c r="E19" s="299" t="inlineStr"/>
      <c r="F19" s="299" t="inlineStr"/>
      <c r="G19" s="299" t="inlineStr"/>
      <c r="H19" s="297" t="inlineStr">
        <is>
          <t>Расход очищенной воды</t>
        </is>
      </c>
      <c r="I19" s="299" t="inlineStr">
        <is>
          <t>НСХПВ</t>
        </is>
      </c>
      <c r="J19" s="297" t="inlineStr">
        <is>
          <t>АСУ,А и ТМ (КЦ № 6)</t>
        </is>
      </c>
      <c r="K19" s="297" t="inlineStr"/>
      <c r="L19" s="297" t="inlineStr"/>
      <c r="M19" s="300" t="inlineStr"/>
      <c r="N19" s="299" t="inlineStr"/>
      <c r="O19" s="250" t="n"/>
    </row>
    <row r="20" ht="22.5" customFormat="1" customHeight="1" s="235">
      <c r="A20" s="297" t="n">
        <v>19</v>
      </c>
      <c r="B20" s="298" t="inlineStr">
        <is>
          <t>Расходомер импульсный</t>
        </is>
      </c>
      <c r="C20" s="299" t="inlineStr">
        <is>
          <t>Zenner</t>
        </is>
      </c>
      <c r="D20" s="299" t="inlineStr">
        <is>
          <t>6035807</t>
        </is>
      </c>
      <c r="E20" s="299" t="inlineStr">
        <is>
          <t>2011</t>
        </is>
      </c>
      <c r="F20" s="299" t="inlineStr"/>
      <c r="G20" s="299" t="inlineStr"/>
      <c r="H20" s="297" t="inlineStr">
        <is>
          <t>Расходомер импульсный на схеме 12</t>
        </is>
      </c>
      <c r="I20" s="299" t="inlineStr">
        <is>
          <t>НСХПВ</t>
        </is>
      </c>
      <c r="J20" s="297" t="inlineStr">
        <is>
          <t>АСУ,А и ТМ (КЦ № 6)</t>
        </is>
      </c>
      <c r="K20" s="297" t="inlineStr"/>
      <c r="L20" s="297" t="inlineStr"/>
      <c r="M20" s="300" t="inlineStr"/>
      <c r="N20" s="299" t="inlineStr"/>
      <c r="O20" s="250" t="n"/>
    </row>
  </sheetData>
  <conditionalFormatting sqref="M1:M1048576">
    <cfRule type="expression" rank="0" priority="2" equalAverage="0" aboveAverage="0" dxfId="1" text="" percent="0" bottom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orizontalCentered="0" verticalCentered="0" headings="0" gridLines="0" gridLinesSet="1"/>
  <pageMargins left="0.25" right="0.25" top="0.75" bottom="0.75" header="0.511805555555555" footer="0.511805555555555"/>
  <pageSetup orientation="landscape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N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M8" activeCellId="0" sqref="M8"/>
    </sheetView>
  </sheetViews>
  <sheetFormatPr baseColWidth="8" defaultColWidth="9.15625" defaultRowHeight="15" zeroHeight="0" outlineLevelRow="0"/>
  <cols>
    <col width="3.14" customWidth="1" style="235" min="1" max="1"/>
    <col width="17.58" customWidth="1" style="235" min="2" max="2"/>
    <col width="15.86" customWidth="1" style="235" min="3" max="3"/>
    <col width="8" customWidth="1" style="235" min="4" max="4"/>
    <col width="6.57" customWidth="1" style="235" min="5" max="5"/>
    <col width="10.42" customWidth="1" style="235" min="6" max="6"/>
    <col width="8.140000000000001" customWidth="1" style="235" min="7" max="7"/>
    <col width="22.57" customWidth="1" style="235" min="8" max="8"/>
    <col width="8" customWidth="1" style="235" min="9" max="9"/>
    <col width="17.42" customWidth="1" style="235" min="10" max="10"/>
    <col width="8" customWidth="1" style="235" min="11" max="11"/>
    <col width="9" customWidth="1" style="235" min="12" max="12"/>
    <col width="8.859999999999999" customWidth="1" style="235" min="13" max="13"/>
    <col width="9.140000000000001" customWidth="1" style="235" min="14" max="1024"/>
  </cols>
  <sheetData>
    <row r="1" ht="45" customHeight="1" s="236">
      <c r="A1" s="239" t="inlineStr">
        <is>
          <t>№ п/п</t>
        </is>
      </c>
      <c r="B1" s="239" t="inlineStr">
        <is>
          <t>Наименование</t>
        </is>
      </c>
      <c r="C1" s="239" t="inlineStr">
        <is>
          <t>Тип</t>
        </is>
      </c>
      <c r="D1" s="239" t="inlineStr">
        <is>
          <t>Заводской номер</t>
        </is>
      </c>
      <c r="E1" s="240" t="inlineStr">
        <is>
          <t>Год выпуска</t>
        </is>
      </c>
      <c r="F1" s="239" t="inlineStr">
        <is>
          <t>Диапазон измерений</t>
        </is>
      </c>
      <c r="G1" s="239" t="inlineStr">
        <is>
          <t>Класс точности</t>
        </is>
      </c>
      <c r="H1" s="239" t="inlineStr">
        <is>
          <t>Место установки СИ</t>
        </is>
      </c>
      <c r="I1" s="239" t="inlineStr">
        <is>
          <t>Объект установки</t>
        </is>
      </c>
      <c r="J1" s="239" t="inlineStr">
        <is>
          <t>Подразделение</t>
        </is>
      </c>
      <c r="K1" s="239" t="inlineStr">
        <is>
          <t>Дата установки</t>
        </is>
      </c>
      <c r="L1" s="239" t="inlineStr">
        <is>
          <t>Межповерочный интервал, мес.</t>
        </is>
      </c>
      <c r="M1" s="240" t="inlineStr">
        <is>
          <t>Дата последней поверки / калибровки</t>
        </is>
      </c>
      <c r="N1" s="239" t="inlineStr">
        <is>
          <t>Поверка (П)/ Калибровка (К)</t>
        </is>
      </c>
    </row>
    <row r="2" ht="15" customHeight="1" s="236">
      <c r="A2" s="239" t="n">
        <v>1</v>
      </c>
      <c r="B2" s="241" t="inlineStr">
        <is>
          <t>Манометр технический</t>
        </is>
      </c>
      <c r="C2" s="251" t="inlineStr">
        <is>
          <t>ДМ02-100-1-М</t>
        </is>
      </c>
      <c r="D2" s="301" t="inlineStr">
        <is>
          <t>11016</t>
        </is>
      </c>
      <c r="E2" s="242" t="inlineStr">
        <is>
          <t>2010</t>
        </is>
      </c>
      <c r="F2" s="242" t="inlineStr">
        <is>
          <t>0..16 кгс/см2</t>
        </is>
      </c>
      <c r="G2" s="275" t="inlineStr">
        <is>
          <t>1.5</t>
        </is>
      </c>
      <c r="H2" s="242" t="inlineStr">
        <is>
          <t>Р воды в Т1 перед Ф</t>
        </is>
      </c>
      <c r="I2" s="242" t="inlineStr">
        <is>
          <t>НППВ</t>
        </is>
      </c>
      <c r="J2" s="239" t="inlineStr">
        <is>
          <t>АСУ,А и ТМ (КЦ № 6)</t>
        </is>
      </c>
      <c r="K2" s="239" t="inlineStr">
        <is>
          <t>2012</t>
        </is>
      </c>
      <c r="L2" s="239" t="inlineStr">
        <is>
          <t>12</t>
        </is>
      </c>
      <c r="M2" s="296" t="inlineStr">
        <is>
          <t>26ДЯУ</t>
        </is>
      </c>
      <c r="N2" s="242" t="inlineStr">
        <is>
          <t>П</t>
        </is>
      </c>
    </row>
    <row r="3" ht="15" customHeight="1" s="236">
      <c r="A3" s="243" t="n">
        <v>2</v>
      </c>
      <c r="B3" s="244" t="inlineStr">
        <is>
          <t>Манометр технический</t>
        </is>
      </c>
      <c r="C3" s="248" t="inlineStr">
        <is>
          <t>МП3-УУ2</t>
        </is>
      </c>
      <c r="D3" s="302" t="inlineStr">
        <is>
          <t>15608</t>
        </is>
      </c>
      <c r="E3" s="245" t="inlineStr">
        <is>
          <t>2010</t>
        </is>
      </c>
      <c r="F3" s="245" t="inlineStr">
        <is>
          <t>0..16 кгс/см2</t>
        </is>
      </c>
      <c r="G3" s="276" t="inlineStr">
        <is>
          <t>1.5</t>
        </is>
      </c>
      <c r="H3" s="245" t="inlineStr">
        <is>
          <t>Р воды в Т1 после Ф</t>
        </is>
      </c>
      <c r="I3" s="245" t="inlineStr">
        <is>
          <t>НППВ</t>
        </is>
      </c>
      <c r="J3" s="243" t="inlineStr">
        <is>
          <t>АСУ,А и ТМ (КЦ № 6)</t>
        </is>
      </c>
      <c r="K3" s="243" t="inlineStr">
        <is>
          <t>2012</t>
        </is>
      </c>
      <c r="L3" s="243" t="inlineStr">
        <is>
          <t>12</t>
        </is>
      </c>
      <c r="M3" s="300" t="inlineStr">
        <is>
          <t>26ДЯУ</t>
        </is>
      </c>
      <c r="N3" s="245" t="inlineStr">
        <is>
          <t>П</t>
        </is>
      </c>
    </row>
    <row r="4" ht="15" customHeight="1" s="236">
      <c r="A4" s="243" t="n">
        <v>3</v>
      </c>
      <c r="B4" s="244" t="inlineStr">
        <is>
          <t>Манометр технический</t>
        </is>
      </c>
      <c r="C4" s="248" t="inlineStr">
        <is>
          <t>МП4-У</t>
        </is>
      </c>
      <c r="D4" s="302" t="inlineStr">
        <is>
          <t>2290</t>
        </is>
      </c>
      <c r="E4" s="245" t="inlineStr">
        <is>
          <t>2010</t>
        </is>
      </c>
      <c r="F4" s="245" t="inlineStr">
        <is>
          <t>0..6 кгс/см2</t>
        </is>
      </c>
      <c r="G4" s="276" t="inlineStr">
        <is>
          <t>1</t>
        </is>
      </c>
      <c r="H4" s="245" t="inlineStr">
        <is>
          <t>Р воды в Т2 перед Ф</t>
        </is>
      </c>
      <c r="I4" s="245" t="inlineStr">
        <is>
          <t>НППВ</t>
        </is>
      </c>
      <c r="J4" s="243" t="inlineStr">
        <is>
          <t>АСУ,А и ТМ (КЦ № 6)</t>
        </is>
      </c>
      <c r="K4" s="243" t="inlineStr">
        <is>
          <t>2012</t>
        </is>
      </c>
      <c r="L4" s="243" t="inlineStr">
        <is>
          <t>12</t>
        </is>
      </c>
      <c r="M4" s="300" t="inlineStr">
        <is>
          <t>26ДЯУ</t>
        </is>
      </c>
      <c r="N4" s="245" t="inlineStr">
        <is>
          <t>П</t>
        </is>
      </c>
    </row>
    <row r="5" ht="15" customHeight="1" s="236">
      <c r="A5" s="243" t="n">
        <v>4</v>
      </c>
      <c r="B5" s="244" t="inlineStr">
        <is>
          <t>Манометр технический</t>
        </is>
      </c>
      <c r="C5" s="248" t="inlineStr">
        <is>
          <t>МП3-УТ2</t>
        </is>
      </c>
      <c r="D5" s="302" t="inlineStr">
        <is>
          <t>1321992</t>
        </is>
      </c>
      <c r="E5" s="245" t="inlineStr">
        <is>
          <t>2010</t>
        </is>
      </c>
      <c r="F5" s="245" t="inlineStr">
        <is>
          <t>0..6 кгс/см2</t>
        </is>
      </c>
      <c r="G5" s="276" t="inlineStr">
        <is>
          <t>1.5</t>
        </is>
      </c>
      <c r="H5" s="245" t="inlineStr">
        <is>
          <t>Р воды в Т2 после Ф</t>
        </is>
      </c>
      <c r="I5" s="245" t="inlineStr">
        <is>
          <t>НППВ</t>
        </is>
      </c>
      <c r="J5" s="243" t="inlineStr">
        <is>
          <t>АСУ,А и ТМ (КЦ № 6)</t>
        </is>
      </c>
      <c r="K5" s="243" t="inlineStr">
        <is>
          <t>2012</t>
        </is>
      </c>
      <c r="L5" s="243" t="inlineStr">
        <is>
          <t>12</t>
        </is>
      </c>
      <c r="M5" s="300" t="inlineStr">
        <is>
          <t>26ДЯУ</t>
        </is>
      </c>
      <c r="N5" s="245" t="inlineStr">
        <is>
          <t>П</t>
        </is>
      </c>
    </row>
    <row r="6" ht="22.5" customHeight="1" s="236">
      <c r="A6" s="243" t="n">
        <v>5</v>
      </c>
      <c r="B6" s="244" t="inlineStr">
        <is>
          <t>Манометр технический</t>
        </is>
      </c>
      <c r="C6" s="248" t="inlineStr">
        <is>
          <t>МП4-УУ2</t>
        </is>
      </c>
      <c r="D6" s="302" t="inlineStr">
        <is>
          <t>33</t>
        </is>
      </c>
      <c r="E6" s="245" t="inlineStr">
        <is>
          <t>2010</t>
        </is>
      </c>
      <c r="F6" s="245" t="inlineStr">
        <is>
          <t>0..10 кгс/см2</t>
        </is>
      </c>
      <c r="G6" s="276" t="inlineStr">
        <is>
          <t>1</t>
        </is>
      </c>
      <c r="H6" s="245" t="inlineStr">
        <is>
          <t>Р воды в Т2 после клапана регулятора перепада давления</t>
        </is>
      </c>
      <c r="I6" s="245" t="inlineStr">
        <is>
          <t>НППВ</t>
        </is>
      </c>
      <c r="J6" s="243" t="inlineStr">
        <is>
          <t>АСУ,А и ТМ (КЦ № 6)</t>
        </is>
      </c>
      <c r="K6" s="243" t="inlineStr">
        <is>
          <t>2012</t>
        </is>
      </c>
      <c r="L6" s="243" t="inlineStr">
        <is>
          <t>12</t>
        </is>
      </c>
      <c r="M6" s="300" t="inlineStr">
        <is>
          <t>26ДЯУ</t>
        </is>
      </c>
      <c r="N6" s="245" t="inlineStr">
        <is>
          <t>П</t>
        </is>
      </c>
    </row>
    <row r="7" ht="22.5" customHeight="1" s="236">
      <c r="A7" s="243" t="n">
        <v>6</v>
      </c>
      <c r="B7" s="244" t="inlineStr">
        <is>
          <t>Манометр технический</t>
        </is>
      </c>
      <c r="C7" s="248" t="inlineStr">
        <is>
          <t>МП4-У</t>
        </is>
      </c>
      <c r="D7" s="302" t="inlineStr">
        <is>
          <t>13778</t>
        </is>
      </c>
      <c r="E7" s="245" t="inlineStr">
        <is>
          <t>2010</t>
        </is>
      </c>
      <c r="F7" s="245" t="inlineStr">
        <is>
          <t>0..6 кгс/см2</t>
        </is>
      </c>
      <c r="G7" s="276" t="inlineStr">
        <is>
          <t>1.5</t>
        </is>
      </c>
      <c r="H7" s="245" t="inlineStr">
        <is>
          <t>Р воды после счетчика воды из водопровода</t>
        </is>
      </c>
      <c r="I7" s="245" t="inlineStr">
        <is>
          <t>НППВ</t>
        </is>
      </c>
      <c r="J7" s="243" t="inlineStr">
        <is>
          <t>АСУ,А и ТМ (КЦ № 6)</t>
        </is>
      </c>
      <c r="K7" s="243" t="inlineStr">
        <is>
          <t>2012</t>
        </is>
      </c>
      <c r="L7" s="243" t="inlineStr">
        <is>
          <t>12</t>
        </is>
      </c>
      <c r="M7" s="300" t="inlineStr">
        <is>
          <t>26ДЯУ</t>
        </is>
      </c>
      <c r="N7" s="245" t="inlineStr">
        <is>
          <t>П</t>
        </is>
      </c>
    </row>
    <row r="8" ht="22.5" customHeight="1" s="236">
      <c r="A8" s="243" t="n">
        <v>7</v>
      </c>
      <c r="B8" s="244" t="inlineStr">
        <is>
          <t>Термометр биметаллический</t>
        </is>
      </c>
      <c r="C8" s="248" t="inlineStr">
        <is>
          <t>ТБ-2Р УХЛ2</t>
        </is>
      </c>
      <c r="D8" s="302" t="inlineStr">
        <is>
          <t>5079</t>
        </is>
      </c>
      <c r="E8" s="245" t="inlineStr">
        <is>
          <t>2010</t>
        </is>
      </c>
      <c r="F8" s="245" t="inlineStr">
        <is>
          <t>0 .. 150°С</t>
        </is>
      </c>
      <c r="G8" s="276" t="inlineStr">
        <is>
          <t>1</t>
        </is>
      </c>
      <c r="H8" s="245" t="inlineStr">
        <is>
          <t>Температура в Т1</t>
        </is>
      </c>
      <c r="I8" s="245" t="inlineStr">
        <is>
          <t>НППВ</t>
        </is>
      </c>
      <c r="J8" s="243" t="inlineStr">
        <is>
          <t>АСУ,А и ТМ (КЦ № 6)</t>
        </is>
      </c>
      <c r="K8" s="243" t="inlineStr">
        <is>
          <t>2012</t>
        </is>
      </c>
      <c r="L8" s="243" t="inlineStr">
        <is>
          <t>24</t>
        </is>
      </c>
      <c r="M8" s="300" t="inlineStr">
        <is>
          <t>25ДЯУ</t>
        </is>
      </c>
      <c r="N8" s="245" t="inlineStr">
        <is>
          <t>П</t>
        </is>
      </c>
    </row>
    <row r="9" ht="22.5" customHeight="1" s="236">
      <c r="A9" s="243" t="n">
        <v>8</v>
      </c>
      <c r="B9" s="244" t="inlineStr">
        <is>
          <t>Термометр биметаллический</t>
        </is>
      </c>
      <c r="C9" s="248" t="inlineStr">
        <is>
          <t>ТБ-2</t>
        </is>
      </c>
      <c r="D9" s="302" t="inlineStr">
        <is>
          <t>5075</t>
        </is>
      </c>
      <c r="E9" s="245" t="inlineStr">
        <is>
          <t>2010</t>
        </is>
      </c>
      <c r="F9" s="245" t="inlineStr">
        <is>
          <t>0 .. 100°С</t>
        </is>
      </c>
      <c r="G9" s="276" t="inlineStr">
        <is>
          <t>1.5</t>
        </is>
      </c>
      <c r="H9" s="245" t="inlineStr">
        <is>
          <t>Температура в Т2</t>
        </is>
      </c>
      <c r="I9" s="245" t="inlineStr">
        <is>
          <t>НППВ</t>
        </is>
      </c>
      <c r="J9" s="243" t="inlineStr">
        <is>
          <t>АСУ,А и ТМ (КЦ № 6)</t>
        </is>
      </c>
      <c r="K9" s="243" t="inlineStr">
        <is>
          <t>2012</t>
        </is>
      </c>
      <c r="L9" s="243" t="inlineStr">
        <is>
          <t>24</t>
        </is>
      </c>
      <c r="M9" s="300" t="inlineStr">
        <is>
          <t>25ДЯУ</t>
        </is>
      </c>
      <c r="N9" s="245" t="inlineStr">
        <is>
          <t>П</t>
        </is>
      </c>
    </row>
    <row r="10" ht="22.5" customHeight="1" s="236">
      <c r="A10" s="243" t="n">
        <v>9</v>
      </c>
      <c r="B10" s="244" t="inlineStr">
        <is>
          <t>Датчик абсолютного давления</t>
        </is>
      </c>
      <c r="C10" s="248" t="inlineStr">
        <is>
          <t>Метран 100-Вн-ДА</t>
        </is>
      </c>
      <c r="D10" s="302" t="inlineStr">
        <is>
          <t>395270</t>
        </is>
      </c>
      <c r="E10" s="245" t="inlineStr">
        <is>
          <t>2007</t>
        </is>
      </c>
      <c r="F10" s="245" t="inlineStr">
        <is>
          <t>250..25 kPa</t>
        </is>
      </c>
      <c r="G10" s="276" t="inlineStr"/>
      <c r="H10" s="245" t="inlineStr">
        <is>
          <t>L воды в резервуаре 1</t>
        </is>
      </c>
      <c r="I10" s="245" t="inlineStr">
        <is>
          <t>НППВ</t>
        </is>
      </c>
      <c r="J10" s="243" t="inlineStr">
        <is>
          <t>АСУ,А и ТМ (КЦ № 6)</t>
        </is>
      </c>
      <c r="K10" s="243" t="inlineStr">
        <is>
          <t>2012</t>
        </is>
      </c>
      <c r="L10" s="243" t="inlineStr"/>
      <c r="M10" s="300" t="inlineStr"/>
      <c r="N10" s="245" t="inlineStr"/>
    </row>
    <row r="11" ht="22.5" customHeight="1" s="236">
      <c r="A11" s="243" t="n">
        <v>10</v>
      </c>
      <c r="B11" s="244" t="inlineStr">
        <is>
          <t>Датчик абсолютного давления</t>
        </is>
      </c>
      <c r="C11" s="248" t="inlineStr">
        <is>
          <t>Метран 100-Вн-ДА</t>
        </is>
      </c>
      <c r="D11" s="302" t="inlineStr">
        <is>
          <t>376431</t>
        </is>
      </c>
      <c r="E11" s="245" t="inlineStr">
        <is>
          <t>2007</t>
        </is>
      </c>
      <c r="F11" s="245" t="inlineStr">
        <is>
          <t>250..25 kPa</t>
        </is>
      </c>
      <c r="G11" s="276" t="inlineStr"/>
      <c r="H11" s="245" t="inlineStr">
        <is>
          <t>L воды в резервуаре 2</t>
        </is>
      </c>
      <c r="I11" s="245" t="inlineStr">
        <is>
          <t>НППВ</t>
        </is>
      </c>
      <c r="J11" s="243" t="inlineStr">
        <is>
          <t>АСУ,А и ТМ (КЦ № 6)</t>
        </is>
      </c>
      <c r="K11" s="243" t="inlineStr">
        <is>
          <t>2012</t>
        </is>
      </c>
      <c r="L11" s="243" t="inlineStr"/>
      <c r="M11" s="300" t="inlineStr"/>
      <c r="N11" s="245" t="inlineStr"/>
    </row>
    <row r="12" ht="22.5" customHeight="1" s="236">
      <c r="A12" s="243" t="n">
        <v>11</v>
      </c>
      <c r="B12" s="244" t="inlineStr">
        <is>
          <t>Термометр сопротивления</t>
        </is>
      </c>
      <c r="C12" s="244" t="inlineStr">
        <is>
          <t>ТСМ Метран-203-04 (50М)</t>
        </is>
      </c>
      <c r="D12" s="302" t="inlineStr">
        <is>
          <t>2074421</t>
        </is>
      </c>
      <c r="E12" s="245" t="inlineStr">
        <is>
          <t>2012</t>
        </is>
      </c>
      <c r="F12" s="245" t="inlineStr">
        <is>
          <t>-50 .. 150° С</t>
        </is>
      </c>
      <c r="G12" s="276" t="inlineStr">
        <is>
          <t>В</t>
        </is>
      </c>
      <c r="H12" s="245" t="inlineStr">
        <is>
          <t>Т воздуха в помещении</t>
        </is>
      </c>
      <c r="I12" s="245" t="inlineStr">
        <is>
          <t>НППВ</t>
        </is>
      </c>
      <c r="J12" s="243" t="inlineStr">
        <is>
          <t>АСУ,А и ТМ (КЦ № 6)</t>
        </is>
      </c>
      <c r="K12" s="243" t="inlineStr">
        <is>
          <t>2012</t>
        </is>
      </c>
      <c r="L12" s="243" t="inlineStr"/>
      <c r="M12" s="300" t="inlineStr"/>
      <c r="N12" s="245" t="inlineStr"/>
    </row>
    <row r="13" ht="22.5" customHeight="1" s="236">
      <c r="A13" s="243" t="n">
        <v>12</v>
      </c>
      <c r="B13" s="244" t="inlineStr">
        <is>
          <t>Термометр сопротивления</t>
        </is>
      </c>
      <c r="C13" s="248" t="inlineStr">
        <is>
          <t>ТСМУ 014.51.ИНД</t>
        </is>
      </c>
      <c r="D13" s="302" t="inlineStr">
        <is>
          <t>405</t>
        </is>
      </c>
      <c r="E13" s="245" t="inlineStr">
        <is>
          <t>2012</t>
        </is>
      </c>
      <c r="F13" s="245" t="inlineStr">
        <is>
          <t>-50 .. 100° С</t>
        </is>
      </c>
      <c r="G13" s="276" t="inlineStr">
        <is>
          <t>(0,5/0,6)%</t>
        </is>
      </c>
      <c r="H13" s="245" t="inlineStr">
        <is>
          <t>Т воздуха в помещении</t>
        </is>
      </c>
      <c r="I13" s="245" t="inlineStr">
        <is>
          <t>НППВ</t>
        </is>
      </c>
      <c r="J13" s="243" t="inlineStr">
        <is>
          <t>АСУ,А и ТМ (КЦ № 6)</t>
        </is>
      </c>
      <c r="K13" s="243" t="inlineStr">
        <is>
          <t>2012</t>
        </is>
      </c>
      <c r="L13" s="243" t="inlineStr"/>
      <c r="M13" s="300" t="inlineStr"/>
      <c r="N13" s="245" t="inlineStr"/>
    </row>
    <row r="14" ht="15" customHeight="1" s="236">
      <c r="A14" s="243" t="n">
        <v>13</v>
      </c>
      <c r="B14" s="244" t="inlineStr">
        <is>
          <t>Счетчик импульсный</t>
        </is>
      </c>
      <c r="C14" s="248" t="inlineStr">
        <is>
          <t>ВСХ-15</t>
        </is>
      </c>
      <c r="D14" s="302" t="inlineStr">
        <is>
          <t>002199</t>
        </is>
      </c>
      <c r="E14" s="245" t="inlineStr">
        <is>
          <t>2012</t>
        </is>
      </c>
      <c r="F14" s="245" t="inlineStr"/>
      <c r="G14" s="276" t="inlineStr"/>
      <c r="H14" s="245" t="inlineStr">
        <is>
          <t>Учет холодной воды</t>
        </is>
      </c>
      <c r="I14" s="245" t="inlineStr">
        <is>
          <t>НППВ</t>
        </is>
      </c>
      <c r="J14" s="243" t="inlineStr">
        <is>
          <t>АСУ,А и ТМ (КЦ № 6)</t>
        </is>
      </c>
      <c r="K14" s="243" t="inlineStr">
        <is>
          <t>2012</t>
        </is>
      </c>
      <c r="L14" s="243" t="inlineStr"/>
      <c r="M14" s="300" t="inlineStr"/>
      <c r="N14" s="245" t="inlineStr"/>
    </row>
    <row r="15" ht="15" customHeight="1" s="236">
      <c r="A15" s="243" t="n">
        <v>14</v>
      </c>
      <c r="B15" s="244" t="inlineStr">
        <is>
          <t>Счетчик импульсный</t>
        </is>
      </c>
      <c r="C15" s="248" t="inlineStr">
        <is>
          <t>ВСГ-15</t>
        </is>
      </c>
      <c r="D15" s="302" t="inlineStr">
        <is>
          <t>141778</t>
        </is>
      </c>
      <c r="E15" s="245" t="inlineStr">
        <is>
          <t>2012</t>
        </is>
      </c>
      <c r="F15" s="245" t="inlineStr"/>
      <c r="G15" s="276" t="inlineStr"/>
      <c r="H15" s="245" t="inlineStr">
        <is>
          <t>Учет горячей воды</t>
        </is>
      </c>
      <c r="I15" s="245" t="inlineStr">
        <is>
          <t>НППВ</t>
        </is>
      </c>
      <c r="J15" s="243" t="inlineStr">
        <is>
          <t>АСУ,А и ТМ (КЦ № 6)</t>
        </is>
      </c>
      <c r="K15" s="243" t="inlineStr">
        <is>
          <t>2012</t>
        </is>
      </c>
      <c r="L15" s="243" t="inlineStr"/>
      <c r="M15" s="300" t="inlineStr"/>
      <c r="N15" s="245" t="inlineStr"/>
    </row>
  </sheetData>
  <conditionalFormatting sqref="M1:M1048576">
    <cfRule type="expression" rank="0" priority="2" equalAverage="0" aboveAverage="0" dxfId="1" text="" percent="0" bottom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orizontalCentered="0" verticalCentered="0" headings="0" gridLines="0" gridLinesSet="1"/>
  <pageMargins left="0.25" right="0.25" top="0.75" bottom="0.75" header="0.511805555555555" footer="0.511805555555555"/>
  <pageSetup orientation="landscape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N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M11" activeCellId="0" sqref="M11"/>
    </sheetView>
  </sheetViews>
  <sheetFormatPr baseColWidth="8" defaultColWidth="9.15625" defaultRowHeight="15" zeroHeight="0" outlineLevelRow="0"/>
  <cols>
    <col width="3.14" customWidth="1" style="235" min="1" max="1"/>
    <col width="17.58" customWidth="1" style="235" min="2" max="2"/>
    <col width="11.42" customWidth="1" style="235" min="3" max="3"/>
    <col width="8" customWidth="1" style="235" min="4" max="4"/>
    <col width="6.57" customWidth="1" style="235" min="5" max="5"/>
    <col width="9.710000000000001" customWidth="1" style="235" min="6" max="6"/>
    <col width="7.42" customWidth="1" style="235" min="7" max="7"/>
    <col width="22.7" customWidth="1" style="235" min="8" max="8"/>
    <col width="21.57" customWidth="1" style="235" min="9" max="9"/>
    <col width="17.42" customWidth="1" style="235" min="10" max="10"/>
    <col width="8" customWidth="1" style="235" min="11" max="11"/>
    <col width="9" customWidth="1" style="235" min="12" max="12"/>
    <col width="8.859999999999999" customWidth="1" style="235" min="13" max="13"/>
    <col width="9" customWidth="1" style="235" min="14" max="14"/>
    <col width="9.140000000000001" customWidth="1" style="235" min="15" max="1024"/>
  </cols>
  <sheetData>
    <row r="1" ht="45" customHeight="1" s="236">
      <c r="A1" s="239" t="inlineStr">
        <is>
          <t>№ п/п</t>
        </is>
      </c>
      <c r="B1" s="239" t="inlineStr">
        <is>
          <t>Наименование</t>
        </is>
      </c>
      <c r="C1" s="239" t="inlineStr">
        <is>
          <t>Тип</t>
        </is>
      </c>
      <c r="D1" s="239" t="inlineStr">
        <is>
          <t>Заводской номер</t>
        </is>
      </c>
      <c r="E1" s="240" t="inlineStr">
        <is>
          <t>Год выпуска</t>
        </is>
      </c>
      <c r="F1" s="239" t="inlineStr">
        <is>
          <t>Диапазон измерений</t>
        </is>
      </c>
      <c r="G1" s="239" t="inlineStr">
        <is>
          <t>Класс точности</t>
        </is>
      </c>
      <c r="H1" s="239" t="inlineStr">
        <is>
          <t>Место установки СИ</t>
        </is>
      </c>
      <c r="I1" s="239" t="inlineStr">
        <is>
          <t>Объект установки</t>
        </is>
      </c>
      <c r="J1" s="239" t="inlineStr">
        <is>
          <t>Подразделение</t>
        </is>
      </c>
      <c r="K1" s="239" t="inlineStr">
        <is>
          <t>Дата установки</t>
        </is>
      </c>
      <c r="L1" s="239" t="inlineStr">
        <is>
          <t>Межповерочный интервал, мес.</t>
        </is>
      </c>
      <c r="M1" s="240" t="inlineStr">
        <is>
          <t>Дата последней поверки / калибровки</t>
        </is>
      </c>
      <c r="N1" s="239" t="inlineStr">
        <is>
          <t>Поверка (П)/ Калибровка (К)</t>
        </is>
      </c>
    </row>
    <row r="2" ht="15" customHeight="1" s="236">
      <c r="A2" s="239" t="n">
        <v>1</v>
      </c>
      <c r="B2" s="241" t="inlineStr">
        <is>
          <t>Манометр технический</t>
        </is>
      </c>
      <c r="C2" s="251" t="inlineStr">
        <is>
          <t>МП4-У</t>
        </is>
      </c>
      <c r="D2" s="301" t="inlineStr">
        <is>
          <t>684382</t>
        </is>
      </c>
      <c r="E2" s="242" t="inlineStr">
        <is>
          <t>2012</t>
        </is>
      </c>
      <c r="F2" s="242" t="inlineStr">
        <is>
          <t>0...6 кгс/см2</t>
        </is>
      </c>
      <c r="G2" s="275" t="inlineStr">
        <is>
          <t>1.5</t>
        </is>
      </c>
      <c r="H2" s="239" t="inlineStr">
        <is>
          <t>Р воды после счетчика</t>
        </is>
      </c>
      <c r="I2" s="239" t="inlineStr">
        <is>
          <t>РММ, водомерный узел</t>
        </is>
      </c>
      <c r="J2" s="239" t="inlineStr">
        <is>
          <t>АСУ,А и ТМ (КЦ № 6)</t>
        </is>
      </c>
      <c r="K2" s="239" t="inlineStr">
        <is>
          <t>2012</t>
        </is>
      </c>
      <c r="L2" s="239" t="inlineStr">
        <is>
          <t>12</t>
        </is>
      </c>
      <c r="M2" s="240" t="inlineStr">
        <is>
          <t>3К26</t>
        </is>
      </c>
      <c r="N2" s="242" t="inlineStr">
        <is>
          <t>К</t>
        </is>
      </c>
    </row>
    <row r="3" ht="15" customHeight="1" s="236">
      <c r="A3" s="243" t="n">
        <v>2</v>
      </c>
      <c r="B3" s="244" t="inlineStr">
        <is>
          <t>Счетчик воды</t>
        </is>
      </c>
      <c r="C3" s="248" t="inlineStr">
        <is>
          <t>ВСХ 32</t>
        </is>
      </c>
      <c r="D3" s="302" t="inlineStr">
        <is>
          <t>12521533</t>
        </is>
      </c>
      <c r="E3" s="245" t="inlineStr">
        <is>
          <t>2012</t>
        </is>
      </c>
      <c r="F3" s="245" t="inlineStr"/>
      <c r="G3" s="276" t="inlineStr"/>
      <c r="H3" s="243" t="inlineStr">
        <is>
          <t>Расход воды</t>
        </is>
      </c>
      <c r="I3" s="243" t="inlineStr">
        <is>
          <t>РММ, водомерный узел</t>
        </is>
      </c>
      <c r="J3" s="243" t="inlineStr">
        <is>
          <t>АСУ,А и ТМ (КЦ № 6)</t>
        </is>
      </c>
      <c r="K3" s="243" t="inlineStr"/>
      <c r="L3" s="243" t="inlineStr"/>
      <c r="M3" s="246" t="inlineStr"/>
      <c r="N3" s="245" t="inlineStr"/>
    </row>
    <row r="4" ht="15" customHeight="1" s="236">
      <c r="A4" s="243" t="n">
        <v>3</v>
      </c>
      <c r="B4" s="244" t="inlineStr">
        <is>
          <t>Манометр технический</t>
        </is>
      </c>
      <c r="C4" s="248" t="inlineStr">
        <is>
          <t>МП4-УУ2</t>
        </is>
      </c>
      <c r="D4" s="302" t="inlineStr">
        <is>
          <t>15570</t>
        </is>
      </c>
      <c r="E4" s="245" t="inlineStr">
        <is>
          <t>2010</t>
        </is>
      </c>
      <c r="F4" s="245" t="inlineStr">
        <is>
          <t>0..6 кгс/см2</t>
        </is>
      </c>
      <c r="G4" s="276" t="inlineStr">
        <is>
          <t>1</t>
        </is>
      </c>
      <c r="H4" s="243" t="inlineStr">
        <is>
          <t>Р воды после счетчика воды</t>
        </is>
      </c>
      <c r="I4" s="243" t="inlineStr">
        <is>
          <t>ПЭБ, МОП</t>
        </is>
      </c>
      <c r="J4" s="243" t="inlineStr">
        <is>
          <t>АСУ,А и ТМ (КЦ № 6)</t>
        </is>
      </c>
      <c r="K4" s="243" t="inlineStr">
        <is>
          <t>2012</t>
        </is>
      </c>
      <c r="L4" s="243" t="inlineStr">
        <is>
          <t>12</t>
        </is>
      </c>
      <c r="M4" s="246" t="inlineStr">
        <is>
          <t>3К26</t>
        </is>
      </c>
      <c r="N4" s="245" t="inlineStr">
        <is>
          <t>К</t>
        </is>
      </c>
    </row>
    <row r="5" ht="15" customHeight="1" s="236">
      <c r="A5" s="243" t="n">
        <v>4</v>
      </c>
      <c r="B5" s="244" t="inlineStr">
        <is>
          <t>Манометр технический</t>
        </is>
      </c>
      <c r="C5" s="248" t="inlineStr">
        <is>
          <t>ТМ5</t>
        </is>
      </c>
      <c r="D5" s="302" t="inlineStr">
        <is>
          <t>15422</t>
        </is>
      </c>
      <c r="E5" s="245" t="inlineStr">
        <is>
          <t>2010</t>
        </is>
      </c>
      <c r="F5" s="245" t="inlineStr">
        <is>
          <t>0..10 кгс/см2</t>
        </is>
      </c>
      <c r="G5" s="276" t="inlineStr">
        <is>
          <t>1.5</t>
        </is>
      </c>
      <c r="H5" s="243" t="inlineStr">
        <is>
          <t>Р воды в пожарном коллекторе</t>
        </is>
      </c>
      <c r="I5" s="243" t="inlineStr">
        <is>
          <t>ПЭБ, МОП</t>
        </is>
      </c>
      <c r="J5" s="243" t="inlineStr">
        <is>
          <t>АСУ,А и ТМ (КЦ № 6)</t>
        </is>
      </c>
      <c r="K5" s="243" t="inlineStr">
        <is>
          <t>2012</t>
        </is>
      </c>
      <c r="L5" s="243" t="inlineStr">
        <is>
          <t>12</t>
        </is>
      </c>
      <c r="M5" s="246" t="inlineStr">
        <is>
          <t>3К26</t>
        </is>
      </c>
      <c r="N5" s="245" t="inlineStr">
        <is>
          <t>К</t>
        </is>
      </c>
    </row>
    <row r="6" ht="15" customHeight="1" s="236">
      <c r="A6" s="243" t="n">
        <v>5</v>
      </c>
      <c r="B6" s="244" t="inlineStr">
        <is>
          <t>Счетчик воды</t>
        </is>
      </c>
      <c r="C6" s="248" t="inlineStr">
        <is>
          <t>ВСХ-15</t>
        </is>
      </c>
      <c r="D6" s="302" t="inlineStr">
        <is>
          <t>096492</t>
        </is>
      </c>
      <c r="E6" s="245" t="inlineStr">
        <is>
          <t>2012</t>
        </is>
      </c>
      <c r="F6" s="245" t="inlineStr"/>
      <c r="G6" s="276" t="inlineStr"/>
      <c r="H6" s="243" t="inlineStr">
        <is>
          <t>Учет холодной воды</t>
        </is>
      </c>
      <c r="I6" s="243" t="inlineStr">
        <is>
          <t>ПЭБ, МОП</t>
        </is>
      </c>
      <c r="J6" s="243" t="inlineStr">
        <is>
          <t>АСУ,А и ТМ (КЦ № 6)</t>
        </is>
      </c>
      <c r="K6" s="243" t="inlineStr"/>
      <c r="L6" s="243" t="inlineStr"/>
      <c r="M6" s="246" t="inlineStr"/>
      <c r="N6" s="245" t="inlineStr"/>
    </row>
    <row r="7" ht="15" customHeight="1" s="236">
      <c r="A7" s="243" t="n">
        <v>6</v>
      </c>
      <c r="B7" s="244" t="inlineStr">
        <is>
          <t>Манометр технический</t>
        </is>
      </c>
      <c r="C7" s="248" t="inlineStr">
        <is>
          <t>Росма ТМ5</t>
        </is>
      </c>
      <c r="D7" s="302" t="inlineStr">
        <is>
          <t>15581</t>
        </is>
      </c>
      <c r="E7" s="245" t="inlineStr">
        <is>
          <t>2012</t>
        </is>
      </c>
      <c r="F7" s="245" t="inlineStr">
        <is>
          <t>0..6 кгс/см3</t>
        </is>
      </c>
      <c r="G7" s="276" t="inlineStr">
        <is>
          <t>1.5</t>
        </is>
      </c>
      <c r="H7" s="243" t="inlineStr">
        <is>
          <t>Р воды после счетчика воды</t>
        </is>
      </c>
      <c r="I7" s="243" t="inlineStr">
        <is>
          <t>Склад масел в таре</t>
        </is>
      </c>
      <c r="J7" s="243" t="inlineStr">
        <is>
          <t>АСУ,А и ТМ (КЦ № 6)</t>
        </is>
      </c>
      <c r="K7" s="243" t="inlineStr"/>
      <c r="L7" s="243" t="inlineStr">
        <is>
          <t>12</t>
        </is>
      </c>
      <c r="M7" s="246" t="inlineStr">
        <is>
          <t>3К26</t>
        </is>
      </c>
      <c r="N7" s="245" t="inlineStr">
        <is>
          <t>К</t>
        </is>
      </c>
    </row>
    <row r="8" ht="15" customHeight="1" s="236">
      <c r="A8" s="243" t="n">
        <v>7</v>
      </c>
      <c r="B8" s="244" t="inlineStr">
        <is>
          <t>Счетчик воды</t>
        </is>
      </c>
      <c r="C8" s="248" t="inlineStr">
        <is>
          <t>ВСХ-15</t>
        </is>
      </c>
      <c r="D8" s="302" t="inlineStr">
        <is>
          <t>2185</t>
        </is>
      </c>
      <c r="E8" s="245" t="inlineStr">
        <is>
          <t>2012</t>
        </is>
      </c>
      <c r="F8" s="245" t="inlineStr"/>
      <c r="G8" s="276" t="inlineStr"/>
      <c r="H8" s="243" t="inlineStr">
        <is>
          <t>Учет холодной воды</t>
        </is>
      </c>
      <c r="I8" s="243" t="inlineStr">
        <is>
          <t>Склад масел в таре</t>
        </is>
      </c>
      <c r="J8" s="243" t="inlineStr">
        <is>
          <t>АСУ,А и ТМ (КЦ № 6)</t>
        </is>
      </c>
      <c r="K8" s="243" t="inlineStr"/>
      <c r="L8" s="243" t="inlineStr"/>
      <c r="M8" s="246" t="inlineStr"/>
      <c r="N8" s="245" t="inlineStr"/>
    </row>
    <row r="9" ht="15" customHeight="1" s="236">
      <c r="A9" s="243" t="n">
        <v>8</v>
      </c>
      <c r="B9" s="244" t="inlineStr">
        <is>
          <t>Манометр технический</t>
        </is>
      </c>
      <c r="C9" s="248" t="inlineStr">
        <is>
          <t>МП4-УУ2</t>
        </is>
      </c>
      <c r="D9" s="302" t="inlineStr">
        <is>
          <t>15434</t>
        </is>
      </c>
      <c r="E9" s="245" t="inlineStr">
        <is>
          <t>2010</t>
        </is>
      </c>
      <c r="F9" s="245" t="inlineStr">
        <is>
          <t>0..6 кгс/см2</t>
        </is>
      </c>
      <c r="G9" s="276" t="inlineStr">
        <is>
          <t>1.5</t>
        </is>
      </c>
      <c r="H9" s="243" t="inlineStr">
        <is>
          <t>Р воды перед кр. 2</t>
        </is>
      </c>
      <c r="I9" s="243" t="inlineStr">
        <is>
          <t>Проходная, водомерный узел</t>
        </is>
      </c>
      <c r="J9" s="243" t="inlineStr">
        <is>
          <t>АСУ,А и ТМ (КЦ № 6)</t>
        </is>
      </c>
      <c r="K9" s="243" t="inlineStr">
        <is>
          <t>2012</t>
        </is>
      </c>
      <c r="L9" s="243" t="inlineStr">
        <is>
          <t>12</t>
        </is>
      </c>
      <c r="M9" s="246" t="inlineStr">
        <is>
          <t>26ДЯУ</t>
        </is>
      </c>
      <c r="N9" s="245" t="inlineStr">
        <is>
          <t>К</t>
        </is>
      </c>
    </row>
    <row r="10" ht="15" customHeight="1" s="236">
      <c r="A10" s="243" t="n">
        <v>9</v>
      </c>
      <c r="B10" s="244" t="inlineStr">
        <is>
          <t>Манометр технический</t>
        </is>
      </c>
      <c r="C10" s="248" t="inlineStr">
        <is>
          <t>ДМ02-100-1-G</t>
        </is>
      </c>
      <c r="D10" s="302" t="inlineStr">
        <is>
          <t>15417</t>
        </is>
      </c>
      <c r="E10" s="245" t="inlineStr">
        <is>
          <t>2010</t>
        </is>
      </c>
      <c r="F10" s="245" t="inlineStr">
        <is>
          <t>0..6 кгс/см2</t>
        </is>
      </c>
      <c r="G10" s="276" t="inlineStr">
        <is>
          <t>1.5</t>
        </is>
      </c>
      <c r="H10" s="243" t="inlineStr">
        <is>
          <t>Р воды после счетчика</t>
        </is>
      </c>
      <c r="I10" s="243" t="inlineStr">
        <is>
          <t>КОС, водомерный узел</t>
        </is>
      </c>
      <c r="J10" s="243" t="inlineStr">
        <is>
          <t>АСУ,А и ТМ (КЦ № 6)</t>
        </is>
      </c>
      <c r="K10" s="243" t="inlineStr">
        <is>
          <t>2012</t>
        </is>
      </c>
      <c r="L10" s="243" t="inlineStr">
        <is>
          <t>12</t>
        </is>
      </c>
      <c r="M10" s="246" t="inlineStr">
        <is>
          <t>26ДЯУ</t>
        </is>
      </c>
      <c r="N10" s="245" t="inlineStr">
        <is>
          <t>К</t>
        </is>
      </c>
    </row>
  </sheetData>
  <conditionalFormatting sqref="D7:D8 D10">
    <cfRule type="duplicateValues" rank="0" priority="2" equalAverage="0" aboveAverage="0" dxfId="0" text="" percent="0" bottom="0"/>
  </conditionalFormatting>
  <conditionalFormatting sqref="D6">
    <cfRule type="duplicateValues" rank="0" priority="3" equalAverage="0" aboveAverage="0" dxfId="0" text="" percent="0" bottom="0"/>
  </conditionalFormatting>
  <conditionalFormatting sqref="M1:M1048576">
    <cfRule type="expression" rank="0" priority="4" equalAverage="0" aboveAverage="0" dxfId="1" text="" percent="0" bottom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1"/>
  </sheetPr>
  <dimension ref="A1:P105"/>
  <sheetViews>
    <sheetView showFormulas="0" showGridLines="1" showRowColHeaders="1" showZeros="1" rightToLeft="0" tabSelected="0" showOutlineSymbols="1" defaultGridColor="1" view="normal" topLeftCell="A1" colorId="64" zoomScale="118" zoomScaleNormal="118" zoomScalePageLayoutView="100" workbookViewId="0">
      <pane xSplit="0" ySplit="1" topLeftCell="A94" activePane="bottomLeft" state="frozen"/>
      <selection pane="topLeft" activeCell="A1" activeCellId="0" sqref="A1"/>
      <selection pane="bottomLeft" activeCell="M104" activeCellId="0" sqref="M104"/>
    </sheetView>
  </sheetViews>
  <sheetFormatPr baseColWidth="8" defaultColWidth="9.15625" defaultRowHeight="15" zeroHeight="0" outlineLevelRow="0"/>
  <cols>
    <col width="3.57" customWidth="1" style="235" min="1" max="1"/>
    <col width="21.57" customWidth="1" style="235" min="2" max="2"/>
    <col width="12.71" customWidth="1" style="235" min="3" max="3"/>
    <col width="8" customWidth="1" style="235" min="4" max="4"/>
    <col width="6.57" customWidth="1" style="235" min="5" max="5"/>
    <col width="9.710000000000001" customWidth="1" style="235" min="6" max="6"/>
    <col width="7.42" customWidth="1" style="235" min="7" max="7"/>
    <col width="17.71" customWidth="1" style="235" min="8" max="8"/>
    <col width="16.57" customWidth="1" style="235" min="9" max="9"/>
    <col width="17.42" customWidth="1" style="235" min="10" max="10"/>
    <col width="8" customWidth="1" style="235" min="11" max="11"/>
    <col width="9" customWidth="1" style="235" min="12" max="12"/>
    <col width="8.859999999999999" customWidth="1" style="235" min="13" max="13"/>
    <col width="9" customWidth="1" style="235" min="14" max="14"/>
    <col width="9.140000000000001" customWidth="1" style="235" min="15" max="1024"/>
  </cols>
  <sheetData>
    <row r="1" ht="45" customHeight="1" s="236">
      <c r="A1" s="239" t="inlineStr">
        <is>
          <t>№ п/п</t>
        </is>
      </c>
      <c r="B1" s="239" t="inlineStr">
        <is>
          <t>Наименование</t>
        </is>
      </c>
      <c r="C1" s="239" t="inlineStr">
        <is>
          <t>Тип</t>
        </is>
      </c>
      <c r="D1" s="239" t="inlineStr">
        <is>
          <t>Заводской номер</t>
        </is>
      </c>
      <c r="E1" s="240" t="inlineStr">
        <is>
          <t>Год выпуска</t>
        </is>
      </c>
      <c r="F1" s="239" t="inlineStr">
        <is>
          <t>Диапазон измерений</t>
        </is>
      </c>
      <c r="G1" s="239" t="inlineStr">
        <is>
          <t>Класс точности</t>
        </is>
      </c>
      <c r="H1" s="239" t="inlineStr">
        <is>
          <t>Место установки СИ</t>
        </is>
      </c>
      <c r="I1" s="239" t="inlineStr">
        <is>
          <t>Объект установки</t>
        </is>
      </c>
      <c r="J1" s="239" t="inlineStr">
        <is>
          <t>Подразделение</t>
        </is>
      </c>
      <c r="K1" s="239" t="inlineStr">
        <is>
          <t>Дата установки</t>
        </is>
      </c>
      <c r="L1" s="239" t="inlineStr">
        <is>
          <t>Межповерочный интервал, мес.</t>
        </is>
      </c>
      <c r="M1" s="240" t="inlineStr">
        <is>
          <t>Дата последней поверки / калибровки</t>
        </is>
      </c>
      <c r="N1" s="239" t="inlineStr">
        <is>
          <t>Поверка (П)/ Калибровка (К)</t>
        </is>
      </c>
    </row>
    <row r="2" ht="22.5" customHeight="1" s="236">
      <c r="A2" s="239" t="n">
        <v>1</v>
      </c>
      <c r="B2" s="239" t="inlineStr">
        <is>
          <t>Манометр технический</t>
        </is>
      </c>
      <c r="C2" s="239" t="inlineStr">
        <is>
          <t>МП4-УУ2</t>
        </is>
      </c>
      <c r="D2" s="293" t="inlineStr">
        <is>
          <t>700310</t>
        </is>
      </c>
      <c r="E2" s="239" t="inlineStr">
        <is>
          <t>2010</t>
        </is>
      </c>
      <c r="F2" s="239" t="inlineStr">
        <is>
          <t>0…..600 кПа</t>
        </is>
      </c>
      <c r="G2" s="239" t="inlineStr">
        <is>
          <t>1.5</t>
        </is>
      </c>
      <c r="H2" s="239" t="inlineStr">
        <is>
          <t>Р воды после расходомера</t>
        </is>
      </c>
      <c r="I2" s="239" t="inlineStr">
        <is>
          <t>КОС</t>
        </is>
      </c>
      <c r="J2" s="239" t="inlineStr">
        <is>
          <t>АСУ,А и ТМ (КЦ № 6)</t>
        </is>
      </c>
      <c r="K2" s="239" t="inlineStr">
        <is>
          <t>2012</t>
        </is>
      </c>
      <c r="L2" s="239" t="inlineStr">
        <is>
          <t>12</t>
        </is>
      </c>
      <c r="M2" s="303" t="inlineStr">
        <is>
          <t>26ДЯУ</t>
        </is>
      </c>
      <c r="N2" s="239" t="inlineStr">
        <is>
          <t>П</t>
        </is>
      </c>
    </row>
    <row r="3" ht="15" customHeight="1" s="236">
      <c r="A3" s="243" t="n">
        <v>2</v>
      </c>
      <c r="B3" s="243" t="inlineStr">
        <is>
          <t>Манометр технический</t>
        </is>
      </c>
      <c r="C3" s="243" t="inlineStr">
        <is>
          <t>МП4-УУ2</t>
        </is>
      </c>
      <c r="D3" s="297" t="inlineStr">
        <is>
          <t>35</t>
        </is>
      </c>
      <c r="E3" s="243" t="inlineStr">
        <is>
          <t>2010</t>
        </is>
      </c>
      <c r="F3" s="243" t="inlineStr">
        <is>
          <t>0..10 кгс/см2</t>
        </is>
      </c>
      <c r="G3" s="243" t="inlineStr">
        <is>
          <t>1</t>
        </is>
      </c>
      <c r="H3" s="243" t="inlineStr">
        <is>
          <t>Р воды после кр. 3</t>
        </is>
      </c>
      <c r="I3" s="243" t="inlineStr">
        <is>
          <t>КОС</t>
        </is>
      </c>
      <c r="J3" s="243" t="inlineStr">
        <is>
          <t>АСУ,А и ТМ (КЦ № 6)</t>
        </is>
      </c>
      <c r="K3" s="243" t="inlineStr">
        <is>
          <t>2012</t>
        </is>
      </c>
      <c r="L3" s="243" t="inlineStr">
        <is>
          <t>12</t>
        </is>
      </c>
      <c r="M3" s="304" t="inlineStr">
        <is>
          <t>26ДЯУ</t>
        </is>
      </c>
      <c r="N3" s="243" t="inlineStr">
        <is>
          <t>П</t>
        </is>
      </c>
    </row>
    <row r="4" ht="15" customHeight="1" s="236">
      <c r="A4" s="243" t="n">
        <v>3</v>
      </c>
      <c r="B4" s="243" t="inlineStr">
        <is>
          <t>Манометр технический</t>
        </is>
      </c>
      <c r="C4" s="243" t="inlineStr">
        <is>
          <t>МП4-УУ2</t>
        </is>
      </c>
      <c r="D4" s="297" t="inlineStr">
        <is>
          <t>37</t>
        </is>
      </c>
      <c r="E4" s="243" t="inlineStr">
        <is>
          <t>2010</t>
        </is>
      </c>
      <c r="F4" s="243" t="inlineStr">
        <is>
          <t>0..10 кгс/см2</t>
        </is>
      </c>
      <c r="G4" s="243" t="inlineStr">
        <is>
          <t>1</t>
        </is>
      </c>
      <c r="H4" s="243" t="inlineStr">
        <is>
          <t>Р воды после кр. 5</t>
        </is>
      </c>
      <c r="I4" s="243" t="inlineStr">
        <is>
          <t>КОС</t>
        </is>
      </c>
      <c r="J4" s="243" t="inlineStr">
        <is>
          <t>АСУ,А и ТМ (КЦ № 6)</t>
        </is>
      </c>
      <c r="K4" s="243" t="inlineStr">
        <is>
          <t>2012</t>
        </is>
      </c>
      <c r="L4" s="243" t="inlineStr">
        <is>
          <t>12</t>
        </is>
      </c>
      <c r="M4" s="304" t="inlineStr">
        <is>
          <t>26ДЯУ</t>
        </is>
      </c>
      <c r="N4" s="243" t="inlineStr">
        <is>
          <t>П</t>
        </is>
      </c>
    </row>
    <row r="5" ht="15" customHeight="1" s="236">
      <c r="A5" s="243" t="n">
        <v>4</v>
      </c>
      <c r="B5" s="243" t="inlineStr">
        <is>
          <t>Манометр технический</t>
        </is>
      </c>
      <c r="C5" s="243" t="inlineStr">
        <is>
          <t>МП4-УУ2</t>
        </is>
      </c>
      <c r="D5" s="297" t="inlineStr">
        <is>
          <t>41</t>
        </is>
      </c>
      <c r="E5" s="243" t="inlineStr">
        <is>
          <t>2010</t>
        </is>
      </c>
      <c r="F5" s="243" t="inlineStr">
        <is>
          <t>0..10 кгс/см2</t>
        </is>
      </c>
      <c r="G5" s="243" t="inlineStr">
        <is>
          <t>1</t>
        </is>
      </c>
      <c r="H5" s="243" t="inlineStr">
        <is>
          <t>Р воды после кр. 7</t>
        </is>
      </c>
      <c r="I5" s="243" t="inlineStr">
        <is>
          <t>КОС</t>
        </is>
      </c>
      <c r="J5" s="243" t="inlineStr">
        <is>
          <t>АСУ,А и ТМ (КЦ № 6)</t>
        </is>
      </c>
      <c r="K5" s="243" t="inlineStr">
        <is>
          <t>2012</t>
        </is>
      </c>
      <c r="L5" s="243" t="inlineStr">
        <is>
          <t>12</t>
        </is>
      </c>
      <c r="M5" s="304" t="inlineStr">
        <is>
          <t>26ДЯУ</t>
        </is>
      </c>
      <c r="N5" s="243" t="inlineStr">
        <is>
          <t>П</t>
        </is>
      </c>
    </row>
    <row r="6" ht="15" customHeight="1" s="236">
      <c r="A6" s="243" t="n">
        <v>5</v>
      </c>
      <c r="B6" s="243" t="inlineStr">
        <is>
          <t>Манометр технический</t>
        </is>
      </c>
      <c r="C6" s="243" t="inlineStr">
        <is>
          <t>МП4-УУ2</t>
        </is>
      </c>
      <c r="D6" s="297" t="inlineStr">
        <is>
          <t>11</t>
        </is>
      </c>
      <c r="E6" s="243" t="inlineStr">
        <is>
          <t>2010</t>
        </is>
      </c>
      <c r="F6" s="243" t="inlineStr">
        <is>
          <t>0..10 кгс/см2</t>
        </is>
      </c>
      <c r="G6" s="243" t="inlineStr">
        <is>
          <t>1</t>
        </is>
      </c>
      <c r="H6" s="243" t="inlineStr">
        <is>
          <t>Р воды перед кр. 6</t>
        </is>
      </c>
      <c r="I6" s="243" t="inlineStr">
        <is>
          <t>КОС</t>
        </is>
      </c>
      <c r="J6" s="243" t="inlineStr">
        <is>
          <t>АСУ,А и ТМ (КЦ № 6)</t>
        </is>
      </c>
      <c r="K6" s="243" t="inlineStr">
        <is>
          <t>2012</t>
        </is>
      </c>
      <c r="L6" s="243" t="inlineStr">
        <is>
          <t>12</t>
        </is>
      </c>
      <c r="M6" s="304" t="inlineStr">
        <is>
          <t>26ДЯУ</t>
        </is>
      </c>
      <c r="N6" s="243" t="inlineStr">
        <is>
          <t>П</t>
        </is>
      </c>
    </row>
    <row r="7" ht="15" customHeight="1" s="236">
      <c r="A7" s="243" t="n">
        <v>6</v>
      </c>
      <c r="B7" s="243" t="inlineStr">
        <is>
          <t>Манометр технический</t>
        </is>
      </c>
      <c r="C7" s="243" t="inlineStr">
        <is>
          <t>МП4-УУ2</t>
        </is>
      </c>
      <c r="D7" s="297" t="inlineStr">
        <is>
          <t>10</t>
        </is>
      </c>
      <c r="E7" s="243" t="inlineStr">
        <is>
          <t>2010</t>
        </is>
      </c>
      <c r="F7" s="243" t="inlineStr">
        <is>
          <t>0..10 кгс/см2</t>
        </is>
      </c>
      <c r="G7" s="243" t="inlineStr">
        <is>
          <t>1</t>
        </is>
      </c>
      <c r="H7" s="243" t="inlineStr">
        <is>
          <t>Р воды перед кр. 8</t>
        </is>
      </c>
      <c r="I7" s="243" t="inlineStr">
        <is>
          <t>КОС</t>
        </is>
      </c>
      <c r="J7" s="243" t="inlineStr">
        <is>
          <t>АСУ,А и ТМ (КЦ № 6)</t>
        </is>
      </c>
      <c r="K7" s="243" t="inlineStr">
        <is>
          <t>2012</t>
        </is>
      </c>
      <c r="L7" s="243" t="inlineStr">
        <is>
          <t>12</t>
        </is>
      </c>
      <c r="M7" s="304" t="inlineStr">
        <is>
          <t>26ДЯУ</t>
        </is>
      </c>
      <c r="N7" s="243" t="inlineStr">
        <is>
          <t>П</t>
        </is>
      </c>
    </row>
    <row r="8" ht="15" customHeight="1" s="236">
      <c r="A8" s="243" t="n">
        <v>7</v>
      </c>
      <c r="B8" s="243" t="inlineStr">
        <is>
          <t>Манометр технический</t>
        </is>
      </c>
      <c r="C8" s="243" t="inlineStr">
        <is>
          <t>МП4-УУ2</t>
        </is>
      </c>
      <c r="D8" s="297" t="inlineStr">
        <is>
          <t>43</t>
        </is>
      </c>
      <c r="E8" s="243" t="inlineStr">
        <is>
          <t>2010</t>
        </is>
      </c>
      <c r="F8" s="243" t="inlineStr">
        <is>
          <t>0..10 кгс/см2</t>
        </is>
      </c>
      <c r="G8" s="243" t="inlineStr">
        <is>
          <t>1</t>
        </is>
      </c>
      <c r="H8" s="243" t="inlineStr">
        <is>
          <t>Р воды перед кр. 1</t>
        </is>
      </c>
      <c r="I8" s="243" t="inlineStr">
        <is>
          <t>КОС</t>
        </is>
      </c>
      <c r="J8" s="243" t="inlineStr">
        <is>
          <t>АСУ,А и ТМ (КЦ № 6)</t>
        </is>
      </c>
      <c r="K8" s="243" t="inlineStr">
        <is>
          <t>2012</t>
        </is>
      </c>
      <c r="L8" s="243" t="inlineStr">
        <is>
          <t>12</t>
        </is>
      </c>
      <c r="M8" s="304" t="inlineStr">
        <is>
          <t>26ДЯУ</t>
        </is>
      </c>
      <c r="N8" s="243" t="inlineStr">
        <is>
          <t>П</t>
        </is>
      </c>
    </row>
    <row r="9" ht="15" customHeight="1" s="236">
      <c r="A9" s="243" t="n">
        <v>8</v>
      </c>
      <c r="B9" s="243" t="inlineStr">
        <is>
          <t>Манометр технический</t>
        </is>
      </c>
      <c r="C9" s="243" t="inlineStr">
        <is>
          <t>МП4-УУ2</t>
        </is>
      </c>
      <c r="D9" s="297" t="inlineStr">
        <is>
          <t>4</t>
        </is>
      </c>
      <c r="E9" s="243" t="inlineStr">
        <is>
          <t>2010</t>
        </is>
      </c>
      <c r="F9" s="243" t="inlineStr">
        <is>
          <t>0..10 кгс/см2</t>
        </is>
      </c>
      <c r="G9" s="243" t="inlineStr">
        <is>
          <t>1</t>
        </is>
      </c>
      <c r="H9" s="243" t="inlineStr">
        <is>
          <t>Р воды перед кр. 4</t>
        </is>
      </c>
      <c r="I9" s="243" t="inlineStr">
        <is>
          <t>КОС</t>
        </is>
      </c>
      <c r="J9" s="243" t="inlineStr">
        <is>
          <t>АСУ,А и ТМ (КЦ № 6)</t>
        </is>
      </c>
      <c r="K9" s="243" t="inlineStr">
        <is>
          <t>2012</t>
        </is>
      </c>
      <c r="L9" s="243" t="inlineStr">
        <is>
          <t>12</t>
        </is>
      </c>
      <c r="M9" s="304" t="inlineStr">
        <is>
          <t>26ДЯУ</t>
        </is>
      </c>
      <c r="N9" s="243" t="inlineStr">
        <is>
          <t>П</t>
        </is>
      </c>
    </row>
    <row r="10" ht="15" customHeight="1" s="236">
      <c r="A10" s="243" t="n">
        <v>9</v>
      </c>
      <c r="B10" s="243" t="inlineStr">
        <is>
          <t>Манометр технический</t>
        </is>
      </c>
      <c r="C10" s="243" t="inlineStr">
        <is>
          <t>ДМ02-160-1-М</t>
        </is>
      </c>
      <c r="D10" s="297" t="inlineStr">
        <is>
          <t>7098</t>
        </is>
      </c>
      <c r="E10" s="243" t="inlineStr">
        <is>
          <t>2010</t>
        </is>
      </c>
      <c r="F10" s="243" t="inlineStr">
        <is>
          <t>0..6 кгс/см2</t>
        </is>
      </c>
      <c r="G10" s="243" t="inlineStr">
        <is>
          <t>1.5</t>
        </is>
      </c>
      <c r="H10" s="243" t="inlineStr">
        <is>
          <t>Р воды после кр. 2</t>
        </is>
      </c>
      <c r="I10" s="243" t="inlineStr">
        <is>
          <t>КОС</t>
        </is>
      </c>
      <c r="J10" s="243" t="inlineStr">
        <is>
          <t>АСУ,А и ТМ (КЦ № 6)</t>
        </is>
      </c>
      <c r="K10" s="243" t="inlineStr">
        <is>
          <t>2012</t>
        </is>
      </c>
      <c r="L10" s="243" t="inlineStr">
        <is>
          <t>12</t>
        </is>
      </c>
      <c r="M10" s="304" t="inlineStr">
        <is>
          <t>26ДЯУ</t>
        </is>
      </c>
      <c r="N10" s="243" t="inlineStr">
        <is>
          <t>П</t>
        </is>
      </c>
    </row>
    <row r="11" ht="15" customHeight="1" s="236">
      <c r="A11" s="243" t="n">
        <v>10</v>
      </c>
      <c r="B11" s="243" t="inlineStr">
        <is>
          <t>Термометр биметаллический</t>
        </is>
      </c>
      <c r="C11" s="243" t="inlineStr">
        <is>
          <t>ТБ-2</t>
        </is>
      </c>
      <c r="D11" s="297" t="inlineStr">
        <is>
          <t>6930</t>
        </is>
      </c>
      <c r="E11" s="243" t="inlineStr">
        <is>
          <t>2010</t>
        </is>
      </c>
      <c r="F11" s="243" t="inlineStr">
        <is>
          <t>0 .. 120°С</t>
        </is>
      </c>
      <c r="G11" s="243" t="inlineStr">
        <is>
          <t>1</t>
        </is>
      </c>
      <c r="H11" s="243" t="inlineStr">
        <is>
          <t>Т воды после кр. 1</t>
        </is>
      </c>
      <c r="I11" s="243" t="inlineStr">
        <is>
          <t>КОС</t>
        </is>
      </c>
      <c r="J11" s="243" t="inlineStr">
        <is>
          <t>АСУ,А и ТМ (КЦ № 6)</t>
        </is>
      </c>
      <c r="K11" s="243" t="inlineStr">
        <is>
          <t>2012</t>
        </is>
      </c>
      <c r="L11" s="243" t="inlineStr">
        <is>
          <t>12</t>
        </is>
      </c>
      <c r="M11" s="304" t="inlineStr">
        <is>
          <t>25ДЯУ</t>
        </is>
      </c>
      <c r="N11" s="243" t="inlineStr">
        <is>
          <t>П</t>
        </is>
      </c>
    </row>
    <row r="12" ht="15" customHeight="1" s="236">
      <c r="A12" s="243" t="n">
        <v>11</v>
      </c>
      <c r="B12" s="243" t="inlineStr">
        <is>
          <t>Термометр биметаллический</t>
        </is>
      </c>
      <c r="C12" s="243" t="inlineStr">
        <is>
          <t>ТБ-2</t>
        </is>
      </c>
      <c r="D12" s="297" t="inlineStr">
        <is>
          <t>2965</t>
        </is>
      </c>
      <c r="E12" s="243" t="inlineStr">
        <is>
          <t>2010</t>
        </is>
      </c>
      <c r="F12" s="243" t="inlineStr">
        <is>
          <t>0 .. 120°С</t>
        </is>
      </c>
      <c r="G12" s="243" t="inlineStr">
        <is>
          <t>1</t>
        </is>
      </c>
      <c r="H12" s="243" t="inlineStr">
        <is>
          <t>Т воды перед кр. 6</t>
        </is>
      </c>
      <c r="I12" s="243" t="inlineStr">
        <is>
          <t>КОС</t>
        </is>
      </c>
      <c r="J12" s="243" t="inlineStr">
        <is>
          <t>АСУ,А и ТМ (КЦ № 6)</t>
        </is>
      </c>
      <c r="K12" s="243" t="inlineStr">
        <is>
          <t>2012</t>
        </is>
      </c>
      <c r="L12" s="243" t="inlineStr">
        <is>
          <t>12</t>
        </is>
      </c>
      <c r="M12" s="304" t="inlineStr">
        <is>
          <t>25ДЯУ</t>
        </is>
      </c>
      <c r="N12" s="243" t="inlineStr">
        <is>
          <t>П</t>
        </is>
      </c>
    </row>
    <row r="13" ht="15" customHeight="1" s="236">
      <c r="A13" s="243" t="n">
        <v>12</v>
      </c>
      <c r="B13" s="243" t="inlineStr">
        <is>
          <t>Термометр биметаллический</t>
        </is>
      </c>
      <c r="C13" s="243" t="inlineStr">
        <is>
          <t>ТБ-2</t>
        </is>
      </c>
      <c r="D13" s="297" t="inlineStr">
        <is>
          <t>6694</t>
        </is>
      </c>
      <c r="E13" s="243" t="inlineStr">
        <is>
          <t>2010</t>
        </is>
      </c>
      <c r="F13" s="243" t="inlineStr">
        <is>
          <t>0 .. 120°С</t>
        </is>
      </c>
      <c r="G13" s="243" t="inlineStr">
        <is>
          <t>1</t>
        </is>
      </c>
      <c r="H13" s="243" t="inlineStr">
        <is>
          <t>Т воды перед кр. 8</t>
        </is>
      </c>
      <c r="I13" s="243" t="inlineStr">
        <is>
          <t>КОС</t>
        </is>
      </c>
      <c r="J13" s="243" t="inlineStr">
        <is>
          <t>АСУ,А и ТМ (КЦ № 6)</t>
        </is>
      </c>
      <c r="K13" s="243" t="inlineStr">
        <is>
          <t>2012</t>
        </is>
      </c>
      <c r="L13" s="243" t="inlineStr">
        <is>
          <t>12</t>
        </is>
      </c>
      <c r="M13" s="304" t="inlineStr">
        <is>
          <t>25ДЯУ</t>
        </is>
      </c>
      <c r="N13" s="243" t="inlineStr">
        <is>
          <t>П</t>
        </is>
      </c>
    </row>
    <row r="14" ht="15" customHeight="1" s="236">
      <c r="A14" s="243" t="n">
        <v>13</v>
      </c>
      <c r="B14" s="243" t="inlineStr">
        <is>
          <t>Термометр биметаллический</t>
        </is>
      </c>
      <c r="C14" s="243" t="inlineStr">
        <is>
          <t>ТБ-2</t>
        </is>
      </c>
      <c r="D14" s="297" t="inlineStr">
        <is>
          <t>8986</t>
        </is>
      </c>
      <c r="E14" s="243" t="inlineStr">
        <is>
          <t>2010</t>
        </is>
      </c>
      <c r="F14" s="243" t="inlineStr">
        <is>
          <t>0 .. 100°С</t>
        </is>
      </c>
      <c r="G14" s="243" t="inlineStr">
        <is>
          <t>1.5</t>
        </is>
      </c>
      <c r="H14" s="243" t="inlineStr">
        <is>
          <t>Т воды после кр. 3</t>
        </is>
      </c>
      <c r="I14" s="243" t="inlineStr">
        <is>
          <t>КОС</t>
        </is>
      </c>
      <c r="J14" s="243" t="inlineStr">
        <is>
          <t>АСУ,А и ТМ (КЦ № 6)</t>
        </is>
      </c>
      <c r="K14" s="243" t="inlineStr">
        <is>
          <t>2012</t>
        </is>
      </c>
      <c r="L14" s="243" t="inlineStr">
        <is>
          <t>12</t>
        </is>
      </c>
      <c r="M14" s="304" t="inlineStr">
        <is>
          <t>25ДЯУ</t>
        </is>
      </c>
      <c r="N14" s="243" t="inlineStr">
        <is>
          <t>П</t>
        </is>
      </c>
    </row>
    <row r="15" ht="22.5" customHeight="1" s="236">
      <c r="A15" s="243" t="n">
        <v>14</v>
      </c>
      <c r="B15" s="305" t="inlineStr">
        <is>
          <t>Датчик давления избыточного</t>
        </is>
      </c>
      <c r="C15" s="243" t="inlineStr">
        <is>
          <t>СДВ-И-2,5-1,6</t>
        </is>
      </c>
      <c r="D15" s="297" t="inlineStr">
        <is>
          <t>79756</t>
        </is>
      </c>
      <c r="E15" s="243" t="inlineStr">
        <is>
          <t>2012</t>
        </is>
      </c>
      <c r="F15" s="243" t="inlineStr">
        <is>
          <t>0..2,5 MPa</t>
        </is>
      </c>
      <c r="G15" s="243" t="inlineStr">
        <is>
          <t>1</t>
        </is>
      </c>
      <c r="H15" s="243" t="inlineStr">
        <is>
          <t>Р прямой воды</t>
        </is>
      </c>
      <c r="I15" s="243" t="inlineStr">
        <is>
          <t>КОС</t>
        </is>
      </c>
      <c r="J15" s="243" t="inlineStr">
        <is>
          <t>АСУ,А и ТМ (КЦ № 6)</t>
        </is>
      </c>
      <c r="K15" s="243" t="inlineStr">
        <is>
          <t>2012</t>
        </is>
      </c>
      <c r="L15" s="243" t="inlineStr">
        <is>
          <t>60</t>
        </is>
      </c>
      <c r="M15" s="304" t="inlineStr"/>
      <c r="N15" s="243" t="inlineStr"/>
    </row>
    <row r="16" ht="22.5" customHeight="1" s="236">
      <c r="A16" s="243" t="n">
        <v>15</v>
      </c>
      <c r="B16" s="305" t="inlineStr">
        <is>
          <t>Датчик давления избыточного</t>
        </is>
      </c>
      <c r="C16" s="243" t="inlineStr">
        <is>
          <t>СДВ-И-2,5-1,6</t>
        </is>
      </c>
      <c r="D16" s="297" t="inlineStr">
        <is>
          <t>79757</t>
        </is>
      </c>
      <c r="E16" s="243" t="inlineStr">
        <is>
          <t>2012</t>
        </is>
      </c>
      <c r="F16" s="243" t="inlineStr">
        <is>
          <t>0..2,5 MPa</t>
        </is>
      </c>
      <c r="G16" s="243" t="inlineStr">
        <is>
          <t>1</t>
        </is>
      </c>
      <c r="H16" s="243" t="inlineStr">
        <is>
          <t>Р прямой воды</t>
        </is>
      </c>
      <c r="I16" s="243" t="inlineStr">
        <is>
          <t>КОС</t>
        </is>
      </c>
      <c r="J16" s="243" t="inlineStr">
        <is>
          <t>АСУ,А и ТМ (КЦ № 6)</t>
        </is>
      </c>
      <c r="K16" s="243" t="inlineStr">
        <is>
          <t>2012</t>
        </is>
      </c>
      <c r="L16" s="243" t="inlineStr">
        <is>
          <t>60</t>
        </is>
      </c>
      <c r="M16" s="304" t="inlineStr"/>
      <c r="N16" s="243" t="inlineStr"/>
    </row>
    <row r="17" ht="15" customHeight="1" s="236">
      <c r="A17" s="243" t="n">
        <v>16</v>
      </c>
      <c r="B17" s="305" t="inlineStr">
        <is>
          <t>Термометр сопротивления</t>
        </is>
      </c>
      <c r="C17" s="243" t="inlineStr">
        <is>
          <t>Взлет ТПС</t>
        </is>
      </c>
      <c r="D17" s="297" t="inlineStr">
        <is>
          <t>1217486</t>
        </is>
      </c>
      <c r="E17" s="243" t="inlineStr"/>
      <c r="F17" s="243" t="inlineStr">
        <is>
          <t>0…180 С</t>
        </is>
      </c>
      <c r="G17" s="243" t="inlineStr"/>
      <c r="H17" s="243" t="inlineStr">
        <is>
          <t>Т прямой воды</t>
        </is>
      </c>
      <c r="I17" s="243" t="inlineStr">
        <is>
          <t>КОС</t>
        </is>
      </c>
      <c r="J17" s="243" t="inlineStr">
        <is>
          <t>АСУ,А и ТМ (КЦ № 6)</t>
        </is>
      </c>
      <c r="K17" s="243" t="inlineStr"/>
      <c r="L17" s="243" t="inlineStr"/>
      <c r="M17" s="304" t="inlineStr"/>
      <c r="N17" s="243" t="inlineStr"/>
    </row>
    <row r="18" ht="15" customHeight="1" s="236">
      <c r="A18" s="243" t="n">
        <v>17</v>
      </c>
      <c r="B18" s="305" t="inlineStr">
        <is>
          <t>Термометр сопротивления</t>
        </is>
      </c>
      <c r="C18" s="243" t="inlineStr">
        <is>
          <t>Взлет ТПС</t>
        </is>
      </c>
      <c r="D18" s="297" t="inlineStr">
        <is>
          <t>1213116</t>
        </is>
      </c>
      <c r="E18" s="243" t="inlineStr"/>
      <c r="F18" s="243" t="inlineStr">
        <is>
          <t>0…180 С</t>
        </is>
      </c>
      <c r="G18" s="243" t="inlineStr"/>
      <c r="H18" s="243" t="inlineStr">
        <is>
          <t>Т обратной воды</t>
        </is>
      </c>
      <c r="I18" s="243" t="inlineStr">
        <is>
          <t>КОС</t>
        </is>
      </c>
      <c r="J18" s="243" t="inlineStr">
        <is>
          <t>АСУ,А и ТМ (КЦ № 6)</t>
        </is>
      </c>
      <c r="K18" s="243" t="inlineStr"/>
      <c r="L18" s="243" t="inlineStr"/>
      <c r="M18" s="304" t="inlineStr"/>
      <c r="N18" s="243" t="inlineStr"/>
    </row>
    <row r="19" ht="22.5" customHeight="1" s="236">
      <c r="A19" s="243" t="n">
        <v>18</v>
      </c>
      <c r="B19" s="305" t="inlineStr">
        <is>
          <t>Расходомер электромагнитный</t>
        </is>
      </c>
      <c r="C19" s="243" t="inlineStr">
        <is>
          <t>Взлет ЭРСВ-420Ф</t>
        </is>
      </c>
      <c r="D19" s="297" t="inlineStr">
        <is>
          <t>1252779</t>
        </is>
      </c>
      <c r="E19" s="243" t="inlineStr"/>
      <c r="F19" s="243" t="inlineStr"/>
      <c r="G19" s="243" t="inlineStr"/>
      <c r="H19" s="243" t="inlineStr">
        <is>
          <t>Расход сетевой воды</t>
        </is>
      </c>
      <c r="I19" s="243" t="inlineStr">
        <is>
          <t>КОС</t>
        </is>
      </c>
      <c r="J19" s="243" t="inlineStr">
        <is>
          <t>АСУ,А и ТМ (КЦ № 6)</t>
        </is>
      </c>
      <c r="K19" s="243" t="inlineStr"/>
      <c r="L19" s="243" t="inlineStr"/>
      <c r="M19" s="304" t="inlineStr"/>
      <c r="N19" s="243" t="inlineStr"/>
    </row>
    <row r="20" ht="15" customHeight="1" s="236">
      <c r="A20" s="243" t="n">
        <v>19</v>
      </c>
      <c r="B20" s="305" t="inlineStr">
        <is>
          <t>Тепловычислитель</t>
        </is>
      </c>
      <c r="C20" s="243" t="inlineStr">
        <is>
          <t>Взлет ТСРВ-027</t>
        </is>
      </c>
      <c r="D20" s="297" t="inlineStr">
        <is>
          <t>1200586</t>
        </is>
      </c>
      <c r="E20" s="243" t="inlineStr"/>
      <c r="F20" s="243" t="inlineStr"/>
      <c r="G20" s="243" t="inlineStr"/>
      <c r="H20" s="243" t="inlineStr">
        <is>
          <t>Учет тепловой энергии</t>
        </is>
      </c>
      <c r="I20" s="243" t="inlineStr">
        <is>
          <t>КОС</t>
        </is>
      </c>
      <c r="J20" s="243" t="inlineStr">
        <is>
          <t>АСУ,А и ТМ (КЦ № 6)</t>
        </is>
      </c>
      <c r="K20" s="243" t="inlineStr"/>
      <c r="L20" s="243" t="inlineStr"/>
      <c r="M20" s="304" t="inlineStr"/>
      <c r="N20" s="243" t="inlineStr"/>
    </row>
    <row r="21" ht="15" customHeight="1" s="236">
      <c r="A21" s="243" t="n">
        <v>20</v>
      </c>
      <c r="B21" s="243" t="inlineStr">
        <is>
          <t>Манометр технический</t>
        </is>
      </c>
      <c r="C21" s="243" t="inlineStr">
        <is>
          <t>МП4-УУ2</t>
        </is>
      </c>
      <c r="D21" s="297" t="inlineStr">
        <is>
          <t>5</t>
        </is>
      </c>
      <c r="E21" s="243" t="inlineStr">
        <is>
          <t>2010</t>
        </is>
      </c>
      <c r="F21" s="243" t="inlineStr">
        <is>
          <t>0..10 кгс/см2</t>
        </is>
      </c>
      <c r="G21" s="243" t="inlineStr">
        <is>
          <t>1</t>
        </is>
      </c>
      <c r="H21" s="243" t="inlineStr">
        <is>
          <t>Р прямой воды</t>
        </is>
      </c>
      <c r="I21" s="243" t="inlineStr">
        <is>
          <t>ПЭБ, тепловой пукт</t>
        </is>
      </c>
      <c r="J21" s="243" t="inlineStr">
        <is>
          <t>АСУ,А и ТМ (КЦ № 6)</t>
        </is>
      </c>
      <c r="K21" s="243" t="inlineStr">
        <is>
          <t>2012</t>
        </is>
      </c>
      <c r="L21" s="243" t="inlineStr">
        <is>
          <t>12</t>
        </is>
      </c>
      <c r="M21" s="304" t="inlineStr">
        <is>
          <t>26ДЯУ</t>
        </is>
      </c>
      <c r="N21" s="243" t="inlineStr">
        <is>
          <t>П</t>
        </is>
      </c>
    </row>
    <row r="22" ht="15" customHeight="1" s="236">
      <c r="A22" s="243" t="n">
        <v>21</v>
      </c>
      <c r="B22" s="243" t="inlineStr">
        <is>
          <t>Манометр технический</t>
        </is>
      </c>
      <c r="C22" s="243" t="inlineStr">
        <is>
          <t>МП4-УУ2</t>
        </is>
      </c>
      <c r="D22" s="297" t="inlineStr">
        <is>
          <t>15524</t>
        </is>
      </c>
      <c r="E22" s="243" t="inlineStr">
        <is>
          <t>2010</t>
        </is>
      </c>
      <c r="F22" s="243" t="inlineStr">
        <is>
          <t>0..10 кгс/см2</t>
        </is>
      </c>
      <c r="G22" s="243" t="inlineStr">
        <is>
          <t>1</t>
        </is>
      </c>
      <c r="H22" s="243" t="inlineStr">
        <is>
          <t>Р воды в В1 после Ф</t>
        </is>
      </c>
      <c r="I22" s="243" t="inlineStr">
        <is>
          <t>ПЭБ, тепловой пукт</t>
        </is>
      </c>
      <c r="J22" s="243" t="inlineStr">
        <is>
          <t>АСУ,А и ТМ (КЦ № 6)</t>
        </is>
      </c>
      <c r="K22" s="243" t="inlineStr">
        <is>
          <t>2012</t>
        </is>
      </c>
      <c r="L22" s="243" t="inlineStr">
        <is>
          <t>12</t>
        </is>
      </c>
      <c r="M22" s="304" t="inlineStr">
        <is>
          <t>26ДЯУ</t>
        </is>
      </c>
      <c r="N22" s="243" t="inlineStr">
        <is>
          <t>П</t>
        </is>
      </c>
    </row>
    <row r="23" ht="15" customHeight="1" s="236">
      <c r="A23" s="243" t="n">
        <v>22</v>
      </c>
      <c r="B23" s="243" t="inlineStr">
        <is>
          <t>Манометр технический</t>
        </is>
      </c>
      <c r="C23" s="243" t="inlineStr">
        <is>
          <t>МП4-УУ2</t>
        </is>
      </c>
      <c r="D23" s="297" t="inlineStr">
        <is>
          <t>29</t>
        </is>
      </c>
      <c r="E23" s="243" t="inlineStr">
        <is>
          <t>2010</t>
        </is>
      </c>
      <c r="F23" s="243" t="inlineStr">
        <is>
          <t>0..10 кгс/см2</t>
        </is>
      </c>
      <c r="G23" s="243" t="inlineStr">
        <is>
          <t>1</t>
        </is>
      </c>
      <c r="H23" s="243" t="inlineStr">
        <is>
          <t>Р воды перед кр. 8</t>
        </is>
      </c>
      <c r="I23" s="243" t="inlineStr">
        <is>
          <t>ПЭБ, тепловой пукт</t>
        </is>
      </c>
      <c r="J23" s="243" t="inlineStr">
        <is>
          <t>АСУ,А и ТМ (КЦ № 6)</t>
        </is>
      </c>
      <c r="K23" s="243" t="inlineStr">
        <is>
          <t>2012</t>
        </is>
      </c>
      <c r="L23" s="243" t="inlineStr">
        <is>
          <t>12</t>
        </is>
      </c>
      <c r="M23" s="304" t="inlineStr">
        <is>
          <t>26ДЯУ</t>
        </is>
      </c>
      <c r="N23" s="243" t="inlineStr">
        <is>
          <t>П</t>
        </is>
      </c>
    </row>
    <row r="24" ht="15" customHeight="1" s="236">
      <c r="A24" s="243" t="n">
        <v>23</v>
      </c>
      <c r="B24" s="243" t="inlineStr">
        <is>
          <t>Манометр технический</t>
        </is>
      </c>
      <c r="C24" s="243" t="inlineStr">
        <is>
          <t>МП4-УУ2</t>
        </is>
      </c>
      <c r="D24" s="297" t="inlineStr">
        <is>
          <t>28</t>
        </is>
      </c>
      <c r="E24" s="243" t="inlineStr">
        <is>
          <t>2010</t>
        </is>
      </c>
      <c r="F24" s="243" t="inlineStr">
        <is>
          <t>0..10 кгс/см2</t>
        </is>
      </c>
      <c r="G24" s="243" t="inlineStr">
        <is>
          <t>1</t>
        </is>
      </c>
      <c r="H24" s="243" t="inlineStr">
        <is>
          <t>Р воды перед кр. 6</t>
        </is>
      </c>
      <c r="I24" s="243" t="inlineStr">
        <is>
          <t>ПЭБ, тепловой пукт</t>
        </is>
      </c>
      <c r="J24" s="243" t="inlineStr">
        <is>
          <t>АСУ,А и ТМ (КЦ № 6)</t>
        </is>
      </c>
      <c r="K24" s="243" t="inlineStr">
        <is>
          <t>2012</t>
        </is>
      </c>
      <c r="L24" s="243" t="inlineStr">
        <is>
          <t>12</t>
        </is>
      </c>
      <c r="M24" s="304" t="inlineStr">
        <is>
          <t>26ДЯУ</t>
        </is>
      </c>
      <c r="N24" s="243" t="inlineStr">
        <is>
          <t>П</t>
        </is>
      </c>
    </row>
    <row r="25" ht="15" customHeight="1" s="236">
      <c r="A25" s="243" t="n">
        <v>24</v>
      </c>
      <c r="B25" s="243" t="inlineStr">
        <is>
          <t>Манометр технический</t>
        </is>
      </c>
      <c r="C25" s="243" t="inlineStr">
        <is>
          <t>МП4-УУ2</t>
        </is>
      </c>
      <c r="D25" s="297" t="inlineStr">
        <is>
          <t>15277</t>
        </is>
      </c>
      <c r="E25" s="243" t="inlineStr">
        <is>
          <t>2010</t>
        </is>
      </c>
      <c r="F25" s="243" t="inlineStr">
        <is>
          <t>0..10 кгс/см2</t>
        </is>
      </c>
      <c r="G25" s="243" t="inlineStr">
        <is>
          <t>1.5</t>
        </is>
      </c>
      <c r="H25" s="243" t="inlineStr">
        <is>
          <t>Р воды перед кр. 4</t>
        </is>
      </c>
      <c r="I25" s="243" t="inlineStr">
        <is>
          <t>ПЭБ, тепловой пукт</t>
        </is>
      </c>
      <c r="J25" s="243" t="inlineStr">
        <is>
          <t>АСУ,А и ТМ (КЦ № 6)</t>
        </is>
      </c>
      <c r="K25" s="243" t="inlineStr">
        <is>
          <t>2012</t>
        </is>
      </c>
      <c r="L25" s="243" t="inlineStr">
        <is>
          <t>12</t>
        </is>
      </c>
      <c r="M25" s="304" t="inlineStr">
        <is>
          <t>26ДЯУ</t>
        </is>
      </c>
      <c r="N25" s="243" t="inlineStr">
        <is>
          <t>П</t>
        </is>
      </c>
    </row>
    <row r="26" ht="15" customHeight="1" s="236">
      <c r="A26" s="243" t="n">
        <v>25</v>
      </c>
      <c r="B26" s="243" t="inlineStr">
        <is>
          <t>Манометр технический</t>
        </is>
      </c>
      <c r="C26" s="243" t="inlineStr">
        <is>
          <t>МП4-УУ2</t>
        </is>
      </c>
      <c r="D26" s="297" t="inlineStr">
        <is>
          <t>7094</t>
        </is>
      </c>
      <c r="E26" s="243" t="inlineStr">
        <is>
          <t>2010</t>
        </is>
      </c>
      <c r="F26" s="243" t="inlineStr">
        <is>
          <t>0..10 кгс/см2</t>
        </is>
      </c>
      <c r="G26" s="243" t="inlineStr">
        <is>
          <t>1</t>
        </is>
      </c>
      <c r="H26" s="243" t="inlineStr">
        <is>
          <t>Р воды после кр. 12</t>
        </is>
      </c>
      <c r="I26" s="243" t="inlineStr">
        <is>
          <t>ПЭБ, тепловой пукт</t>
        </is>
      </c>
      <c r="J26" s="243" t="inlineStr">
        <is>
          <t>АСУ,А и ТМ (КЦ № 6)</t>
        </is>
      </c>
      <c r="K26" s="243" t="inlineStr">
        <is>
          <t>2012</t>
        </is>
      </c>
      <c r="L26" s="243" t="inlineStr">
        <is>
          <t>12</t>
        </is>
      </c>
      <c r="M26" s="304" t="inlineStr">
        <is>
          <t>26ДЯУ</t>
        </is>
      </c>
      <c r="N26" s="243" t="inlineStr">
        <is>
          <t>П</t>
        </is>
      </c>
    </row>
    <row r="27" ht="33.75" customHeight="1" s="236">
      <c r="A27" s="243" t="n">
        <v>26</v>
      </c>
      <c r="B27" s="243" t="inlineStr">
        <is>
          <t>Манометр технический</t>
        </is>
      </c>
      <c r="C27" s="243" t="inlineStr">
        <is>
          <t>МП3-УТ2</t>
        </is>
      </c>
      <c r="D27" s="297" t="inlineStr">
        <is>
          <t>1426120</t>
        </is>
      </c>
      <c r="E27" s="243" t="inlineStr">
        <is>
          <t>2010</t>
        </is>
      </c>
      <c r="F27" s="243" t="inlineStr">
        <is>
          <t>0..6 кгс/см2</t>
        </is>
      </c>
      <c r="G27" s="243" t="inlineStr">
        <is>
          <t>1</t>
        </is>
      </c>
      <c r="H27" s="243" t="inlineStr">
        <is>
          <t>Р воды перед клапаном-регулятором перепада давления</t>
        </is>
      </c>
      <c r="I27" s="243" t="inlineStr">
        <is>
          <t>ПЭБ, тепловой пукт</t>
        </is>
      </c>
      <c r="J27" s="243" t="inlineStr">
        <is>
          <t>АСУ,А и ТМ (КЦ № 6)</t>
        </is>
      </c>
      <c r="K27" s="243" t="inlineStr">
        <is>
          <t>2012</t>
        </is>
      </c>
      <c r="L27" s="243" t="inlineStr">
        <is>
          <t>12</t>
        </is>
      </c>
      <c r="M27" s="304" t="inlineStr">
        <is>
          <t>26ДЯУ</t>
        </is>
      </c>
      <c r="N27" s="243" t="inlineStr">
        <is>
          <t>П</t>
        </is>
      </c>
    </row>
    <row r="28" ht="33.75" customHeight="1" s="236">
      <c r="A28" s="243" t="n">
        <v>27</v>
      </c>
      <c r="B28" s="243" t="inlineStr">
        <is>
          <t>Манометр технический</t>
        </is>
      </c>
      <c r="C28" s="243" t="inlineStr">
        <is>
          <t>МП4-УУ2</t>
        </is>
      </c>
      <c r="D28" s="297" t="inlineStr">
        <is>
          <t>15254</t>
        </is>
      </c>
      <c r="E28" s="243" t="inlineStr">
        <is>
          <t>2014</t>
        </is>
      </c>
      <c r="F28" s="243" t="inlineStr">
        <is>
          <t>0..10 кгс/см2</t>
        </is>
      </c>
      <c r="G28" s="243" t="inlineStr">
        <is>
          <t>1.5</t>
        </is>
      </c>
      <c r="H28" s="243" t="inlineStr">
        <is>
          <t>Р воды после клапана-регулятора перепада давления</t>
        </is>
      </c>
      <c r="I28" s="243" t="inlineStr">
        <is>
          <t>ПЭБ, тепловой пукт</t>
        </is>
      </c>
      <c r="J28" s="243" t="inlineStr">
        <is>
          <t>АСУ,А и ТМ (КЦ № 6)</t>
        </is>
      </c>
      <c r="K28" s="243" t="inlineStr">
        <is>
          <t>2012</t>
        </is>
      </c>
      <c r="L28" s="243" t="inlineStr">
        <is>
          <t>12</t>
        </is>
      </c>
      <c r="M28" s="304" t="inlineStr">
        <is>
          <t>26ДЯУ</t>
        </is>
      </c>
      <c r="N28" s="243" t="inlineStr">
        <is>
          <t>П</t>
        </is>
      </c>
    </row>
    <row r="29" ht="15" customHeight="1" s="236">
      <c r="A29" s="243" t="n">
        <v>28</v>
      </c>
      <c r="B29" s="243" t="inlineStr">
        <is>
          <t>Манометр технический</t>
        </is>
      </c>
      <c r="C29" s="243" t="inlineStr">
        <is>
          <t>МП4-УУ2</t>
        </is>
      </c>
      <c r="D29" s="297" t="inlineStr">
        <is>
          <t>7090</t>
        </is>
      </c>
      <c r="E29" s="243" t="inlineStr">
        <is>
          <t>2010</t>
        </is>
      </c>
      <c r="F29" s="243" t="inlineStr">
        <is>
          <t>0..10 кгс/см2</t>
        </is>
      </c>
      <c r="G29" s="243" t="inlineStr">
        <is>
          <t>1</t>
        </is>
      </c>
      <c r="H29" s="243" t="inlineStr">
        <is>
          <t>Р воды после кр. 7</t>
        </is>
      </c>
      <c r="I29" s="243" t="inlineStr">
        <is>
          <t>ПЭБ, тепловой пукт</t>
        </is>
      </c>
      <c r="J29" s="243" t="inlineStr">
        <is>
          <t>АСУ,А и ТМ (КЦ № 6)</t>
        </is>
      </c>
      <c r="K29" s="243" t="inlineStr">
        <is>
          <t>2012</t>
        </is>
      </c>
      <c r="L29" s="243" t="inlineStr">
        <is>
          <t>12</t>
        </is>
      </c>
      <c r="M29" s="304" t="inlineStr">
        <is>
          <t>26ДЯУ</t>
        </is>
      </c>
      <c r="N29" s="243" t="inlineStr">
        <is>
          <t>П</t>
        </is>
      </c>
    </row>
    <row r="30" ht="15" customHeight="1" s="236">
      <c r="A30" s="243" t="n">
        <v>29</v>
      </c>
      <c r="B30" s="243" t="inlineStr">
        <is>
          <t>Манометр технический</t>
        </is>
      </c>
      <c r="C30" s="243" t="inlineStr">
        <is>
          <t>МП4-УУ2</t>
        </is>
      </c>
      <c r="D30" s="297" t="inlineStr">
        <is>
          <t>15528</t>
        </is>
      </c>
      <c r="E30" s="243" t="inlineStr">
        <is>
          <t>2010</t>
        </is>
      </c>
      <c r="F30" s="243" t="inlineStr">
        <is>
          <t>0..10 кгс/см2</t>
        </is>
      </c>
      <c r="G30" s="243" t="inlineStr">
        <is>
          <t>1</t>
        </is>
      </c>
      <c r="H30" s="243" t="inlineStr">
        <is>
          <t>Р воды после кр. 5</t>
        </is>
      </c>
      <c r="I30" s="243" t="inlineStr">
        <is>
          <t>ПЭБ, тепловой пукт</t>
        </is>
      </c>
      <c r="J30" s="243" t="inlineStr">
        <is>
          <t>АСУ,А и ТМ (КЦ № 6)</t>
        </is>
      </c>
      <c r="K30" s="243" t="inlineStr">
        <is>
          <t>2012</t>
        </is>
      </c>
      <c r="L30" s="243" t="inlineStr">
        <is>
          <t>12</t>
        </is>
      </c>
      <c r="M30" s="304" t="inlineStr">
        <is>
          <t>26ДЯУ</t>
        </is>
      </c>
      <c r="N30" s="243" t="inlineStr">
        <is>
          <t>П</t>
        </is>
      </c>
    </row>
    <row r="31" ht="15" customHeight="1" s="236">
      <c r="A31" s="243" t="n">
        <v>30</v>
      </c>
      <c r="B31" s="243" t="inlineStr">
        <is>
          <t>Термометр биметаллический</t>
        </is>
      </c>
      <c r="C31" s="243" t="inlineStr">
        <is>
          <t>ТБ-2Р</t>
        </is>
      </c>
      <c r="D31" s="297" t="inlineStr">
        <is>
          <t>5858</t>
        </is>
      </c>
      <c r="E31" s="243" t="inlineStr">
        <is>
          <t>2010</t>
        </is>
      </c>
      <c r="F31" s="243" t="inlineStr">
        <is>
          <t>0 .. 120°С</t>
        </is>
      </c>
      <c r="G31" s="243" t="inlineStr">
        <is>
          <t>1</t>
        </is>
      </c>
      <c r="H31" s="243" t="inlineStr">
        <is>
          <t>Т воды в Т1 перед Ф</t>
        </is>
      </c>
      <c r="I31" s="243" t="inlineStr">
        <is>
          <t>ПЭБ, тепловой пукт</t>
        </is>
      </c>
      <c r="J31" s="243" t="inlineStr">
        <is>
          <t>АСУ,А и ТМ (КЦ № 6)</t>
        </is>
      </c>
      <c r="K31" s="243" t="inlineStr">
        <is>
          <t>2012</t>
        </is>
      </c>
      <c r="L31" s="243" t="inlineStr">
        <is>
          <t>24</t>
        </is>
      </c>
      <c r="M31" s="304" t="inlineStr">
        <is>
          <t>25ДЯУ</t>
        </is>
      </c>
      <c r="N31" s="243" t="inlineStr">
        <is>
          <t>П</t>
        </is>
      </c>
    </row>
    <row r="32" ht="15" customHeight="1" s="236">
      <c r="A32" s="243" t="n">
        <v>31</v>
      </c>
      <c r="B32" s="243" t="inlineStr">
        <is>
          <t>Термометр биметаллический</t>
        </is>
      </c>
      <c r="C32" s="243" t="inlineStr">
        <is>
          <t>ТБ-2</t>
        </is>
      </c>
      <c r="D32" s="297" t="inlineStr">
        <is>
          <t>6922</t>
        </is>
      </c>
      <c r="E32" s="243" t="inlineStr">
        <is>
          <t>2010</t>
        </is>
      </c>
      <c r="F32" s="243" t="inlineStr">
        <is>
          <t>0 .. 120°С</t>
        </is>
      </c>
      <c r="G32" s="243" t="inlineStr">
        <is>
          <t>1.5</t>
        </is>
      </c>
      <c r="H32" s="243" t="inlineStr">
        <is>
          <t>Т воды в Т1 после Ф</t>
        </is>
      </c>
      <c r="I32" s="243" t="inlineStr">
        <is>
          <t>ПЭБ, тепловой пукт</t>
        </is>
      </c>
      <c r="J32" s="243" t="inlineStr">
        <is>
          <t>АСУ,А и ТМ (КЦ № 6)</t>
        </is>
      </c>
      <c r="K32" s="243" t="inlineStr">
        <is>
          <t>2012</t>
        </is>
      </c>
      <c r="L32" s="243" t="inlineStr">
        <is>
          <t>24</t>
        </is>
      </c>
      <c r="M32" s="304" t="inlineStr">
        <is>
          <t>25ДЯУ</t>
        </is>
      </c>
      <c r="N32" s="243" t="inlineStr">
        <is>
          <t>П</t>
        </is>
      </c>
    </row>
    <row r="33" ht="15" customHeight="1" s="236">
      <c r="A33" s="243" t="n">
        <v>32</v>
      </c>
      <c r="B33" s="243" t="inlineStr">
        <is>
          <t>Термометр биметаллический</t>
        </is>
      </c>
      <c r="C33" s="243" t="inlineStr">
        <is>
          <t>ТБ-2</t>
        </is>
      </c>
      <c r="D33" s="297" t="inlineStr">
        <is>
          <t>7510</t>
        </is>
      </c>
      <c r="E33" s="243" t="inlineStr">
        <is>
          <t>2010</t>
        </is>
      </c>
      <c r="F33" s="243" t="inlineStr">
        <is>
          <t>0 .. 120°С</t>
        </is>
      </c>
      <c r="G33" s="243" t="inlineStr">
        <is>
          <t>1.5</t>
        </is>
      </c>
      <c r="H33" s="243" t="inlineStr">
        <is>
          <t>Т воды перед кр. 8</t>
        </is>
      </c>
      <c r="I33" s="243" t="inlineStr">
        <is>
          <t>ПЭБ, тепловой пукт</t>
        </is>
      </c>
      <c r="J33" s="243" t="inlineStr">
        <is>
          <t>АСУ,А и ТМ (КЦ № 6)</t>
        </is>
      </c>
      <c r="K33" s="243" t="inlineStr">
        <is>
          <t>2012</t>
        </is>
      </c>
      <c r="L33" s="243" t="inlineStr">
        <is>
          <t>24</t>
        </is>
      </c>
      <c r="M33" s="304" t="inlineStr">
        <is>
          <t>25ДЯУ</t>
        </is>
      </c>
      <c r="N33" s="243" t="inlineStr">
        <is>
          <t>П</t>
        </is>
      </c>
    </row>
    <row r="34" ht="15" customHeight="1" s="236">
      <c r="A34" s="243" t="n">
        <v>33</v>
      </c>
      <c r="B34" s="243" t="inlineStr">
        <is>
          <t>Термометр биметаллический</t>
        </is>
      </c>
      <c r="C34" s="243" t="inlineStr">
        <is>
          <t>ТБ-2</t>
        </is>
      </c>
      <c r="D34" s="297" t="inlineStr">
        <is>
          <t>7438</t>
        </is>
      </c>
      <c r="E34" s="243" t="inlineStr">
        <is>
          <t>2010</t>
        </is>
      </c>
      <c r="F34" s="243" t="inlineStr">
        <is>
          <t>0 .. 120°С</t>
        </is>
      </c>
      <c r="G34" s="243" t="inlineStr">
        <is>
          <t>1.5</t>
        </is>
      </c>
      <c r="H34" s="243" t="inlineStr">
        <is>
          <t>Т воды перед кр. 6</t>
        </is>
      </c>
      <c r="I34" s="243" t="inlineStr">
        <is>
          <t>ПЭБ, тепловой пукт</t>
        </is>
      </c>
      <c r="J34" s="243" t="inlineStr">
        <is>
          <t>АСУ,А и ТМ (КЦ № 6)</t>
        </is>
      </c>
      <c r="K34" s="243" t="inlineStr">
        <is>
          <t>2012</t>
        </is>
      </c>
      <c r="L34" s="243" t="inlineStr">
        <is>
          <t>24</t>
        </is>
      </c>
      <c r="M34" s="304" t="inlineStr">
        <is>
          <t>25ДЯУ</t>
        </is>
      </c>
      <c r="N34" s="243" t="inlineStr">
        <is>
          <t>П</t>
        </is>
      </c>
    </row>
    <row r="35" ht="15" customHeight="1" s="236">
      <c r="A35" s="243" t="n">
        <v>34</v>
      </c>
      <c r="B35" s="243" t="inlineStr">
        <is>
          <t>Термометр биметаллический</t>
        </is>
      </c>
      <c r="C35" s="243" t="inlineStr">
        <is>
          <t>ТБ-2</t>
        </is>
      </c>
      <c r="D35" s="297" t="inlineStr">
        <is>
          <t>8957</t>
        </is>
      </c>
      <c r="E35" s="243" t="inlineStr">
        <is>
          <t>2010</t>
        </is>
      </c>
      <c r="F35" s="243" t="inlineStr">
        <is>
          <t>0 .. 100°С</t>
        </is>
      </c>
      <c r="G35" s="243" t="inlineStr">
        <is>
          <t>1.5</t>
        </is>
      </c>
      <c r="H35" s="243" t="inlineStr">
        <is>
          <t>Т воды перед кр. 4</t>
        </is>
      </c>
      <c r="I35" s="243" t="inlineStr">
        <is>
          <t>ПЭБ, тепловой пукт</t>
        </is>
      </c>
      <c r="J35" s="243" t="inlineStr">
        <is>
          <t>АСУ,А и ТМ (КЦ № 6)</t>
        </is>
      </c>
      <c r="K35" s="243" t="inlineStr">
        <is>
          <t>2012</t>
        </is>
      </c>
      <c r="L35" s="243" t="inlineStr">
        <is>
          <t>24</t>
        </is>
      </c>
      <c r="M35" s="304" t="inlineStr">
        <is>
          <t>25ДЯУ</t>
        </is>
      </c>
      <c r="N35" s="243" t="inlineStr">
        <is>
          <t>П</t>
        </is>
      </c>
    </row>
    <row r="36" ht="15" customHeight="1" s="236">
      <c r="A36" s="243" t="n">
        <v>35</v>
      </c>
      <c r="B36" s="243" t="inlineStr">
        <is>
          <t>Термометр биметаллический</t>
        </is>
      </c>
      <c r="C36" s="243" t="inlineStr">
        <is>
          <t>ТБ-2Р</t>
        </is>
      </c>
      <c r="D36" s="297" t="inlineStr">
        <is>
          <t>5886</t>
        </is>
      </c>
      <c r="E36" s="243" t="inlineStr">
        <is>
          <t>2010</t>
        </is>
      </c>
      <c r="F36" s="243" t="inlineStr">
        <is>
          <t>0 .. 120°С</t>
        </is>
      </c>
      <c r="G36" s="243" t="inlineStr">
        <is>
          <t>1</t>
        </is>
      </c>
      <c r="H36" s="243" t="inlineStr">
        <is>
          <t>Т воды до крана 2</t>
        </is>
      </c>
      <c r="I36" s="243" t="inlineStr">
        <is>
          <t>ПЭБ, тепловой пукт</t>
        </is>
      </c>
      <c r="J36" s="243" t="inlineStr">
        <is>
          <t>АСУ,А и ТМ (КЦ № 6)</t>
        </is>
      </c>
      <c r="K36" s="243" t="inlineStr">
        <is>
          <t>2012</t>
        </is>
      </c>
      <c r="L36" s="243" t="inlineStr">
        <is>
          <t>24</t>
        </is>
      </c>
      <c r="M36" s="304" t="inlineStr">
        <is>
          <t>25ДЯУ</t>
        </is>
      </c>
      <c r="N36" s="243" t="inlineStr">
        <is>
          <t>П</t>
        </is>
      </c>
    </row>
    <row r="37" ht="22.5" customHeight="1" s="236">
      <c r="A37" s="243" t="n">
        <v>36</v>
      </c>
      <c r="B37" s="305" t="inlineStr">
        <is>
          <t>Датчик давления избыточного</t>
        </is>
      </c>
      <c r="C37" s="243" t="inlineStr">
        <is>
          <t>СДВ-И-2,5-1,6</t>
        </is>
      </c>
      <c r="D37" s="297" t="inlineStr">
        <is>
          <t>73528</t>
        </is>
      </c>
      <c r="E37" s="243" t="inlineStr">
        <is>
          <t>2012</t>
        </is>
      </c>
      <c r="F37" s="243" t="inlineStr">
        <is>
          <t>0..2,5 MPa</t>
        </is>
      </c>
      <c r="G37" s="243" t="inlineStr">
        <is>
          <t>1</t>
        </is>
      </c>
      <c r="H37" s="243" t="inlineStr">
        <is>
          <t>Р прямой воды</t>
        </is>
      </c>
      <c r="I37" s="243" t="inlineStr">
        <is>
          <t>ПЭБ, тепловой пукт</t>
        </is>
      </c>
      <c r="J37" s="243" t="inlineStr">
        <is>
          <t>АСУ,А и ТМ (КЦ № 6)</t>
        </is>
      </c>
      <c r="K37" s="243" t="inlineStr">
        <is>
          <t>2012</t>
        </is>
      </c>
      <c r="L37" s="243" t="inlineStr">
        <is>
          <t>60</t>
        </is>
      </c>
      <c r="M37" s="304" t="inlineStr"/>
      <c r="N37" s="243" t="inlineStr"/>
    </row>
    <row r="38" ht="22.5" customHeight="1" s="236">
      <c r="A38" s="243" t="n">
        <v>37</v>
      </c>
      <c r="B38" s="305" t="inlineStr">
        <is>
          <t>Датчик давления избыточного</t>
        </is>
      </c>
      <c r="C38" s="243" t="inlineStr">
        <is>
          <t>СДВ-И-2,5-1,6</t>
        </is>
      </c>
      <c r="D38" s="297" t="inlineStr">
        <is>
          <t>73529</t>
        </is>
      </c>
      <c r="E38" s="243" t="inlineStr">
        <is>
          <t>2012</t>
        </is>
      </c>
      <c r="F38" s="243" t="inlineStr">
        <is>
          <t>0..2,5 MPa</t>
        </is>
      </c>
      <c r="G38" s="243" t="inlineStr">
        <is>
          <t>1</t>
        </is>
      </c>
      <c r="H38" s="243" t="inlineStr">
        <is>
          <t>Р обратной воды</t>
        </is>
      </c>
      <c r="I38" s="243" t="inlineStr">
        <is>
          <t>ПЭБ, тепловой пукт</t>
        </is>
      </c>
      <c r="J38" s="243" t="inlineStr">
        <is>
          <t>АСУ,А и ТМ (КЦ № 6)</t>
        </is>
      </c>
      <c r="K38" s="243" t="inlineStr">
        <is>
          <t>2012</t>
        </is>
      </c>
      <c r="L38" s="243" t="inlineStr">
        <is>
          <t>60</t>
        </is>
      </c>
      <c r="M38" s="304" t="inlineStr"/>
      <c r="N38" s="243" t="inlineStr"/>
    </row>
    <row r="39" ht="15" customHeight="1" s="236">
      <c r="A39" s="243" t="n">
        <v>38</v>
      </c>
      <c r="B39" s="305" t="inlineStr">
        <is>
          <t>Термометр сопротивления</t>
        </is>
      </c>
      <c r="C39" s="243" t="inlineStr">
        <is>
          <t>Взлет ТПС</t>
        </is>
      </c>
      <c r="D39" s="297" t="inlineStr">
        <is>
          <t>1213426</t>
        </is>
      </c>
      <c r="E39" s="243" t="inlineStr"/>
      <c r="F39" s="243" t="inlineStr">
        <is>
          <t>0…180 С</t>
        </is>
      </c>
      <c r="G39" s="243" t="inlineStr"/>
      <c r="H39" s="243" t="inlineStr">
        <is>
          <t>Т прямой воды</t>
        </is>
      </c>
      <c r="I39" s="243" t="inlineStr">
        <is>
          <t>ПЭБ, тепловой пукт</t>
        </is>
      </c>
      <c r="J39" s="243" t="inlineStr">
        <is>
          <t>АСУ,А и ТМ (КЦ № 6)</t>
        </is>
      </c>
      <c r="K39" s="243" t="inlineStr"/>
      <c r="L39" s="243" t="inlineStr"/>
      <c r="M39" s="304" t="inlineStr"/>
      <c r="N39" s="243" t="inlineStr"/>
    </row>
    <row r="40" ht="15" customHeight="1" s="236">
      <c r="A40" s="243" t="n">
        <v>39</v>
      </c>
      <c r="B40" s="305" t="inlineStr">
        <is>
          <t>Термометр сопротивления</t>
        </is>
      </c>
      <c r="C40" s="243" t="inlineStr">
        <is>
          <t>Взлет ТПС</t>
        </is>
      </c>
      <c r="D40" s="297" t="inlineStr">
        <is>
          <t>1217506</t>
        </is>
      </c>
      <c r="E40" s="243" t="inlineStr"/>
      <c r="F40" s="243" t="inlineStr">
        <is>
          <t>0…180 С</t>
        </is>
      </c>
      <c r="G40" s="243" t="inlineStr"/>
      <c r="H40" s="243" t="inlineStr">
        <is>
          <t>Т обратной воды</t>
        </is>
      </c>
      <c r="I40" s="243" t="inlineStr">
        <is>
          <t>ПЭБ, тепловой пукт</t>
        </is>
      </c>
      <c r="J40" s="243" t="inlineStr">
        <is>
          <t>АСУ,А и ТМ (КЦ № 6)</t>
        </is>
      </c>
      <c r="K40" s="243" t="inlineStr"/>
      <c r="L40" s="243" t="inlineStr"/>
      <c r="M40" s="304" t="inlineStr"/>
      <c r="N40" s="243" t="inlineStr"/>
    </row>
    <row r="41" ht="22.5" customHeight="1" s="236">
      <c r="A41" s="243" t="n">
        <v>40</v>
      </c>
      <c r="B41" s="305" t="inlineStr">
        <is>
          <t>Расходомер электромагнитный</t>
        </is>
      </c>
      <c r="C41" s="243" t="inlineStr">
        <is>
          <t>Взлет ЭРСВ-430Л</t>
        </is>
      </c>
      <c r="D41" s="297" t="inlineStr">
        <is>
          <t>1234370</t>
        </is>
      </c>
      <c r="E41" s="243" t="inlineStr"/>
      <c r="F41" s="243" t="inlineStr"/>
      <c r="G41" s="243" t="inlineStr"/>
      <c r="H41" s="243" t="inlineStr">
        <is>
          <t>Расход воды в системе отопления</t>
        </is>
      </c>
      <c r="I41" s="243" t="inlineStr">
        <is>
          <t>ПЭБ, тепловой пукт</t>
        </is>
      </c>
      <c r="J41" s="243" t="inlineStr">
        <is>
          <t>АСУ,А и ТМ (КЦ № 6)</t>
        </is>
      </c>
      <c r="K41" s="243" t="inlineStr"/>
      <c r="L41" s="243" t="inlineStr"/>
      <c r="M41" s="304" t="inlineStr"/>
      <c r="N41" s="243" t="inlineStr"/>
    </row>
    <row r="42" ht="15" customHeight="1" s="236">
      <c r="A42" s="243" t="n">
        <v>41</v>
      </c>
      <c r="B42" s="305" t="inlineStr">
        <is>
          <t>Тепловычислитель</t>
        </is>
      </c>
      <c r="C42" s="243" t="inlineStr">
        <is>
          <t>Взлет ТСРВ-027</t>
        </is>
      </c>
      <c r="D42" s="297" t="inlineStr">
        <is>
          <t>1200734</t>
        </is>
      </c>
      <c r="E42" s="243" t="inlineStr"/>
      <c r="F42" s="243" t="inlineStr"/>
      <c r="G42" s="243" t="inlineStr"/>
      <c r="H42" s="243" t="inlineStr">
        <is>
          <t>Учет тепловой энергии</t>
        </is>
      </c>
      <c r="I42" s="243" t="inlineStr">
        <is>
          <t>ПЭБ, тепловой пукт</t>
        </is>
      </c>
      <c r="J42" s="243" t="inlineStr">
        <is>
          <t>АСУ,А и ТМ (КЦ № 6)</t>
        </is>
      </c>
      <c r="K42" s="243" t="inlineStr"/>
      <c r="L42" s="243" t="inlineStr"/>
      <c r="M42" s="304" t="inlineStr"/>
      <c r="N42" s="243" t="inlineStr"/>
    </row>
    <row r="43" ht="22.5" customHeight="1" s="236">
      <c r="A43" s="243" t="n">
        <v>42</v>
      </c>
      <c r="B43" s="243" t="inlineStr">
        <is>
          <t>Манометр технический</t>
        </is>
      </c>
      <c r="C43" s="243" t="inlineStr">
        <is>
          <t>МП4-УУ2</t>
        </is>
      </c>
      <c r="D43" s="297" t="inlineStr">
        <is>
          <t>15527</t>
        </is>
      </c>
      <c r="E43" s="243" t="inlineStr">
        <is>
          <t>2010</t>
        </is>
      </c>
      <c r="F43" s="243" t="inlineStr">
        <is>
          <t>0..10 кгс/см2</t>
        </is>
      </c>
      <c r="G43" s="243" t="inlineStr">
        <is>
          <t>1</t>
        </is>
      </c>
      <c r="H43" s="243" t="inlineStr">
        <is>
          <t>Р воды перед кр. 6</t>
        </is>
      </c>
      <c r="I43" s="243" t="inlineStr">
        <is>
          <t>Проходная, тепловой пункт</t>
        </is>
      </c>
      <c r="J43" s="243" t="inlineStr">
        <is>
          <t>АСУ,А и ТМ (КЦ № 6)</t>
        </is>
      </c>
      <c r="K43" s="243" t="inlineStr">
        <is>
          <t>2012</t>
        </is>
      </c>
      <c r="L43" s="243" t="inlineStr">
        <is>
          <t>12</t>
        </is>
      </c>
      <c r="M43" s="304" t="inlineStr">
        <is>
          <t>26ДЯУ</t>
        </is>
      </c>
      <c r="N43" s="243" t="inlineStr">
        <is>
          <t>П</t>
        </is>
      </c>
    </row>
    <row r="44" ht="22.5" customHeight="1" s="236">
      <c r="A44" s="243" t="n">
        <v>43</v>
      </c>
      <c r="B44" s="243" t="inlineStr">
        <is>
          <t>Манометр технический</t>
        </is>
      </c>
      <c r="C44" s="243" t="inlineStr">
        <is>
          <t>МП4-УУ2</t>
        </is>
      </c>
      <c r="D44" s="297" t="inlineStr">
        <is>
          <t>40</t>
        </is>
      </c>
      <c r="E44" s="243" t="inlineStr">
        <is>
          <t>2010</t>
        </is>
      </c>
      <c r="F44" s="243" t="inlineStr">
        <is>
          <t>0..10 кгс/см2</t>
        </is>
      </c>
      <c r="G44" s="243" t="inlineStr">
        <is>
          <t>1</t>
        </is>
      </c>
      <c r="H44" s="243" t="inlineStr">
        <is>
          <t>Р воды перед кр. 8</t>
        </is>
      </c>
      <c r="I44" s="243" t="inlineStr">
        <is>
          <t>Проходная, тепловой пункт</t>
        </is>
      </c>
      <c r="J44" s="243" t="inlineStr">
        <is>
          <t>АСУ,А и ТМ (КЦ № 6)</t>
        </is>
      </c>
      <c r="K44" s="243" t="inlineStr">
        <is>
          <t>2012</t>
        </is>
      </c>
      <c r="L44" s="243" t="inlineStr">
        <is>
          <t>12</t>
        </is>
      </c>
      <c r="M44" s="304" t="inlineStr">
        <is>
          <t>26ДЯУ</t>
        </is>
      </c>
      <c r="N44" s="243" t="inlineStr">
        <is>
          <t>П</t>
        </is>
      </c>
    </row>
    <row r="45" ht="22.5" customHeight="1" s="236">
      <c r="A45" s="243" t="n">
        <v>44</v>
      </c>
      <c r="B45" s="243" t="inlineStr">
        <is>
          <t>Манометр технический</t>
        </is>
      </c>
      <c r="C45" s="243" t="inlineStr">
        <is>
          <t>МП4-УУ2</t>
        </is>
      </c>
      <c r="D45" s="297" t="inlineStr">
        <is>
          <t>42</t>
        </is>
      </c>
      <c r="E45" s="243" t="inlineStr">
        <is>
          <t>2010</t>
        </is>
      </c>
      <c r="F45" s="243" t="inlineStr">
        <is>
          <t>0..10 кгс/см2</t>
        </is>
      </c>
      <c r="G45" s="243" t="inlineStr">
        <is>
          <t>1</t>
        </is>
      </c>
      <c r="H45" s="243" t="inlineStr">
        <is>
          <t>Р воды перед кр. 4</t>
        </is>
      </c>
      <c r="I45" s="243" t="inlineStr">
        <is>
          <t>Проходная, тепловой пункт</t>
        </is>
      </c>
      <c r="J45" s="243" t="inlineStr">
        <is>
          <t>АСУ,А и ТМ (КЦ № 6)</t>
        </is>
      </c>
      <c r="K45" s="243" t="inlineStr">
        <is>
          <t>2012</t>
        </is>
      </c>
      <c r="L45" s="243" t="inlineStr">
        <is>
          <t>12</t>
        </is>
      </c>
      <c r="M45" s="304" t="inlineStr">
        <is>
          <t>26ДЯУ</t>
        </is>
      </c>
      <c r="N45" s="243" t="inlineStr">
        <is>
          <t>П</t>
        </is>
      </c>
    </row>
    <row r="46" ht="22.5" customHeight="1" s="236">
      <c r="A46" s="243" t="n">
        <v>45</v>
      </c>
      <c r="B46" s="243" t="inlineStr">
        <is>
          <t>Манометр технический</t>
        </is>
      </c>
      <c r="C46" s="243" t="inlineStr">
        <is>
          <t>МП4-УУ2</t>
        </is>
      </c>
      <c r="D46" s="297" t="inlineStr">
        <is>
          <t>7093</t>
        </is>
      </c>
      <c r="E46" s="243" t="inlineStr">
        <is>
          <t>2010</t>
        </is>
      </c>
      <c r="F46" s="243" t="inlineStr">
        <is>
          <t>0..10 кгс/см2</t>
        </is>
      </c>
      <c r="G46" s="243" t="inlineStr">
        <is>
          <t>1</t>
        </is>
      </c>
      <c r="H46" s="243" t="inlineStr">
        <is>
          <t>Р воды после кр. 5</t>
        </is>
      </c>
      <c r="I46" s="243" t="inlineStr">
        <is>
          <t>Проходная, тепловой пункт</t>
        </is>
      </c>
      <c r="J46" s="243" t="inlineStr">
        <is>
          <t>АСУ,А и ТМ (КЦ № 6)</t>
        </is>
      </c>
      <c r="K46" s="243" t="inlineStr">
        <is>
          <t>2012</t>
        </is>
      </c>
      <c r="L46" s="243" t="inlineStr">
        <is>
          <t>12</t>
        </is>
      </c>
      <c r="M46" s="304" t="inlineStr">
        <is>
          <t>26ДЯУ</t>
        </is>
      </c>
      <c r="N46" s="243" t="inlineStr">
        <is>
          <t>П</t>
        </is>
      </c>
    </row>
    <row r="47" ht="22.5" customHeight="1" s="236">
      <c r="A47" s="243" t="n">
        <v>46</v>
      </c>
      <c r="B47" s="243" t="inlineStr">
        <is>
          <t>Манометр технический</t>
        </is>
      </c>
      <c r="C47" s="243" t="inlineStr">
        <is>
          <t>МП4-УУ2</t>
        </is>
      </c>
      <c r="D47" s="297" t="inlineStr">
        <is>
          <t>9</t>
        </is>
      </c>
      <c r="E47" s="243" t="inlineStr">
        <is>
          <t>2010</t>
        </is>
      </c>
      <c r="F47" s="243" t="inlineStr">
        <is>
          <t>0..10 кгс/см2</t>
        </is>
      </c>
      <c r="G47" s="243" t="inlineStr">
        <is>
          <t>1</t>
        </is>
      </c>
      <c r="H47" s="243" t="inlineStr">
        <is>
          <t>Р воды после кр. 7</t>
        </is>
      </c>
      <c r="I47" s="243" t="inlineStr">
        <is>
          <t>Проходная, тепловой пункт</t>
        </is>
      </c>
      <c r="J47" s="243" t="inlineStr">
        <is>
          <t>АСУ,А и ТМ (КЦ № 6)</t>
        </is>
      </c>
      <c r="K47" s="243" t="inlineStr">
        <is>
          <t>2012</t>
        </is>
      </c>
      <c r="L47" s="243" t="inlineStr">
        <is>
          <t>12</t>
        </is>
      </c>
      <c r="M47" s="304" t="inlineStr">
        <is>
          <t>26ДЯУ</t>
        </is>
      </c>
      <c r="N47" s="243" t="inlineStr">
        <is>
          <t>П</t>
        </is>
      </c>
    </row>
    <row r="48" ht="22.5" customHeight="1" s="236">
      <c r="A48" s="243" t="n">
        <v>47</v>
      </c>
      <c r="B48" s="243" t="inlineStr">
        <is>
          <t>Манометр технический</t>
        </is>
      </c>
      <c r="C48" s="243" t="inlineStr">
        <is>
          <t>МП3-УТ2</t>
        </is>
      </c>
      <c r="D48" s="297" t="inlineStr">
        <is>
          <t>1322167</t>
        </is>
      </c>
      <c r="E48" s="243" t="inlineStr">
        <is>
          <t>2010</t>
        </is>
      </c>
      <c r="F48" s="243" t="inlineStr">
        <is>
          <t>0..16 кгс/см2</t>
        </is>
      </c>
      <c r="G48" s="243" t="inlineStr">
        <is>
          <t>1.5</t>
        </is>
      </c>
      <c r="H48" s="243" t="inlineStr">
        <is>
          <t>Р воды после кр. 3</t>
        </is>
      </c>
      <c r="I48" s="243" t="inlineStr">
        <is>
          <t>Проходная, тепловой пункт</t>
        </is>
      </c>
      <c r="J48" s="243" t="inlineStr">
        <is>
          <t>АСУ,А и ТМ (КЦ № 6)</t>
        </is>
      </c>
      <c r="K48" s="243" t="inlineStr">
        <is>
          <t>2012</t>
        </is>
      </c>
      <c r="L48" s="243" t="inlineStr">
        <is>
          <t>12</t>
        </is>
      </c>
      <c r="M48" s="304" t="inlineStr">
        <is>
          <t>26ДЯУ</t>
        </is>
      </c>
      <c r="N48" s="243" t="inlineStr">
        <is>
          <t>П</t>
        </is>
      </c>
    </row>
    <row r="49" ht="22.5" customHeight="1" s="236">
      <c r="A49" s="243" t="n">
        <v>48</v>
      </c>
      <c r="B49" s="243" t="inlineStr">
        <is>
          <t>Манометр технический</t>
        </is>
      </c>
      <c r="C49" s="243" t="inlineStr">
        <is>
          <t>МП4-УУ2</t>
        </is>
      </c>
      <c r="D49" s="297" t="inlineStr">
        <is>
          <t>50518</t>
        </is>
      </c>
      <c r="E49" s="243" t="inlineStr">
        <is>
          <t>2010</t>
        </is>
      </c>
      <c r="F49" s="243" t="inlineStr">
        <is>
          <t>0..10 кгс/см2</t>
        </is>
      </c>
      <c r="G49" s="243" t="inlineStr">
        <is>
          <t>1</t>
        </is>
      </c>
      <c r="H49" s="243" t="inlineStr">
        <is>
          <t>Р воды перед кр. 2</t>
        </is>
      </c>
      <c r="I49" s="243" t="inlineStr">
        <is>
          <t>Проходная, тепловой пункт</t>
        </is>
      </c>
      <c r="J49" s="243" t="inlineStr">
        <is>
          <t>АСУ,А и ТМ (КЦ № 6)</t>
        </is>
      </c>
      <c r="K49" s="243" t="inlineStr">
        <is>
          <t>2012</t>
        </is>
      </c>
      <c r="L49" s="243" t="inlineStr">
        <is>
          <t>12</t>
        </is>
      </c>
      <c r="M49" s="304" t="inlineStr">
        <is>
          <t>26ДЯУ</t>
        </is>
      </c>
      <c r="N49" s="243" t="inlineStr">
        <is>
          <t>П</t>
        </is>
      </c>
    </row>
    <row r="50" ht="22.5" customHeight="1" s="236">
      <c r="A50" s="243" t="n">
        <v>49</v>
      </c>
      <c r="B50" s="243" t="inlineStr">
        <is>
          <t>Манометр технический</t>
        </is>
      </c>
      <c r="C50" s="243" t="inlineStr">
        <is>
          <t>МП4-УУ2</t>
        </is>
      </c>
      <c r="D50" s="297" t="inlineStr">
        <is>
          <t>36</t>
        </is>
      </c>
      <c r="E50" s="243" t="inlineStr">
        <is>
          <t>2010</t>
        </is>
      </c>
      <c r="F50" s="243" t="inlineStr">
        <is>
          <t>0..10 кгс/см2</t>
        </is>
      </c>
      <c r="G50" s="243" t="inlineStr">
        <is>
          <t>1</t>
        </is>
      </c>
      <c r="H50" s="243" t="inlineStr">
        <is>
          <t>Р воды после кр. 2</t>
        </is>
      </c>
      <c r="I50" s="243" t="inlineStr">
        <is>
          <t>Проходная, тепловой пункт</t>
        </is>
      </c>
      <c r="J50" s="243" t="inlineStr">
        <is>
          <t>АСУ,А и ТМ (КЦ № 6)</t>
        </is>
      </c>
      <c r="K50" s="243" t="inlineStr">
        <is>
          <t>2012</t>
        </is>
      </c>
      <c r="L50" s="243" t="inlineStr">
        <is>
          <t>12</t>
        </is>
      </c>
      <c r="M50" s="304" t="inlineStr">
        <is>
          <t>26ДЯУ</t>
        </is>
      </c>
      <c r="N50" s="243" t="inlineStr">
        <is>
          <t>П</t>
        </is>
      </c>
    </row>
    <row r="51" ht="22.5" customHeight="1" s="236">
      <c r="A51" s="243" t="n">
        <v>50</v>
      </c>
      <c r="B51" s="243" t="inlineStr">
        <is>
          <t>Манометр технический</t>
        </is>
      </c>
      <c r="C51" s="243" t="inlineStr">
        <is>
          <t>МП4-УУ3</t>
        </is>
      </c>
      <c r="D51" s="297" t="inlineStr">
        <is>
          <t>32</t>
        </is>
      </c>
      <c r="E51" s="243" t="inlineStr">
        <is>
          <t>2010</t>
        </is>
      </c>
      <c r="F51" s="243" t="inlineStr">
        <is>
          <t>0..10 кгс/см3</t>
        </is>
      </c>
      <c r="G51" s="243" t="inlineStr">
        <is>
          <t>2</t>
        </is>
      </c>
      <c r="H51" s="243" t="inlineStr">
        <is>
          <t>Р воды перед кр. 1</t>
        </is>
      </c>
      <c r="I51" s="243" t="inlineStr">
        <is>
          <t>Проходная, тепловой пункт</t>
        </is>
      </c>
      <c r="J51" s="243" t="inlineStr">
        <is>
          <t>АСУ,А и ТМ (КЦ № 6)</t>
        </is>
      </c>
      <c r="K51" s="243" t="inlineStr">
        <is>
          <t>2012</t>
        </is>
      </c>
      <c r="L51" s="243" t="inlineStr">
        <is>
          <t>12</t>
        </is>
      </c>
      <c r="M51" s="304" t="inlineStr">
        <is>
          <t>26ДЯУ</t>
        </is>
      </c>
      <c r="N51" s="243" t="inlineStr">
        <is>
          <t>П</t>
        </is>
      </c>
    </row>
    <row r="52" ht="22.5" customHeight="1" s="236">
      <c r="A52" s="243" t="n">
        <v>51</v>
      </c>
      <c r="B52" s="243" t="inlineStr">
        <is>
          <t>Термометр биметаллический</t>
        </is>
      </c>
      <c r="C52" s="243" t="inlineStr">
        <is>
          <t>ТБ-2</t>
        </is>
      </c>
      <c r="D52" s="297" t="inlineStr">
        <is>
          <t>7440</t>
        </is>
      </c>
      <c r="E52" s="243" t="inlineStr">
        <is>
          <t>2010</t>
        </is>
      </c>
      <c r="F52" s="243" t="inlineStr">
        <is>
          <t>0 .. 120°С</t>
        </is>
      </c>
      <c r="G52" s="243" t="inlineStr">
        <is>
          <t>1.5</t>
        </is>
      </c>
      <c r="H52" s="243" t="inlineStr">
        <is>
          <t>Температура воды перед кр. 6</t>
        </is>
      </c>
      <c r="I52" s="243" t="inlineStr">
        <is>
          <t>Проходная, тепловой пункт</t>
        </is>
      </c>
      <c r="J52" s="243" t="inlineStr">
        <is>
          <t>АСУ,А и ТМ (КЦ № 6)</t>
        </is>
      </c>
      <c r="K52" s="243" t="inlineStr">
        <is>
          <t>2012</t>
        </is>
      </c>
      <c r="L52" s="243" t="inlineStr">
        <is>
          <t>24</t>
        </is>
      </c>
      <c r="M52" s="304" t="inlineStr">
        <is>
          <t>25ДЯУ</t>
        </is>
      </c>
      <c r="N52" s="243" t="inlineStr">
        <is>
          <t>П</t>
        </is>
      </c>
    </row>
    <row r="53" ht="22.5" customHeight="1" s="236">
      <c r="A53" s="243" t="n">
        <v>52</v>
      </c>
      <c r="B53" s="243" t="inlineStr">
        <is>
          <t>Термометр биметаллический</t>
        </is>
      </c>
      <c r="C53" s="243" t="inlineStr">
        <is>
          <t>ТБ-2</t>
        </is>
      </c>
      <c r="D53" s="297" t="inlineStr">
        <is>
          <t>3073</t>
        </is>
      </c>
      <c r="E53" s="243" t="inlineStr">
        <is>
          <t>2010</t>
        </is>
      </c>
      <c r="F53" s="243" t="inlineStr">
        <is>
          <t>0 .. 120°С</t>
        </is>
      </c>
      <c r="G53" s="243" t="inlineStr">
        <is>
          <t>1</t>
        </is>
      </c>
      <c r="H53" s="243" t="inlineStr">
        <is>
          <t>Температура воды перед кр. 8</t>
        </is>
      </c>
      <c r="I53" s="243" t="inlineStr">
        <is>
          <t>Проходная, тепловой пункт</t>
        </is>
      </c>
      <c r="J53" s="243" t="inlineStr">
        <is>
          <t>АСУ,А и ТМ (КЦ № 6)</t>
        </is>
      </c>
      <c r="K53" s="243" t="inlineStr">
        <is>
          <t>2012</t>
        </is>
      </c>
      <c r="L53" s="243" t="inlineStr">
        <is>
          <t>24</t>
        </is>
      </c>
      <c r="M53" s="304" t="inlineStr">
        <is>
          <t>25ДЯУ</t>
        </is>
      </c>
      <c r="N53" s="243" t="inlineStr">
        <is>
          <t>П</t>
        </is>
      </c>
    </row>
    <row r="54" ht="22.5" customHeight="1" s="236">
      <c r="A54" s="243" t="n">
        <v>53</v>
      </c>
      <c r="B54" s="243" t="inlineStr">
        <is>
          <t>Термометр биметаллический</t>
        </is>
      </c>
      <c r="C54" s="243" t="inlineStr">
        <is>
          <t>ТБ-1Р</t>
        </is>
      </c>
      <c r="D54" s="297" t="inlineStr">
        <is>
          <t>1180</t>
        </is>
      </c>
      <c r="E54" s="243" t="inlineStr">
        <is>
          <t>2010</t>
        </is>
      </c>
      <c r="F54" s="243" t="inlineStr">
        <is>
          <t>0 .. 150°С</t>
        </is>
      </c>
      <c r="G54" s="243" t="inlineStr">
        <is>
          <t>1.5</t>
        </is>
      </c>
      <c r="H54" s="243" t="inlineStr">
        <is>
          <t>Температура воды перед кр. 4</t>
        </is>
      </c>
      <c r="I54" s="243" t="inlineStr">
        <is>
          <t>Проходная, тепловой пункт</t>
        </is>
      </c>
      <c r="J54" s="243" t="inlineStr">
        <is>
          <t>АСУ,А и ТМ (КЦ № 6)</t>
        </is>
      </c>
      <c r="K54" s="243" t="inlineStr">
        <is>
          <t>2012</t>
        </is>
      </c>
      <c r="L54" s="243" t="inlineStr">
        <is>
          <t>24</t>
        </is>
      </c>
      <c r="M54" s="304" t="inlineStr">
        <is>
          <t>25ДЯУ</t>
        </is>
      </c>
      <c r="N54" s="243" t="inlineStr">
        <is>
          <t>П</t>
        </is>
      </c>
    </row>
    <row r="55" ht="22.5" customHeight="1" s="236">
      <c r="A55" s="243" t="n">
        <v>54</v>
      </c>
      <c r="B55" s="243" t="inlineStr">
        <is>
          <t>Термометр биметаллический</t>
        </is>
      </c>
      <c r="C55" s="243" t="inlineStr">
        <is>
          <t>ТБ-2</t>
        </is>
      </c>
      <c r="D55" s="297" t="inlineStr">
        <is>
          <t>8962</t>
        </is>
      </c>
      <c r="E55" s="243" t="inlineStr">
        <is>
          <t>2010</t>
        </is>
      </c>
      <c r="F55" s="243" t="inlineStr">
        <is>
          <t>0 .. 100°С</t>
        </is>
      </c>
      <c r="G55" s="243" t="inlineStr">
        <is>
          <t>1.5</t>
        </is>
      </c>
      <c r="H55" s="243" t="inlineStr">
        <is>
          <t>Температура воды после кр. 3</t>
        </is>
      </c>
      <c r="I55" s="243" t="inlineStr">
        <is>
          <t>Проходная, тепловой пункт</t>
        </is>
      </c>
      <c r="J55" s="243" t="inlineStr">
        <is>
          <t>АСУ,А и ТМ (КЦ № 6)</t>
        </is>
      </c>
      <c r="K55" s="243" t="inlineStr">
        <is>
          <t>2012</t>
        </is>
      </c>
      <c r="L55" s="243" t="inlineStr">
        <is>
          <t>24</t>
        </is>
      </c>
      <c r="M55" s="304" t="inlineStr">
        <is>
          <t>25ДЯУ</t>
        </is>
      </c>
      <c r="N55" s="243" t="inlineStr">
        <is>
          <t>П</t>
        </is>
      </c>
    </row>
    <row r="56" ht="22.5" customHeight="1" s="236">
      <c r="A56" s="243" t="n">
        <v>55</v>
      </c>
      <c r="B56" s="243" t="inlineStr">
        <is>
          <t>Термометр биметаллический</t>
        </is>
      </c>
      <c r="C56" s="243" t="inlineStr">
        <is>
          <t>ТБ-1Р</t>
        </is>
      </c>
      <c r="D56" s="297" t="inlineStr">
        <is>
          <t>4361</t>
        </is>
      </c>
      <c r="E56" s="243" t="inlineStr">
        <is>
          <t>2010</t>
        </is>
      </c>
      <c r="F56" s="243" t="inlineStr">
        <is>
          <t>0 .. 150°С</t>
        </is>
      </c>
      <c r="G56" s="243" t="inlineStr">
        <is>
          <t>1.5</t>
        </is>
      </c>
      <c r="H56" s="243" t="inlineStr">
        <is>
          <t>Температура воды перед кр. 2</t>
        </is>
      </c>
      <c r="I56" s="243" t="inlineStr">
        <is>
          <t>Проходная, тепловой пункт</t>
        </is>
      </c>
      <c r="J56" s="243" t="inlineStr">
        <is>
          <t>АСУ,А и ТМ (КЦ № 6)</t>
        </is>
      </c>
      <c r="K56" s="243" t="inlineStr">
        <is>
          <t>2012</t>
        </is>
      </c>
      <c r="L56" s="243" t="inlineStr">
        <is>
          <t>24</t>
        </is>
      </c>
      <c r="M56" s="304" t="inlineStr">
        <is>
          <t>25ДЯУ</t>
        </is>
      </c>
      <c r="N56" s="243" t="inlineStr">
        <is>
          <t>П</t>
        </is>
      </c>
    </row>
    <row r="57" ht="22.5" customHeight="1" s="236">
      <c r="A57" s="243" t="n">
        <v>56</v>
      </c>
      <c r="B57" s="243" t="inlineStr">
        <is>
          <t>Термометр биметаллический</t>
        </is>
      </c>
      <c r="C57" s="243" t="inlineStr">
        <is>
          <t>ТБ-1Р</t>
        </is>
      </c>
      <c r="D57" s="297" t="inlineStr">
        <is>
          <t>4378</t>
        </is>
      </c>
      <c r="E57" s="243" t="inlineStr">
        <is>
          <t>2010</t>
        </is>
      </c>
      <c r="F57" s="243" t="inlineStr">
        <is>
          <t>0 .. 150°С</t>
        </is>
      </c>
      <c r="G57" s="243" t="inlineStr">
        <is>
          <t>1.5</t>
        </is>
      </c>
      <c r="H57" s="243" t="inlineStr">
        <is>
          <t>Температура воды после кр. 1</t>
        </is>
      </c>
      <c r="I57" s="243" t="inlineStr">
        <is>
          <t>Проходная, тепловой пункт</t>
        </is>
      </c>
      <c r="J57" s="243" t="inlineStr">
        <is>
          <t>АСУ,А и ТМ (КЦ № 6)</t>
        </is>
      </c>
      <c r="K57" s="243" t="inlineStr">
        <is>
          <t>2012</t>
        </is>
      </c>
      <c r="L57" s="243" t="inlineStr">
        <is>
          <t>24</t>
        </is>
      </c>
      <c r="M57" s="304" t="inlineStr">
        <is>
          <t>25ДЯУ</t>
        </is>
      </c>
      <c r="N57" s="243" t="inlineStr">
        <is>
          <t>П</t>
        </is>
      </c>
    </row>
    <row r="58" ht="22.5" customHeight="1" s="236">
      <c r="A58" s="243" t="n">
        <v>57</v>
      </c>
      <c r="B58" s="305" t="inlineStr">
        <is>
          <t>Датчик давления избыточного</t>
        </is>
      </c>
      <c r="C58" s="243" t="inlineStr">
        <is>
          <t>СДВ-И-2,5-1,6</t>
        </is>
      </c>
      <c r="D58" s="297" t="inlineStr">
        <is>
          <t>79680</t>
        </is>
      </c>
      <c r="E58" s="243" t="inlineStr">
        <is>
          <t>2012</t>
        </is>
      </c>
      <c r="F58" s="243" t="inlineStr">
        <is>
          <t>0..2,5 MPa</t>
        </is>
      </c>
      <c r="G58" s="243" t="inlineStr">
        <is>
          <t>1</t>
        </is>
      </c>
      <c r="H58" s="243" t="inlineStr">
        <is>
          <t>Р прямой воды</t>
        </is>
      </c>
      <c r="I58" s="243" t="inlineStr">
        <is>
          <t>Проходная, тепловой пункт</t>
        </is>
      </c>
      <c r="J58" s="243" t="inlineStr">
        <is>
          <t>АСУ,А и ТМ (КЦ № 6)</t>
        </is>
      </c>
      <c r="K58" s="243" t="inlineStr">
        <is>
          <t>2012</t>
        </is>
      </c>
      <c r="L58" s="243" t="inlineStr">
        <is>
          <t>60</t>
        </is>
      </c>
      <c r="M58" s="304" t="inlineStr"/>
      <c r="N58" s="243" t="inlineStr"/>
    </row>
    <row r="59" ht="22.5" customHeight="1" s="236">
      <c r="A59" s="243" t="n">
        <v>58</v>
      </c>
      <c r="B59" s="305" t="inlineStr">
        <is>
          <t>Датчик давления избыточного</t>
        </is>
      </c>
      <c r="C59" s="243" t="inlineStr">
        <is>
          <t>СДВ-И-2,5-1,6</t>
        </is>
      </c>
      <c r="D59" s="297" t="inlineStr">
        <is>
          <t>79681</t>
        </is>
      </c>
      <c r="E59" s="243" t="inlineStr">
        <is>
          <t>2012</t>
        </is>
      </c>
      <c r="F59" s="243" t="inlineStr">
        <is>
          <t>0..2,5 MPa</t>
        </is>
      </c>
      <c r="G59" s="243" t="inlineStr">
        <is>
          <t>1</t>
        </is>
      </c>
      <c r="H59" s="243" t="inlineStr">
        <is>
          <t>Р обратной воды</t>
        </is>
      </c>
      <c r="I59" s="243" t="inlineStr">
        <is>
          <t>Проходная, тепловой пункт</t>
        </is>
      </c>
      <c r="J59" s="243" t="inlineStr">
        <is>
          <t>АСУ,А и ТМ (КЦ № 6)</t>
        </is>
      </c>
      <c r="K59" s="243" t="inlineStr">
        <is>
          <t>2012</t>
        </is>
      </c>
      <c r="L59" s="243" t="inlineStr">
        <is>
          <t>60</t>
        </is>
      </c>
      <c r="M59" s="304" t="inlineStr"/>
      <c r="N59" s="243" t="inlineStr"/>
    </row>
    <row r="60" ht="22.5" customHeight="1" s="236">
      <c r="A60" s="243" t="n">
        <v>59</v>
      </c>
      <c r="B60" s="305" t="inlineStr">
        <is>
          <t>Термометр сопротивления</t>
        </is>
      </c>
      <c r="C60" s="243" t="inlineStr">
        <is>
          <t>Взлет ТПС</t>
        </is>
      </c>
      <c r="D60" s="297" t="inlineStr">
        <is>
          <t>1336098</t>
        </is>
      </c>
      <c r="E60" s="243" t="inlineStr"/>
      <c r="F60" s="243" t="inlineStr">
        <is>
          <t>0…180 С</t>
        </is>
      </c>
      <c r="G60" s="243" t="inlineStr"/>
      <c r="H60" s="243" t="inlineStr">
        <is>
          <t>Т прямой воды</t>
        </is>
      </c>
      <c r="I60" s="243" t="inlineStr">
        <is>
          <t>Проходная, тепловой пункт</t>
        </is>
      </c>
      <c r="J60" s="243" t="inlineStr">
        <is>
          <t>АСУ,А и ТМ (КЦ № 6)</t>
        </is>
      </c>
      <c r="K60" s="243" t="inlineStr"/>
      <c r="L60" s="243" t="inlineStr"/>
      <c r="M60" s="304" t="inlineStr"/>
      <c r="N60" s="243" t="inlineStr"/>
    </row>
    <row r="61" ht="22.5" customHeight="1" s="236">
      <c r="A61" s="243" t="n">
        <v>60</v>
      </c>
      <c r="B61" s="305" t="inlineStr">
        <is>
          <t>Термометр сопротивления</t>
        </is>
      </c>
      <c r="C61" s="243" t="inlineStr">
        <is>
          <t>Взлет ТПС</t>
        </is>
      </c>
      <c r="D61" s="297" t="inlineStr">
        <is>
          <t>1336325</t>
        </is>
      </c>
      <c r="E61" s="243" t="inlineStr"/>
      <c r="F61" s="243" t="inlineStr">
        <is>
          <t>0…180 С</t>
        </is>
      </c>
      <c r="G61" s="243" t="inlineStr"/>
      <c r="H61" s="243" t="inlineStr">
        <is>
          <t>Т обратной воды</t>
        </is>
      </c>
      <c r="I61" s="243" t="inlineStr">
        <is>
          <t>Проходная, тепловой пункт</t>
        </is>
      </c>
      <c r="J61" s="243" t="inlineStr">
        <is>
          <t>АСУ,А и ТМ (КЦ № 6)</t>
        </is>
      </c>
      <c r="K61" s="243" t="inlineStr"/>
      <c r="L61" s="243" t="inlineStr"/>
      <c r="M61" s="304" t="inlineStr"/>
      <c r="N61" s="243" t="inlineStr"/>
    </row>
    <row r="62" ht="22.5" customHeight="1" s="236">
      <c r="A62" s="243" t="n">
        <v>61</v>
      </c>
      <c r="B62" s="305" t="inlineStr">
        <is>
          <t>Расходомер электромагнитный</t>
        </is>
      </c>
      <c r="C62" s="243" t="inlineStr">
        <is>
          <t>Взлет ЭРСВ-430Л</t>
        </is>
      </c>
      <c r="D62" s="297" t="inlineStr">
        <is>
          <t>1240159</t>
        </is>
      </c>
      <c r="E62" s="243" t="inlineStr"/>
      <c r="F62" s="243" t="inlineStr"/>
      <c r="G62" s="243" t="inlineStr"/>
      <c r="H62" s="243" t="inlineStr">
        <is>
          <t>Расход воды в системе отопления</t>
        </is>
      </c>
      <c r="I62" s="243" t="inlineStr">
        <is>
          <t>Проходная, тепловой пункт</t>
        </is>
      </c>
      <c r="J62" s="243" t="inlineStr">
        <is>
          <t>АСУ,А и ТМ (КЦ № 6)</t>
        </is>
      </c>
      <c r="K62" s="243" t="inlineStr"/>
      <c r="L62" s="243" t="inlineStr"/>
      <c r="M62" s="304" t="inlineStr"/>
      <c r="N62" s="243" t="inlineStr"/>
    </row>
    <row r="63" ht="22.5" customHeight="1" s="236">
      <c r="A63" s="243" t="n">
        <v>62</v>
      </c>
      <c r="B63" s="305" t="inlineStr">
        <is>
          <t>Тепловычислитель</t>
        </is>
      </c>
      <c r="C63" s="243" t="inlineStr">
        <is>
          <t>Взлет ТСРВ-027</t>
        </is>
      </c>
      <c r="D63" s="297" t="inlineStr">
        <is>
          <t>1201092</t>
        </is>
      </c>
      <c r="E63" s="243" t="inlineStr"/>
      <c r="F63" s="243" t="inlineStr"/>
      <c r="G63" s="243" t="inlineStr"/>
      <c r="H63" s="243" t="inlineStr">
        <is>
          <t>Учет тепловой энергии</t>
        </is>
      </c>
      <c r="I63" s="243" t="inlineStr">
        <is>
          <t>Проходная, тепловой пункт</t>
        </is>
      </c>
      <c r="J63" s="243" t="inlineStr">
        <is>
          <t>АСУ,А и ТМ (КЦ № 6)</t>
        </is>
      </c>
      <c r="K63" s="243" t="inlineStr"/>
      <c r="L63" s="243" t="inlineStr"/>
      <c r="M63" s="304" t="inlineStr"/>
      <c r="N63" s="243" t="inlineStr"/>
    </row>
    <row r="64" ht="15" customHeight="1" s="236">
      <c r="A64" s="243" t="n">
        <v>63</v>
      </c>
      <c r="B64" s="243" t="inlineStr">
        <is>
          <t>Манометр технический</t>
        </is>
      </c>
      <c r="C64" s="243" t="inlineStr">
        <is>
          <t>ДМ02-100-1-G</t>
        </is>
      </c>
      <c r="D64" s="297" t="inlineStr">
        <is>
          <t>1102</t>
        </is>
      </c>
      <c r="E64" s="243" t="inlineStr">
        <is>
          <t>2010</t>
        </is>
      </c>
      <c r="F64" s="243" t="inlineStr">
        <is>
          <t>0..6 Bar</t>
        </is>
      </c>
      <c r="G64" s="243" t="inlineStr">
        <is>
          <t>1.5</t>
        </is>
      </c>
      <c r="H64" s="243" t="inlineStr">
        <is>
          <t>Р воды после кр. 14</t>
        </is>
      </c>
      <c r="I64" s="243" t="inlineStr">
        <is>
          <t>РММ, тепловой пункт</t>
        </is>
      </c>
      <c r="J64" s="243" t="inlineStr">
        <is>
          <t>АСУ,А и ТМ (КЦ № 6)</t>
        </is>
      </c>
      <c r="K64" s="243" t="inlineStr">
        <is>
          <t>2012</t>
        </is>
      </c>
      <c r="L64" s="243" t="inlineStr">
        <is>
          <t>12</t>
        </is>
      </c>
      <c r="M64" s="304" t="inlineStr">
        <is>
          <t>26ДЯУ</t>
        </is>
      </c>
      <c r="N64" s="243" t="inlineStr">
        <is>
          <t>П</t>
        </is>
      </c>
    </row>
    <row r="65" ht="22.5" customHeight="1" s="236">
      <c r="A65" s="243" t="n">
        <v>64</v>
      </c>
      <c r="B65" s="243" t="inlineStr">
        <is>
          <t>Манометр технический</t>
        </is>
      </c>
      <c r="C65" s="243" t="inlineStr">
        <is>
          <t>МП3-УУ2</t>
        </is>
      </c>
      <c r="D65" s="297" t="inlineStr">
        <is>
          <t>15629</t>
        </is>
      </c>
      <c r="E65" s="243" t="inlineStr">
        <is>
          <t>2010</t>
        </is>
      </c>
      <c r="F65" s="243" t="inlineStr">
        <is>
          <t>0..10 кгс/см2</t>
        </is>
      </c>
      <c r="G65" s="243" t="inlineStr">
        <is>
          <t>1</t>
        </is>
      </c>
      <c r="H65" s="243" t="inlineStr">
        <is>
          <t>Р воды в Т2 перед насосом</t>
        </is>
      </c>
      <c r="I65" s="243" t="inlineStr">
        <is>
          <t>РММ, тепловой пункт</t>
        </is>
      </c>
      <c r="J65" s="243" t="inlineStr">
        <is>
          <t>АСУ,А и ТМ (КЦ № 6)</t>
        </is>
      </c>
      <c r="K65" s="243" t="inlineStr">
        <is>
          <t>2012</t>
        </is>
      </c>
      <c r="L65" s="243" t="inlineStr">
        <is>
          <t>12</t>
        </is>
      </c>
      <c r="M65" s="304" t="inlineStr">
        <is>
          <t>26ДЯУ</t>
        </is>
      </c>
      <c r="N65" s="243" t="inlineStr">
        <is>
          <t>П</t>
        </is>
      </c>
    </row>
    <row r="66" ht="22.5" customHeight="1" s="236">
      <c r="A66" s="243" t="n">
        <v>65</v>
      </c>
      <c r="B66" s="243" t="inlineStr">
        <is>
          <t>Манометр технический</t>
        </is>
      </c>
      <c r="C66" s="243" t="inlineStr">
        <is>
          <t>МП4-УУ2</t>
        </is>
      </c>
      <c r="D66" s="297" t="inlineStr">
        <is>
          <t>7000206</t>
        </is>
      </c>
      <c r="E66" s="243" t="inlineStr">
        <is>
          <t>2010</t>
        </is>
      </c>
      <c r="F66" s="243" t="inlineStr">
        <is>
          <t>0..6 кгс/см2</t>
        </is>
      </c>
      <c r="G66" s="243" t="inlineStr">
        <is>
          <t>1.5</t>
        </is>
      </c>
      <c r="H66" s="243" t="inlineStr">
        <is>
          <t>Р воды в Т2 после насоса</t>
        </is>
      </c>
      <c r="I66" s="243" t="inlineStr">
        <is>
          <t>РММ, тепловой пункт</t>
        </is>
      </c>
      <c r="J66" s="243" t="inlineStr">
        <is>
          <t>АСУ,А и ТМ (КЦ № 6)</t>
        </is>
      </c>
      <c r="K66" s="243" t="inlineStr">
        <is>
          <t>2012</t>
        </is>
      </c>
      <c r="L66" s="243" t="inlineStr">
        <is>
          <t>12</t>
        </is>
      </c>
      <c r="M66" s="304" t="inlineStr">
        <is>
          <t>26ДЯУ</t>
        </is>
      </c>
      <c r="N66" s="243" t="inlineStr">
        <is>
          <t>П</t>
        </is>
      </c>
    </row>
    <row r="67" ht="22.5" customHeight="1" s="236">
      <c r="A67" s="243" t="n">
        <v>66</v>
      </c>
      <c r="B67" s="243" t="inlineStr">
        <is>
          <t>Манометр технический</t>
        </is>
      </c>
      <c r="C67" s="243" t="inlineStr">
        <is>
          <t>МП4-У</t>
        </is>
      </c>
      <c r="D67" s="297" t="inlineStr">
        <is>
          <t>2297</t>
        </is>
      </c>
      <c r="E67" s="243" t="inlineStr">
        <is>
          <t>2010</t>
        </is>
      </c>
      <c r="F67" s="243" t="inlineStr">
        <is>
          <t>0..6 кгс/см2</t>
        </is>
      </c>
      <c r="G67" s="243" t="inlineStr">
        <is>
          <t>1</t>
        </is>
      </c>
      <c r="H67" s="243" t="inlineStr">
        <is>
          <t>Р воды перед кр.6 после Ф</t>
        </is>
      </c>
      <c r="I67" s="243" t="inlineStr">
        <is>
          <t>РММ, тепловой пункт</t>
        </is>
      </c>
      <c r="J67" s="243" t="inlineStr">
        <is>
          <t>АСУ,А и ТМ (КЦ № 6)</t>
        </is>
      </c>
      <c r="K67" s="243" t="inlineStr">
        <is>
          <t>2012</t>
        </is>
      </c>
      <c r="L67" s="243" t="inlineStr">
        <is>
          <t>12</t>
        </is>
      </c>
      <c r="M67" s="304" t="inlineStr">
        <is>
          <t>26ДЯУ</t>
        </is>
      </c>
      <c r="N67" s="243" t="inlineStr">
        <is>
          <t>П</t>
        </is>
      </c>
    </row>
    <row r="68" ht="15" customHeight="1" s="236">
      <c r="A68" s="243" t="n">
        <v>67</v>
      </c>
      <c r="B68" s="243" t="inlineStr">
        <is>
          <t>Манометр технический</t>
        </is>
      </c>
      <c r="C68" s="243" t="inlineStr">
        <is>
          <t>МП4-УУ2</t>
        </is>
      </c>
      <c r="D68" s="297" t="inlineStr">
        <is>
          <t>40189</t>
        </is>
      </c>
      <c r="E68" s="243" t="inlineStr">
        <is>
          <t>2010</t>
        </is>
      </c>
      <c r="F68" s="243" t="inlineStr">
        <is>
          <t>0..6 кгс/см2</t>
        </is>
      </c>
      <c r="G68" s="243" t="inlineStr">
        <is>
          <t>1.5</t>
        </is>
      </c>
      <c r="H68" s="243" t="inlineStr">
        <is>
          <t>Р воды после кр. 2</t>
        </is>
      </c>
      <c r="I68" s="243" t="inlineStr">
        <is>
          <t>РММ, тепловой пункт</t>
        </is>
      </c>
      <c r="J68" s="243" t="inlineStr">
        <is>
          <t>АСУ,А и ТМ (КЦ № 6)</t>
        </is>
      </c>
      <c r="K68" s="243" t="inlineStr">
        <is>
          <t>2012</t>
        </is>
      </c>
      <c r="L68" s="243" t="inlineStr">
        <is>
          <t>12</t>
        </is>
      </c>
      <c r="M68" s="304" t="inlineStr">
        <is>
          <t>26ДЯУ</t>
        </is>
      </c>
      <c r="N68" s="243" t="inlineStr">
        <is>
          <t>П</t>
        </is>
      </c>
    </row>
    <row r="69" ht="15" customHeight="1" s="236">
      <c r="A69" s="243" t="n">
        <v>68</v>
      </c>
      <c r="B69" s="243" t="inlineStr">
        <is>
          <t>Манометр технический</t>
        </is>
      </c>
      <c r="C69" s="243" t="inlineStr">
        <is>
          <t>МП4-У</t>
        </is>
      </c>
      <c r="D69" s="297" t="inlineStr">
        <is>
          <t>10021</t>
        </is>
      </c>
      <c r="E69" s="243" t="inlineStr">
        <is>
          <t>2010</t>
        </is>
      </c>
      <c r="F69" s="243" t="inlineStr">
        <is>
          <t>0..6 кгс/см2</t>
        </is>
      </c>
      <c r="G69" s="243" t="inlineStr">
        <is>
          <t>1</t>
        </is>
      </c>
      <c r="H69" s="243" t="inlineStr">
        <is>
          <t>Р воды перед кр. 1</t>
        </is>
      </c>
      <c r="I69" s="243" t="inlineStr">
        <is>
          <t>РММ, тепловой пункт</t>
        </is>
      </c>
      <c r="J69" s="243" t="inlineStr">
        <is>
          <t>АСУ,А и ТМ (КЦ № 6)</t>
        </is>
      </c>
      <c r="K69" s="243" t="inlineStr">
        <is>
          <t>2012</t>
        </is>
      </c>
      <c r="L69" s="243" t="inlineStr">
        <is>
          <t>12</t>
        </is>
      </c>
      <c r="M69" s="304" t="inlineStr">
        <is>
          <t>26ДЯУ</t>
        </is>
      </c>
      <c r="N69" s="243" t="inlineStr">
        <is>
          <t>П</t>
        </is>
      </c>
    </row>
    <row r="70" ht="15" customHeight="1" s="236">
      <c r="A70" s="243" t="n">
        <v>69</v>
      </c>
      <c r="B70" s="243" t="inlineStr">
        <is>
          <t>Манометр технический</t>
        </is>
      </c>
      <c r="C70" s="243" t="inlineStr">
        <is>
          <t>ТМ5</t>
        </is>
      </c>
      <c r="D70" s="297" t="inlineStr">
        <is>
          <t>38</t>
        </is>
      </c>
      <c r="E70" s="243" t="inlineStr">
        <is>
          <t>2010</t>
        </is>
      </c>
      <c r="F70" s="243" t="inlineStr">
        <is>
          <t>0..1,6 MPa</t>
        </is>
      </c>
      <c r="G70" s="243" t="inlineStr">
        <is>
          <t>1.5</t>
        </is>
      </c>
      <c r="H70" s="243" t="inlineStr">
        <is>
          <t>Р воды после кр. 5</t>
        </is>
      </c>
      <c r="I70" s="243" t="inlineStr">
        <is>
          <t>РММ, тепловой пункт</t>
        </is>
      </c>
      <c r="J70" s="243" t="inlineStr">
        <is>
          <t>АСУ,А и ТМ (КЦ № 6)</t>
        </is>
      </c>
      <c r="K70" s="243" t="inlineStr">
        <is>
          <t>2012</t>
        </is>
      </c>
      <c r="L70" s="243" t="inlineStr">
        <is>
          <t>12</t>
        </is>
      </c>
      <c r="M70" s="304" t="inlineStr">
        <is>
          <t>26ДЯУ</t>
        </is>
      </c>
      <c r="N70" s="243" t="inlineStr">
        <is>
          <t>П</t>
        </is>
      </c>
    </row>
    <row r="71" ht="15" customHeight="1" s="236">
      <c r="A71" s="243" t="n">
        <v>70</v>
      </c>
      <c r="B71" s="243" t="inlineStr">
        <is>
          <t>Манометр технический</t>
        </is>
      </c>
      <c r="C71" s="243" t="inlineStr">
        <is>
          <t>ДМ02-100-1-G</t>
        </is>
      </c>
      <c r="D71" s="297" t="inlineStr">
        <is>
          <t>15483</t>
        </is>
      </c>
      <c r="E71" s="243" t="inlineStr">
        <is>
          <t>2010</t>
        </is>
      </c>
      <c r="F71" s="243" t="inlineStr">
        <is>
          <t>0..6 кгс/см2</t>
        </is>
      </c>
      <c r="G71" s="243" t="inlineStr">
        <is>
          <t>1.5</t>
        </is>
      </c>
      <c r="H71" s="243" t="inlineStr">
        <is>
          <t>Р воды перед кр. 11</t>
        </is>
      </c>
      <c r="I71" s="243" t="inlineStr">
        <is>
          <t>РММ, тепловой пункт</t>
        </is>
      </c>
      <c r="J71" s="243" t="inlineStr">
        <is>
          <t>АСУ,А и ТМ (КЦ № 6)</t>
        </is>
      </c>
      <c r="K71" s="243" t="inlineStr">
        <is>
          <t>2012</t>
        </is>
      </c>
      <c r="L71" s="243" t="inlineStr">
        <is>
          <t>12</t>
        </is>
      </c>
      <c r="M71" s="304" t="inlineStr">
        <is>
          <t>26ДЯУ</t>
        </is>
      </c>
      <c r="N71" s="243" t="inlineStr">
        <is>
          <t>П</t>
        </is>
      </c>
    </row>
    <row r="72" ht="15" customHeight="1" s="236">
      <c r="A72" s="243" t="n">
        <v>71</v>
      </c>
      <c r="B72" s="243" t="inlineStr">
        <is>
          <t>Манометр технический</t>
        </is>
      </c>
      <c r="C72" s="243" t="inlineStr">
        <is>
          <t>МП4-У</t>
        </is>
      </c>
      <c r="D72" s="297" t="inlineStr">
        <is>
          <t>2284</t>
        </is>
      </c>
      <c r="E72" s="243" t="inlineStr">
        <is>
          <t>2010</t>
        </is>
      </c>
      <c r="F72" s="243" t="inlineStr">
        <is>
          <t>0..6 кгс/см2</t>
        </is>
      </c>
      <c r="G72" s="243" t="inlineStr">
        <is>
          <t>1</t>
        </is>
      </c>
      <c r="H72" s="243" t="inlineStr">
        <is>
          <t>Р воды после кр. 9</t>
        </is>
      </c>
      <c r="I72" s="243" t="inlineStr">
        <is>
          <t>РММ, тепловой пункт</t>
        </is>
      </c>
      <c r="J72" s="243" t="inlineStr">
        <is>
          <t>АСУ,А и ТМ (КЦ № 6)</t>
        </is>
      </c>
      <c r="K72" s="243" t="inlineStr">
        <is>
          <t>2012</t>
        </is>
      </c>
      <c r="L72" s="243" t="inlineStr">
        <is>
          <t>12</t>
        </is>
      </c>
      <c r="M72" s="304" t="inlineStr">
        <is>
          <t>26ДЯУ</t>
        </is>
      </c>
      <c r="N72" s="243" t="inlineStr">
        <is>
          <t>П</t>
        </is>
      </c>
    </row>
    <row r="73" ht="15" customHeight="1" s="236">
      <c r="A73" s="243" t="n">
        <v>72</v>
      </c>
      <c r="B73" s="243" t="inlineStr">
        <is>
          <t>Манометр технический</t>
        </is>
      </c>
      <c r="C73" s="243" t="inlineStr">
        <is>
          <t>МП4-У</t>
        </is>
      </c>
      <c r="D73" s="297" t="inlineStr">
        <is>
          <t>2285</t>
        </is>
      </c>
      <c r="E73" s="243" t="inlineStr">
        <is>
          <t>2010</t>
        </is>
      </c>
      <c r="F73" s="243" t="inlineStr">
        <is>
          <t>0..6 кгс/см2</t>
        </is>
      </c>
      <c r="G73" s="243" t="inlineStr">
        <is>
          <t>1</t>
        </is>
      </c>
      <c r="H73" s="243" t="inlineStr">
        <is>
          <t>Р воды перед Д3</t>
        </is>
      </c>
      <c r="I73" s="243" t="inlineStr">
        <is>
          <t>РММ, тепловой пункт</t>
        </is>
      </c>
      <c r="J73" s="243" t="inlineStr">
        <is>
          <t>АСУ,А и ТМ (КЦ № 6)</t>
        </is>
      </c>
      <c r="K73" s="243" t="inlineStr">
        <is>
          <t>2012</t>
        </is>
      </c>
      <c r="L73" s="243" t="inlineStr">
        <is>
          <t>12</t>
        </is>
      </c>
      <c r="M73" s="304" t="inlineStr">
        <is>
          <t>26ДЯУ</t>
        </is>
      </c>
      <c r="N73" s="243" t="inlineStr">
        <is>
          <t>П</t>
        </is>
      </c>
    </row>
    <row r="74" ht="15" customHeight="1" s="236">
      <c r="A74" s="243" t="n">
        <v>73</v>
      </c>
      <c r="B74" s="243" t="inlineStr">
        <is>
          <t>Манометр технический</t>
        </is>
      </c>
      <c r="C74" s="243" t="inlineStr">
        <is>
          <t>МП3-УУ2</t>
        </is>
      </c>
      <c r="D74" s="297" t="inlineStr">
        <is>
          <t>30096</t>
        </is>
      </c>
      <c r="E74" s="243" t="inlineStr">
        <is>
          <t>2004</t>
        </is>
      </c>
      <c r="F74" s="243" t="inlineStr">
        <is>
          <t>0..16 кгс/см2</t>
        </is>
      </c>
      <c r="G74" s="243" t="inlineStr">
        <is>
          <t>1.5</t>
        </is>
      </c>
      <c r="H74" s="243" t="inlineStr">
        <is>
          <t>Р воды перед В3</t>
        </is>
      </c>
      <c r="I74" s="243" t="inlineStr">
        <is>
          <t>РММ, тепловой пункт</t>
        </is>
      </c>
      <c r="J74" s="243" t="inlineStr">
        <is>
          <t>АСУ,А и ТМ (КЦ № 6)</t>
        </is>
      </c>
      <c r="K74" s="243" t="inlineStr">
        <is>
          <t>2012</t>
        </is>
      </c>
      <c r="L74" s="243" t="inlineStr">
        <is>
          <t>12</t>
        </is>
      </c>
      <c r="M74" s="304" t="inlineStr">
        <is>
          <t>26ДЯУ</t>
        </is>
      </c>
      <c r="N74" s="243" t="inlineStr">
        <is>
          <t>П</t>
        </is>
      </c>
    </row>
    <row r="75" ht="15" customHeight="1" s="236">
      <c r="A75" s="243" t="n">
        <v>74</v>
      </c>
      <c r="B75" s="243" t="inlineStr">
        <is>
          <t>Манометр технический</t>
        </is>
      </c>
      <c r="C75" s="243" t="inlineStr">
        <is>
          <t>ДМ02-100-1-G</t>
        </is>
      </c>
      <c r="D75" s="297" t="inlineStr">
        <is>
          <t>15184</t>
        </is>
      </c>
      <c r="E75" s="243" t="inlineStr">
        <is>
          <t>2004</t>
        </is>
      </c>
      <c r="F75" s="243" t="inlineStr">
        <is>
          <t>0..6 Bar</t>
        </is>
      </c>
      <c r="G75" s="243" t="inlineStr">
        <is>
          <t>1.5</t>
        </is>
      </c>
      <c r="H75" s="243" t="inlineStr">
        <is>
          <t>Р воды перед кр.6 до Ф</t>
        </is>
      </c>
      <c r="I75" s="243" t="inlineStr">
        <is>
          <t>РММ, тепловой пункт</t>
        </is>
      </c>
      <c r="J75" s="243" t="inlineStr">
        <is>
          <t>АСУ,А и ТМ (КЦ № 6)</t>
        </is>
      </c>
      <c r="K75" s="243" t="inlineStr">
        <is>
          <t>2012</t>
        </is>
      </c>
      <c r="L75" s="243" t="inlineStr">
        <is>
          <t>12</t>
        </is>
      </c>
      <c r="M75" s="304" t="inlineStr">
        <is>
          <t>26ДЯУ</t>
        </is>
      </c>
      <c r="N75" s="243" t="inlineStr">
        <is>
          <t>П</t>
        </is>
      </c>
    </row>
    <row r="76" ht="15" customHeight="1" s="236">
      <c r="A76" s="243" t="n">
        <v>75</v>
      </c>
      <c r="B76" s="243" t="inlineStr">
        <is>
          <t>Манометр технический</t>
        </is>
      </c>
      <c r="C76" s="243" t="inlineStr">
        <is>
          <t>МП3-УТ2</t>
        </is>
      </c>
      <c r="D76" s="297" t="inlineStr">
        <is>
          <t>1321991</t>
        </is>
      </c>
      <c r="E76" s="243" t="inlineStr">
        <is>
          <t>2010</t>
        </is>
      </c>
      <c r="F76" s="243" t="inlineStr">
        <is>
          <t>0..6 кгс/см2</t>
        </is>
      </c>
      <c r="G76" s="243" t="inlineStr">
        <is>
          <t>1.5</t>
        </is>
      </c>
      <c r="H76" s="243" t="inlineStr">
        <is>
          <t>Р воды перед кр. 13</t>
        </is>
      </c>
      <c r="I76" s="243" t="inlineStr">
        <is>
          <t>РММ, тепловой пункт</t>
        </is>
      </c>
      <c r="J76" s="243" t="inlineStr">
        <is>
          <t>АСУ,А и ТМ (КЦ № 6)</t>
        </is>
      </c>
      <c r="K76" s="243" t="inlineStr">
        <is>
          <t>2012</t>
        </is>
      </c>
      <c r="L76" s="243" t="inlineStr">
        <is>
          <t>12</t>
        </is>
      </c>
      <c r="M76" s="304" t="inlineStr">
        <is>
          <t>26ДЯУ</t>
        </is>
      </c>
      <c r="N76" s="243" t="inlineStr">
        <is>
          <t>П</t>
        </is>
      </c>
    </row>
    <row r="77" ht="22.5" customHeight="1" s="236">
      <c r="A77" s="243" t="n">
        <v>76</v>
      </c>
      <c r="B77" s="243" t="inlineStr">
        <is>
          <t>Термометр биметаллический</t>
        </is>
      </c>
      <c r="C77" s="243" t="inlineStr">
        <is>
          <t>ТБ-1</t>
        </is>
      </c>
      <c r="D77" s="297" t="inlineStr">
        <is>
          <t>1293</t>
        </is>
      </c>
      <c r="E77" s="243" t="inlineStr">
        <is>
          <t>2010</t>
        </is>
      </c>
      <c r="F77" s="243" t="inlineStr">
        <is>
          <t>0 .. 120°С</t>
        </is>
      </c>
      <c r="G77" s="243" t="inlineStr">
        <is>
          <t>1.5</t>
        </is>
      </c>
      <c r="H77" s="243" t="inlineStr">
        <is>
          <t>Температура воды перед кр. 14</t>
        </is>
      </c>
      <c r="I77" s="243" t="inlineStr">
        <is>
          <t>РММ, тепловой пункт</t>
        </is>
      </c>
      <c r="J77" s="243" t="inlineStr">
        <is>
          <t>АСУ,А и ТМ (КЦ № 6)</t>
        </is>
      </c>
      <c r="K77" s="243" t="inlineStr">
        <is>
          <t>2012</t>
        </is>
      </c>
      <c r="L77" s="243" t="inlineStr">
        <is>
          <t>24</t>
        </is>
      </c>
      <c r="M77" s="304" t="inlineStr">
        <is>
          <t>25ДЯУ</t>
        </is>
      </c>
      <c r="N77" s="243" t="inlineStr">
        <is>
          <t>П</t>
        </is>
      </c>
    </row>
    <row r="78" ht="22.5" customHeight="1" s="236">
      <c r="A78" s="243" t="n">
        <v>77</v>
      </c>
      <c r="B78" s="243" t="inlineStr">
        <is>
          <t>Термометр биметаллический</t>
        </is>
      </c>
      <c r="C78" s="243" t="inlineStr">
        <is>
          <t>ТБ-1</t>
        </is>
      </c>
      <c r="D78" s="297" t="inlineStr">
        <is>
          <t>1307</t>
        </is>
      </c>
      <c r="E78" s="243" t="inlineStr">
        <is>
          <t>2010</t>
        </is>
      </c>
      <c r="F78" s="243" t="inlineStr">
        <is>
          <t>0 .. 120°С</t>
        </is>
      </c>
      <c r="G78" s="243" t="inlineStr">
        <is>
          <t>1.5</t>
        </is>
      </c>
      <c r="H78" s="243" t="inlineStr">
        <is>
          <t>Температура воды перед кр. 10</t>
        </is>
      </c>
      <c r="I78" s="243" t="inlineStr">
        <is>
          <t>РММ, тепловой пункт</t>
        </is>
      </c>
      <c r="J78" s="243" t="inlineStr">
        <is>
          <t>АСУ,А и ТМ (КЦ № 6)</t>
        </is>
      </c>
      <c r="K78" s="243" t="inlineStr">
        <is>
          <t>2012</t>
        </is>
      </c>
      <c r="L78" s="243" t="inlineStr">
        <is>
          <t>24</t>
        </is>
      </c>
      <c r="M78" s="304" t="inlineStr">
        <is>
          <t>25ДЯУ</t>
        </is>
      </c>
      <c r="N78" s="243" t="inlineStr">
        <is>
          <t>П</t>
        </is>
      </c>
    </row>
    <row r="79" ht="22.5" customHeight="1" s="236">
      <c r="A79" s="243" t="n">
        <v>78</v>
      </c>
      <c r="B79" s="243" t="inlineStr">
        <is>
          <t>Термометр биметаллический</t>
        </is>
      </c>
      <c r="C79" s="243" t="inlineStr">
        <is>
          <t>ТБ-1</t>
        </is>
      </c>
      <c r="D79" s="297" t="inlineStr">
        <is>
          <t>1298</t>
        </is>
      </c>
      <c r="E79" s="243" t="inlineStr">
        <is>
          <t>2010</t>
        </is>
      </c>
      <c r="F79" s="243" t="inlineStr">
        <is>
          <t>0 .. 120°С</t>
        </is>
      </c>
      <c r="G79" s="243" t="inlineStr">
        <is>
          <t>1.5</t>
        </is>
      </c>
      <c r="H79" s="243" t="inlineStr">
        <is>
          <t>Температура воды перед кр. 6</t>
        </is>
      </c>
      <c r="I79" s="243" t="inlineStr">
        <is>
          <t>РММ, тепловой пункт</t>
        </is>
      </c>
      <c r="J79" s="243" t="inlineStr">
        <is>
          <t>АСУ,А и ТМ (КЦ № 6)</t>
        </is>
      </c>
      <c r="K79" s="243" t="inlineStr">
        <is>
          <t>2012</t>
        </is>
      </c>
      <c r="L79" s="243" t="inlineStr">
        <is>
          <t>24</t>
        </is>
      </c>
      <c r="M79" s="304" t="inlineStr">
        <is>
          <t>25ДЯУ</t>
        </is>
      </c>
      <c r="N79" s="243" t="inlineStr">
        <is>
          <t>П</t>
        </is>
      </c>
    </row>
    <row r="80" ht="22.5" customHeight="1" s="236">
      <c r="A80" s="243" t="n">
        <v>79</v>
      </c>
      <c r="B80" s="243" t="inlineStr">
        <is>
          <t>Термометр биметаллический</t>
        </is>
      </c>
      <c r="C80" s="243" t="inlineStr">
        <is>
          <t>ТБ-1</t>
        </is>
      </c>
      <c r="D80" s="297" t="inlineStr">
        <is>
          <t>1303</t>
        </is>
      </c>
      <c r="E80" s="243" t="inlineStr">
        <is>
          <t>2010</t>
        </is>
      </c>
      <c r="F80" s="243" t="inlineStr">
        <is>
          <t>0 .. 120°С</t>
        </is>
      </c>
      <c r="G80" s="243" t="inlineStr">
        <is>
          <t>1.5</t>
        </is>
      </c>
      <c r="H80" s="243" t="inlineStr">
        <is>
          <t>Температура воды в Т2 после расходомера</t>
        </is>
      </c>
      <c r="I80" s="243" t="inlineStr">
        <is>
          <t>РММ, тепловой пункт</t>
        </is>
      </c>
      <c r="J80" s="243" t="inlineStr">
        <is>
          <t>АСУ,А и ТМ (КЦ № 6)</t>
        </is>
      </c>
      <c r="K80" s="243" t="inlineStr">
        <is>
          <t>2012</t>
        </is>
      </c>
      <c r="L80" s="243" t="inlineStr">
        <is>
          <t>24</t>
        </is>
      </c>
      <c r="M80" s="304" t="inlineStr">
        <is>
          <t>25ДЯУ</t>
        </is>
      </c>
      <c r="N80" s="243" t="inlineStr">
        <is>
          <t>П</t>
        </is>
      </c>
    </row>
    <row r="81" ht="22.5" customHeight="1" s="236">
      <c r="A81" s="239">
        <f>IF(B81&lt;&gt;"", COUNTA($B$2:B81), "")</f>
        <v/>
      </c>
      <c r="B81" s="239" t="inlineStr">
        <is>
          <t>Термометр биметаллический</t>
        </is>
      </c>
      <c r="C81" s="239" t="n"/>
      <c r="D81" s="239" t="inlineStr">
        <is>
          <t>Загулшка</t>
        </is>
      </c>
      <c r="E81" s="239" t="n"/>
      <c r="F81" s="239" t="n"/>
      <c r="G81" s="239" t="n"/>
      <c r="H81" s="239" t="inlineStr">
        <is>
          <t xml:space="preserve">Температура воды в Т1 после кр. 1 </t>
        </is>
      </c>
      <c r="I81" s="239" t="inlineStr">
        <is>
          <t>РММ, тепловой пункт</t>
        </is>
      </c>
      <c r="J81" s="239" t="inlineStr">
        <is>
          <t>АСУ,А и ТМ (КЦ № 6)</t>
        </is>
      </c>
      <c r="K81" s="239" t="n"/>
      <c r="L81" s="239" t="n"/>
      <c r="M81" s="303" t="n"/>
      <c r="N81" s="239" t="n"/>
    </row>
    <row r="82" ht="22.5" customHeight="1" s="236">
      <c r="A82" s="243" t="n">
        <v>81</v>
      </c>
      <c r="B82" s="243" t="inlineStr">
        <is>
          <t>Термометр биметаллический</t>
        </is>
      </c>
      <c r="C82" s="243" t="inlineStr"/>
      <c r="D82" s="243" t="inlineStr">
        <is>
          <t>Загулшка</t>
        </is>
      </c>
      <c r="E82" s="243" t="inlineStr"/>
      <c r="F82" s="243" t="inlineStr"/>
      <c r="G82" s="243" t="inlineStr"/>
      <c r="H82" s="243" t="inlineStr">
        <is>
          <t>Температура воды перед Д 3</t>
        </is>
      </c>
      <c r="I82" s="243" t="inlineStr">
        <is>
          <t>РММ, тепловой пункт</t>
        </is>
      </c>
      <c r="J82" s="243" t="inlineStr">
        <is>
          <t>АСУ,А и ТМ (КЦ № 6)</t>
        </is>
      </c>
      <c r="K82" s="243" t="inlineStr"/>
      <c r="L82" s="243" t="inlineStr"/>
      <c r="M82" s="304" t="inlineStr"/>
      <c r="N82" s="243" t="inlineStr"/>
    </row>
    <row r="83" ht="22.5" customHeight="1" s="236">
      <c r="A83" s="243" t="n">
        <v>82</v>
      </c>
      <c r="B83" s="243" t="inlineStr">
        <is>
          <t>Термометр биметаллический</t>
        </is>
      </c>
      <c r="C83" s="243" t="inlineStr">
        <is>
          <t>ТБ-2Р</t>
        </is>
      </c>
      <c r="D83" s="243" t="inlineStr">
        <is>
          <t>5090</t>
        </is>
      </c>
      <c r="E83" s="243" t="inlineStr">
        <is>
          <t>2010</t>
        </is>
      </c>
      <c r="F83" s="243" t="inlineStr">
        <is>
          <t>0 .. 120°С</t>
        </is>
      </c>
      <c r="G83" s="243" t="inlineStr">
        <is>
          <t>1</t>
        </is>
      </c>
      <c r="H83" s="243" t="inlineStr">
        <is>
          <t>Температура воды перед кр. 13</t>
        </is>
      </c>
      <c r="I83" s="243" t="inlineStr">
        <is>
          <t>РММ, тепловой пункт</t>
        </is>
      </c>
      <c r="J83" s="243" t="inlineStr">
        <is>
          <t>АСУ,А и ТМ (КЦ № 6)</t>
        </is>
      </c>
      <c r="K83" s="243" t="inlineStr">
        <is>
          <t>2012</t>
        </is>
      </c>
      <c r="L83" s="243" t="inlineStr">
        <is>
          <t>24</t>
        </is>
      </c>
      <c r="M83" s="304" t="inlineStr">
        <is>
          <t>25ДЯУ</t>
        </is>
      </c>
      <c r="N83" s="243" t="inlineStr">
        <is>
          <t>П</t>
        </is>
      </c>
    </row>
    <row r="84" ht="22.5" customHeight="1" s="236">
      <c r="A84" s="243" t="n">
        <v>83</v>
      </c>
      <c r="B84" s="305" t="inlineStr">
        <is>
          <t>Датчик давления избыточного</t>
        </is>
      </c>
      <c r="C84" s="243" t="inlineStr">
        <is>
          <t>СДВ-И-2,5-1,6</t>
        </is>
      </c>
      <c r="D84" s="243" t="inlineStr">
        <is>
          <t>73513</t>
        </is>
      </c>
      <c r="E84" s="243" t="inlineStr">
        <is>
          <t>2012</t>
        </is>
      </c>
      <c r="F84" s="243" t="inlineStr">
        <is>
          <t>0..2,5 MPa</t>
        </is>
      </c>
      <c r="G84" s="243" t="inlineStr">
        <is>
          <t>1</t>
        </is>
      </c>
      <c r="H84" s="243" t="inlineStr">
        <is>
          <t>Р прямой воды</t>
        </is>
      </c>
      <c r="I84" s="243" t="inlineStr">
        <is>
          <t>РММ, тепловой пункт</t>
        </is>
      </c>
      <c r="J84" s="243" t="inlineStr">
        <is>
          <t>АСУ,А и ТМ (КЦ № 6)</t>
        </is>
      </c>
      <c r="K84" s="243" t="inlineStr">
        <is>
          <t>2012</t>
        </is>
      </c>
      <c r="L84" s="243" t="inlineStr">
        <is>
          <t>60</t>
        </is>
      </c>
      <c r="M84" s="304" t="inlineStr"/>
      <c r="N84" s="243" t="inlineStr"/>
    </row>
    <row r="85" ht="22.5" customHeight="1" s="236">
      <c r="A85" s="243" t="n">
        <v>84</v>
      </c>
      <c r="B85" s="305" t="inlineStr">
        <is>
          <t>Датчик давления избыточного</t>
        </is>
      </c>
      <c r="C85" s="243" t="inlineStr">
        <is>
          <t>СДВ-И-2,5-1,6</t>
        </is>
      </c>
      <c r="D85" s="243" t="inlineStr">
        <is>
          <t>73512</t>
        </is>
      </c>
      <c r="E85" s="243" t="inlineStr">
        <is>
          <t>2012</t>
        </is>
      </c>
      <c r="F85" s="243" t="inlineStr">
        <is>
          <t>0..2,5 MPa</t>
        </is>
      </c>
      <c r="G85" s="243" t="inlineStr">
        <is>
          <t>1</t>
        </is>
      </c>
      <c r="H85" s="243" t="inlineStr">
        <is>
          <t>Р обратной воды</t>
        </is>
      </c>
      <c r="I85" s="243" t="inlineStr">
        <is>
          <t>РММ, тепловой пункт</t>
        </is>
      </c>
      <c r="J85" s="243" t="inlineStr">
        <is>
          <t>АСУ,А и ТМ (КЦ № 6)</t>
        </is>
      </c>
      <c r="K85" s="243" t="inlineStr">
        <is>
          <t>2012</t>
        </is>
      </c>
      <c r="L85" s="243" t="inlineStr">
        <is>
          <t>60</t>
        </is>
      </c>
      <c r="M85" s="304" t="inlineStr"/>
      <c r="N85" s="243" t="inlineStr"/>
    </row>
    <row r="86" ht="15" customHeight="1" s="236">
      <c r="A86" s="243" t="n">
        <v>85</v>
      </c>
      <c r="B86" s="305" t="inlineStr">
        <is>
          <t>Термометр сопротивления</t>
        </is>
      </c>
      <c r="C86" s="243" t="inlineStr">
        <is>
          <t>Взлет ТПС</t>
        </is>
      </c>
      <c r="D86" s="243" t="inlineStr">
        <is>
          <t>1217497</t>
        </is>
      </c>
      <c r="E86" s="243" t="inlineStr"/>
      <c r="F86" s="243" t="inlineStr">
        <is>
          <t>0…180 С</t>
        </is>
      </c>
      <c r="G86" s="243" t="inlineStr"/>
      <c r="H86" s="243" t="inlineStr">
        <is>
          <t>Т прямой воды</t>
        </is>
      </c>
      <c r="I86" s="243" t="inlineStr">
        <is>
          <t>РММ, тепловой пункт</t>
        </is>
      </c>
      <c r="J86" s="243" t="inlineStr">
        <is>
          <t>АСУ,А и ТМ (КЦ № 6)</t>
        </is>
      </c>
      <c r="K86" s="243" t="inlineStr"/>
      <c r="L86" s="243" t="inlineStr"/>
      <c r="M86" s="304" t="inlineStr"/>
      <c r="N86" s="243" t="inlineStr"/>
    </row>
    <row r="87" ht="15" customHeight="1" s="236">
      <c r="A87" s="243" t="n">
        <v>86</v>
      </c>
      <c r="B87" s="305" t="inlineStr">
        <is>
          <t>Термометр сопротивления</t>
        </is>
      </c>
      <c r="C87" s="243" t="inlineStr">
        <is>
          <t>Взлет ТПС</t>
        </is>
      </c>
      <c r="D87" s="243" t="inlineStr">
        <is>
          <t>1217614</t>
        </is>
      </c>
      <c r="E87" s="243" t="inlineStr"/>
      <c r="F87" s="243" t="inlineStr">
        <is>
          <t>0…180 С</t>
        </is>
      </c>
      <c r="G87" s="243" t="inlineStr"/>
      <c r="H87" s="243" t="inlineStr">
        <is>
          <t>Т обратной воды</t>
        </is>
      </c>
      <c r="I87" s="243" t="inlineStr">
        <is>
          <t>РММ, тепловой пункт</t>
        </is>
      </c>
      <c r="J87" s="243" t="inlineStr">
        <is>
          <t>АСУ,А и ТМ (КЦ № 6)</t>
        </is>
      </c>
      <c r="K87" s="243" t="inlineStr"/>
      <c r="L87" s="243" t="inlineStr"/>
      <c r="M87" s="304" t="inlineStr"/>
      <c r="N87" s="243" t="inlineStr"/>
    </row>
    <row r="88" ht="22.5" customHeight="1" s="236">
      <c r="A88" s="243" t="n">
        <v>87</v>
      </c>
      <c r="B88" s="305" t="inlineStr">
        <is>
          <t>Расходомер электромагнитный</t>
        </is>
      </c>
      <c r="C88" s="243" t="inlineStr">
        <is>
          <t>Взлет ЭРСВ-430Л</t>
        </is>
      </c>
      <c r="D88" s="243" t="inlineStr">
        <is>
          <t>1234722</t>
        </is>
      </c>
      <c r="E88" s="243" t="inlineStr"/>
      <c r="F88" s="243" t="inlineStr"/>
      <c r="G88" s="243" t="inlineStr"/>
      <c r="H88" s="243" t="inlineStr">
        <is>
          <t>Расход воды в системе отопления</t>
        </is>
      </c>
      <c r="I88" s="243" t="inlineStr">
        <is>
          <t>РММ, тепловой пункт</t>
        </is>
      </c>
      <c r="J88" s="243" t="inlineStr">
        <is>
          <t>АСУ,А и ТМ (КЦ № 6)</t>
        </is>
      </c>
      <c r="K88" s="243" t="inlineStr"/>
      <c r="L88" s="243" t="inlineStr"/>
      <c r="M88" s="304" t="inlineStr"/>
      <c r="N88" s="243" t="inlineStr"/>
    </row>
    <row r="89" ht="15" customHeight="1" s="236">
      <c r="A89" s="243" t="n">
        <v>88</v>
      </c>
      <c r="B89" s="305" t="inlineStr">
        <is>
          <t>Тепловычислитель</t>
        </is>
      </c>
      <c r="C89" s="243" t="inlineStr">
        <is>
          <t>Взлет ТСРВ-027</t>
        </is>
      </c>
      <c r="D89" s="243" t="inlineStr">
        <is>
          <t>1200796</t>
        </is>
      </c>
      <c r="E89" s="243" t="inlineStr"/>
      <c r="F89" s="243" t="inlineStr"/>
      <c r="G89" s="243" t="inlineStr"/>
      <c r="H89" s="243" t="inlineStr">
        <is>
          <t>Учет тепловой энергии</t>
        </is>
      </c>
      <c r="I89" s="243" t="inlineStr">
        <is>
          <t>РММ, тепловой пункт</t>
        </is>
      </c>
      <c r="J89" s="243" t="inlineStr">
        <is>
          <t>АСУ,А и ТМ (КЦ № 6)</t>
        </is>
      </c>
      <c r="K89" s="243" t="inlineStr"/>
      <c r="L89" s="243" t="inlineStr"/>
      <c r="M89" s="304" t="inlineStr"/>
      <c r="N89" s="243" t="inlineStr"/>
    </row>
    <row r="90" ht="22.5" customHeight="1" s="236">
      <c r="A90" s="243" t="n">
        <v>89</v>
      </c>
      <c r="B90" s="243" t="inlineStr">
        <is>
          <t>Манометр технический</t>
        </is>
      </c>
      <c r="C90" s="243" t="inlineStr">
        <is>
          <t>МП4-УУ2</t>
        </is>
      </c>
      <c r="D90" s="243" t="inlineStr">
        <is>
          <t>7091</t>
        </is>
      </c>
      <c r="E90" s="243" t="inlineStr">
        <is>
          <t>2010</t>
        </is>
      </c>
      <c r="F90" s="243" t="inlineStr">
        <is>
          <t>0..10 кгс/см2</t>
        </is>
      </c>
      <c r="G90" s="243" t="inlineStr">
        <is>
          <t>1</t>
        </is>
      </c>
      <c r="H90" s="243" t="inlineStr">
        <is>
          <t>Р воды в В1 до фильтра</t>
        </is>
      </c>
      <c r="I90" s="243" t="inlineStr">
        <is>
          <t>Маслосклад тепловой пункт</t>
        </is>
      </c>
      <c r="J90" s="243" t="inlineStr">
        <is>
          <t>АСУ,А и ТМ (КЦ № 6)</t>
        </is>
      </c>
      <c r="K90" s="243" t="inlineStr">
        <is>
          <t>2012</t>
        </is>
      </c>
      <c r="L90" s="243" t="inlineStr">
        <is>
          <t>12</t>
        </is>
      </c>
      <c r="M90" s="304" t="inlineStr">
        <is>
          <t>26ДЯУ</t>
        </is>
      </c>
      <c r="N90" s="243" t="inlineStr">
        <is>
          <t>П</t>
        </is>
      </c>
    </row>
    <row r="91" ht="33.75" customHeight="1" s="236">
      <c r="A91" s="243" t="n">
        <v>90</v>
      </c>
      <c r="B91" s="243" t="inlineStr">
        <is>
          <t>Манометр технический</t>
        </is>
      </c>
      <c r="C91" s="243" t="inlineStr">
        <is>
          <t>МП4-У</t>
        </is>
      </c>
      <c r="D91" s="243" t="inlineStr">
        <is>
          <t>2273</t>
        </is>
      </c>
      <c r="E91" s="243" t="inlineStr">
        <is>
          <t>2010</t>
        </is>
      </c>
      <c r="F91" s="243" t="inlineStr">
        <is>
          <t>0..6 кгс/см2</t>
        </is>
      </c>
      <c r="G91" s="243" t="inlineStr">
        <is>
          <t>1</t>
        </is>
      </c>
      <c r="H91" s="243" t="inlineStr">
        <is>
          <t>Р воды в В2 после клапана-регулятора перепада давления</t>
        </is>
      </c>
      <c r="I91" s="243" t="inlineStr">
        <is>
          <t>Маслосклад тепловой пункт</t>
        </is>
      </c>
      <c r="J91" s="243" t="inlineStr">
        <is>
          <t>АСУ,А и ТМ (КЦ № 6)</t>
        </is>
      </c>
      <c r="K91" s="243" t="inlineStr">
        <is>
          <t>2012</t>
        </is>
      </c>
      <c r="L91" s="243" t="inlineStr">
        <is>
          <t>12</t>
        </is>
      </c>
      <c r="M91" s="304" t="inlineStr">
        <is>
          <t>26ДЯУ</t>
        </is>
      </c>
      <c r="N91" s="243" t="inlineStr">
        <is>
          <t>П</t>
        </is>
      </c>
    </row>
    <row r="92" ht="22.5" customHeight="1" s="236">
      <c r="A92" s="243" t="n">
        <v>91</v>
      </c>
      <c r="B92" s="243" t="inlineStr">
        <is>
          <t>Термометр биметаллический</t>
        </is>
      </c>
      <c r="C92" s="243" t="inlineStr">
        <is>
          <t>ТБ-1Р</t>
        </is>
      </c>
      <c r="D92" s="243" t="inlineStr">
        <is>
          <t>1202</t>
        </is>
      </c>
      <c r="E92" s="243" t="inlineStr">
        <is>
          <t>2010</t>
        </is>
      </c>
      <c r="F92" s="243" t="inlineStr">
        <is>
          <t>0 .. 150°С</t>
        </is>
      </c>
      <c r="G92" s="243" t="inlineStr">
        <is>
          <t>1.5</t>
        </is>
      </c>
      <c r="H92" s="243" t="inlineStr">
        <is>
          <t>Температура в В1</t>
        </is>
      </c>
      <c r="I92" s="243" t="inlineStr">
        <is>
          <t>Маслосклад тепловой пункт</t>
        </is>
      </c>
      <c r="J92" s="243" t="inlineStr">
        <is>
          <t>АСУ,А и ТМ (КЦ № 6)</t>
        </is>
      </c>
      <c r="K92" s="243" t="inlineStr">
        <is>
          <t>2012</t>
        </is>
      </c>
      <c r="L92" s="243" t="inlineStr">
        <is>
          <t>24</t>
        </is>
      </c>
      <c r="M92" s="304" t="inlineStr">
        <is>
          <t>25ДЯУ</t>
        </is>
      </c>
      <c r="N92" s="243" t="inlineStr">
        <is>
          <t>П</t>
        </is>
      </c>
    </row>
    <row r="93" ht="22.5" customHeight="1" s="236">
      <c r="A93" s="243" t="n">
        <v>92</v>
      </c>
      <c r="B93" s="243" t="inlineStr">
        <is>
          <t>Термометр биметаллический</t>
        </is>
      </c>
      <c r="C93" s="243" t="inlineStr">
        <is>
          <t>ТБ-2</t>
        </is>
      </c>
      <c r="D93" s="243" t="inlineStr">
        <is>
          <t>3320</t>
        </is>
      </c>
      <c r="E93" s="243" t="inlineStr">
        <is>
          <t>2010</t>
        </is>
      </c>
      <c r="F93" s="243" t="inlineStr">
        <is>
          <t>0 .. 150°С</t>
        </is>
      </c>
      <c r="G93" s="243" t="inlineStr">
        <is>
          <t>1.5</t>
        </is>
      </c>
      <c r="H93" s="243" t="inlineStr">
        <is>
          <t>Температура в В2</t>
        </is>
      </c>
      <c r="I93" s="243" t="inlineStr">
        <is>
          <t>Маслосклад тепловой пункт</t>
        </is>
      </c>
      <c r="J93" s="243" t="inlineStr">
        <is>
          <t>АСУ,А и ТМ (КЦ № 6)</t>
        </is>
      </c>
      <c r="K93" s="243" t="inlineStr">
        <is>
          <t>2012</t>
        </is>
      </c>
      <c r="L93" s="243" t="inlineStr">
        <is>
          <t>24</t>
        </is>
      </c>
      <c r="M93" s="304" t="inlineStr">
        <is>
          <t>25ДЯУ</t>
        </is>
      </c>
      <c r="N93" s="243" t="inlineStr">
        <is>
          <t>П</t>
        </is>
      </c>
    </row>
    <row r="94" ht="22.5" customHeight="1" s="236">
      <c r="A94" s="243" t="n">
        <v>93</v>
      </c>
      <c r="B94" s="305" t="inlineStr">
        <is>
          <t>Датчик давления избыточного</t>
        </is>
      </c>
      <c r="C94" s="243" t="inlineStr">
        <is>
          <t>СДВ-И-1,6-1-0,6</t>
        </is>
      </c>
      <c r="D94" s="243" t="inlineStr">
        <is>
          <t>73500</t>
        </is>
      </c>
      <c r="E94" s="243" t="inlineStr">
        <is>
          <t>2012</t>
        </is>
      </c>
      <c r="F94" s="243" t="inlineStr">
        <is>
          <t>0..1,6 MPa</t>
        </is>
      </c>
      <c r="G94" s="243" t="inlineStr">
        <is>
          <t>1</t>
        </is>
      </c>
      <c r="H94" s="243" t="inlineStr">
        <is>
          <t>Р прямой воды</t>
        </is>
      </c>
      <c r="I94" s="243" t="inlineStr">
        <is>
          <t>Маслосклад тепловой пункт</t>
        </is>
      </c>
      <c r="J94" s="243" t="inlineStr">
        <is>
          <t>АСУ,А и ТМ (КЦ № 6)</t>
        </is>
      </c>
      <c r="K94" s="243" t="inlineStr">
        <is>
          <t>2012</t>
        </is>
      </c>
      <c r="L94" s="243" t="inlineStr">
        <is>
          <t>60</t>
        </is>
      </c>
      <c r="M94" s="304" t="inlineStr"/>
      <c r="N94" s="243" t="inlineStr"/>
    </row>
    <row r="95" ht="22.5" customHeight="1" s="236">
      <c r="A95" s="243" t="n">
        <v>94</v>
      </c>
      <c r="B95" s="305" t="inlineStr">
        <is>
          <t>Датчик давления избыточного</t>
        </is>
      </c>
      <c r="C95" s="243" t="inlineStr">
        <is>
          <t>СДВ-И-1,6-1-0,6</t>
        </is>
      </c>
      <c r="D95" s="243" t="inlineStr">
        <is>
          <t>73501</t>
        </is>
      </c>
      <c r="E95" s="243" t="inlineStr">
        <is>
          <t>2012</t>
        </is>
      </c>
      <c r="F95" s="243" t="inlineStr">
        <is>
          <t>0..1,6 MPa</t>
        </is>
      </c>
      <c r="G95" s="243" t="inlineStr">
        <is>
          <t>1</t>
        </is>
      </c>
      <c r="H95" s="243" t="inlineStr">
        <is>
          <t>Р обратной сетевой воды</t>
        </is>
      </c>
      <c r="I95" s="243" t="inlineStr">
        <is>
          <t>Маслосклад тепловой пункт</t>
        </is>
      </c>
      <c r="J95" s="243" t="inlineStr">
        <is>
          <t>АСУ,А и ТМ (КЦ № 6)</t>
        </is>
      </c>
      <c r="K95" s="243" t="inlineStr">
        <is>
          <t>2012</t>
        </is>
      </c>
      <c r="L95" s="243" t="inlineStr">
        <is>
          <t>60</t>
        </is>
      </c>
      <c r="M95" s="304" t="inlineStr"/>
      <c r="N95" s="243" t="inlineStr"/>
    </row>
    <row r="96" ht="22.5" customHeight="1" s="236">
      <c r="A96" s="243" t="n">
        <v>95</v>
      </c>
      <c r="B96" s="305" t="inlineStr">
        <is>
          <t>Термометр сопротивления</t>
        </is>
      </c>
      <c r="C96" s="243" t="inlineStr">
        <is>
          <t>Взлет ТПС</t>
        </is>
      </c>
      <c r="D96" s="243" t="inlineStr">
        <is>
          <t>1181473</t>
        </is>
      </c>
      <c r="E96" s="243" t="inlineStr"/>
      <c r="F96" s="243" t="inlineStr">
        <is>
          <t>0…180 С</t>
        </is>
      </c>
      <c r="G96" s="243" t="inlineStr"/>
      <c r="H96" s="243" t="inlineStr">
        <is>
          <t>Т прямой воды</t>
        </is>
      </c>
      <c r="I96" s="243" t="inlineStr">
        <is>
          <t>Маслосклад тепловой пункт</t>
        </is>
      </c>
      <c r="J96" s="243" t="inlineStr">
        <is>
          <t>АСУ,А и ТМ (КЦ № 6)</t>
        </is>
      </c>
      <c r="K96" s="243" t="inlineStr"/>
      <c r="L96" s="243" t="inlineStr"/>
      <c r="M96" s="304" t="inlineStr"/>
      <c r="N96" s="243" t="inlineStr"/>
    </row>
    <row r="97" ht="22.5" customHeight="1" s="236">
      <c r="A97" s="243" t="n">
        <v>96</v>
      </c>
      <c r="B97" s="305" t="inlineStr">
        <is>
          <t>Термометр сопротивления</t>
        </is>
      </c>
      <c r="C97" s="243" t="inlineStr">
        <is>
          <t>Взлет ТПС</t>
        </is>
      </c>
      <c r="D97" s="243" t="inlineStr">
        <is>
          <t>1181401</t>
        </is>
      </c>
      <c r="E97" s="243" t="inlineStr"/>
      <c r="F97" s="243" t="inlineStr">
        <is>
          <t>0…180 С</t>
        </is>
      </c>
      <c r="G97" s="243" t="inlineStr"/>
      <c r="H97" s="243" t="inlineStr">
        <is>
          <t>Т обратной воды</t>
        </is>
      </c>
      <c r="I97" s="243" t="inlineStr">
        <is>
          <t>Маслосклад тепловой пункт</t>
        </is>
      </c>
      <c r="J97" s="243" t="inlineStr">
        <is>
          <t>АСУ,А и ТМ (КЦ № 6)</t>
        </is>
      </c>
      <c r="K97" s="243" t="inlineStr"/>
      <c r="L97" s="243" t="inlineStr"/>
      <c r="M97" s="304" t="inlineStr"/>
      <c r="N97" s="243" t="inlineStr"/>
    </row>
    <row r="98" ht="22.5" customHeight="1" s="236">
      <c r="A98" s="243" t="n">
        <v>97</v>
      </c>
      <c r="B98" s="305" t="inlineStr">
        <is>
          <t>Расходомер электромагнитный</t>
        </is>
      </c>
      <c r="C98" s="243" t="inlineStr">
        <is>
          <t>Взлет ЭРСВ-420Л</t>
        </is>
      </c>
      <c r="D98" s="243" t="inlineStr">
        <is>
          <t>1228498</t>
        </is>
      </c>
      <c r="E98" s="243" t="inlineStr"/>
      <c r="F98" s="243" t="inlineStr"/>
      <c r="G98" s="243" t="inlineStr"/>
      <c r="H98" s="243" t="inlineStr">
        <is>
          <t>Расход воды в системе отопления</t>
        </is>
      </c>
      <c r="I98" s="243" t="inlineStr">
        <is>
          <t>Маслосклад тепловой пункт</t>
        </is>
      </c>
      <c r="J98" s="243" t="inlineStr">
        <is>
          <t>АСУ,А и ТМ (КЦ № 6)</t>
        </is>
      </c>
      <c r="K98" s="243" t="inlineStr"/>
      <c r="L98" s="243" t="inlineStr"/>
      <c r="M98" s="304" t="inlineStr"/>
      <c r="N98" s="243" t="inlineStr"/>
    </row>
    <row r="99" ht="22.5" customHeight="1" s="236">
      <c r="A99" s="243" t="n">
        <v>98</v>
      </c>
      <c r="B99" s="305" t="inlineStr">
        <is>
          <t>Тепловычислитель</t>
        </is>
      </c>
      <c r="C99" s="243" t="inlineStr">
        <is>
          <t>Взлет ТСРВ-027</t>
        </is>
      </c>
      <c r="D99" s="243" t="inlineStr">
        <is>
          <t>1201048</t>
        </is>
      </c>
      <c r="E99" s="243" t="inlineStr"/>
      <c r="F99" s="243" t="inlineStr"/>
      <c r="G99" s="243" t="inlineStr"/>
      <c r="H99" s="243" t="inlineStr">
        <is>
          <t>Учет тепловой энергии</t>
        </is>
      </c>
      <c r="I99" s="243" t="inlineStr">
        <is>
          <t>Маслосклад тепловой пункт</t>
        </is>
      </c>
      <c r="J99" s="243" t="inlineStr">
        <is>
          <t>АСУ,А и ТМ (КЦ № 6)</t>
        </is>
      </c>
      <c r="K99" s="243" t="inlineStr"/>
      <c r="L99" s="243" t="inlineStr"/>
      <c r="M99" s="304" t="inlineStr"/>
      <c r="N99" s="243" t="inlineStr"/>
    </row>
    <row r="100" ht="15" customHeight="1" s="236">
      <c r="A100" s="243" t="n">
        <v>99</v>
      </c>
      <c r="B100" s="305" t="inlineStr">
        <is>
          <t>Манометр технический</t>
        </is>
      </c>
      <c r="C100" s="243" t="inlineStr">
        <is>
          <t>МП3-УУ2</t>
        </is>
      </c>
      <c r="D100" s="243" t="inlineStr">
        <is>
          <t>15572</t>
        </is>
      </c>
      <c r="E100" s="243" t="inlineStr">
        <is>
          <t>2010</t>
        </is>
      </c>
      <c r="F100" s="243" t="inlineStr">
        <is>
          <t>0..600 кПа</t>
        </is>
      </c>
      <c r="G100" s="243" t="inlineStr">
        <is>
          <t>1.5</t>
        </is>
      </c>
      <c r="H100" s="243" t="inlineStr">
        <is>
          <t>Р воды в Т1</t>
        </is>
      </c>
      <c r="I100" s="243" t="inlineStr">
        <is>
          <t>РММ, слесарный цех</t>
        </is>
      </c>
      <c r="J100" s="243" t="inlineStr">
        <is>
          <t>АСУ,А и ТМ (КЦ № 6)</t>
        </is>
      </c>
      <c r="K100" s="243" t="inlineStr">
        <is>
          <t>2012</t>
        </is>
      </c>
      <c r="L100" s="243" t="inlineStr">
        <is>
          <t>12</t>
        </is>
      </c>
      <c r="M100" s="304" t="inlineStr">
        <is>
          <t>26ДЯУ</t>
        </is>
      </c>
      <c r="N100" s="243" t="inlineStr">
        <is>
          <t>П</t>
        </is>
      </c>
    </row>
    <row r="101" ht="15" customHeight="1" s="236">
      <c r="A101" s="243" t="n">
        <v>100</v>
      </c>
      <c r="B101" s="305" t="inlineStr">
        <is>
          <t>Манометр технический</t>
        </is>
      </c>
      <c r="C101" s="243" t="inlineStr">
        <is>
          <t>МП3-УУ2</t>
        </is>
      </c>
      <c r="D101" s="243" t="inlineStr">
        <is>
          <t>15571</t>
        </is>
      </c>
      <c r="E101" s="243" t="inlineStr">
        <is>
          <t>2010</t>
        </is>
      </c>
      <c r="F101" s="243" t="inlineStr">
        <is>
          <t>0..600 кПа</t>
        </is>
      </c>
      <c r="G101" s="243" t="inlineStr">
        <is>
          <t>1.5</t>
        </is>
      </c>
      <c r="H101" s="243" t="inlineStr">
        <is>
          <t>Р воды в Т2</t>
        </is>
      </c>
      <c r="I101" s="243" t="inlineStr">
        <is>
          <t>РММ, слесарный цех</t>
        </is>
      </c>
      <c r="J101" s="243" t="inlineStr">
        <is>
          <t>АСУ,А и ТМ (КЦ № 6)</t>
        </is>
      </c>
      <c r="K101" s="243" t="inlineStr">
        <is>
          <t>2012</t>
        </is>
      </c>
      <c r="L101" s="243" t="inlineStr">
        <is>
          <t>12</t>
        </is>
      </c>
      <c r="M101" s="304" t="inlineStr">
        <is>
          <t>26ДЯУ</t>
        </is>
      </c>
      <c r="N101" s="243" t="inlineStr">
        <is>
          <t>П</t>
        </is>
      </c>
    </row>
    <row r="102" ht="15" customHeight="1" s="236">
      <c r="A102" s="243" t="n">
        <v>101</v>
      </c>
      <c r="B102" s="243" t="inlineStr">
        <is>
          <t>Термометр биметаллический</t>
        </is>
      </c>
      <c r="C102" s="243" t="inlineStr">
        <is>
          <t>ТБ-1</t>
        </is>
      </c>
      <c r="D102" s="243" t="inlineStr">
        <is>
          <t>1290</t>
        </is>
      </c>
      <c r="E102" s="243" t="inlineStr">
        <is>
          <t>2010</t>
        </is>
      </c>
      <c r="F102" s="243" t="inlineStr">
        <is>
          <t>0 .. 120°С</t>
        </is>
      </c>
      <c r="G102" s="243" t="inlineStr">
        <is>
          <t>1.5</t>
        </is>
      </c>
      <c r="H102" s="243" t="inlineStr">
        <is>
          <t>Т воды в Т1</t>
        </is>
      </c>
      <c r="I102" s="243" t="inlineStr">
        <is>
          <t>РММ, слесарный цех</t>
        </is>
      </c>
      <c r="J102" s="243" t="inlineStr">
        <is>
          <t>АСУ,А и ТМ (КЦ № 6)</t>
        </is>
      </c>
      <c r="K102" s="243" t="inlineStr">
        <is>
          <t>2012</t>
        </is>
      </c>
      <c r="L102" s="243" t="inlineStr">
        <is>
          <t>24</t>
        </is>
      </c>
      <c r="M102" s="304" t="inlineStr">
        <is>
          <t>26ДЯУ</t>
        </is>
      </c>
      <c r="N102" s="243" t="inlineStr">
        <is>
          <t>П</t>
        </is>
      </c>
    </row>
    <row r="103" ht="15" customHeight="1" s="236">
      <c r="A103" s="243" t="n">
        <v>102</v>
      </c>
      <c r="B103" s="243" t="inlineStr">
        <is>
          <t>Термометр биметаллический</t>
        </is>
      </c>
      <c r="C103" s="243" t="inlineStr"/>
      <c r="D103" s="243" t="inlineStr">
        <is>
          <t>заглушка</t>
        </is>
      </c>
      <c r="E103" s="243" t="inlineStr">
        <is>
          <t>2010</t>
        </is>
      </c>
      <c r="F103" s="243" t="inlineStr">
        <is>
          <t>0 .. 120°С</t>
        </is>
      </c>
      <c r="G103" s="243" t="inlineStr"/>
      <c r="H103" s="243" t="inlineStr">
        <is>
          <t>Т воды в Т2</t>
        </is>
      </c>
      <c r="I103" s="243" t="inlineStr">
        <is>
          <t>РММ, слесарный цех</t>
        </is>
      </c>
      <c r="J103" s="243" t="inlineStr">
        <is>
          <t>АСУ,А и ТМ (КЦ № 6)</t>
        </is>
      </c>
      <c r="K103" s="243" t="inlineStr">
        <is>
          <t>2012</t>
        </is>
      </c>
      <c r="L103" s="243" t="inlineStr"/>
      <c r="M103" s="304" t="inlineStr">
        <is>
          <t>нет</t>
        </is>
      </c>
      <c r="N103" s="243" t="inlineStr"/>
    </row>
    <row r="104" ht="22.5" customHeight="1" s="236">
      <c r="A104" s="243" t="n">
        <v>103</v>
      </c>
      <c r="B104" s="243" t="inlineStr">
        <is>
          <t>Термометр биметаллический</t>
        </is>
      </c>
      <c r="C104" s="243" t="inlineStr">
        <is>
          <t>ТБ-1</t>
        </is>
      </c>
      <c r="D104" s="243" t="inlineStr">
        <is>
          <t>1289</t>
        </is>
      </c>
      <c r="E104" s="243" t="inlineStr">
        <is>
          <t>2010</t>
        </is>
      </c>
      <c r="F104" s="243" t="inlineStr">
        <is>
          <t>0 .. 120°С</t>
        </is>
      </c>
      <c r="G104" s="243" t="inlineStr">
        <is>
          <t>1.5</t>
        </is>
      </c>
      <c r="H104" s="243" t="inlineStr">
        <is>
          <t>Т воды в Т2 после трехходового клапана</t>
        </is>
      </c>
      <c r="I104" s="243" t="inlineStr">
        <is>
          <t>РММ, слесарный цех</t>
        </is>
      </c>
      <c r="J104" s="243" t="inlineStr">
        <is>
          <t>АСУ,А и ТМ (КЦ № 6)</t>
        </is>
      </c>
      <c r="K104" s="243" t="inlineStr">
        <is>
          <t>2012</t>
        </is>
      </c>
      <c r="L104" s="243" t="inlineStr">
        <is>
          <t>24</t>
        </is>
      </c>
      <c r="M104" s="304" t="inlineStr">
        <is>
          <t>25ДЯУ</t>
        </is>
      </c>
      <c r="N104" s="243" t="inlineStr">
        <is>
          <t>П</t>
        </is>
      </c>
      <c r="P104" s="235" t="inlineStr">
        <is>
          <t>А</t>
        </is>
      </c>
    </row>
    <row r="105" ht="22.5" customHeight="1" s="236">
      <c r="A105" s="243" t="n">
        <v>104</v>
      </c>
      <c r="B105" s="243" t="inlineStr">
        <is>
          <t>Манометр технический</t>
        </is>
      </c>
      <c r="C105" s="243" t="inlineStr">
        <is>
          <t>МП3-УУ2</t>
        </is>
      </c>
      <c r="D105" s="243" t="inlineStr">
        <is>
          <t>15573</t>
        </is>
      </c>
      <c r="E105" s="243" t="inlineStr">
        <is>
          <t>2010</t>
        </is>
      </c>
      <c r="F105" s="243" t="inlineStr">
        <is>
          <t>0..600 кПа</t>
        </is>
      </c>
      <c r="G105" s="243" t="inlineStr">
        <is>
          <t>1.5</t>
        </is>
      </c>
      <c r="H105" s="243" t="inlineStr">
        <is>
          <t>Р воды в системе отопления</t>
        </is>
      </c>
      <c r="I105" s="243" t="inlineStr">
        <is>
          <t>РММ, склад резервного двигателя</t>
        </is>
      </c>
      <c r="J105" s="243" t="inlineStr">
        <is>
          <t>АСУ,А и ТМ (КЦ № 6)</t>
        </is>
      </c>
      <c r="K105" s="243" t="inlineStr">
        <is>
          <t>2012</t>
        </is>
      </c>
      <c r="L105" s="243" t="inlineStr">
        <is>
          <t>12</t>
        </is>
      </c>
      <c r="M105" s="304" t="inlineStr">
        <is>
          <t>26ДЯУ</t>
        </is>
      </c>
      <c r="N105" s="243" t="inlineStr">
        <is>
          <t>П</t>
        </is>
      </c>
    </row>
  </sheetData>
  <conditionalFormatting sqref="M1:M1048576">
    <cfRule type="expression" rank="0" priority="2" equalAverage="0" aboveAverage="0" dxfId="1" text="" percent="0" bottom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orizontalCentered="0" verticalCentered="0" headings="0" gridLines="0" gridLinesSet="1"/>
  <pageMargins left="0.25" right="0.25" top="0.75" bottom="0.75" header="0.511805555555555" footer="0.511805555555555"/>
  <pageSetup orientation="landscape" paperSize="9" scale="100" fitToHeight="0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N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M2" activeCellId="0" sqref="M2"/>
    </sheetView>
  </sheetViews>
  <sheetFormatPr baseColWidth="8" defaultColWidth="9.15625" defaultRowHeight="15" zeroHeight="0" outlineLevelRow="0"/>
  <cols>
    <col width="3.14" customWidth="1" style="235" min="1" max="1"/>
    <col width="21.86" customWidth="1" style="235" min="2" max="2"/>
    <col width="19.71" customWidth="1" style="235" min="3" max="3"/>
    <col width="8" customWidth="1" style="235" min="4" max="4"/>
    <col width="6.57" customWidth="1" style="235" min="5" max="5"/>
    <col width="8.42" customWidth="1" style="235" min="6" max="6"/>
    <col width="7.42" customWidth="1" style="235" min="7" max="7"/>
    <col width="17" customWidth="1" style="235" min="8" max="8"/>
    <col width="20.99" customWidth="1" style="235" min="9" max="9"/>
    <col width="17.42" customWidth="1" style="235" min="10" max="10"/>
    <col width="8" customWidth="1" style="235" min="11" max="11"/>
    <col width="9" customWidth="1" style="235" min="12" max="12"/>
    <col width="8.859999999999999" customWidth="1" style="235" min="13" max="13"/>
    <col width="9" customWidth="1" style="235" min="14" max="14"/>
    <col width="9.140000000000001" customWidth="1" style="235" min="15" max="1024"/>
  </cols>
  <sheetData>
    <row r="1" ht="45" customHeight="1" s="236">
      <c r="A1" s="239" t="inlineStr">
        <is>
          <t>№ п/п</t>
        </is>
      </c>
      <c r="B1" s="239" t="inlineStr">
        <is>
          <t>Наименование</t>
        </is>
      </c>
      <c r="C1" s="239" t="inlineStr">
        <is>
          <t>Тип</t>
        </is>
      </c>
      <c r="D1" s="239" t="inlineStr">
        <is>
          <t>Заводской номер</t>
        </is>
      </c>
      <c r="E1" s="240" t="inlineStr">
        <is>
          <t>Год выпуска</t>
        </is>
      </c>
      <c r="F1" s="239" t="inlineStr">
        <is>
          <t>Диапазон 
измерений</t>
        </is>
      </c>
      <c r="G1" s="239" t="inlineStr">
        <is>
          <t>Класс точности</t>
        </is>
      </c>
      <c r="H1" s="239" t="inlineStr">
        <is>
          <t>Место установки СИ</t>
        </is>
      </c>
      <c r="I1" s="239" t="inlineStr">
        <is>
          <t>Объект установки</t>
        </is>
      </c>
      <c r="J1" s="239" t="inlineStr">
        <is>
          <t>Подразделение</t>
        </is>
      </c>
      <c r="K1" s="239" t="inlineStr">
        <is>
          <t>Дата установки</t>
        </is>
      </c>
      <c r="L1" s="239" t="inlineStr">
        <is>
          <t>Межповерочный интервал, мес.</t>
        </is>
      </c>
      <c r="M1" s="240" t="inlineStr">
        <is>
          <t>Дата последней поверки / калибровки</t>
        </is>
      </c>
      <c r="N1" s="239" t="inlineStr">
        <is>
          <t>Поверка (П)/ Калибровка (К)</t>
        </is>
      </c>
    </row>
    <row r="2" ht="22.5" customHeight="1" s="236">
      <c r="A2" s="239" t="n">
        <v>1</v>
      </c>
      <c r="B2" s="241" t="inlineStr">
        <is>
          <t>Термоманометр технический</t>
        </is>
      </c>
      <c r="C2" s="251" t="inlineStr">
        <is>
          <t>ТМТБ - 3</t>
        </is>
      </c>
      <c r="D2" s="306" t="inlineStr">
        <is>
          <t>15616</t>
        </is>
      </c>
      <c r="E2" s="251" t="inlineStr">
        <is>
          <t>2010</t>
        </is>
      </c>
      <c r="F2" s="239" t="inlineStr">
        <is>
          <t>0..1,0 МРа 0..120 °С</t>
        </is>
      </c>
      <c r="G2" s="275" t="inlineStr">
        <is>
          <t>2.5</t>
        </is>
      </c>
      <c r="H2" s="239" t="inlineStr">
        <is>
          <t>Р и Т воды в Т1 П1,В1</t>
        </is>
      </c>
      <c r="I2" s="239" t="inlineStr">
        <is>
          <t>КОС, венткамера П1, В1, П2</t>
        </is>
      </c>
      <c r="J2" s="239" t="inlineStr">
        <is>
          <t>АСУ,А и ТМ (КЦ № 6)</t>
        </is>
      </c>
      <c r="K2" s="239" t="inlineStr">
        <is>
          <t>2012</t>
        </is>
      </c>
      <c r="L2" s="239" t="inlineStr">
        <is>
          <t>24</t>
        </is>
      </c>
      <c r="M2" s="240" t="inlineStr">
        <is>
          <t>4К25</t>
        </is>
      </c>
      <c r="N2" s="242" t="inlineStr">
        <is>
          <t>К</t>
        </is>
      </c>
    </row>
    <row r="3" ht="22.5" customHeight="1" s="236">
      <c r="A3" s="243" t="n">
        <v>2</v>
      </c>
      <c r="B3" s="244" t="inlineStr">
        <is>
          <t>Термоманометр технический</t>
        </is>
      </c>
      <c r="C3" s="248" t="inlineStr">
        <is>
          <t>ТМТБ - 3</t>
        </is>
      </c>
      <c r="D3" s="307" t="inlineStr">
        <is>
          <t>15625</t>
        </is>
      </c>
      <c r="E3" s="248" t="inlineStr">
        <is>
          <t>2010</t>
        </is>
      </c>
      <c r="F3" s="243" t="inlineStr">
        <is>
          <t>0..1,0 МРа 0..120 °С</t>
        </is>
      </c>
      <c r="G3" s="276" t="inlineStr">
        <is>
          <t>2.5</t>
        </is>
      </c>
      <c r="H3" s="243" t="inlineStr">
        <is>
          <t>Р и Т воды в Т2 П1,В1</t>
        </is>
      </c>
      <c r="I3" s="243" t="inlineStr">
        <is>
          <t>КОС, венткамера П1, В1, П3</t>
        </is>
      </c>
      <c r="J3" s="243" t="inlineStr">
        <is>
          <t>АСУ,А и ТМ (КЦ № 6)</t>
        </is>
      </c>
      <c r="K3" s="243" t="inlineStr">
        <is>
          <t>2012</t>
        </is>
      </c>
      <c r="L3" s="243" t="inlineStr">
        <is>
          <t>24</t>
        </is>
      </c>
      <c r="M3" s="246" t="inlineStr">
        <is>
          <t>4К25</t>
        </is>
      </c>
      <c r="N3" s="245" t="inlineStr">
        <is>
          <t>К</t>
        </is>
      </c>
    </row>
    <row r="4" ht="22.5" customHeight="1" s="236">
      <c r="A4" s="243" t="n">
        <v>3</v>
      </c>
      <c r="B4" s="244" t="inlineStr">
        <is>
          <t>Термоманометр технический</t>
        </is>
      </c>
      <c r="C4" s="248" t="inlineStr">
        <is>
          <t>ТМТБ - 3</t>
        </is>
      </c>
      <c r="D4" s="307" t="inlineStr">
        <is>
          <t>15617</t>
        </is>
      </c>
      <c r="E4" s="248" t="inlineStr">
        <is>
          <t>2010</t>
        </is>
      </c>
      <c r="F4" s="243" t="inlineStr">
        <is>
          <t>0..1,0 МРа 0..120 °С</t>
        </is>
      </c>
      <c r="G4" s="276" t="inlineStr">
        <is>
          <t>2.5</t>
        </is>
      </c>
      <c r="H4" s="243" t="inlineStr">
        <is>
          <t>Р и Т воды в Т1 П2</t>
        </is>
      </c>
      <c r="I4" s="243" t="inlineStr">
        <is>
          <t>КОС, венткамера П1, В1, П4</t>
        </is>
      </c>
      <c r="J4" s="243" t="inlineStr">
        <is>
          <t>АСУ,А и ТМ (КЦ № 6)</t>
        </is>
      </c>
      <c r="K4" s="243" t="inlineStr">
        <is>
          <t>2012</t>
        </is>
      </c>
      <c r="L4" s="243" t="inlineStr">
        <is>
          <t>24</t>
        </is>
      </c>
      <c r="M4" s="246" t="inlineStr">
        <is>
          <t>4К25</t>
        </is>
      </c>
      <c r="N4" s="245" t="inlineStr">
        <is>
          <t>К</t>
        </is>
      </c>
    </row>
    <row r="5" ht="22.5" customHeight="1" s="236">
      <c r="A5" s="243" t="n">
        <v>4</v>
      </c>
      <c r="B5" s="244" t="inlineStr">
        <is>
          <t>Термоманометр технический</t>
        </is>
      </c>
      <c r="C5" s="248" t="inlineStr">
        <is>
          <t>ТМТБ - 3</t>
        </is>
      </c>
      <c r="D5" s="307" t="inlineStr">
        <is>
          <t>15624</t>
        </is>
      </c>
      <c r="E5" s="248" t="inlineStr">
        <is>
          <t>2010</t>
        </is>
      </c>
      <c r="F5" s="243" t="inlineStr">
        <is>
          <t>0..1,0 МРа 0..120 °С</t>
        </is>
      </c>
      <c r="G5" s="276" t="inlineStr">
        <is>
          <t>2.5</t>
        </is>
      </c>
      <c r="H5" s="243" t="inlineStr">
        <is>
          <t>Р и Т воды в Т2 П2</t>
        </is>
      </c>
      <c r="I5" s="243" t="inlineStr">
        <is>
          <t>КОС, венткамера П1, В1, П5</t>
        </is>
      </c>
      <c r="J5" s="243" t="inlineStr">
        <is>
          <t>АСУ,А и ТМ (КЦ № 6)</t>
        </is>
      </c>
      <c r="K5" s="243" t="inlineStr">
        <is>
          <t>2012</t>
        </is>
      </c>
      <c r="L5" s="243" t="inlineStr">
        <is>
          <t>24</t>
        </is>
      </c>
      <c r="M5" s="246" t="inlineStr">
        <is>
          <t>4К25</t>
        </is>
      </c>
      <c r="N5" s="245" t="inlineStr">
        <is>
          <t>К</t>
        </is>
      </c>
    </row>
    <row r="6" ht="22.5" customHeight="1" s="236">
      <c r="A6" s="243" t="n">
        <v>5</v>
      </c>
      <c r="B6" s="244" t="inlineStr">
        <is>
          <t>Термоманометр технический</t>
        </is>
      </c>
      <c r="C6" s="248" t="inlineStr">
        <is>
          <t>ТМТБ - 3</t>
        </is>
      </c>
      <c r="D6" s="307" t="inlineStr">
        <is>
          <t>15615</t>
        </is>
      </c>
      <c r="E6" s="248" t="inlineStr">
        <is>
          <t>2010</t>
        </is>
      </c>
      <c r="F6" s="243" t="inlineStr">
        <is>
          <t>0..1,0 МРа 0..120 °С</t>
        </is>
      </c>
      <c r="G6" s="276" t="inlineStr">
        <is>
          <t>2.5</t>
        </is>
      </c>
      <c r="H6" s="243" t="inlineStr">
        <is>
          <t>Р и Т воды в Т1 П1</t>
        </is>
      </c>
      <c r="I6" s="243" t="inlineStr">
        <is>
          <t>ПЭБ Венткамера П1, П6</t>
        </is>
      </c>
      <c r="J6" s="243" t="inlineStr">
        <is>
          <t>АСУ,А и ТМ (КЦ № 6)</t>
        </is>
      </c>
      <c r="K6" s="243" t="inlineStr">
        <is>
          <t>2012</t>
        </is>
      </c>
      <c r="L6" s="243" t="inlineStr">
        <is>
          <t>24</t>
        </is>
      </c>
      <c r="M6" s="246" t="inlineStr">
        <is>
          <t>4К25</t>
        </is>
      </c>
      <c r="N6" s="245" t="inlineStr">
        <is>
          <t>К</t>
        </is>
      </c>
    </row>
    <row r="7" ht="22.5" customHeight="1" s="236">
      <c r="A7" s="243" t="n">
        <v>6</v>
      </c>
      <c r="B7" s="244" t="inlineStr">
        <is>
          <t>Термоманометр технический</t>
        </is>
      </c>
      <c r="C7" s="248" t="inlineStr">
        <is>
          <t>ТМТБ - 3</t>
        </is>
      </c>
      <c r="D7" s="307" t="inlineStr">
        <is>
          <t>15627</t>
        </is>
      </c>
      <c r="E7" s="248" t="inlineStr">
        <is>
          <t>2010</t>
        </is>
      </c>
      <c r="F7" s="243" t="inlineStr">
        <is>
          <t>0..1,0 МРа 0..120 °С</t>
        </is>
      </c>
      <c r="G7" s="276" t="inlineStr">
        <is>
          <t>2.5</t>
        </is>
      </c>
      <c r="H7" s="243" t="inlineStr">
        <is>
          <t>Р и Т воды в Т2 П1</t>
        </is>
      </c>
      <c r="I7" s="243" t="inlineStr">
        <is>
          <t>ПЭБ Венткамера П1, П6</t>
        </is>
      </c>
      <c r="J7" s="243" t="inlineStr">
        <is>
          <t>АСУ,А и ТМ (КЦ № 6)</t>
        </is>
      </c>
      <c r="K7" s="243" t="inlineStr">
        <is>
          <t>2012</t>
        </is>
      </c>
      <c r="L7" s="243" t="inlineStr">
        <is>
          <t>24</t>
        </is>
      </c>
      <c r="M7" s="246" t="inlineStr">
        <is>
          <t>4К25</t>
        </is>
      </c>
      <c r="N7" s="245" t="inlineStr">
        <is>
          <t>К</t>
        </is>
      </c>
    </row>
    <row r="8" ht="22.5" customHeight="1" s="236">
      <c r="A8" s="243" t="n">
        <v>7</v>
      </c>
      <c r="B8" s="244" t="inlineStr">
        <is>
          <t>Термоманометр технический</t>
        </is>
      </c>
      <c r="C8" s="248" t="inlineStr">
        <is>
          <t>ICMA 259/91259AD10120</t>
        </is>
      </c>
      <c r="D8" s="307" t="inlineStr">
        <is>
          <t>15525</t>
        </is>
      </c>
      <c r="E8" s="248" t="inlineStr">
        <is>
          <t>2010</t>
        </is>
      </c>
      <c r="F8" s="243" t="inlineStr">
        <is>
          <t>0..10 bar 0..120 °С</t>
        </is>
      </c>
      <c r="G8" s="276" t="inlineStr">
        <is>
          <t>нет</t>
        </is>
      </c>
      <c r="H8" s="243" t="inlineStr">
        <is>
          <t>Р и Т воды в Т1 П6</t>
        </is>
      </c>
      <c r="I8" s="243" t="inlineStr">
        <is>
          <t>ПЭБ Венткамера П1, П6</t>
        </is>
      </c>
      <c r="J8" s="243" t="inlineStr">
        <is>
          <t>АСУ,А и ТМ (КЦ № 6)</t>
        </is>
      </c>
      <c r="K8" s="243" t="inlineStr">
        <is>
          <t>2012</t>
        </is>
      </c>
      <c r="L8" s="243" t="inlineStr">
        <is>
          <t>24</t>
        </is>
      </c>
      <c r="M8" s="246" t="inlineStr">
        <is>
          <t>4К25</t>
        </is>
      </c>
      <c r="N8" s="245" t="inlineStr">
        <is>
          <t>К</t>
        </is>
      </c>
    </row>
    <row r="9" ht="22.5" customHeight="1" s="236">
      <c r="A9" s="243" t="n">
        <v>8</v>
      </c>
      <c r="B9" s="244" t="inlineStr">
        <is>
          <t>Термоманометр технический</t>
        </is>
      </c>
      <c r="C9" s="248" t="inlineStr">
        <is>
          <t>ICMA 259/91259AD10120</t>
        </is>
      </c>
      <c r="D9" s="307" t="inlineStr">
        <is>
          <t>15526</t>
        </is>
      </c>
      <c r="E9" s="248" t="inlineStr">
        <is>
          <t>2010</t>
        </is>
      </c>
      <c r="F9" s="243" t="inlineStr">
        <is>
          <t>0..16 bar 0..120 °С</t>
        </is>
      </c>
      <c r="G9" s="276" t="inlineStr">
        <is>
          <t>нет</t>
        </is>
      </c>
      <c r="H9" s="243" t="inlineStr">
        <is>
          <t>Р и Т воды в Т2 П6</t>
        </is>
      </c>
      <c r="I9" s="243" t="inlineStr">
        <is>
          <t>ПЭБ Венткамера П1, П6</t>
        </is>
      </c>
      <c r="J9" s="243" t="inlineStr">
        <is>
          <t>АСУ,А и ТМ (КЦ № 6)</t>
        </is>
      </c>
      <c r="K9" s="243" t="inlineStr">
        <is>
          <t>2012</t>
        </is>
      </c>
      <c r="L9" s="243" t="inlineStr">
        <is>
          <t>24</t>
        </is>
      </c>
      <c r="M9" s="246" t="inlineStr">
        <is>
          <t>4К25</t>
        </is>
      </c>
      <c r="N9" s="245" t="inlineStr">
        <is>
          <t>К</t>
        </is>
      </c>
    </row>
    <row r="10" ht="22.5" customHeight="1" s="236">
      <c r="A10" s="243" t="n">
        <v>9</v>
      </c>
      <c r="B10" s="244" t="inlineStr">
        <is>
          <t>Термоманометр технический</t>
        </is>
      </c>
      <c r="C10" s="248" t="inlineStr">
        <is>
          <t>ТМТБ - 3</t>
        </is>
      </c>
      <c r="D10" s="307" t="inlineStr">
        <is>
          <t>15618</t>
        </is>
      </c>
      <c r="E10" s="248" t="inlineStr">
        <is>
          <t>2010</t>
        </is>
      </c>
      <c r="F10" s="243" t="inlineStr">
        <is>
          <t>0..1,0 МРа 0..120 °С</t>
        </is>
      </c>
      <c r="G10" s="276" t="inlineStr">
        <is>
          <t>2.5</t>
        </is>
      </c>
      <c r="H10" s="243" t="inlineStr">
        <is>
          <t>Р воды в Т2 П2</t>
        </is>
      </c>
      <c r="I10" s="243" t="inlineStr">
        <is>
          <t>ПЭБ, венткамера П2, П5</t>
        </is>
      </c>
      <c r="J10" s="243" t="inlineStr">
        <is>
          <t>АСУ,А и ТМ (КЦ № 6)</t>
        </is>
      </c>
      <c r="K10" s="243" t="inlineStr">
        <is>
          <t>2012</t>
        </is>
      </c>
      <c r="L10" s="243" t="inlineStr">
        <is>
          <t>24</t>
        </is>
      </c>
      <c r="M10" s="246" t="inlineStr">
        <is>
          <t>4К25</t>
        </is>
      </c>
      <c r="N10" s="245" t="inlineStr">
        <is>
          <t>К</t>
        </is>
      </c>
    </row>
    <row r="11" ht="22.5" customHeight="1" s="236">
      <c r="A11" s="243" t="n">
        <v>10</v>
      </c>
      <c r="B11" s="244" t="inlineStr">
        <is>
          <t>Термоманометр технический</t>
        </is>
      </c>
      <c r="C11" s="248" t="inlineStr">
        <is>
          <t>ТМТБ - 3</t>
        </is>
      </c>
      <c r="D11" s="307" t="inlineStr">
        <is>
          <t>15623</t>
        </is>
      </c>
      <c r="E11" s="248" t="inlineStr">
        <is>
          <t>2010</t>
        </is>
      </c>
      <c r="F11" s="243" t="inlineStr">
        <is>
          <t>0..1,0 МРа 0..120 °С</t>
        </is>
      </c>
      <c r="G11" s="276" t="inlineStr">
        <is>
          <t>2.5</t>
        </is>
      </c>
      <c r="H11" s="243" t="inlineStr">
        <is>
          <t>Р воды в Т1 П2</t>
        </is>
      </c>
      <c r="I11" s="243" t="inlineStr">
        <is>
          <t>ПЭБ, венткамера П2, П5</t>
        </is>
      </c>
      <c r="J11" s="243" t="inlineStr">
        <is>
          <t>АСУ,А и ТМ (КЦ № 6)</t>
        </is>
      </c>
      <c r="K11" s="243" t="inlineStr">
        <is>
          <t>2012</t>
        </is>
      </c>
      <c r="L11" s="243" t="inlineStr">
        <is>
          <t>24</t>
        </is>
      </c>
      <c r="M11" s="246" t="inlineStr">
        <is>
          <t>4К25</t>
        </is>
      </c>
      <c r="N11" s="245" t="inlineStr">
        <is>
          <t>К</t>
        </is>
      </c>
    </row>
    <row r="12" ht="22.5" customHeight="1" s="236">
      <c r="A12" s="243" t="n">
        <v>11</v>
      </c>
      <c r="B12" s="244" t="inlineStr">
        <is>
          <t>Термоманометр технический</t>
        </is>
      </c>
      <c r="C12" s="248" t="inlineStr">
        <is>
          <t>ТМТБ - 3</t>
        </is>
      </c>
      <c r="D12" s="307" t="inlineStr">
        <is>
          <t>15626</t>
        </is>
      </c>
      <c r="E12" s="248" t="inlineStr">
        <is>
          <t>2010</t>
        </is>
      </c>
      <c r="F12" s="243" t="inlineStr">
        <is>
          <t>0..1,0 МРа 0..120 °С</t>
        </is>
      </c>
      <c r="G12" s="276" t="inlineStr">
        <is>
          <t>2.5</t>
        </is>
      </c>
      <c r="H12" s="243" t="inlineStr">
        <is>
          <t>Р воды в Т2 П5</t>
        </is>
      </c>
      <c r="I12" s="243" t="inlineStr">
        <is>
          <t>ПЭБ, венткамера П2, П5</t>
        </is>
      </c>
      <c r="J12" s="243" t="inlineStr">
        <is>
          <t>АСУ,А и ТМ (КЦ № 6)</t>
        </is>
      </c>
      <c r="K12" s="243" t="inlineStr">
        <is>
          <t>2012</t>
        </is>
      </c>
      <c r="L12" s="243" t="inlineStr">
        <is>
          <t>24</t>
        </is>
      </c>
      <c r="M12" s="246" t="inlineStr">
        <is>
          <t>4К25</t>
        </is>
      </c>
      <c r="N12" s="245" t="inlineStr">
        <is>
          <t>К</t>
        </is>
      </c>
    </row>
    <row r="13" ht="22.5" customHeight="1" s="236">
      <c r="A13" s="243" t="n">
        <v>12</v>
      </c>
      <c r="B13" s="244" t="inlineStr">
        <is>
          <t>Термоманометр технический</t>
        </is>
      </c>
      <c r="C13" s="248" t="inlineStr">
        <is>
          <t>ТМТБ - 3</t>
        </is>
      </c>
      <c r="D13" s="307" t="inlineStr">
        <is>
          <t>15619</t>
        </is>
      </c>
      <c r="E13" s="248" t="inlineStr">
        <is>
          <t>2010</t>
        </is>
      </c>
      <c r="F13" s="243" t="inlineStr">
        <is>
          <t>0..1,0 МРа 0..120 °С</t>
        </is>
      </c>
      <c r="G13" s="276" t="inlineStr">
        <is>
          <t>2.5</t>
        </is>
      </c>
      <c r="H13" s="243" t="inlineStr">
        <is>
          <t>Р воды в Т1 П5</t>
        </is>
      </c>
      <c r="I13" s="243" t="inlineStr">
        <is>
          <t>ПЭБ, венткамера П2, П5</t>
        </is>
      </c>
      <c r="J13" s="243" t="inlineStr">
        <is>
          <t>АСУ,А и ТМ (КЦ № 6)</t>
        </is>
      </c>
      <c r="K13" s="243" t="inlineStr">
        <is>
          <t>2012</t>
        </is>
      </c>
      <c r="L13" s="243" t="inlineStr">
        <is>
          <t>24</t>
        </is>
      </c>
      <c r="M13" s="246" t="inlineStr">
        <is>
          <t>4К25</t>
        </is>
      </c>
      <c r="N13" s="245" t="inlineStr">
        <is>
          <t>К</t>
        </is>
      </c>
    </row>
    <row r="14" ht="22.5" customHeight="1" s="236">
      <c r="A14" s="243" t="n">
        <v>13</v>
      </c>
      <c r="B14" s="248" t="inlineStr">
        <is>
          <t>Термоманометр технический</t>
        </is>
      </c>
      <c r="C14" s="244" t="inlineStr">
        <is>
          <t>М.8-ТМ</t>
        </is>
      </c>
      <c r="D14" s="307" t="inlineStr">
        <is>
          <t>15494</t>
        </is>
      </c>
      <c r="E14" s="248" t="inlineStr">
        <is>
          <t>2010</t>
        </is>
      </c>
      <c r="F14" s="243" t="inlineStr">
        <is>
          <t>0..16 bar 0..150 °С</t>
        </is>
      </c>
      <c r="G14" s="276" t="inlineStr">
        <is>
          <t>2.5</t>
        </is>
      </c>
      <c r="H14" s="243" t="inlineStr">
        <is>
          <t>Р и Т воды в Т2 П1</t>
        </is>
      </c>
      <c r="I14" s="243" t="inlineStr">
        <is>
          <t>РММ, венткамера П1, В1</t>
        </is>
      </c>
      <c r="J14" s="243" t="inlineStr">
        <is>
          <t>АСУ,А и ТМ (КЦ № 6)</t>
        </is>
      </c>
      <c r="K14" s="243" t="inlineStr">
        <is>
          <t>2012</t>
        </is>
      </c>
      <c r="L14" s="243" t="inlineStr">
        <is>
          <t>24</t>
        </is>
      </c>
      <c r="M14" s="246" t="inlineStr">
        <is>
          <t>4К25</t>
        </is>
      </c>
      <c r="N14" s="245" t="inlineStr">
        <is>
          <t>К</t>
        </is>
      </c>
    </row>
    <row r="15" ht="22.5" customHeight="1" s="236">
      <c r="A15" s="243" t="n">
        <v>14</v>
      </c>
      <c r="B15" s="248" t="inlineStr">
        <is>
          <t>Термоманометр технический</t>
        </is>
      </c>
      <c r="C15" s="244" t="inlineStr">
        <is>
          <t>М.8-ТМ</t>
        </is>
      </c>
      <c r="D15" s="307" t="inlineStr">
        <is>
          <t>15493</t>
        </is>
      </c>
      <c r="E15" s="248" t="inlineStr">
        <is>
          <t>2010</t>
        </is>
      </c>
      <c r="F15" s="243" t="inlineStr">
        <is>
          <t>0..16 bar 0..150 °С</t>
        </is>
      </c>
      <c r="G15" s="276" t="inlineStr">
        <is>
          <t>2.5</t>
        </is>
      </c>
      <c r="H15" s="243" t="inlineStr">
        <is>
          <t>Р и Т воды в Т1 П1</t>
        </is>
      </c>
      <c r="I15" s="243" t="inlineStr">
        <is>
          <t>РММ, венткамера П1, В1</t>
        </is>
      </c>
      <c r="J15" s="243" t="inlineStr">
        <is>
          <t>АСУ,А и ТМ (КЦ № 6)</t>
        </is>
      </c>
      <c r="K15" s="243" t="inlineStr">
        <is>
          <t>2012</t>
        </is>
      </c>
      <c r="L15" s="243" t="inlineStr">
        <is>
          <t>24</t>
        </is>
      </c>
      <c r="M15" s="246" t="inlineStr">
        <is>
          <t>4К25</t>
        </is>
      </c>
      <c r="N15" s="245" t="inlineStr">
        <is>
          <t>К</t>
        </is>
      </c>
    </row>
    <row r="16" ht="22.5" customHeight="1" s="236">
      <c r="A16" s="243" t="n">
        <v>15</v>
      </c>
      <c r="B16" s="248" t="inlineStr">
        <is>
          <t>Термоманометр технический</t>
        </is>
      </c>
      <c r="C16" s="248" t="inlineStr">
        <is>
          <t>ТМТБ - 3</t>
        </is>
      </c>
      <c r="D16" s="307" t="inlineStr">
        <is>
          <t>15620</t>
        </is>
      </c>
      <c r="E16" s="248" t="inlineStr">
        <is>
          <t>2010</t>
        </is>
      </c>
      <c r="F16" s="243" t="inlineStr">
        <is>
          <t>0..1,0 МРа 0..120 °С</t>
        </is>
      </c>
      <c r="G16" s="276" t="inlineStr">
        <is>
          <t>2.5</t>
        </is>
      </c>
      <c r="H16" s="243" t="inlineStr">
        <is>
          <t>Р и Т воды в Т1 П2</t>
        </is>
      </c>
      <c r="I16" s="243" t="inlineStr">
        <is>
          <t>РММ, венткамера П2, В2</t>
        </is>
      </c>
      <c r="J16" s="243" t="inlineStr">
        <is>
          <t>АСУ,А и ТМ (КЦ № 6)</t>
        </is>
      </c>
      <c r="K16" s="243" t="inlineStr">
        <is>
          <t>2012</t>
        </is>
      </c>
      <c r="L16" s="243" t="inlineStr">
        <is>
          <t>24</t>
        </is>
      </c>
      <c r="M16" s="246" t="inlineStr">
        <is>
          <t>4К25</t>
        </is>
      </c>
      <c r="N16" s="245" t="inlineStr">
        <is>
          <t>К</t>
        </is>
      </c>
    </row>
    <row r="17" ht="22.5" customHeight="1" s="236">
      <c r="A17" s="239">
        <f>IF(B17&lt;&gt;"", COUNTA($B$2:B17), "")</f>
        <v/>
      </c>
      <c r="B17" s="239" t="inlineStr">
        <is>
          <t>Термоманометр технический</t>
        </is>
      </c>
      <c r="C17" s="251" t="inlineStr">
        <is>
          <t>ЗАГЛУШКА</t>
        </is>
      </c>
      <c r="D17" s="301" t="n"/>
      <c r="E17" s="251" t="n">
        <v>2010</v>
      </c>
      <c r="F17" s="239" t="inlineStr">
        <is>
          <t>0..16 bar                      0..150 °С</t>
        </is>
      </c>
      <c r="G17" s="275" t="n"/>
      <c r="H17" s="239" t="inlineStr">
        <is>
          <t>Р и Т воды в Т2 П2</t>
        </is>
      </c>
      <c r="I17" s="239" t="inlineStr">
        <is>
          <t>РММ, венткамера П2, В2</t>
        </is>
      </c>
      <c r="J17" s="239" t="inlineStr">
        <is>
          <t>АСУ,А и ТМ (КЦ № 6)</t>
        </is>
      </c>
      <c r="K17" s="239" t="n">
        <v>2012</v>
      </c>
      <c r="L17" s="239" t="n">
        <v>24</v>
      </c>
      <c r="M17" s="240" t="n"/>
      <c r="N17" s="242" t="inlineStr">
        <is>
          <t>К</t>
        </is>
      </c>
    </row>
    <row r="18" ht="22.5" customHeight="1" s="236">
      <c r="A18" s="243" t="n">
        <v>17</v>
      </c>
      <c r="B18" s="305" t="inlineStr">
        <is>
          <t>Термоманометр технический</t>
        </is>
      </c>
      <c r="C18" s="248" t="inlineStr">
        <is>
          <t>М.8-ТМ</t>
        </is>
      </c>
      <c r="D18" s="302" t="inlineStr">
        <is>
          <t>213123</t>
        </is>
      </c>
      <c r="E18" s="248" t="inlineStr">
        <is>
          <t>2010</t>
        </is>
      </c>
      <c r="F18" s="243" t="inlineStr">
        <is>
          <t>0..16 bar 0..150 °С</t>
        </is>
      </c>
      <c r="G18" s="276" t="inlineStr">
        <is>
          <t>2.5</t>
        </is>
      </c>
      <c r="H18" s="243" t="inlineStr">
        <is>
          <t>Р и Т воды в Т1 П2</t>
        </is>
      </c>
      <c r="I18" s="243" t="inlineStr">
        <is>
          <t>Проходная, венткамера П2</t>
        </is>
      </c>
      <c r="J18" s="243" t="inlineStr">
        <is>
          <t>АСУ,А и ТМ (КЦ № 6)</t>
        </is>
      </c>
      <c r="K18" s="243" t="inlineStr">
        <is>
          <t>2012</t>
        </is>
      </c>
      <c r="L18" s="243" t="inlineStr">
        <is>
          <t>24</t>
        </is>
      </c>
      <c r="M18" s="246" t="inlineStr">
        <is>
          <t>4К25</t>
        </is>
      </c>
      <c r="N18" s="245" t="inlineStr">
        <is>
          <t>К</t>
        </is>
      </c>
    </row>
    <row r="19" ht="22.5" customHeight="1" s="236">
      <c r="A19" s="243" t="n">
        <v>18</v>
      </c>
      <c r="B19" s="305" t="inlineStr">
        <is>
          <t>Термоманометр технический</t>
        </is>
      </c>
      <c r="C19" s="248" t="inlineStr">
        <is>
          <t>ТМТБ - 3</t>
        </is>
      </c>
      <c r="D19" s="302" t="inlineStr">
        <is>
          <t>15622</t>
        </is>
      </c>
      <c r="E19" s="248" t="inlineStr">
        <is>
          <t>2010</t>
        </is>
      </c>
      <c r="F19" s="243" t="inlineStr">
        <is>
          <t>0..1,0 МРа 0..120 °С</t>
        </is>
      </c>
      <c r="G19" s="276" t="inlineStr">
        <is>
          <t>2.5</t>
        </is>
      </c>
      <c r="H19" s="243" t="inlineStr">
        <is>
          <t>Р и Т воды в Т2 П2</t>
        </is>
      </c>
      <c r="I19" s="243" t="inlineStr">
        <is>
          <t>Проходная, венткамера П2</t>
        </is>
      </c>
      <c r="J19" s="243" t="inlineStr">
        <is>
          <t>АСУ,А и ТМ (КЦ № 6)</t>
        </is>
      </c>
      <c r="K19" s="243" t="inlineStr">
        <is>
          <t>2012</t>
        </is>
      </c>
      <c r="L19" s="243" t="inlineStr">
        <is>
          <t>24</t>
        </is>
      </c>
      <c r="M19" s="246" t="inlineStr">
        <is>
          <t>4К25</t>
        </is>
      </c>
      <c r="N19" s="245" t="inlineStr">
        <is>
          <t>К</t>
        </is>
      </c>
    </row>
    <row r="20" ht="22.5" customHeight="1" s="236">
      <c r="A20" s="239">
        <f>IF(B20&lt;&gt;"", COUNTA($B$2:B20), "")</f>
        <v/>
      </c>
      <c r="B20" s="241" t="inlineStr">
        <is>
          <t>Термоманометр технический</t>
        </is>
      </c>
      <c r="C20" s="239" t="inlineStr">
        <is>
          <t>ЗАГЛУШКА</t>
        </is>
      </c>
      <c r="D20" s="240" t="n"/>
      <c r="E20" s="242" t="n">
        <v>2010</v>
      </c>
      <c r="F20" s="239" t="inlineStr">
        <is>
          <t>0..1,0 МРа                      0..120 °С</t>
        </is>
      </c>
      <c r="G20" s="239" t="n">
        <v>2.5</v>
      </c>
      <c r="H20" s="239" t="inlineStr">
        <is>
          <t>Р и Т воды в Т1 П1</t>
        </is>
      </c>
      <c r="I20" s="240" t="inlineStr">
        <is>
          <t>Проходная, венткамера П1</t>
        </is>
      </c>
      <c r="J20" s="239" t="inlineStr">
        <is>
          <t>АСУ,А и ТМ (КЦ № 6)</t>
        </is>
      </c>
      <c r="K20" s="239" t="n">
        <v>2012</v>
      </c>
      <c r="L20" s="239" t="n">
        <v>24</v>
      </c>
      <c r="M20" s="240" t="n"/>
      <c r="N20" s="242" t="inlineStr">
        <is>
          <t>К</t>
        </is>
      </c>
    </row>
    <row r="21" ht="22.5" customHeight="1" s="236">
      <c r="A21" s="243" t="n">
        <v>20</v>
      </c>
      <c r="B21" s="244" t="inlineStr">
        <is>
          <t>Термоманометр технический</t>
        </is>
      </c>
      <c r="C21" s="243" t="inlineStr">
        <is>
          <t>ТМТБ - 3</t>
        </is>
      </c>
      <c r="D21" s="246" t="inlineStr">
        <is>
          <t>15621</t>
        </is>
      </c>
      <c r="E21" s="245" t="inlineStr">
        <is>
          <t>2010</t>
        </is>
      </c>
      <c r="F21" s="243" t="inlineStr">
        <is>
          <t>0..1,0 МРа 0..120 °С</t>
        </is>
      </c>
      <c r="G21" s="243" t="inlineStr">
        <is>
          <t>2.5</t>
        </is>
      </c>
      <c r="H21" s="243" t="inlineStr">
        <is>
          <t>Р и Т воды вТ2 П1</t>
        </is>
      </c>
      <c r="I21" s="246" t="inlineStr">
        <is>
          <t>Проходная, венткамера П1</t>
        </is>
      </c>
      <c r="J21" s="243" t="inlineStr">
        <is>
          <t>АСУ,А и ТМ (КЦ № 6)</t>
        </is>
      </c>
      <c r="K21" s="243" t="inlineStr">
        <is>
          <t>2012</t>
        </is>
      </c>
      <c r="L21" s="243" t="inlineStr">
        <is>
          <t>24</t>
        </is>
      </c>
      <c r="M21" s="246" t="inlineStr">
        <is>
          <t>4К25</t>
        </is>
      </c>
      <c r="N21" s="245" t="inlineStr">
        <is>
          <t>К</t>
        </is>
      </c>
    </row>
    <row r="22" ht="15" customHeight="1" s="236">
      <c r="A22" s="258" t="n"/>
      <c r="B22" s="259" t="n"/>
      <c r="C22" s="258" t="n"/>
      <c r="D22" s="308" t="n"/>
      <c r="E22" s="260" t="n"/>
      <c r="F22" s="258" t="n"/>
      <c r="G22" s="258" t="n"/>
      <c r="H22" s="258" t="n"/>
      <c r="I22" s="263" t="n"/>
      <c r="J22" s="258" t="n"/>
      <c r="K22" s="258" t="n"/>
      <c r="L22" s="258" t="n"/>
      <c r="M22" s="263" t="n"/>
      <c r="N22" s="260" t="n"/>
    </row>
    <row r="23">
      <c r="A23" s="267" t="n">
        <v>16</v>
      </c>
      <c r="B23" s="264" t="inlineStr">
        <is>
          <t>Термоманометр технический</t>
        </is>
      </c>
      <c r="C23" s="267" t="inlineStr">
        <is>
          <t>ЗАГЛУШКА</t>
        </is>
      </c>
      <c r="D23" s="309" t="inlineStr"/>
      <c r="E23" s="265" t="inlineStr">
        <is>
          <t>2010</t>
        </is>
      </c>
      <c r="F23" s="267" t="inlineStr">
        <is>
          <t>0..16 bar 0..150 °С</t>
        </is>
      </c>
      <c r="G23" s="267" t="inlineStr"/>
      <c r="H23" s="267" t="inlineStr">
        <is>
          <t>Р и Т воды в Т2 П2</t>
        </is>
      </c>
      <c r="I23" s="268" t="inlineStr">
        <is>
          <t>РММ, венткамера П2, В2</t>
        </is>
      </c>
      <c r="J23" s="267" t="inlineStr">
        <is>
          <t>АСУ,А и ТМ (КЦ № 6)</t>
        </is>
      </c>
      <c r="K23" s="267" t="inlineStr">
        <is>
          <t>2012</t>
        </is>
      </c>
      <c r="L23" s="267" t="inlineStr">
        <is>
          <t>24</t>
        </is>
      </c>
      <c r="M23" s="268" t="inlineStr"/>
      <c r="N23" s="265" t="inlineStr">
        <is>
          <t>К</t>
        </is>
      </c>
    </row>
    <row r="24">
      <c r="A24" s="267" t="n">
        <v>19</v>
      </c>
      <c r="B24" s="264" t="inlineStr">
        <is>
          <t>Термоманометр технический</t>
        </is>
      </c>
      <c r="C24" s="267" t="inlineStr">
        <is>
          <t>ЗАГЛУШКА</t>
        </is>
      </c>
      <c r="D24" s="309" t="inlineStr"/>
      <c r="E24" s="265" t="inlineStr">
        <is>
          <t>2010</t>
        </is>
      </c>
      <c r="F24" s="267" t="inlineStr">
        <is>
          <t>0..1,0 МРа 0..120 °С</t>
        </is>
      </c>
      <c r="G24" s="267" t="inlineStr">
        <is>
          <t>2.5</t>
        </is>
      </c>
      <c r="H24" s="267" t="inlineStr">
        <is>
          <t>Р и Т воды в Т1 П1</t>
        </is>
      </c>
      <c r="I24" s="268" t="inlineStr">
        <is>
          <t>Проходная, венткамера П1</t>
        </is>
      </c>
      <c r="J24" s="267" t="inlineStr">
        <is>
          <t>АСУ,А и ТМ (КЦ № 6)</t>
        </is>
      </c>
      <c r="K24" s="267" t="inlineStr">
        <is>
          <t>2012</t>
        </is>
      </c>
      <c r="L24" s="267" t="inlineStr">
        <is>
          <t>24</t>
        </is>
      </c>
      <c r="M24" s="268" t="inlineStr"/>
      <c r="N24" s="265" t="inlineStr">
        <is>
          <t>К</t>
        </is>
      </c>
    </row>
  </sheetData>
  <conditionalFormatting sqref="M1:M1048576">
    <cfRule type="expression" rank="0" priority="2" equalAverage="0" aboveAverage="0" dxfId="1" text="" percent="0" bottom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orizontalCentered="0" verticalCentered="0" headings="0" gridLines="0" gridLinesSet="1"/>
  <pageMargins left="0.7" right="0.7" top="0.75" bottom="0.75" header="0.511805555555555" footer="0.511805555555555"/>
  <pageSetup orientation="portrait" paperSize="1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N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14" activeCellId="0" sqref="H14"/>
    </sheetView>
  </sheetViews>
  <sheetFormatPr baseColWidth="8" defaultColWidth="9.15625" defaultRowHeight="15" zeroHeight="0" outlineLevelRow="0"/>
  <cols>
    <col width="3.14" customWidth="1" style="235" min="1" max="1"/>
    <col width="17.58" customWidth="1" style="235" min="2" max="2"/>
    <col width="14.86" customWidth="1" style="235" min="3" max="3"/>
    <col width="9.289999999999999" customWidth="1" style="235" min="4" max="4"/>
    <col width="6.57" customWidth="1" style="235" min="5" max="5"/>
    <col width="9.140000000000001" customWidth="1" style="235" min="6" max="7"/>
    <col width="13.7" customWidth="1" style="235" min="8" max="8"/>
    <col width="20.57" customWidth="1" style="235" min="9" max="9"/>
    <col width="17.42" customWidth="1" style="235" min="10" max="10"/>
    <col width="8" customWidth="1" style="235" min="11" max="11"/>
    <col width="12.57" customWidth="1" style="235" min="12" max="12"/>
    <col width="8.859999999999999" customWidth="1" style="235" min="13" max="13"/>
    <col width="9" customWidth="1" style="235" min="14" max="14"/>
    <col width="9.140000000000001" customWidth="1" style="235" min="15" max="1024"/>
  </cols>
  <sheetData>
    <row r="1" ht="45" customHeight="1" s="236">
      <c r="A1" s="239" t="inlineStr">
        <is>
          <t>№ п/п</t>
        </is>
      </c>
      <c r="B1" s="239" t="inlineStr">
        <is>
          <t>Наименование</t>
        </is>
      </c>
      <c r="C1" s="239" t="inlineStr">
        <is>
          <t>Тип</t>
        </is>
      </c>
      <c r="D1" s="239" t="inlineStr">
        <is>
          <t>Заводской 
номер</t>
        </is>
      </c>
      <c r="E1" s="240" t="inlineStr">
        <is>
          <t>Год 
выпуска</t>
        </is>
      </c>
      <c r="F1" s="239" t="inlineStr">
        <is>
          <t>Диапазон измерений</t>
        </is>
      </c>
      <c r="G1" s="239" t="inlineStr">
        <is>
          <t>Класс точности</t>
        </is>
      </c>
      <c r="H1" s="239" t="inlineStr">
        <is>
          <t>Место установки СИ</t>
        </is>
      </c>
      <c r="I1" s="239" t="inlineStr">
        <is>
          <t>Объект установки</t>
        </is>
      </c>
      <c r="J1" s="239" t="inlineStr">
        <is>
          <t>Подразделение</t>
        </is>
      </c>
      <c r="K1" s="239" t="inlineStr">
        <is>
          <t>Дата установки</t>
        </is>
      </c>
      <c r="L1" s="239" t="inlineStr">
        <is>
          <t>Межповерочный интервал, мес.</t>
        </is>
      </c>
      <c r="M1" s="240" t="inlineStr">
        <is>
          <t>Дата последней поверки / калибровки</t>
        </is>
      </c>
      <c r="N1" s="239" t="inlineStr">
        <is>
          <t>Поверка (П)/ Калибровка (К)</t>
        </is>
      </c>
    </row>
    <row r="2" ht="15" customFormat="1" customHeight="1" s="310">
      <c r="A2" s="311" t="n">
        <v>1</v>
      </c>
      <c r="B2" s="312" t="inlineStr">
        <is>
          <t>Манометр технический</t>
        </is>
      </c>
      <c r="C2" s="311" t="inlineStr">
        <is>
          <t>ДМ 8008-ВУ-У2</t>
        </is>
      </c>
      <c r="D2" s="313" t="inlineStr">
        <is>
          <t>15673</t>
        </is>
      </c>
      <c r="E2" s="314" t="inlineStr">
        <is>
          <t>2018</t>
        </is>
      </c>
      <c r="F2" s="311" t="inlineStr">
        <is>
          <t>0..6 кгс/см2</t>
        </is>
      </c>
      <c r="G2" s="311" t="inlineStr">
        <is>
          <t>1.5</t>
        </is>
      </c>
      <c r="H2" s="311" t="inlineStr">
        <is>
          <t>Р воды в скважине</t>
        </is>
      </c>
      <c r="I2" s="311" t="inlineStr">
        <is>
          <t>Артезианская скважина № 1</t>
        </is>
      </c>
      <c r="J2" s="311" t="inlineStr">
        <is>
          <t>АСУ,А и ТМ (КЦ № 6)</t>
        </is>
      </c>
      <c r="K2" s="311" t="inlineStr">
        <is>
          <t>2019</t>
        </is>
      </c>
      <c r="L2" s="311" t="inlineStr">
        <is>
          <t>12</t>
        </is>
      </c>
      <c r="M2" s="311" t="inlineStr">
        <is>
          <t>2К26</t>
        </is>
      </c>
      <c r="N2" s="311" t="inlineStr">
        <is>
          <t>К</t>
        </is>
      </c>
    </row>
    <row r="3" ht="15" customHeight="1" s="236">
      <c r="A3" s="315" t="n">
        <v>2</v>
      </c>
      <c r="B3" s="316" t="inlineStr">
        <is>
          <t>Расходомер</t>
        </is>
      </c>
      <c r="C3" s="315" t="inlineStr">
        <is>
          <t>Взлет ЭР</t>
        </is>
      </c>
      <c r="D3" s="317" t="inlineStr">
        <is>
          <t>1207411</t>
        </is>
      </c>
      <c r="E3" s="318" t="inlineStr">
        <is>
          <t>2012</t>
        </is>
      </c>
      <c r="F3" s="315" t="inlineStr"/>
      <c r="G3" s="315" t="inlineStr">
        <is>
          <t>2</t>
        </is>
      </c>
      <c r="H3" s="315" t="inlineStr">
        <is>
          <t>Расход воды</t>
        </is>
      </c>
      <c r="I3" s="315" t="inlineStr">
        <is>
          <t>Артезианская скважина № 1</t>
        </is>
      </c>
      <c r="J3" s="315" t="inlineStr">
        <is>
          <t>АСУ, А и ТМ (КЦ №6)</t>
        </is>
      </c>
      <c r="K3" s="315" t="inlineStr">
        <is>
          <t>2012</t>
        </is>
      </c>
      <c r="L3" s="315" t="inlineStr">
        <is>
          <t>1 раз в 4 года</t>
        </is>
      </c>
      <c r="M3" s="315" t="inlineStr"/>
      <c r="N3" s="315" t="inlineStr"/>
    </row>
    <row r="4" ht="22.5" customHeight="1" s="236">
      <c r="A4" s="315" t="n">
        <v>3</v>
      </c>
      <c r="B4" s="316" t="inlineStr">
        <is>
          <t>Преобразователь избыточного давления</t>
        </is>
      </c>
      <c r="C4" s="315" t="inlineStr">
        <is>
          <t>Yokogawa EJX530A</t>
        </is>
      </c>
      <c r="D4" s="317" t="inlineStr">
        <is>
          <t>91M427409</t>
        </is>
      </c>
      <c r="E4" s="318" t="inlineStr">
        <is>
          <t>2012</t>
        </is>
      </c>
      <c r="F4" s="315" t="inlineStr">
        <is>
          <t>0,04..2 МПа</t>
        </is>
      </c>
      <c r="G4" s="315" t="inlineStr">
        <is>
          <t>0.1</t>
        </is>
      </c>
      <c r="H4" s="315" t="inlineStr">
        <is>
          <t>Давление воды на устье скважины</t>
        </is>
      </c>
      <c r="I4" s="315" t="inlineStr">
        <is>
          <t>Артезианская скважина № 1</t>
        </is>
      </c>
      <c r="J4" s="315" t="inlineStr">
        <is>
          <t>АСУ, А и ТМ (КЦ №6)</t>
        </is>
      </c>
      <c r="K4" s="315" t="inlineStr">
        <is>
          <t>2012</t>
        </is>
      </c>
      <c r="L4" s="315" t="inlineStr">
        <is>
          <t>1 раз в 5 лет</t>
        </is>
      </c>
      <c r="M4" s="315" t="inlineStr"/>
      <c r="N4" s="315" t="inlineStr"/>
    </row>
    <row r="5" ht="15" customFormat="1" customHeight="1" s="310">
      <c r="A5" s="315" t="n">
        <v>4</v>
      </c>
      <c r="B5" s="319" t="inlineStr">
        <is>
          <t>Манометр технический</t>
        </is>
      </c>
      <c r="C5" s="315" t="inlineStr">
        <is>
          <t>ДМ 8008-ВУ-У2</t>
        </is>
      </c>
      <c r="D5" s="317" t="inlineStr">
        <is>
          <t>15166</t>
        </is>
      </c>
      <c r="E5" s="318" t="inlineStr">
        <is>
          <t>2018</t>
        </is>
      </c>
      <c r="F5" s="315" t="inlineStr">
        <is>
          <t>0..6 кгс/см2</t>
        </is>
      </c>
      <c r="G5" s="315" t="inlineStr">
        <is>
          <t>1.5</t>
        </is>
      </c>
      <c r="H5" s="315" t="inlineStr">
        <is>
          <t>Р воды в скважине</t>
        </is>
      </c>
      <c r="I5" s="315" t="inlineStr">
        <is>
          <t>Артезианская скважина № 2</t>
        </is>
      </c>
      <c r="J5" s="315" t="inlineStr">
        <is>
          <t>АСУ,А и ТМ (КЦ № 6)</t>
        </is>
      </c>
      <c r="K5" s="315" t="inlineStr">
        <is>
          <t>2019</t>
        </is>
      </c>
      <c r="L5" s="315" t="inlineStr">
        <is>
          <t>12</t>
        </is>
      </c>
      <c r="M5" s="315" t="inlineStr">
        <is>
          <t>2К26</t>
        </is>
      </c>
      <c r="N5" s="315" t="inlineStr">
        <is>
          <t>К</t>
        </is>
      </c>
    </row>
    <row r="6" ht="15" customHeight="1" s="236">
      <c r="A6" s="315" t="n">
        <v>5</v>
      </c>
      <c r="B6" s="316" t="inlineStr">
        <is>
          <t>Расходомер</t>
        </is>
      </c>
      <c r="C6" s="315" t="inlineStr">
        <is>
          <t>Взлет ЭР</t>
        </is>
      </c>
      <c r="D6" s="317" t="inlineStr">
        <is>
          <t>10320261</t>
        </is>
      </c>
      <c r="E6" s="318" t="inlineStr">
        <is>
          <t>2012</t>
        </is>
      </c>
      <c r="F6" s="315" t="inlineStr"/>
      <c r="G6" s="315" t="inlineStr">
        <is>
          <t>2</t>
        </is>
      </c>
      <c r="H6" s="315" t="inlineStr">
        <is>
          <t>Расход воды</t>
        </is>
      </c>
      <c r="I6" s="315" t="inlineStr">
        <is>
          <t>Артезианская скважина № 2</t>
        </is>
      </c>
      <c r="J6" s="315" t="inlineStr">
        <is>
          <t>АСУ, А и ТМ (КЦ №6)</t>
        </is>
      </c>
      <c r="K6" s="315" t="inlineStr">
        <is>
          <t>2012</t>
        </is>
      </c>
      <c r="L6" s="315" t="inlineStr">
        <is>
          <t>1 раз в 4 года</t>
        </is>
      </c>
      <c r="M6" s="315" t="inlineStr"/>
      <c r="N6" s="315" t="inlineStr"/>
    </row>
    <row r="7" ht="22.5" customHeight="1" s="236">
      <c r="A7" s="315" t="n">
        <v>6</v>
      </c>
      <c r="B7" s="316" t="inlineStr">
        <is>
          <t>Преобразователь избыточного давления</t>
        </is>
      </c>
      <c r="C7" s="315" t="inlineStr">
        <is>
          <t>Yokogawa EJX530A</t>
        </is>
      </c>
      <c r="D7" s="317" t="inlineStr">
        <is>
          <t>91M427408</t>
        </is>
      </c>
      <c r="E7" s="318" t="inlineStr">
        <is>
          <t>2012</t>
        </is>
      </c>
      <c r="F7" s="315" t="inlineStr">
        <is>
          <t>0,04..2 МПа</t>
        </is>
      </c>
      <c r="G7" s="315" t="inlineStr">
        <is>
          <t>0.1</t>
        </is>
      </c>
      <c r="H7" s="315" t="inlineStr">
        <is>
          <t>Давление воды на устье скважины</t>
        </is>
      </c>
      <c r="I7" s="315" t="inlineStr">
        <is>
          <t>Артезианская скважина № 2</t>
        </is>
      </c>
      <c r="J7" s="315" t="inlineStr">
        <is>
          <t>АСУ, А и ТМ (КЦ №6)</t>
        </is>
      </c>
      <c r="K7" s="315" t="inlineStr">
        <is>
          <t>2012</t>
        </is>
      </c>
      <c r="L7" s="315" t="inlineStr">
        <is>
          <t>1 раз в 5 лет</t>
        </is>
      </c>
      <c r="M7" s="315" t="inlineStr"/>
      <c r="N7" s="315" t="inlineStr"/>
    </row>
    <row r="8" ht="15" customFormat="1" customHeight="1" s="310">
      <c r="A8" s="315" t="n">
        <v>7</v>
      </c>
      <c r="B8" s="319" t="inlineStr">
        <is>
          <t>Манометр технический</t>
        </is>
      </c>
      <c r="C8" s="315" t="inlineStr">
        <is>
          <t>ДМ 8008-ВУ-У2</t>
        </is>
      </c>
      <c r="D8" s="317" t="inlineStr">
        <is>
          <t>15164</t>
        </is>
      </c>
      <c r="E8" s="318" t="inlineStr">
        <is>
          <t>2018</t>
        </is>
      </c>
      <c r="F8" s="315" t="inlineStr">
        <is>
          <t>0..6 кгс/см2</t>
        </is>
      </c>
      <c r="G8" s="315" t="inlineStr">
        <is>
          <t>1.5</t>
        </is>
      </c>
      <c r="H8" s="315" t="inlineStr">
        <is>
          <t>Р воды в скважине</t>
        </is>
      </c>
      <c r="I8" s="315" t="inlineStr">
        <is>
          <t>Артезианская скважина № 3</t>
        </is>
      </c>
      <c r="J8" s="315" t="inlineStr">
        <is>
          <t>АСУ,А и ТМ (КЦ № 6)</t>
        </is>
      </c>
      <c r="K8" s="315" t="inlineStr">
        <is>
          <t>2019</t>
        </is>
      </c>
      <c r="L8" s="315" t="inlineStr">
        <is>
          <t>12</t>
        </is>
      </c>
      <c r="M8" s="315" t="inlineStr">
        <is>
          <t>2К26</t>
        </is>
      </c>
      <c r="N8" s="315" t="inlineStr">
        <is>
          <t>К</t>
        </is>
      </c>
    </row>
    <row r="9" ht="15" customHeight="1" s="236">
      <c r="A9" s="315" t="n">
        <v>8</v>
      </c>
      <c r="B9" s="316" t="inlineStr">
        <is>
          <t>Расходомер</t>
        </is>
      </c>
      <c r="C9" s="315" t="inlineStr">
        <is>
          <t>Взлет ЭР</t>
        </is>
      </c>
      <c r="D9" s="317" t="inlineStr">
        <is>
          <t>10320120</t>
        </is>
      </c>
      <c r="E9" s="318" t="inlineStr">
        <is>
          <t>2012</t>
        </is>
      </c>
      <c r="F9" s="315" t="inlineStr"/>
      <c r="G9" s="315" t="inlineStr">
        <is>
          <t>2</t>
        </is>
      </c>
      <c r="H9" s="315" t="inlineStr">
        <is>
          <t>Расход воды</t>
        </is>
      </c>
      <c r="I9" s="315" t="inlineStr">
        <is>
          <t>Артезианская скважина № 3</t>
        </is>
      </c>
      <c r="J9" s="315" t="inlineStr">
        <is>
          <t>АСУ, А и ТМ (КЦ №6)</t>
        </is>
      </c>
      <c r="K9" s="315" t="inlineStr">
        <is>
          <t>2012</t>
        </is>
      </c>
      <c r="L9" s="315" t="inlineStr">
        <is>
          <t>1 раз в 4 года</t>
        </is>
      </c>
      <c r="M9" s="315" t="inlineStr"/>
      <c r="N9" s="315" t="inlineStr"/>
    </row>
    <row r="10" ht="22.5" customHeight="1" s="236">
      <c r="A10" s="315" t="n">
        <v>9</v>
      </c>
      <c r="B10" s="316" t="inlineStr">
        <is>
          <t>Преобразователь избыточного давления</t>
        </is>
      </c>
      <c r="C10" s="315" t="inlineStr">
        <is>
          <t>Yokogawa EJX530A</t>
        </is>
      </c>
      <c r="D10" s="317" t="inlineStr">
        <is>
          <t>91M427407</t>
        </is>
      </c>
      <c r="E10" s="318" t="inlineStr">
        <is>
          <t>2012</t>
        </is>
      </c>
      <c r="F10" s="315" t="inlineStr">
        <is>
          <t>0,04..2 МПа</t>
        </is>
      </c>
      <c r="G10" s="315" t="inlineStr">
        <is>
          <t>0.1</t>
        </is>
      </c>
      <c r="H10" s="315" t="inlineStr">
        <is>
          <t>Давление воды на устье скважины</t>
        </is>
      </c>
      <c r="I10" s="315" t="inlineStr">
        <is>
          <t>Артезианская скважина № 3</t>
        </is>
      </c>
      <c r="J10" s="315" t="inlineStr">
        <is>
          <t>АСУ, А и ТМ (КЦ №6)</t>
        </is>
      </c>
      <c r="K10" s="315" t="inlineStr">
        <is>
          <t>2012</t>
        </is>
      </c>
      <c r="L10" s="315" t="inlineStr">
        <is>
          <t>1 раз в 5 лет</t>
        </is>
      </c>
      <c r="M10" s="315" t="inlineStr"/>
      <c r="N10" s="315" t="inlineStr"/>
    </row>
  </sheetData>
  <conditionalFormatting sqref="M1:M1048576">
    <cfRule type="expression" rank="0" priority="2" equalAverage="0" aboveAverage="0" dxfId="1" text="" percent="0" bottom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orizontalCentered="0" verticalCentered="0" headings="0" gridLines="0" gridLinesSet="1"/>
  <pageMargins left="0.7" right="0.7" top="0.75" bottom="0.75" header="0.511805555555555" footer="0.511805555555555"/>
  <pageSetup orientation="portrait" paperSize="1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N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M2" activeCellId="0" sqref="M2"/>
    </sheetView>
  </sheetViews>
  <sheetFormatPr baseColWidth="8" defaultColWidth="8.55078125" defaultRowHeight="15" zeroHeight="0" outlineLevelRow="0"/>
  <cols>
    <col width="3.14" customWidth="1" style="235" min="1" max="1"/>
    <col width="10.99" customWidth="1" style="235" min="2" max="2"/>
    <col width="5.28" customWidth="1" style="235" min="3" max="3"/>
    <col width="8" customWidth="1" style="235" min="4" max="4"/>
    <col width="6.57" customWidth="1" style="235" min="5" max="5"/>
    <col width="9.140000000000001" customWidth="1" style="235" min="6" max="6"/>
    <col width="7.42" customWidth="1" style="235" min="7" max="7"/>
    <col width="8" customWidth="1" style="235" min="8" max="8"/>
    <col width="9.42" customWidth="1" style="235" min="9" max="9"/>
    <col width="17.42" customWidth="1" style="235" min="10" max="10"/>
    <col width="8" customWidth="1" style="235" min="11" max="11"/>
    <col width="9" customWidth="1" style="235" min="12" max="12"/>
    <col width="8.859999999999999" customWidth="1" style="235" min="13" max="13"/>
    <col width="9" customWidth="1" style="235" min="14" max="14"/>
  </cols>
  <sheetData>
    <row r="1" ht="45" customHeight="1" s="236">
      <c r="A1" s="239" t="inlineStr">
        <is>
          <t>№ п/п</t>
        </is>
      </c>
      <c r="B1" s="239" t="inlineStr">
        <is>
          <t>Наименование</t>
        </is>
      </c>
      <c r="C1" s="239" t="inlineStr">
        <is>
          <t>Тип</t>
        </is>
      </c>
      <c r="D1" s="239" t="inlineStr">
        <is>
          <t>Заводской номер</t>
        </is>
      </c>
      <c r="E1" s="240" t="inlineStr">
        <is>
          <t>Год выпуска</t>
        </is>
      </c>
      <c r="F1" s="239" t="inlineStr">
        <is>
          <t>Диапазон измерений</t>
        </is>
      </c>
      <c r="G1" s="239" t="inlineStr">
        <is>
          <t>Класс точности</t>
        </is>
      </c>
      <c r="H1" s="239" t="inlineStr">
        <is>
          <t>Место установки СИ</t>
        </is>
      </c>
      <c r="I1" s="239" t="inlineStr">
        <is>
          <t>Объект установки</t>
        </is>
      </c>
      <c r="J1" s="239" t="inlineStr">
        <is>
          <t>Подразделение</t>
        </is>
      </c>
      <c r="K1" s="239" t="inlineStr">
        <is>
          <t>Дата установки</t>
        </is>
      </c>
      <c r="L1" s="239" t="inlineStr">
        <is>
          <t>Межповерочный интервал, мес.</t>
        </is>
      </c>
      <c r="M1" s="240" t="inlineStr">
        <is>
          <t>Дата последней поверки / калибровки</t>
        </is>
      </c>
      <c r="N1" s="239" t="inlineStr">
        <is>
          <t>Поверка (П)/ Калибровка (К)</t>
        </is>
      </c>
    </row>
    <row r="2" ht="15" customHeight="1" s="236">
      <c r="A2" s="239" t="n">
        <v>1</v>
      </c>
      <c r="B2" s="239" t="inlineStr">
        <is>
          <t>Мультиметр</t>
        </is>
      </c>
      <c r="C2" s="239" t="inlineStr">
        <is>
          <t>APPA</t>
        </is>
      </c>
      <c r="D2" s="240" t="inlineStr">
        <is>
          <t>13151531</t>
        </is>
      </c>
      <c r="E2" s="239" t="inlineStr">
        <is>
          <t>2009</t>
        </is>
      </c>
      <c r="F2" s="239" t="inlineStr">
        <is>
          <t>1000В 10А</t>
        </is>
      </c>
      <c r="G2" s="239" t="inlineStr">
        <is>
          <t>0.25</t>
        </is>
      </c>
      <c r="H2" s="240" t="inlineStr"/>
      <c r="I2" s="239" t="inlineStr">
        <is>
          <t>Переносной</t>
        </is>
      </c>
      <c r="J2" s="239" t="inlineStr">
        <is>
          <t>АСУ,А и ТМ (КЦ № 6)</t>
        </is>
      </c>
      <c r="K2" s="239" t="inlineStr">
        <is>
          <t>2008</t>
        </is>
      </c>
      <c r="L2" s="239" t="inlineStr">
        <is>
          <t>12</t>
        </is>
      </c>
      <c r="M2" s="240" t="inlineStr"/>
      <c r="N2" s="242" t="inlineStr"/>
    </row>
    <row r="3" ht="15" customHeight="1" s="236">
      <c r="A3" s="243" t="n">
        <v>2</v>
      </c>
      <c r="B3" s="243" t="inlineStr">
        <is>
          <t>Мультиметр</t>
        </is>
      </c>
      <c r="C3" s="243" t="inlineStr">
        <is>
          <t>APPA</t>
        </is>
      </c>
      <c r="D3" s="246" t="inlineStr">
        <is>
          <t>22354888</t>
        </is>
      </c>
      <c r="E3" s="243" t="inlineStr">
        <is>
          <t>2009</t>
        </is>
      </c>
      <c r="F3" s="243" t="inlineStr">
        <is>
          <t>1000В 10А</t>
        </is>
      </c>
      <c r="G3" s="243" t="inlineStr">
        <is>
          <t>0.25</t>
        </is>
      </c>
      <c r="H3" s="246" t="inlineStr"/>
      <c r="I3" s="243" t="inlineStr">
        <is>
          <t>Переносной</t>
        </is>
      </c>
      <c r="J3" s="243" t="inlineStr">
        <is>
          <t>АСУ,А и ТМ (КЦ № 6)</t>
        </is>
      </c>
      <c r="K3" s="243" t="inlineStr">
        <is>
          <t>2008</t>
        </is>
      </c>
      <c r="L3" s="243" t="inlineStr">
        <is>
          <t>12</t>
        </is>
      </c>
      <c r="M3" s="246" t="inlineStr"/>
      <c r="N3" s="245" t="inlineStr"/>
    </row>
    <row r="4" ht="15" customHeight="1" s="236">
      <c r="A4" s="243" t="n">
        <v>3</v>
      </c>
      <c r="B4" s="243" t="inlineStr">
        <is>
          <t>Мультиметр</t>
        </is>
      </c>
      <c r="C4" s="243" t="inlineStr">
        <is>
          <t>APPA</t>
        </is>
      </c>
      <c r="D4" s="246" t="inlineStr">
        <is>
          <t>64454654</t>
        </is>
      </c>
      <c r="E4" s="243" t="inlineStr">
        <is>
          <t>2009</t>
        </is>
      </c>
      <c r="F4" s="243" t="inlineStr">
        <is>
          <t>1000В 10А</t>
        </is>
      </c>
      <c r="G4" s="243" t="inlineStr">
        <is>
          <t>0.25</t>
        </is>
      </c>
      <c r="H4" s="246" t="inlineStr"/>
      <c r="I4" s="243" t="inlineStr">
        <is>
          <t>Переносной</t>
        </is>
      </c>
      <c r="J4" s="243" t="inlineStr">
        <is>
          <t>АСУ,А и ТМ (КЦ № 6)</t>
        </is>
      </c>
      <c r="K4" s="243" t="inlineStr">
        <is>
          <t>2008</t>
        </is>
      </c>
      <c r="L4" s="243" t="inlineStr">
        <is>
          <t>12</t>
        </is>
      </c>
      <c r="M4" s="246" t="inlineStr"/>
      <c r="N4" s="245" t="inlineStr"/>
    </row>
  </sheetData>
  <conditionalFormatting sqref="D2:D4">
    <cfRule type="duplicateValues" rank="0" priority="2" equalAverage="0" aboveAverage="0" dxfId="0" text="" percent="0" bottom="0"/>
  </conditionalFormatting>
  <conditionalFormatting sqref="M1:M1048576">
    <cfRule type="expression" rank="0" priority="3" equalAverage="0" aboveAverage="0" dxfId="1" text="" percent="0" bottom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orizontalCentered="0" verticalCentered="0" headings="0" gridLines="0" gridLinesSet="1"/>
  <pageMargins left="0.7" right="0.7" top="0.75" bottom="0.75" header="0.511805555555555" footer="0.511805555555555"/>
  <pageSetup orientation="portrait" paperSize="1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1"/>
  </sheetPr>
  <dimension ref="A1:N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19" activeCellId="0" sqref="F19"/>
    </sheetView>
  </sheetViews>
  <sheetFormatPr baseColWidth="8" defaultColWidth="9.15625" defaultRowHeight="15" zeroHeight="0" outlineLevelRow="0"/>
  <cols>
    <col width="3.71" customWidth="1" style="235" min="1" max="1"/>
    <col width="17.58" customWidth="1" style="235" min="2" max="2"/>
    <col width="14.57" customWidth="1" style="235" min="3" max="3"/>
    <col width="9.289999999999999" customWidth="1" style="235" min="4" max="4"/>
    <col width="6.57" customWidth="1" style="235" min="5" max="5"/>
    <col width="10.99" customWidth="1" style="235" min="6" max="6"/>
    <col width="7.42" customWidth="1" style="235" min="7" max="7"/>
    <col width="20.86" customWidth="1" style="235" min="8" max="8"/>
    <col width="11.29" customWidth="1" style="235" min="9" max="9"/>
    <col width="11.14" customWidth="1" style="235" min="10" max="10"/>
    <col width="8" customWidth="1" style="235" min="11" max="11"/>
    <col width="7.29" customWidth="1" style="235" min="12" max="12"/>
    <col width="8.859999999999999" customWidth="1" style="235" min="13" max="13"/>
    <col width="9" customWidth="1" style="235" min="14" max="14"/>
    <col width="9.140000000000001" customWidth="1" style="235" min="15" max="1024"/>
  </cols>
  <sheetData>
    <row r="1" ht="45" customHeight="1" s="236">
      <c r="A1" s="239" t="inlineStr">
        <is>
          <t>№ п/п</t>
        </is>
      </c>
      <c r="B1" s="239" t="inlineStr">
        <is>
          <t>Наименование</t>
        </is>
      </c>
      <c r="C1" s="239" t="inlineStr">
        <is>
          <t>Тип</t>
        </is>
      </c>
      <c r="D1" s="239" t="inlineStr">
        <is>
          <t>Заводской номер</t>
        </is>
      </c>
      <c r="E1" s="240" t="inlineStr">
        <is>
          <t>Год выпуска</t>
        </is>
      </c>
      <c r="F1" s="239" t="inlineStr">
        <is>
          <t>Диапазон измерений</t>
        </is>
      </c>
      <c r="G1" s="239" t="inlineStr">
        <is>
          <t>Класс точности</t>
        </is>
      </c>
      <c r="H1" s="239" t="inlineStr">
        <is>
          <t>Место установки СИ</t>
        </is>
      </c>
      <c r="I1" s="239" t="inlineStr">
        <is>
          <t>Объект установки</t>
        </is>
      </c>
      <c r="J1" s="239" t="inlineStr">
        <is>
          <t>Подразделение</t>
        </is>
      </c>
      <c r="K1" s="239" t="inlineStr">
        <is>
          <t>Дата установки</t>
        </is>
      </c>
      <c r="L1" s="239" t="inlineStr">
        <is>
          <t>Межповерочный интервал, мес.</t>
        </is>
      </c>
      <c r="M1" s="240" t="inlineStr">
        <is>
          <t>Дата последней поверки / калибровки</t>
        </is>
      </c>
      <c r="N1" s="239" t="inlineStr">
        <is>
          <t>Поверка (П)/ Калибровка (К)</t>
        </is>
      </c>
    </row>
    <row r="2" ht="22.5" customHeight="1" s="236">
      <c r="A2" s="239">
        <f>IF(B2&lt;&gt;"", COUNTA($B$2:B2), "")</f>
        <v/>
      </c>
      <c r="B2" s="241" t="inlineStr">
        <is>
          <t>Манометр технический</t>
        </is>
      </c>
      <c r="C2" s="251" t="inlineStr">
        <is>
          <t>TecSis</t>
        </is>
      </c>
      <c r="D2" s="306" t="n"/>
      <c r="E2" s="251" t="n">
        <v>2010</v>
      </c>
      <c r="F2" s="239" t="inlineStr">
        <is>
          <t xml:space="preserve">0…16 бар                   </t>
        </is>
      </c>
      <c r="G2" s="275" t="n"/>
      <c r="H2" s="239" t="inlineStr">
        <is>
          <t>Давление воды на выходе насосов №1</t>
        </is>
      </c>
      <c r="I2" s="239" t="inlineStr">
        <is>
          <t>НППВ</t>
        </is>
      </c>
      <c r="J2" s="239" t="inlineStr">
        <is>
          <t>АСУ,А и ТМ (КЦ № 6)</t>
        </is>
      </c>
      <c r="K2" s="239" t="n">
        <v>2012</v>
      </c>
      <c r="L2" s="239" t="n"/>
      <c r="M2" s="240" t="n"/>
      <c r="N2" s="242" t="n"/>
    </row>
    <row r="3" ht="22.5" customHeight="1" s="236">
      <c r="A3" s="239">
        <f>IF(B3&lt;&gt;"", COUNTA($B$2:B3), "")</f>
        <v/>
      </c>
      <c r="B3" s="241" t="inlineStr">
        <is>
          <t>Манометр технический</t>
        </is>
      </c>
      <c r="C3" s="251" t="inlineStr">
        <is>
          <t>TecSis</t>
        </is>
      </c>
      <c r="D3" s="306" t="n"/>
      <c r="E3" s="251" t="n">
        <v>2010</v>
      </c>
      <c r="F3" s="239" t="inlineStr">
        <is>
          <t xml:space="preserve">0…16 бар                   </t>
        </is>
      </c>
      <c r="G3" s="275" t="n"/>
      <c r="H3" s="239" t="inlineStr">
        <is>
          <t>Давление воды на выходе насосов №1</t>
        </is>
      </c>
      <c r="I3" s="239" t="inlineStr">
        <is>
          <t>НППВ</t>
        </is>
      </c>
      <c r="J3" s="239" t="inlineStr">
        <is>
          <t>АСУ,А и ТМ (КЦ № 6)</t>
        </is>
      </c>
      <c r="K3" s="239" t="n">
        <v>2012</v>
      </c>
      <c r="L3" s="239" t="n"/>
      <c r="M3" s="240" t="n"/>
      <c r="N3" s="242" t="n"/>
    </row>
    <row r="4" ht="22.5" customHeight="1" s="236">
      <c r="A4" s="239">
        <f>IF(B4&lt;&gt;"", COUNTA($B$2:B4), "")</f>
        <v/>
      </c>
      <c r="B4" s="241" t="inlineStr">
        <is>
          <t>Манометр технический</t>
        </is>
      </c>
      <c r="C4" s="251" t="inlineStr">
        <is>
          <t>TecSis</t>
        </is>
      </c>
      <c r="D4" s="306" t="n"/>
      <c r="E4" s="251" t="n">
        <v>2010</v>
      </c>
      <c r="F4" s="239" t="inlineStr">
        <is>
          <t xml:space="preserve">0…16 бар                   </t>
        </is>
      </c>
      <c r="G4" s="275" t="n"/>
      <c r="H4" s="239" t="inlineStr">
        <is>
          <t>Давление воды на выходе с насоса №1</t>
        </is>
      </c>
      <c r="I4" s="239" t="inlineStr">
        <is>
          <t>НППВ</t>
        </is>
      </c>
      <c r="J4" s="239" t="inlineStr">
        <is>
          <t>АСУ,А и ТМ (КЦ № 6)</t>
        </is>
      </c>
      <c r="K4" s="239" t="n">
        <v>2012</v>
      </c>
      <c r="L4" s="239" t="n"/>
      <c r="M4" s="240" t="n"/>
      <c r="N4" s="242" t="n"/>
    </row>
    <row r="5" ht="22.5" customHeight="1" s="236">
      <c r="A5" s="239">
        <f>IF(B5&lt;&gt;"", COUNTA($B$2:B5), "")</f>
        <v/>
      </c>
      <c r="B5" s="241" t="inlineStr">
        <is>
          <t>Манометр технический</t>
        </is>
      </c>
      <c r="C5" s="251" t="inlineStr">
        <is>
          <t>TecSis</t>
        </is>
      </c>
      <c r="D5" s="306" t="n"/>
      <c r="E5" s="251" t="n">
        <v>2010</v>
      </c>
      <c r="F5" s="239" t="inlineStr">
        <is>
          <t xml:space="preserve">0…16 бар                   </t>
        </is>
      </c>
      <c r="G5" s="275" t="n"/>
      <c r="H5" s="239" t="inlineStr">
        <is>
          <t>Давление воды на выходе с насоса №2</t>
        </is>
      </c>
      <c r="I5" s="239" t="inlineStr">
        <is>
          <t>НППВ</t>
        </is>
      </c>
      <c r="J5" s="239" t="inlineStr">
        <is>
          <t>АСУ,А и ТМ (КЦ № 6)</t>
        </is>
      </c>
      <c r="K5" s="239" t="n">
        <v>2012</v>
      </c>
      <c r="L5" s="239" t="n"/>
      <c r="M5" s="240" t="n"/>
      <c r="N5" s="242" t="n"/>
    </row>
    <row r="6" ht="22.5" customHeight="1" s="236">
      <c r="A6" s="239">
        <f>IF(B6&lt;&gt;"", COUNTA($B$2:B6), "")</f>
        <v/>
      </c>
      <c r="B6" s="241" t="inlineStr">
        <is>
          <t>Манометр технический</t>
        </is>
      </c>
      <c r="C6" s="251" t="inlineStr">
        <is>
          <t>TecSis</t>
        </is>
      </c>
      <c r="D6" s="301" t="n"/>
      <c r="E6" s="251" t="n">
        <v>2010</v>
      </c>
      <c r="F6" s="239" t="inlineStr">
        <is>
          <t xml:space="preserve">0…16 бар                   </t>
        </is>
      </c>
      <c r="G6" s="275" t="n"/>
      <c r="H6" s="239" t="inlineStr">
        <is>
          <t>Давление воды на выходе с насоса №3</t>
        </is>
      </c>
      <c r="I6" s="239" t="inlineStr">
        <is>
          <t>НППВ</t>
        </is>
      </c>
      <c r="J6" s="239" t="inlineStr">
        <is>
          <t>АСУ,А и ТМ (КЦ № 6)</t>
        </is>
      </c>
      <c r="K6" s="239" t="n">
        <v>2012</v>
      </c>
      <c r="L6" s="239" t="n"/>
      <c r="M6" s="240" t="n"/>
      <c r="N6" s="242" t="n"/>
    </row>
    <row r="7" ht="22.5" customHeight="1" s="236">
      <c r="A7" s="239">
        <f>IF(B7&lt;&gt;"", COUNTA($B$2:B7), "")</f>
        <v/>
      </c>
      <c r="B7" s="241" t="inlineStr">
        <is>
          <t>Манометр технический</t>
        </is>
      </c>
      <c r="C7" s="251" t="inlineStr">
        <is>
          <t>TecSis</t>
        </is>
      </c>
      <c r="D7" s="301" t="n"/>
      <c r="E7" s="251" t="n">
        <v>2010</v>
      </c>
      <c r="F7" s="239" t="inlineStr">
        <is>
          <t xml:space="preserve">0…16 бар                   </t>
        </is>
      </c>
      <c r="G7" s="275" t="n"/>
      <c r="H7" s="239" t="inlineStr">
        <is>
          <t>Давление воды на выходе с насоса №4</t>
        </is>
      </c>
      <c r="I7" s="239" t="inlineStr">
        <is>
          <t>НППВ</t>
        </is>
      </c>
      <c r="J7" s="239" t="inlineStr">
        <is>
          <t>АСУ,А и ТМ (КЦ № 6)</t>
        </is>
      </c>
      <c r="K7" s="239" t="n">
        <v>2012</v>
      </c>
      <c r="L7" s="239" t="n"/>
      <c r="M7" s="240" t="n"/>
      <c r="N7" s="242" t="n"/>
    </row>
    <row r="8" ht="22.5" customHeight="1" s="236">
      <c r="A8" s="239">
        <f>IF(B8&lt;&gt;"", COUNTA($B$2:B8), "")</f>
        <v/>
      </c>
      <c r="B8" s="241" t="inlineStr">
        <is>
          <t>Манометр технический</t>
        </is>
      </c>
      <c r="C8" s="251" t="inlineStr">
        <is>
          <t>TecSis</t>
        </is>
      </c>
      <c r="D8" s="301" t="n"/>
      <c r="E8" s="251" t="n">
        <v>2010</v>
      </c>
      <c r="F8" s="239" t="inlineStr">
        <is>
          <t xml:space="preserve">0…9 бар                   </t>
        </is>
      </c>
      <c r="G8" s="275" t="n"/>
      <c r="H8" s="239" t="inlineStr">
        <is>
          <t>Давление воды на входе 1-ой емкости</t>
        </is>
      </c>
      <c r="I8" s="239" t="inlineStr">
        <is>
          <t>НППВ</t>
        </is>
      </c>
      <c r="J8" s="239" t="inlineStr">
        <is>
          <t>АСУ,А и ТМ (КЦ № 6)</t>
        </is>
      </c>
      <c r="K8" s="239" t="n">
        <v>2012</v>
      </c>
      <c r="L8" s="239" t="n"/>
      <c r="M8" s="240" t="n"/>
      <c r="N8" s="242" t="n"/>
    </row>
    <row r="9" ht="22.5" customHeight="1" s="236">
      <c r="A9" s="239">
        <f>IF(B9&lt;&gt;"", COUNTA($B$2:B9), "")</f>
        <v/>
      </c>
      <c r="B9" s="241" t="inlineStr">
        <is>
          <t>Манометр технический</t>
        </is>
      </c>
      <c r="C9" s="251" t="inlineStr">
        <is>
          <t>TecSis</t>
        </is>
      </c>
      <c r="D9" s="301" t="n"/>
      <c r="E9" s="251" t="n">
        <v>2010</v>
      </c>
      <c r="F9" s="239" t="inlineStr">
        <is>
          <t xml:space="preserve">0…9 бар                   </t>
        </is>
      </c>
      <c r="G9" s="275" t="n"/>
      <c r="H9" s="239" t="inlineStr">
        <is>
          <t>Давление воды на входе 2-ой емкости</t>
        </is>
      </c>
      <c r="I9" s="239" t="inlineStr">
        <is>
          <t>НППВ</t>
        </is>
      </c>
      <c r="J9" s="239" t="inlineStr">
        <is>
          <t>АСУ,А и ТМ (КЦ № 6)</t>
        </is>
      </c>
      <c r="K9" s="239" t="n">
        <v>2012</v>
      </c>
      <c r="L9" s="239" t="n"/>
      <c r="M9" s="240" t="n"/>
      <c r="N9" s="242" t="n"/>
    </row>
    <row r="10" ht="33.75" customHeight="1" s="236">
      <c r="A10" s="239">
        <f>IF(B10&lt;&gt;"", COUNTA($B$2:B10), "")</f>
        <v/>
      </c>
      <c r="B10" s="241" t="inlineStr">
        <is>
          <t>Манометр технический</t>
        </is>
      </c>
      <c r="C10" s="251" t="inlineStr">
        <is>
          <t>TecSis</t>
        </is>
      </c>
      <c r="D10" s="301" t="n"/>
      <c r="E10" s="251" t="n">
        <v>2010</v>
      </c>
      <c r="F10" s="239" t="inlineStr">
        <is>
          <t xml:space="preserve">0…10 бар                   </t>
        </is>
      </c>
      <c r="G10" s="275" t="n"/>
      <c r="H10" s="239" t="inlineStr">
        <is>
          <t>Давление воды на выходе частотной станции подпитки</t>
        </is>
      </c>
      <c r="I10" s="239" t="inlineStr">
        <is>
          <t>НХПВ</t>
        </is>
      </c>
      <c r="J10" s="239" t="inlineStr">
        <is>
          <t>АСУ,А и ТМ (КЦ № 6)</t>
        </is>
      </c>
      <c r="K10" s="239" t="n">
        <v>2012</v>
      </c>
      <c r="L10" s="239" t="n"/>
      <c r="M10" s="240" t="n"/>
      <c r="N10" s="242" t="n"/>
    </row>
    <row r="11" ht="22.5" customHeight="1" s="236">
      <c r="A11" s="239">
        <f>IF(B11&lt;&gt;"", COUNTA($B$2:B11), "")</f>
        <v/>
      </c>
      <c r="B11" s="241" t="inlineStr">
        <is>
          <t>Манометр технический</t>
        </is>
      </c>
      <c r="C11" s="251" t="inlineStr">
        <is>
          <t>ТМ3</t>
        </is>
      </c>
      <c r="D11" s="301" t="n"/>
      <c r="E11" s="251" t="n">
        <v>2010</v>
      </c>
      <c r="F11" s="239" t="inlineStr">
        <is>
          <t xml:space="preserve">0…10 бар                   </t>
        </is>
      </c>
      <c r="G11" s="275" t="n">
        <v>2.5</v>
      </c>
      <c r="H11" s="239" t="inlineStr">
        <is>
          <t>Давление воды на входе станции промывки</t>
        </is>
      </c>
      <c r="I11" s="239" t="inlineStr">
        <is>
          <t>НХПВ</t>
        </is>
      </c>
      <c r="J11" s="239" t="inlineStr">
        <is>
          <t>АСУ,А и ТМ (КЦ № 6)</t>
        </is>
      </c>
      <c r="K11" s="239" t="n">
        <v>2012</v>
      </c>
      <c r="L11" s="239" t="n"/>
      <c r="M11" s="240" t="n"/>
      <c r="N11" s="242" t="n"/>
    </row>
    <row r="12" ht="22.5" customHeight="1" s="236">
      <c r="A12" s="239">
        <f>IF(B12&lt;&gt;"", COUNTA($B$2:B12), "")</f>
        <v/>
      </c>
      <c r="B12" s="241" t="inlineStr">
        <is>
          <t>Манометр технический</t>
        </is>
      </c>
      <c r="C12" s="251" t="inlineStr">
        <is>
          <t>ТМ3</t>
        </is>
      </c>
      <c r="D12" s="301" t="n"/>
      <c r="E12" s="251" t="n">
        <v>2010</v>
      </c>
      <c r="F12" s="239" t="inlineStr">
        <is>
          <t xml:space="preserve">0…10 бар                   </t>
        </is>
      </c>
      <c r="G12" s="275" t="n">
        <v>2.5</v>
      </c>
      <c r="H12" s="239" t="inlineStr">
        <is>
          <t>Давление воды на выходе станции промывки</t>
        </is>
      </c>
      <c r="I12" s="239" t="inlineStr">
        <is>
          <t>НХПВ</t>
        </is>
      </c>
      <c r="J12" s="239" t="inlineStr">
        <is>
          <t>АСУ,А и ТМ (КЦ № 6)</t>
        </is>
      </c>
      <c r="K12" s="239" t="n">
        <v>2012</v>
      </c>
      <c r="L12" s="239" t="n"/>
      <c r="M12" s="240" t="n"/>
      <c r="N12" s="242" t="n"/>
    </row>
    <row r="13" ht="22.5" customHeight="1" s="236">
      <c r="A13" s="239">
        <f>IF(B13&lt;&gt;"", COUNTA($B$2:B13), "")</f>
        <v/>
      </c>
      <c r="B13" s="241" t="inlineStr">
        <is>
          <t>Манометр технический</t>
        </is>
      </c>
      <c r="C13" s="251" t="inlineStr">
        <is>
          <t>YYST</t>
        </is>
      </c>
      <c r="D13" s="301" t="n"/>
      <c r="E13" s="251" t="n">
        <v>2010</v>
      </c>
      <c r="F13" s="239" t="inlineStr">
        <is>
          <t>0…1,0 МПа</t>
        </is>
      </c>
      <c r="G13" s="275" t="n"/>
      <c r="H13" s="239" t="inlineStr">
        <is>
          <t>Осмос: вход насоса</t>
        </is>
      </c>
      <c r="I13" s="239" t="inlineStr">
        <is>
          <t>НХПВ</t>
        </is>
      </c>
      <c r="J13" s="239" t="inlineStr">
        <is>
          <t>АСУ,А и ТМ (КЦ № 6)</t>
        </is>
      </c>
      <c r="K13" s="239" t="n">
        <v>2012</v>
      </c>
      <c r="L13" s="239" t="n"/>
      <c r="M13" s="240" t="n"/>
      <c r="N13" s="242" t="n"/>
    </row>
    <row r="14" ht="22.5" customHeight="1" s="236">
      <c r="A14" s="239">
        <f>IF(B14&lt;&gt;"", COUNTA($B$2:B14), "")</f>
        <v/>
      </c>
      <c r="B14" s="241" t="inlineStr">
        <is>
          <t>Манометр технический</t>
        </is>
      </c>
      <c r="C14" s="251" t="inlineStr">
        <is>
          <t>YYST</t>
        </is>
      </c>
      <c r="D14" s="251" t="n"/>
      <c r="E14" s="251" t="n">
        <v>2010</v>
      </c>
      <c r="F14" s="239" t="inlineStr">
        <is>
          <t>0…3,0 МПа</t>
        </is>
      </c>
      <c r="G14" s="275" t="n"/>
      <c r="H14" s="239" t="inlineStr">
        <is>
          <t>Осмос: выход мембран</t>
        </is>
      </c>
      <c r="I14" s="239" t="inlineStr">
        <is>
          <t>НХПВ</t>
        </is>
      </c>
      <c r="J14" s="239" t="inlineStr">
        <is>
          <t>АСУ,А и ТМ (КЦ № 6)</t>
        </is>
      </c>
      <c r="K14" s="239" t="n">
        <v>2012</v>
      </c>
      <c r="L14" s="239" t="n"/>
      <c r="M14" s="240" t="n"/>
      <c r="N14" s="242" t="n"/>
    </row>
    <row r="15" ht="22.5" customHeight="1" s="236">
      <c r="A15" s="239">
        <f>IF(B15&lt;&gt;"", COUNTA($B$2:B15), "")</f>
        <v/>
      </c>
      <c r="B15" s="241" t="inlineStr">
        <is>
          <t>Манометр технический</t>
        </is>
      </c>
      <c r="C15" s="251" t="inlineStr">
        <is>
          <t>YYST</t>
        </is>
      </c>
      <c r="D15" s="251" t="n"/>
      <c r="E15" s="251" t="n">
        <v>2010</v>
      </c>
      <c r="F15" s="239" t="inlineStr">
        <is>
          <t>0…1,0 МПа</t>
        </is>
      </c>
      <c r="G15" s="275" t="n"/>
      <c r="H15" s="239" t="inlineStr">
        <is>
          <t>Осмос: выход</t>
        </is>
      </c>
      <c r="I15" s="239" t="inlineStr">
        <is>
          <t>НХПВ</t>
        </is>
      </c>
      <c r="J15" s="239" t="inlineStr">
        <is>
          <t>АСУ,А и ТМ (КЦ № 6)</t>
        </is>
      </c>
      <c r="K15" s="239" t="n">
        <v>2012</v>
      </c>
      <c r="L15" s="239" t="n"/>
      <c r="M15" s="240" t="n"/>
      <c r="N15" s="242" t="n"/>
    </row>
    <row r="16" ht="15" customHeight="1" s="236">
      <c r="A16" s="239" t="n"/>
      <c r="B16" s="320" t="inlineStr">
        <is>
          <t>КЦ 6</t>
        </is>
      </c>
      <c r="C16" s="321" t="n"/>
      <c r="D16" s="321" t="n"/>
      <c r="E16" s="321" t="n"/>
      <c r="F16" s="321" t="n"/>
      <c r="G16" s="321" t="n"/>
      <c r="H16" s="321" t="n"/>
      <c r="I16" s="321" t="n"/>
      <c r="J16" s="321" t="n"/>
      <c r="K16" s="321" t="n"/>
      <c r="L16" s="321" t="n"/>
      <c r="M16" s="321" t="n"/>
      <c r="N16" s="322" t="n"/>
    </row>
    <row r="17" ht="22.5" customHeight="1" s="236">
      <c r="A17" s="243" t="n">
        <v>16</v>
      </c>
      <c r="B17" s="323" t="inlineStr">
        <is>
          <t>Манометр технический</t>
        </is>
      </c>
      <c r="C17" s="321" t="inlineStr">
        <is>
          <t>WIKA</t>
        </is>
      </c>
      <c r="D17" s="321" t="inlineStr">
        <is>
          <t>М300</t>
        </is>
      </c>
      <c r="E17" s="321" t="inlineStr">
        <is>
          <t>2010</t>
        </is>
      </c>
      <c r="F17" s="321" t="inlineStr">
        <is>
          <t>0…10 бар</t>
        </is>
      </c>
      <c r="G17" s="321" t="inlineStr">
        <is>
          <t>1.5</t>
        </is>
      </c>
      <c r="H17" s="321" t="inlineStr">
        <is>
          <t>Станция для промывки двигателя</t>
        </is>
      </c>
      <c r="I17" s="321" t="inlineStr">
        <is>
          <t>ГПА 61</t>
        </is>
      </c>
      <c r="J17" s="321" t="inlineStr">
        <is>
          <t>АСУ,А и ТМ (КЦ № 6)</t>
        </is>
      </c>
      <c r="K17" s="321" t="inlineStr">
        <is>
          <t>2012</t>
        </is>
      </c>
      <c r="L17" s="321" t="inlineStr"/>
      <c r="M17" s="321" t="inlineStr"/>
      <c r="N17" s="322" t="inlineStr"/>
    </row>
    <row r="18" ht="22.5" customHeight="1" s="236">
      <c r="A18" s="243" t="n">
        <v>17</v>
      </c>
      <c r="B18" s="323" t="inlineStr">
        <is>
          <t>Манометр технический</t>
        </is>
      </c>
      <c r="C18" s="321" t="inlineStr">
        <is>
          <t>EN 837-1</t>
        </is>
      </c>
      <c r="D18" s="321" t="inlineStr">
        <is>
          <t>84999</t>
        </is>
      </c>
      <c r="E18" s="321" t="inlineStr">
        <is>
          <t>2010</t>
        </is>
      </c>
      <c r="F18" s="321" t="inlineStr">
        <is>
          <t>0…16 бар</t>
        </is>
      </c>
      <c r="G18" s="321" t="inlineStr">
        <is>
          <t>2,5</t>
        </is>
      </c>
      <c r="H18" s="321" t="inlineStr">
        <is>
          <t>Давление топливного газа СК12</t>
        </is>
      </c>
      <c r="I18" s="321" t="inlineStr">
        <is>
          <t>ГПА 61</t>
        </is>
      </c>
      <c r="J18" s="321" t="inlineStr">
        <is>
          <t>АСУ,А и ТМ (КЦ № 6)</t>
        </is>
      </c>
      <c r="K18" s="321" t="inlineStr">
        <is>
          <t>2012</t>
        </is>
      </c>
      <c r="L18" s="321" t="inlineStr"/>
      <c r="M18" s="321" t="inlineStr"/>
      <c r="N18" s="322" t="inlineStr"/>
    </row>
    <row r="19" ht="22.5" customHeight="1" s="236">
      <c r="A19" s="243" t="n">
        <v>18</v>
      </c>
      <c r="B19" s="323" t="inlineStr">
        <is>
          <t>Манометр технический</t>
        </is>
      </c>
      <c r="C19" s="321" t="inlineStr">
        <is>
          <t>EN 837-1</t>
        </is>
      </c>
      <c r="D19" s="321" t="inlineStr">
        <is>
          <t>85003</t>
        </is>
      </c>
      <c r="E19" s="321" t="inlineStr">
        <is>
          <t>2010</t>
        </is>
      </c>
      <c r="F19" s="321" t="inlineStr">
        <is>
          <t>0…100 бар</t>
        </is>
      </c>
      <c r="G19" s="321" t="inlineStr">
        <is>
          <t>2.5</t>
        </is>
      </c>
      <c r="H19" s="321" t="inlineStr">
        <is>
          <t>Давление топливного газа СК12</t>
        </is>
      </c>
      <c r="I19" s="321" t="inlineStr">
        <is>
          <t>ГПА 61</t>
        </is>
      </c>
      <c r="J19" s="321" t="inlineStr">
        <is>
          <t>АСУ,А и ТМ (КЦ № 6)</t>
        </is>
      </c>
      <c r="K19" s="321" t="inlineStr">
        <is>
          <t>2012</t>
        </is>
      </c>
      <c r="L19" s="321" t="inlineStr"/>
      <c r="M19" s="321" t="inlineStr"/>
      <c r="N19" s="322" t="inlineStr"/>
    </row>
    <row r="20" ht="22.5" customHeight="1" s="236">
      <c r="A20" s="243" t="n">
        <v>19</v>
      </c>
      <c r="B20" s="323" t="inlineStr">
        <is>
          <t>Манометр технический</t>
        </is>
      </c>
      <c r="C20" s="321" t="inlineStr">
        <is>
          <t>Rotork</t>
        </is>
      </c>
      <c r="D20" s="321" t="inlineStr">
        <is>
          <t>15449</t>
        </is>
      </c>
      <c r="E20" s="321" t="inlineStr">
        <is>
          <t>2010</t>
        </is>
      </c>
      <c r="F20" s="321" t="inlineStr">
        <is>
          <t>0…160 бар</t>
        </is>
      </c>
      <c r="G20" s="321" t="inlineStr">
        <is>
          <t>1.6</t>
        </is>
      </c>
      <c r="H20" s="321" t="inlineStr">
        <is>
          <t>кран 61-2-1</t>
        </is>
      </c>
      <c r="I20" s="321" t="inlineStr">
        <is>
          <t>ГПА 61</t>
        </is>
      </c>
      <c r="J20" s="321" t="inlineStr">
        <is>
          <t>АСУ,А и ТМ (КЦ № 6)</t>
        </is>
      </c>
      <c r="K20" s="321" t="inlineStr">
        <is>
          <t>2013</t>
        </is>
      </c>
      <c r="L20" s="321" t="inlineStr"/>
      <c r="M20" s="321" t="inlineStr"/>
      <c r="N20" s="322" t="inlineStr"/>
    </row>
    <row r="21" ht="22.5" customHeight="1" s="236">
      <c r="A21" s="243" t="n">
        <v>20</v>
      </c>
      <c r="B21" s="323" t="inlineStr">
        <is>
          <t>Манометр технический</t>
        </is>
      </c>
      <c r="C21" s="321" t="inlineStr">
        <is>
          <t>Rotork</t>
        </is>
      </c>
      <c r="D21" s="321" t="inlineStr">
        <is>
          <t>15450</t>
        </is>
      </c>
      <c r="E21" s="321" t="inlineStr">
        <is>
          <t>2010</t>
        </is>
      </c>
      <c r="F21" s="321" t="inlineStr">
        <is>
          <t>0…160 бар</t>
        </is>
      </c>
      <c r="G21" s="321" t="inlineStr">
        <is>
          <t>1.6</t>
        </is>
      </c>
      <c r="H21" s="321" t="inlineStr">
        <is>
          <t>кран 61-1</t>
        </is>
      </c>
      <c r="I21" s="321" t="inlineStr">
        <is>
          <t>ГПА 61</t>
        </is>
      </c>
      <c r="J21" s="321" t="inlineStr">
        <is>
          <t>АСУ,А и ТМ (КЦ № 6)</t>
        </is>
      </c>
      <c r="K21" s="321" t="inlineStr">
        <is>
          <t>2013</t>
        </is>
      </c>
      <c r="L21" s="321" t="inlineStr"/>
      <c r="M21" s="321" t="inlineStr"/>
      <c r="N21" s="322" t="inlineStr"/>
    </row>
    <row r="22" ht="22.5" customHeight="1" s="236">
      <c r="A22" s="243" t="n">
        <v>21</v>
      </c>
      <c r="B22" s="323" t="inlineStr">
        <is>
          <t>Манометр технический</t>
        </is>
      </c>
      <c r="C22" s="321" t="inlineStr">
        <is>
          <t>Fisher</t>
        </is>
      </c>
      <c r="D22" s="321" t="inlineStr">
        <is>
          <t>15451</t>
        </is>
      </c>
      <c r="E22" s="321" t="inlineStr">
        <is>
          <t>2010</t>
        </is>
      </c>
      <c r="F22" s="321" t="inlineStr">
        <is>
          <t>0…160 кгс/см²</t>
        </is>
      </c>
      <c r="G22" s="321" t="inlineStr">
        <is>
          <t>1.6</t>
        </is>
      </c>
      <c r="H22" s="321" t="inlineStr">
        <is>
          <t>кран 61-6к</t>
        </is>
      </c>
      <c r="I22" s="321" t="inlineStr">
        <is>
          <t>ГПА 61</t>
        </is>
      </c>
      <c r="J22" s="321" t="inlineStr">
        <is>
          <t>АСУ,А и ТМ (КЦ № 6)</t>
        </is>
      </c>
      <c r="K22" s="321" t="inlineStr">
        <is>
          <t>2013</t>
        </is>
      </c>
      <c r="L22" s="321" t="inlineStr"/>
      <c r="M22" s="321" t="inlineStr"/>
      <c r="N22" s="322" t="inlineStr"/>
    </row>
    <row r="23" ht="22.5" customHeight="1" s="236">
      <c r="A23" s="243" t="n">
        <v>22</v>
      </c>
      <c r="B23" s="323" t="inlineStr">
        <is>
          <t>Манометр технический</t>
        </is>
      </c>
      <c r="C23" s="321" t="inlineStr">
        <is>
          <t>Fisher</t>
        </is>
      </c>
      <c r="D23" s="321" t="inlineStr">
        <is>
          <t>15452</t>
        </is>
      </c>
      <c r="E23" s="321" t="inlineStr">
        <is>
          <t>2010</t>
        </is>
      </c>
      <c r="F23" s="321" t="inlineStr">
        <is>
          <t>0…1000 кПа</t>
        </is>
      </c>
      <c r="G23" s="321" t="inlineStr">
        <is>
          <t>2.5</t>
        </is>
      </c>
      <c r="H23" s="321" t="inlineStr">
        <is>
          <t>кран 61-6к</t>
        </is>
      </c>
      <c r="I23" s="321" t="inlineStr">
        <is>
          <t>ГПА 61</t>
        </is>
      </c>
      <c r="J23" s="321" t="inlineStr">
        <is>
          <t>АСУ,А и ТМ (КЦ № 6)</t>
        </is>
      </c>
      <c r="K23" s="321" t="inlineStr">
        <is>
          <t>2013</t>
        </is>
      </c>
      <c r="L23" s="321" t="inlineStr"/>
      <c r="M23" s="321" t="inlineStr"/>
      <c r="N23" s="322" t="inlineStr"/>
    </row>
    <row r="24" ht="22.5" customHeight="1" s="236">
      <c r="A24" s="243" t="n">
        <v>23</v>
      </c>
      <c r="B24" s="323" t="inlineStr">
        <is>
          <t>Манометр технический</t>
        </is>
      </c>
      <c r="C24" s="321" t="inlineStr">
        <is>
          <t>Fisher</t>
        </is>
      </c>
      <c r="D24" s="321" t="inlineStr">
        <is>
          <t>15453</t>
        </is>
      </c>
      <c r="E24" s="321" t="inlineStr">
        <is>
          <t>2010</t>
        </is>
      </c>
      <c r="F24" s="321" t="inlineStr">
        <is>
          <t>0…1000 кПа</t>
        </is>
      </c>
      <c r="G24" s="321" t="inlineStr">
        <is>
          <t>2.5</t>
        </is>
      </c>
      <c r="H24" s="321" t="inlineStr">
        <is>
          <t>кран 61-6к</t>
        </is>
      </c>
      <c r="I24" s="321" t="inlineStr">
        <is>
          <t>ГПА 61</t>
        </is>
      </c>
      <c r="J24" s="321" t="inlineStr">
        <is>
          <t>АСУ,А и ТМ (КЦ № 6)</t>
        </is>
      </c>
      <c r="K24" s="321" t="inlineStr">
        <is>
          <t>2013</t>
        </is>
      </c>
      <c r="L24" s="321" t="inlineStr"/>
      <c r="M24" s="321" t="inlineStr"/>
      <c r="N24" s="322" t="inlineStr"/>
    </row>
    <row r="25" ht="22.5" customHeight="1" s="236">
      <c r="A25" s="243" t="n">
        <v>24</v>
      </c>
      <c r="B25" s="323" t="inlineStr">
        <is>
          <t>Манометр технический</t>
        </is>
      </c>
      <c r="C25" s="321" t="inlineStr">
        <is>
          <t>Rotork</t>
        </is>
      </c>
      <c r="D25" s="321" t="inlineStr">
        <is>
          <t>15454</t>
        </is>
      </c>
      <c r="E25" s="321" t="inlineStr">
        <is>
          <t>2010</t>
        </is>
      </c>
      <c r="F25" s="321" t="inlineStr">
        <is>
          <t>0…160 бар</t>
        </is>
      </c>
      <c r="G25" s="321" t="inlineStr">
        <is>
          <t>1.6</t>
        </is>
      </c>
      <c r="H25" s="321" t="inlineStr">
        <is>
          <t>кран 61-6</t>
        </is>
      </c>
      <c r="I25" s="321" t="inlineStr">
        <is>
          <t>ГПА 61</t>
        </is>
      </c>
      <c r="J25" s="321" t="inlineStr">
        <is>
          <t>АСУ,А и ТМ (КЦ № 6)</t>
        </is>
      </c>
      <c r="K25" s="321" t="inlineStr">
        <is>
          <t>2013</t>
        </is>
      </c>
      <c r="L25" s="321" t="inlineStr"/>
      <c r="M25" s="321" t="inlineStr"/>
      <c r="N25" s="322" t="inlineStr"/>
    </row>
    <row r="26" ht="22.5" customHeight="1" s="236">
      <c r="A26" s="243" t="n">
        <v>25</v>
      </c>
      <c r="B26" s="323" t="inlineStr">
        <is>
          <t>Манометр технический</t>
        </is>
      </c>
      <c r="C26" s="321" t="inlineStr">
        <is>
          <t>Rotork</t>
        </is>
      </c>
      <c r="D26" s="321" t="inlineStr">
        <is>
          <t>15455</t>
        </is>
      </c>
      <c r="E26" s="321" t="inlineStr">
        <is>
          <t>2010</t>
        </is>
      </c>
      <c r="F26" s="321" t="inlineStr">
        <is>
          <t>0…160 бар</t>
        </is>
      </c>
      <c r="G26" s="321" t="inlineStr">
        <is>
          <t>1.6</t>
        </is>
      </c>
      <c r="H26" s="321" t="inlineStr">
        <is>
          <t>кран 61-2</t>
        </is>
      </c>
      <c r="I26" s="321" t="inlineStr">
        <is>
          <t>ГПА 61</t>
        </is>
      </c>
      <c r="J26" s="321" t="inlineStr">
        <is>
          <t>АСУ,А и ТМ (КЦ № 6)</t>
        </is>
      </c>
      <c r="K26" s="321" t="inlineStr">
        <is>
          <t>2013</t>
        </is>
      </c>
      <c r="L26" s="321" t="inlineStr"/>
      <c r="M26" s="321" t="inlineStr"/>
      <c r="N26" s="322" t="inlineStr"/>
    </row>
    <row r="27" ht="22.5" customHeight="1" s="236">
      <c r="A27" s="243" t="n">
        <v>26</v>
      </c>
      <c r="B27" s="323" t="inlineStr">
        <is>
          <t>Манометр технический</t>
        </is>
      </c>
      <c r="C27" s="321" t="inlineStr">
        <is>
          <t>WIKA</t>
        </is>
      </c>
      <c r="D27" s="321" t="inlineStr">
        <is>
          <t>М320</t>
        </is>
      </c>
      <c r="E27" s="321" t="inlineStr">
        <is>
          <t>2010</t>
        </is>
      </c>
      <c r="F27" s="321" t="inlineStr">
        <is>
          <t>0…10 бар</t>
        </is>
      </c>
      <c r="G27" s="321" t="inlineStr">
        <is>
          <t>1.5</t>
        </is>
      </c>
      <c r="H27" s="321" t="inlineStr">
        <is>
          <t>Станция для промывки двигателя</t>
        </is>
      </c>
      <c r="I27" s="321" t="inlineStr">
        <is>
          <t>ГПА 62</t>
        </is>
      </c>
      <c r="J27" s="321" t="inlineStr">
        <is>
          <t>АСУ,А и ТМ (КЦ № 6)</t>
        </is>
      </c>
      <c r="K27" s="321" t="inlineStr">
        <is>
          <t>2012</t>
        </is>
      </c>
      <c r="L27" s="321" t="inlineStr"/>
      <c r="M27" s="321" t="inlineStr"/>
      <c r="N27" s="322" t="inlineStr"/>
    </row>
    <row r="28" ht="22.5" customHeight="1" s="236">
      <c r="A28" s="243" t="n">
        <v>27</v>
      </c>
      <c r="B28" s="323" t="inlineStr">
        <is>
          <t>Манометр технический</t>
        </is>
      </c>
      <c r="C28" s="321" t="inlineStr">
        <is>
          <t>EN 837-1</t>
        </is>
      </c>
      <c r="D28" s="321" t="inlineStr">
        <is>
          <t>85001</t>
        </is>
      </c>
      <c r="E28" s="321" t="inlineStr">
        <is>
          <t>2010</t>
        </is>
      </c>
      <c r="F28" s="321" t="inlineStr">
        <is>
          <t>0…16 бар</t>
        </is>
      </c>
      <c r="G28" s="321" t="inlineStr">
        <is>
          <t>2.5</t>
        </is>
      </c>
      <c r="H28" s="321" t="inlineStr">
        <is>
          <t>Давление топливного газа СК12</t>
        </is>
      </c>
      <c r="I28" s="321" t="inlineStr">
        <is>
          <t>ГПА 62</t>
        </is>
      </c>
      <c r="J28" s="321" t="inlineStr">
        <is>
          <t>АСУ,А и ТМ (КЦ № 6)</t>
        </is>
      </c>
      <c r="K28" s="321" t="inlineStr">
        <is>
          <t>2012</t>
        </is>
      </c>
      <c r="L28" s="321" t="inlineStr"/>
      <c r="M28" s="321" t="inlineStr"/>
      <c r="N28" s="322" t="inlineStr"/>
    </row>
    <row r="29" ht="22.5" customHeight="1" s="236">
      <c r="A29" s="243" t="n">
        <v>28</v>
      </c>
      <c r="B29" s="323" t="inlineStr">
        <is>
          <t>Манометр технический</t>
        </is>
      </c>
      <c r="C29" s="321" t="inlineStr">
        <is>
          <t>EN 837-1</t>
        </is>
      </c>
      <c r="D29" s="321" t="inlineStr">
        <is>
          <t>85007</t>
        </is>
      </c>
      <c r="E29" s="321" t="inlineStr">
        <is>
          <t>2010</t>
        </is>
      </c>
      <c r="F29" s="321" t="inlineStr">
        <is>
          <t>0…100 бар</t>
        </is>
      </c>
      <c r="G29" s="321" t="inlineStr">
        <is>
          <t>2.5</t>
        </is>
      </c>
      <c r="H29" s="321" t="inlineStr">
        <is>
          <t>Давление топливного газа СК12</t>
        </is>
      </c>
      <c r="I29" s="321" t="inlineStr">
        <is>
          <t>ГПА 62</t>
        </is>
      </c>
      <c r="J29" s="321" t="inlineStr">
        <is>
          <t>АСУ,А и ТМ (КЦ № 6)</t>
        </is>
      </c>
      <c r="K29" s="321" t="inlineStr">
        <is>
          <t>2012</t>
        </is>
      </c>
      <c r="L29" s="321" t="inlineStr"/>
      <c r="M29" s="321" t="inlineStr"/>
      <c r="N29" s="322" t="inlineStr"/>
    </row>
    <row r="30" ht="22.5" customHeight="1" s="236">
      <c r="A30" s="243" t="n">
        <v>29</v>
      </c>
      <c r="B30" s="323" t="inlineStr">
        <is>
          <t>Манометр технический</t>
        </is>
      </c>
      <c r="C30" s="321" t="inlineStr">
        <is>
          <t>Rotork</t>
        </is>
      </c>
      <c r="D30" s="321" t="inlineStr">
        <is>
          <t>15456</t>
        </is>
      </c>
      <c r="E30" s="321" t="inlineStr">
        <is>
          <t>2010</t>
        </is>
      </c>
      <c r="F30" s="321" t="inlineStr">
        <is>
          <t>0…160 бар</t>
        </is>
      </c>
      <c r="G30" s="321" t="inlineStr">
        <is>
          <t>1.6</t>
        </is>
      </c>
      <c r="H30" s="321" t="inlineStr">
        <is>
          <t>кран 62-2-1</t>
        </is>
      </c>
      <c r="I30" s="321" t="inlineStr">
        <is>
          <t>ГПА 62</t>
        </is>
      </c>
      <c r="J30" s="321" t="inlineStr">
        <is>
          <t>АСУ,А и ТМ (КЦ № 6)</t>
        </is>
      </c>
      <c r="K30" s="321" t="inlineStr">
        <is>
          <t>2013</t>
        </is>
      </c>
      <c r="L30" s="321" t="inlineStr"/>
      <c r="M30" s="321" t="inlineStr"/>
      <c r="N30" s="322" t="inlineStr"/>
    </row>
    <row r="31" ht="22.5" customHeight="1" s="236">
      <c r="A31" s="243" t="n">
        <v>30</v>
      </c>
      <c r="B31" s="323" t="inlineStr">
        <is>
          <t>Манометр технический</t>
        </is>
      </c>
      <c r="C31" s="321" t="inlineStr">
        <is>
          <t>Rotork</t>
        </is>
      </c>
      <c r="D31" s="321" t="inlineStr">
        <is>
          <t>15457</t>
        </is>
      </c>
      <c r="E31" s="321" t="inlineStr">
        <is>
          <t>2010</t>
        </is>
      </c>
      <c r="F31" s="321" t="inlineStr">
        <is>
          <t>0…160 бар</t>
        </is>
      </c>
      <c r="G31" s="321" t="inlineStr">
        <is>
          <t>1.6</t>
        </is>
      </c>
      <c r="H31" s="321" t="inlineStr">
        <is>
          <t>кран 62-1</t>
        </is>
      </c>
      <c r="I31" s="321" t="inlineStr">
        <is>
          <t>ГПА 62</t>
        </is>
      </c>
      <c r="J31" s="321" t="inlineStr">
        <is>
          <t>АСУ,А и ТМ (КЦ № 6)</t>
        </is>
      </c>
      <c r="K31" s="321" t="inlineStr">
        <is>
          <t>2013</t>
        </is>
      </c>
      <c r="L31" s="321" t="inlineStr"/>
      <c r="M31" s="321" t="inlineStr"/>
      <c r="N31" s="322" t="inlineStr"/>
    </row>
    <row r="32" ht="22.5" customHeight="1" s="236">
      <c r="A32" s="243" t="n">
        <v>31</v>
      </c>
      <c r="B32" s="323" t="inlineStr">
        <is>
          <t>Манометр технический</t>
        </is>
      </c>
      <c r="C32" s="321" t="inlineStr">
        <is>
          <t>Fisher</t>
        </is>
      </c>
      <c r="D32" s="321" t="inlineStr">
        <is>
          <t>15458</t>
        </is>
      </c>
      <c r="E32" s="321" t="inlineStr">
        <is>
          <t>2010</t>
        </is>
      </c>
      <c r="F32" s="321" t="inlineStr">
        <is>
          <t>0…160 кгс/см²</t>
        </is>
      </c>
      <c r="G32" s="321" t="inlineStr">
        <is>
          <t>1.6</t>
        </is>
      </c>
      <c r="H32" s="321" t="inlineStr">
        <is>
          <t>кран 62-6к</t>
        </is>
      </c>
      <c r="I32" s="321" t="inlineStr">
        <is>
          <t>ГПА 62</t>
        </is>
      </c>
      <c r="J32" s="321" t="inlineStr">
        <is>
          <t>АСУ,А и ТМ (КЦ № 6)</t>
        </is>
      </c>
      <c r="K32" s="321" t="inlineStr">
        <is>
          <t>2013</t>
        </is>
      </c>
      <c r="L32" s="321" t="inlineStr"/>
      <c r="M32" s="321" t="inlineStr"/>
      <c r="N32" s="322" t="inlineStr"/>
    </row>
    <row r="33" ht="22.5" customHeight="1" s="236">
      <c r="A33" s="243" t="n">
        <v>32</v>
      </c>
      <c r="B33" s="323" t="inlineStr">
        <is>
          <t>Манометр технический</t>
        </is>
      </c>
      <c r="C33" s="321" t="inlineStr">
        <is>
          <t>Fisher</t>
        </is>
      </c>
      <c r="D33" s="321" t="inlineStr">
        <is>
          <t>15459</t>
        </is>
      </c>
      <c r="E33" s="321" t="inlineStr">
        <is>
          <t>2010</t>
        </is>
      </c>
      <c r="F33" s="321" t="inlineStr">
        <is>
          <t>0…1000 кПа</t>
        </is>
      </c>
      <c r="G33" s="321" t="inlineStr">
        <is>
          <t>2.5</t>
        </is>
      </c>
      <c r="H33" s="321" t="inlineStr">
        <is>
          <t>кран 62-6к</t>
        </is>
      </c>
      <c r="I33" s="321" t="inlineStr">
        <is>
          <t>ГПА 62</t>
        </is>
      </c>
      <c r="J33" s="321" t="inlineStr">
        <is>
          <t>АСУ,А и ТМ (КЦ № 6)</t>
        </is>
      </c>
      <c r="K33" s="321" t="inlineStr">
        <is>
          <t>2013</t>
        </is>
      </c>
      <c r="L33" s="321" t="inlineStr"/>
      <c r="M33" s="321" t="inlineStr"/>
      <c r="N33" s="322" t="inlineStr"/>
    </row>
    <row r="34" ht="22.5" customHeight="1" s="236">
      <c r="A34" s="243" t="n">
        <v>33</v>
      </c>
      <c r="B34" s="323" t="inlineStr">
        <is>
          <t>Манометр технический</t>
        </is>
      </c>
      <c r="C34" s="321" t="inlineStr">
        <is>
          <t>Fisher</t>
        </is>
      </c>
      <c r="D34" s="321" t="inlineStr">
        <is>
          <t>15460</t>
        </is>
      </c>
      <c r="E34" s="321" t="inlineStr">
        <is>
          <t>2010</t>
        </is>
      </c>
      <c r="F34" s="321" t="inlineStr">
        <is>
          <t>0…1000 кПа</t>
        </is>
      </c>
      <c r="G34" s="321" t="inlineStr">
        <is>
          <t>2.5</t>
        </is>
      </c>
      <c r="H34" s="321" t="inlineStr">
        <is>
          <t>кран 62-6к</t>
        </is>
      </c>
      <c r="I34" s="321" t="inlineStr">
        <is>
          <t>ГПА 62</t>
        </is>
      </c>
      <c r="J34" s="321" t="inlineStr">
        <is>
          <t>АСУ,А и ТМ (КЦ № 6)</t>
        </is>
      </c>
      <c r="K34" s="321" t="inlineStr">
        <is>
          <t>2013</t>
        </is>
      </c>
      <c r="L34" s="321" t="inlineStr"/>
      <c r="M34" s="321" t="inlineStr"/>
      <c r="N34" s="322" t="inlineStr"/>
    </row>
    <row r="35" ht="22.5" customHeight="1" s="236">
      <c r="A35" s="243" t="n">
        <v>34</v>
      </c>
      <c r="B35" s="323" t="inlineStr">
        <is>
          <t>Манометр технический</t>
        </is>
      </c>
      <c r="C35" s="321" t="inlineStr">
        <is>
          <t>Rotork</t>
        </is>
      </c>
      <c r="D35" s="321" t="inlineStr">
        <is>
          <t>15461</t>
        </is>
      </c>
      <c r="E35" s="321" t="inlineStr">
        <is>
          <t>2010</t>
        </is>
      </c>
      <c r="F35" s="321" t="inlineStr">
        <is>
          <t>0…160 бар</t>
        </is>
      </c>
      <c r="G35" s="321" t="inlineStr">
        <is>
          <t>1.6</t>
        </is>
      </c>
      <c r="H35" s="321" t="inlineStr">
        <is>
          <t>кран 62-6</t>
        </is>
      </c>
      <c r="I35" s="321" t="inlineStr">
        <is>
          <t>ГПА 62</t>
        </is>
      </c>
      <c r="J35" s="321" t="inlineStr">
        <is>
          <t>АСУ,А и ТМ (КЦ № 6)</t>
        </is>
      </c>
      <c r="K35" s="321" t="inlineStr">
        <is>
          <t>2013</t>
        </is>
      </c>
      <c r="L35" s="321" t="inlineStr"/>
      <c r="M35" s="321" t="inlineStr"/>
      <c r="N35" s="322" t="inlineStr"/>
    </row>
    <row r="36" ht="22.5" customHeight="1" s="236">
      <c r="A36" s="243" t="n">
        <v>35</v>
      </c>
      <c r="B36" s="323" t="inlineStr">
        <is>
          <t>Манометр технический</t>
        </is>
      </c>
      <c r="C36" s="321" t="inlineStr">
        <is>
          <t>Rotork</t>
        </is>
      </c>
      <c r="D36" s="321" t="inlineStr">
        <is>
          <t>15462</t>
        </is>
      </c>
      <c r="E36" s="321" t="inlineStr">
        <is>
          <t>2010</t>
        </is>
      </c>
      <c r="F36" s="321" t="inlineStr">
        <is>
          <t>0…160 бар</t>
        </is>
      </c>
      <c r="G36" s="321" t="inlineStr">
        <is>
          <t>1.6</t>
        </is>
      </c>
      <c r="H36" s="321" t="inlineStr">
        <is>
          <t>кран 62-2</t>
        </is>
      </c>
      <c r="I36" s="321" t="inlineStr">
        <is>
          <t>ГПА 62</t>
        </is>
      </c>
      <c r="J36" s="321" t="inlineStr">
        <is>
          <t>АСУ,А и ТМ (КЦ № 6)</t>
        </is>
      </c>
      <c r="K36" s="321" t="inlineStr">
        <is>
          <t>2013</t>
        </is>
      </c>
      <c r="L36" s="321" t="inlineStr"/>
      <c r="M36" s="321" t="inlineStr"/>
      <c r="N36" s="322" t="inlineStr"/>
    </row>
    <row r="37" ht="22.5" customHeight="1" s="236">
      <c r="A37" s="243" t="n">
        <v>36</v>
      </c>
      <c r="B37" s="323" t="inlineStr">
        <is>
          <t>Манометр технический</t>
        </is>
      </c>
      <c r="C37" s="321" t="inlineStr">
        <is>
          <t>WIKA</t>
        </is>
      </c>
      <c r="D37" s="321" t="inlineStr">
        <is>
          <t>М321</t>
        </is>
      </c>
      <c r="E37" s="321" t="inlineStr">
        <is>
          <t>2010</t>
        </is>
      </c>
      <c r="F37" s="321" t="inlineStr">
        <is>
          <t>0…10 бар</t>
        </is>
      </c>
      <c r="G37" s="321" t="inlineStr">
        <is>
          <t>1.5</t>
        </is>
      </c>
      <c r="H37" s="321" t="inlineStr">
        <is>
          <t>Станция для промывки двигателя</t>
        </is>
      </c>
      <c r="I37" s="321" t="inlineStr">
        <is>
          <t>ГПА 63</t>
        </is>
      </c>
      <c r="J37" s="321" t="inlineStr">
        <is>
          <t>АСУ,А и ТМ (КЦ № 6)</t>
        </is>
      </c>
      <c r="K37" s="321" t="inlineStr">
        <is>
          <t>2012</t>
        </is>
      </c>
      <c r="L37" s="321" t="inlineStr"/>
      <c r="M37" s="321" t="inlineStr"/>
      <c r="N37" s="322" t="inlineStr"/>
    </row>
    <row r="38" ht="22.5" customHeight="1" s="236">
      <c r="A38" s="243" t="n">
        <v>37</v>
      </c>
      <c r="B38" s="323" t="inlineStr">
        <is>
          <t>Манометр технический</t>
        </is>
      </c>
      <c r="C38" s="321" t="inlineStr">
        <is>
          <t>EN 837-1</t>
        </is>
      </c>
      <c r="D38" s="321" t="inlineStr">
        <is>
          <t>85002</t>
        </is>
      </c>
      <c r="E38" s="321" t="inlineStr">
        <is>
          <t>2010</t>
        </is>
      </c>
      <c r="F38" s="321" t="inlineStr">
        <is>
          <t>0…16 бар</t>
        </is>
      </c>
      <c r="G38" s="321" t="inlineStr">
        <is>
          <t>2.5</t>
        </is>
      </c>
      <c r="H38" s="321" t="inlineStr">
        <is>
          <t>Давление топливного газа СК12</t>
        </is>
      </c>
      <c r="I38" s="321" t="inlineStr">
        <is>
          <t>ГПА 63</t>
        </is>
      </c>
      <c r="J38" s="321" t="inlineStr">
        <is>
          <t>АСУ,А и ТМ (КЦ № 6)</t>
        </is>
      </c>
      <c r="K38" s="321" t="inlineStr">
        <is>
          <t>2012</t>
        </is>
      </c>
      <c r="L38" s="321" t="inlineStr"/>
      <c r="M38" s="321" t="inlineStr"/>
      <c r="N38" s="322" t="inlineStr"/>
    </row>
    <row r="39" ht="22.5" customHeight="1" s="236">
      <c r="A39" s="243" t="n">
        <v>38</v>
      </c>
      <c r="B39" s="323" t="inlineStr">
        <is>
          <t>Манометр технический</t>
        </is>
      </c>
      <c r="C39" s="321" t="inlineStr">
        <is>
          <t>EN 837-1</t>
        </is>
      </c>
      <c r="D39" s="321" t="inlineStr">
        <is>
          <t>85009</t>
        </is>
      </c>
      <c r="E39" s="321" t="inlineStr">
        <is>
          <t>2010</t>
        </is>
      </c>
      <c r="F39" s="321" t="inlineStr">
        <is>
          <t>0…100 бар</t>
        </is>
      </c>
      <c r="G39" s="321" t="inlineStr">
        <is>
          <t>2.5</t>
        </is>
      </c>
      <c r="H39" s="321" t="inlineStr">
        <is>
          <t>Давление топливного газа СК12</t>
        </is>
      </c>
      <c r="I39" s="321" t="inlineStr">
        <is>
          <t>ГПА 63</t>
        </is>
      </c>
      <c r="J39" s="321" t="inlineStr">
        <is>
          <t>АСУ,А и ТМ (КЦ № 6)</t>
        </is>
      </c>
      <c r="K39" s="321" t="inlineStr">
        <is>
          <t>2012</t>
        </is>
      </c>
      <c r="L39" s="321" t="inlineStr"/>
      <c r="M39" s="321" t="inlineStr"/>
      <c r="N39" s="322" t="inlineStr"/>
    </row>
    <row r="40" ht="22.5" customHeight="1" s="236">
      <c r="A40" s="243" t="n">
        <v>39</v>
      </c>
      <c r="B40" s="323" t="inlineStr">
        <is>
          <t>Манометр технический</t>
        </is>
      </c>
      <c r="C40" s="321" t="inlineStr">
        <is>
          <t>Rotork</t>
        </is>
      </c>
      <c r="D40" s="321" t="inlineStr">
        <is>
          <t>15463</t>
        </is>
      </c>
      <c r="E40" s="321" t="inlineStr">
        <is>
          <t>2010</t>
        </is>
      </c>
      <c r="F40" s="321" t="inlineStr">
        <is>
          <t>0…160 бар</t>
        </is>
      </c>
      <c r="G40" s="321" t="inlineStr">
        <is>
          <t>1.6</t>
        </is>
      </c>
      <c r="H40" s="321" t="inlineStr">
        <is>
          <t>кран 63-2-1</t>
        </is>
      </c>
      <c r="I40" s="321" t="inlineStr">
        <is>
          <t>ГПА 63</t>
        </is>
      </c>
      <c r="J40" s="321" t="inlineStr">
        <is>
          <t>АСУ,А и ТМ (КЦ № 6)</t>
        </is>
      </c>
      <c r="K40" s="321" t="inlineStr">
        <is>
          <t>2013</t>
        </is>
      </c>
      <c r="L40" s="321" t="inlineStr"/>
      <c r="M40" s="321" t="inlineStr"/>
      <c r="N40" s="322" t="inlineStr"/>
    </row>
    <row r="41" ht="22.5" customHeight="1" s="236">
      <c r="A41" s="243" t="n">
        <v>40</v>
      </c>
      <c r="B41" s="323" t="inlineStr">
        <is>
          <t>Манометр технический</t>
        </is>
      </c>
      <c r="C41" s="321" t="inlineStr">
        <is>
          <t>Rotork</t>
        </is>
      </c>
      <c r="D41" s="321" t="inlineStr">
        <is>
          <t>15464</t>
        </is>
      </c>
      <c r="E41" s="321" t="inlineStr">
        <is>
          <t>2010</t>
        </is>
      </c>
      <c r="F41" s="321" t="inlineStr">
        <is>
          <t>0…160 бар</t>
        </is>
      </c>
      <c r="G41" s="321" t="inlineStr">
        <is>
          <t>1.6</t>
        </is>
      </c>
      <c r="H41" s="321" t="inlineStr">
        <is>
          <t>кран 63-1</t>
        </is>
      </c>
      <c r="I41" s="321" t="inlineStr">
        <is>
          <t>ГПА 63</t>
        </is>
      </c>
      <c r="J41" s="321" t="inlineStr">
        <is>
          <t>АСУ,А и ТМ (КЦ № 6)</t>
        </is>
      </c>
      <c r="K41" s="321" t="inlineStr">
        <is>
          <t>2013</t>
        </is>
      </c>
      <c r="L41" s="321" t="inlineStr"/>
      <c r="M41" s="321" t="inlineStr"/>
      <c r="N41" s="322" t="inlineStr"/>
    </row>
    <row r="42" ht="22.5" customHeight="1" s="236">
      <c r="A42" s="243" t="n">
        <v>41</v>
      </c>
      <c r="B42" s="323" t="inlineStr">
        <is>
          <t>Манометр технический</t>
        </is>
      </c>
      <c r="C42" s="321" t="inlineStr">
        <is>
          <t>Fisher</t>
        </is>
      </c>
      <c r="D42" s="321" t="inlineStr">
        <is>
          <t>15465</t>
        </is>
      </c>
      <c r="E42" s="321" t="inlineStr">
        <is>
          <t>2010</t>
        </is>
      </c>
      <c r="F42" s="321" t="inlineStr">
        <is>
          <t>0…160 кгс/см²</t>
        </is>
      </c>
      <c r="G42" s="321" t="inlineStr">
        <is>
          <t>1.6</t>
        </is>
      </c>
      <c r="H42" s="321" t="inlineStr">
        <is>
          <t>кран 63-6к</t>
        </is>
      </c>
      <c r="I42" s="321" t="inlineStr">
        <is>
          <t>ГПА 63</t>
        </is>
      </c>
      <c r="J42" s="321" t="inlineStr">
        <is>
          <t>АСУ,А и ТМ (КЦ № 6)</t>
        </is>
      </c>
      <c r="K42" s="321" t="inlineStr">
        <is>
          <t>2013</t>
        </is>
      </c>
      <c r="L42" s="321" t="inlineStr"/>
      <c r="M42" s="321" t="inlineStr"/>
      <c r="N42" s="322" t="inlineStr"/>
    </row>
    <row r="43" ht="22.5" customHeight="1" s="236">
      <c r="A43" s="243" t="n">
        <v>42</v>
      </c>
      <c r="B43" s="323" t="inlineStr">
        <is>
          <t>Манометр технический</t>
        </is>
      </c>
      <c r="C43" s="321" t="inlineStr">
        <is>
          <t>Fisher</t>
        </is>
      </c>
      <c r="D43" s="321" t="inlineStr">
        <is>
          <t>15466</t>
        </is>
      </c>
      <c r="E43" s="321" t="inlineStr">
        <is>
          <t>2010</t>
        </is>
      </c>
      <c r="F43" s="321" t="inlineStr">
        <is>
          <t>0…1000 кПа</t>
        </is>
      </c>
      <c r="G43" s="321" t="inlineStr">
        <is>
          <t>2.5</t>
        </is>
      </c>
      <c r="H43" s="321" t="inlineStr">
        <is>
          <t>кран 63-6к</t>
        </is>
      </c>
      <c r="I43" s="321" t="inlineStr">
        <is>
          <t>ГПА 63</t>
        </is>
      </c>
      <c r="J43" s="321" t="inlineStr">
        <is>
          <t>АСУ,А и ТМ (КЦ № 6)</t>
        </is>
      </c>
      <c r="K43" s="321" t="inlineStr">
        <is>
          <t>2013</t>
        </is>
      </c>
      <c r="L43" s="321" t="inlineStr"/>
      <c r="M43" s="321" t="inlineStr"/>
      <c r="N43" s="322" t="inlineStr"/>
    </row>
    <row r="44" ht="22.5" customHeight="1" s="236">
      <c r="A44" s="243" t="n">
        <v>43</v>
      </c>
      <c r="B44" s="323" t="inlineStr">
        <is>
          <t>Манометр технический</t>
        </is>
      </c>
      <c r="C44" s="321" t="inlineStr">
        <is>
          <t>Fisher</t>
        </is>
      </c>
      <c r="D44" s="321" t="inlineStr">
        <is>
          <t>15467</t>
        </is>
      </c>
      <c r="E44" s="321" t="inlineStr">
        <is>
          <t>2010</t>
        </is>
      </c>
      <c r="F44" s="321" t="inlineStr">
        <is>
          <t>0…1000 кПа</t>
        </is>
      </c>
      <c r="G44" s="321" t="inlineStr">
        <is>
          <t>2.5</t>
        </is>
      </c>
      <c r="H44" s="321" t="inlineStr">
        <is>
          <t>кран 63-6к</t>
        </is>
      </c>
      <c r="I44" s="321" t="inlineStr">
        <is>
          <t>ГПА 63</t>
        </is>
      </c>
      <c r="J44" s="321" t="inlineStr">
        <is>
          <t>АСУ,А и ТМ (КЦ № 6)</t>
        </is>
      </c>
      <c r="K44" s="321" t="inlineStr">
        <is>
          <t>2013</t>
        </is>
      </c>
      <c r="L44" s="321" t="inlineStr"/>
      <c r="M44" s="321" t="inlineStr"/>
      <c r="N44" s="322" t="inlineStr"/>
    </row>
    <row r="45" ht="22.5" customHeight="1" s="236">
      <c r="A45" s="243" t="n">
        <v>44</v>
      </c>
      <c r="B45" s="323" t="inlineStr">
        <is>
          <t>Манометр технический</t>
        </is>
      </c>
      <c r="C45" s="321" t="inlineStr">
        <is>
          <t>Rotork</t>
        </is>
      </c>
      <c r="D45" s="321" t="inlineStr">
        <is>
          <t>15468</t>
        </is>
      </c>
      <c r="E45" s="321" t="inlineStr">
        <is>
          <t>2010</t>
        </is>
      </c>
      <c r="F45" s="321" t="inlineStr">
        <is>
          <t>0…160 бар</t>
        </is>
      </c>
      <c r="G45" s="321" t="inlineStr">
        <is>
          <t>1.6</t>
        </is>
      </c>
      <c r="H45" s="321" t="inlineStr">
        <is>
          <t>кран 63-6</t>
        </is>
      </c>
      <c r="I45" s="321" t="inlineStr">
        <is>
          <t>ГПА 63</t>
        </is>
      </c>
      <c r="J45" s="321" t="inlineStr">
        <is>
          <t>АСУ,А и ТМ (КЦ № 6)</t>
        </is>
      </c>
      <c r="K45" s="321" t="inlineStr">
        <is>
          <t>2013</t>
        </is>
      </c>
      <c r="L45" s="321" t="inlineStr"/>
      <c r="M45" s="321" t="inlineStr"/>
      <c r="N45" s="322" t="inlineStr"/>
    </row>
    <row r="46" ht="22.5" customHeight="1" s="236">
      <c r="A46" s="243" t="n">
        <v>45</v>
      </c>
      <c r="B46" s="323" t="inlineStr">
        <is>
          <t>Манометр технический</t>
        </is>
      </c>
      <c r="C46" s="321" t="inlineStr">
        <is>
          <t>Rotork</t>
        </is>
      </c>
      <c r="D46" s="321" t="inlineStr">
        <is>
          <t>15469</t>
        </is>
      </c>
      <c r="E46" s="321" t="inlineStr">
        <is>
          <t>2010</t>
        </is>
      </c>
      <c r="F46" s="321" t="inlineStr">
        <is>
          <t>0…160 бар</t>
        </is>
      </c>
      <c r="G46" s="321" t="inlineStr">
        <is>
          <t>1.6</t>
        </is>
      </c>
      <c r="H46" s="321" t="inlineStr">
        <is>
          <t>кран 63-2</t>
        </is>
      </c>
      <c r="I46" s="321" t="inlineStr">
        <is>
          <t>ГПА 63</t>
        </is>
      </c>
      <c r="J46" s="321" t="inlineStr">
        <is>
          <t>АСУ,А и ТМ (КЦ № 6)</t>
        </is>
      </c>
      <c r="K46" s="321" t="inlineStr">
        <is>
          <t>2013</t>
        </is>
      </c>
      <c r="L46" s="321" t="inlineStr"/>
      <c r="M46" s="321" t="inlineStr"/>
      <c r="N46" s="322" t="inlineStr"/>
    </row>
    <row r="47" ht="22.5" customHeight="1" s="236">
      <c r="A47" s="243" t="n">
        <v>46</v>
      </c>
      <c r="B47" s="323" t="inlineStr">
        <is>
          <t>Манометр технический</t>
        </is>
      </c>
      <c r="C47" s="321" t="inlineStr">
        <is>
          <t>WIKA</t>
        </is>
      </c>
      <c r="D47" s="321" t="inlineStr">
        <is>
          <t>М312</t>
        </is>
      </c>
      <c r="E47" s="321" t="inlineStr">
        <is>
          <t>2010</t>
        </is>
      </c>
      <c r="F47" s="321" t="inlineStr">
        <is>
          <t>0…10 бар</t>
        </is>
      </c>
      <c r="G47" s="321" t="inlineStr">
        <is>
          <t>1,5</t>
        </is>
      </c>
      <c r="H47" s="321" t="inlineStr">
        <is>
          <t>Станция для промывки двигателя</t>
        </is>
      </c>
      <c r="I47" s="321" t="inlineStr">
        <is>
          <t>ГПА 64</t>
        </is>
      </c>
      <c r="J47" s="321" t="inlineStr">
        <is>
          <t>АСУ,А и ТМ (КЦ № 6)</t>
        </is>
      </c>
      <c r="K47" s="321" t="inlineStr">
        <is>
          <t>2012</t>
        </is>
      </c>
      <c r="L47" s="321" t="inlineStr"/>
      <c r="M47" s="321" t="inlineStr"/>
      <c r="N47" s="322" t="inlineStr"/>
    </row>
    <row r="48" ht="22.5" customHeight="1" s="236">
      <c r="A48" s="243" t="n">
        <v>47</v>
      </c>
      <c r="B48" s="323" t="inlineStr">
        <is>
          <t>Манометр технический</t>
        </is>
      </c>
      <c r="C48" s="321" t="inlineStr">
        <is>
          <t>EN 837-1</t>
        </is>
      </c>
      <c r="D48" s="321" t="inlineStr">
        <is>
          <t>84997</t>
        </is>
      </c>
      <c r="E48" s="321" t="inlineStr">
        <is>
          <t>2010</t>
        </is>
      </c>
      <c r="F48" s="321" t="inlineStr">
        <is>
          <t>0…16 бар</t>
        </is>
      </c>
      <c r="G48" s="321" t="inlineStr">
        <is>
          <t>2,5</t>
        </is>
      </c>
      <c r="H48" s="321" t="inlineStr">
        <is>
          <t>Давление топливного газа СК12</t>
        </is>
      </c>
      <c r="I48" s="321" t="inlineStr">
        <is>
          <t>ГПА 64</t>
        </is>
      </c>
      <c r="J48" s="321" t="inlineStr">
        <is>
          <t>АСУ,А и ТМ (КЦ № 6)</t>
        </is>
      </c>
      <c r="K48" s="321" t="inlineStr">
        <is>
          <t>2012</t>
        </is>
      </c>
      <c r="L48" s="321" t="inlineStr"/>
      <c r="M48" s="321" t="inlineStr"/>
      <c r="N48" s="322" t="inlineStr"/>
    </row>
    <row r="49" ht="22.5" customHeight="1" s="236">
      <c r="A49" s="243" t="n">
        <v>48</v>
      </c>
      <c r="B49" s="323" t="inlineStr">
        <is>
          <t>Манометр технический</t>
        </is>
      </c>
      <c r="C49" s="321" t="inlineStr">
        <is>
          <t>EN 837-1</t>
        </is>
      </c>
      <c r="D49" s="321" t="inlineStr">
        <is>
          <t>85010</t>
        </is>
      </c>
      <c r="E49" s="321" t="inlineStr">
        <is>
          <t>2010</t>
        </is>
      </c>
      <c r="F49" s="321" t="inlineStr">
        <is>
          <t>0…100 бар</t>
        </is>
      </c>
      <c r="G49" s="321" t="inlineStr">
        <is>
          <t>2,5</t>
        </is>
      </c>
      <c r="H49" s="321" t="inlineStr">
        <is>
          <t>Давление топливного газа СК12</t>
        </is>
      </c>
      <c r="I49" s="321" t="inlineStr">
        <is>
          <t>ГПА 64</t>
        </is>
      </c>
      <c r="J49" s="321" t="inlineStr">
        <is>
          <t>АСУ,А и ТМ (КЦ № 6)</t>
        </is>
      </c>
      <c r="K49" s="321" t="inlineStr">
        <is>
          <t>2012</t>
        </is>
      </c>
      <c r="L49" s="321" t="inlineStr"/>
      <c r="M49" s="321" t="inlineStr"/>
      <c r="N49" s="322" t="inlineStr"/>
    </row>
    <row r="50" ht="22.5" customHeight="1" s="236">
      <c r="A50" s="243" t="n">
        <v>49</v>
      </c>
      <c r="B50" s="323" t="inlineStr">
        <is>
          <t>Манометр технический</t>
        </is>
      </c>
      <c r="C50" s="321" t="inlineStr">
        <is>
          <t>Rotork</t>
        </is>
      </c>
      <c r="D50" s="321" t="inlineStr">
        <is>
          <t>15470</t>
        </is>
      </c>
      <c r="E50" s="321" t="inlineStr">
        <is>
          <t>2010</t>
        </is>
      </c>
      <c r="F50" s="321" t="inlineStr">
        <is>
          <t>0…160 бар</t>
        </is>
      </c>
      <c r="G50" s="321" t="inlineStr">
        <is>
          <t>1.6</t>
        </is>
      </c>
      <c r="H50" s="321" t="inlineStr">
        <is>
          <t>кран 64-2-1</t>
        </is>
      </c>
      <c r="I50" s="321" t="inlineStr">
        <is>
          <t>ГПА 64</t>
        </is>
      </c>
      <c r="J50" s="321" t="inlineStr">
        <is>
          <t>АСУ,А и ТМ (КЦ № 6)</t>
        </is>
      </c>
      <c r="K50" s="321" t="inlineStr">
        <is>
          <t>2013</t>
        </is>
      </c>
      <c r="L50" s="321" t="inlineStr"/>
      <c r="M50" s="321" t="inlineStr"/>
      <c r="N50" s="322" t="inlineStr"/>
    </row>
    <row r="51" ht="22.5" customHeight="1" s="236">
      <c r="A51" s="243" t="n">
        <v>50</v>
      </c>
      <c r="B51" s="323" t="inlineStr">
        <is>
          <t>Манометр технический</t>
        </is>
      </c>
      <c r="C51" s="321" t="inlineStr">
        <is>
          <t>Rotork</t>
        </is>
      </c>
      <c r="D51" s="321" t="inlineStr">
        <is>
          <t>15471</t>
        </is>
      </c>
      <c r="E51" s="321" t="inlineStr">
        <is>
          <t>2010</t>
        </is>
      </c>
      <c r="F51" s="321" t="inlineStr">
        <is>
          <t>0…160 бар</t>
        </is>
      </c>
      <c r="G51" s="321" t="inlineStr">
        <is>
          <t>1.6</t>
        </is>
      </c>
      <c r="H51" s="321" t="inlineStr">
        <is>
          <t>кран 64-1</t>
        </is>
      </c>
      <c r="I51" s="321" t="inlineStr">
        <is>
          <t>ГПА 64</t>
        </is>
      </c>
      <c r="J51" s="321" t="inlineStr">
        <is>
          <t>АСУ,А и ТМ (КЦ № 6)</t>
        </is>
      </c>
      <c r="K51" s="321" t="inlineStr">
        <is>
          <t>2013</t>
        </is>
      </c>
      <c r="L51" s="321" t="inlineStr"/>
      <c r="M51" s="321" t="inlineStr"/>
      <c r="N51" s="322" t="inlineStr"/>
    </row>
    <row r="52" ht="22.5" customHeight="1" s="236">
      <c r="A52" s="243" t="n">
        <v>51</v>
      </c>
      <c r="B52" s="323" t="inlineStr">
        <is>
          <t>Манометр технический</t>
        </is>
      </c>
      <c r="C52" s="321" t="inlineStr">
        <is>
          <t>Fisher</t>
        </is>
      </c>
      <c r="D52" s="321" t="inlineStr">
        <is>
          <t>15472</t>
        </is>
      </c>
      <c r="E52" s="321" t="inlineStr">
        <is>
          <t>2010</t>
        </is>
      </c>
      <c r="F52" s="321" t="inlineStr">
        <is>
          <t>0…160 кгс/см²</t>
        </is>
      </c>
      <c r="G52" s="321" t="inlineStr">
        <is>
          <t>1.6</t>
        </is>
      </c>
      <c r="H52" s="321" t="inlineStr">
        <is>
          <t>кран 64-6к</t>
        </is>
      </c>
      <c r="I52" s="321" t="inlineStr">
        <is>
          <t>ГПА 64</t>
        </is>
      </c>
      <c r="J52" s="321" t="inlineStr">
        <is>
          <t>АСУ,А и ТМ (КЦ № 6)</t>
        </is>
      </c>
      <c r="K52" s="321" t="inlineStr">
        <is>
          <t>2013</t>
        </is>
      </c>
      <c r="L52" s="321" t="inlineStr"/>
      <c r="M52" s="321" t="inlineStr"/>
      <c r="N52" s="322" t="inlineStr"/>
    </row>
    <row r="53" ht="22.5" customHeight="1" s="236">
      <c r="A53" s="243" t="n">
        <v>52</v>
      </c>
      <c r="B53" s="323" t="inlineStr">
        <is>
          <t>Манометр технический</t>
        </is>
      </c>
      <c r="C53" s="321" t="inlineStr">
        <is>
          <t>Fisher</t>
        </is>
      </c>
      <c r="D53" s="321" t="inlineStr">
        <is>
          <t>15473</t>
        </is>
      </c>
      <c r="E53" s="321" t="inlineStr">
        <is>
          <t>2010</t>
        </is>
      </c>
      <c r="F53" s="321" t="inlineStr">
        <is>
          <t>0…1000 кПа</t>
        </is>
      </c>
      <c r="G53" s="321" t="inlineStr">
        <is>
          <t>2.5</t>
        </is>
      </c>
      <c r="H53" s="321" t="inlineStr">
        <is>
          <t>кран 64-6к</t>
        </is>
      </c>
      <c r="I53" s="321" t="inlineStr">
        <is>
          <t>ГПА 64</t>
        </is>
      </c>
      <c r="J53" s="321" t="inlineStr">
        <is>
          <t>АСУ,А и ТМ (КЦ № 6)</t>
        </is>
      </c>
      <c r="K53" s="321" t="inlineStr">
        <is>
          <t>2013</t>
        </is>
      </c>
      <c r="L53" s="321" t="inlineStr"/>
      <c r="M53" s="321" t="inlineStr"/>
      <c r="N53" s="322" t="inlineStr"/>
    </row>
    <row r="54" ht="22.5" customHeight="1" s="236">
      <c r="A54" s="243" t="n">
        <v>53</v>
      </c>
      <c r="B54" s="323" t="inlineStr">
        <is>
          <t>Манометр технический</t>
        </is>
      </c>
      <c r="C54" s="321" t="inlineStr">
        <is>
          <t>Fisher</t>
        </is>
      </c>
      <c r="D54" s="321" t="inlineStr">
        <is>
          <t>15474</t>
        </is>
      </c>
      <c r="E54" s="321" t="inlineStr">
        <is>
          <t>2010</t>
        </is>
      </c>
      <c r="F54" s="321" t="inlineStr">
        <is>
          <t>0…1000 кПа</t>
        </is>
      </c>
      <c r="G54" s="321" t="inlineStr">
        <is>
          <t>2.5</t>
        </is>
      </c>
      <c r="H54" s="321" t="inlineStr">
        <is>
          <t>кран 64-6к</t>
        </is>
      </c>
      <c r="I54" s="321" t="inlineStr">
        <is>
          <t>ГПА 64</t>
        </is>
      </c>
      <c r="J54" s="321" t="inlineStr">
        <is>
          <t>АСУ,А и ТМ (КЦ № 6)</t>
        </is>
      </c>
      <c r="K54" s="321" t="inlineStr">
        <is>
          <t>2013</t>
        </is>
      </c>
      <c r="L54" s="321" t="inlineStr"/>
      <c r="M54" s="321" t="inlineStr"/>
      <c r="N54" s="322" t="inlineStr"/>
    </row>
    <row r="55" ht="22.5" customHeight="1" s="236">
      <c r="A55" s="243" t="n">
        <v>54</v>
      </c>
      <c r="B55" s="323" t="inlineStr">
        <is>
          <t>Манометр технический</t>
        </is>
      </c>
      <c r="C55" s="321" t="inlineStr">
        <is>
          <t>Rotork</t>
        </is>
      </c>
      <c r="D55" s="321" t="inlineStr">
        <is>
          <t>15475</t>
        </is>
      </c>
      <c r="E55" s="321" t="inlineStr">
        <is>
          <t>2010</t>
        </is>
      </c>
      <c r="F55" s="321" t="inlineStr">
        <is>
          <t>0…160 бар</t>
        </is>
      </c>
      <c r="G55" s="321" t="inlineStr">
        <is>
          <t>1.6</t>
        </is>
      </c>
      <c r="H55" s="321" t="inlineStr">
        <is>
          <t>кран 64-6</t>
        </is>
      </c>
      <c r="I55" s="321" t="inlineStr">
        <is>
          <t>ГПА 64</t>
        </is>
      </c>
      <c r="J55" s="321" t="inlineStr">
        <is>
          <t>АСУ,А и ТМ (КЦ № 6)</t>
        </is>
      </c>
      <c r="K55" s="321" t="inlineStr">
        <is>
          <t>2013</t>
        </is>
      </c>
      <c r="L55" s="321" t="inlineStr"/>
      <c r="M55" s="321" t="inlineStr"/>
      <c r="N55" s="322" t="inlineStr"/>
    </row>
    <row r="56" ht="22.5" customHeight="1" s="236">
      <c r="A56" s="243" t="n">
        <v>55</v>
      </c>
      <c r="B56" s="323" t="inlineStr">
        <is>
          <t>Манометр технический</t>
        </is>
      </c>
      <c r="C56" s="321" t="inlineStr">
        <is>
          <t>Rotork</t>
        </is>
      </c>
      <c r="D56" s="321" t="inlineStr">
        <is>
          <t>15476</t>
        </is>
      </c>
      <c r="E56" s="321" t="inlineStr">
        <is>
          <t>2010</t>
        </is>
      </c>
      <c r="F56" s="321" t="inlineStr">
        <is>
          <t>0…160 бар</t>
        </is>
      </c>
      <c r="G56" s="321" t="inlineStr">
        <is>
          <t>1.6</t>
        </is>
      </c>
      <c r="H56" s="321" t="inlineStr">
        <is>
          <t>кран 64-2</t>
        </is>
      </c>
      <c r="I56" s="321" t="inlineStr">
        <is>
          <t>ГПА 64</t>
        </is>
      </c>
      <c r="J56" s="321" t="inlineStr">
        <is>
          <t>АСУ,А и ТМ (КЦ № 6)</t>
        </is>
      </c>
      <c r="K56" s="321" t="inlineStr">
        <is>
          <t>2013</t>
        </is>
      </c>
      <c r="L56" s="321" t="inlineStr"/>
      <c r="M56" s="321" t="inlineStr"/>
      <c r="N56" s="322" t="inlineStr"/>
    </row>
    <row r="57" ht="22.5" customHeight="1" s="236">
      <c r="A57" s="243" t="n">
        <v>56</v>
      </c>
      <c r="B57" s="323" t="inlineStr">
        <is>
          <t>Манометр технический</t>
        </is>
      </c>
      <c r="C57" s="321" t="inlineStr">
        <is>
          <t>Rotork</t>
        </is>
      </c>
      <c r="D57" s="321" t="inlineStr">
        <is>
          <t>15443</t>
        </is>
      </c>
      <c r="E57" s="321" t="inlineStr">
        <is>
          <t>2010</t>
        </is>
      </c>
      <c r="F57" s="321" t="inlineStr">
        <is>
          <t>0..160 bar</t>
        </is>
      </c>
      <c r="G57" s="321" t="inlineStr">
        <is>
          <t>1.6</t>
        </is>
      </c>
      <c r="H57" s="321" t="inlineStr">
        <is>
          <t>кран 36</t>
        </is>
      </c>
      <c r="I57" s="321" t="inlineStr">
        <is>
          <t>Цех № 6</t>
        </is>
      </c>
      <c r="J57" s="321" t="inlineStr">
        <is>
          <t>АСУ,А и ТМ (КЦ № 6)</t>
        </is>
      </c>
      <c r="K57" s="321" t="inlineStr">
        <is>
          <t>2013</t>
        </is>
      </c>
      <c r="L57" s="321" t="inlineStr"/>
      <c r="M57" s="321" t="inlineStr"/>
      <c r="N57" s="322" t="inlineStr"/>
    </row>
    <row r="58" ht="22.5" customHeight="1" s="236">
      <c r="A58" s="243" t="n">
        <v>57</v>
      </c>
      <c r="B58" s="323" t="inlineStr">
        <is>
          <t>Манометр технический</t>
        </is>
      </c>
      <c r="C58" s="321" t="inlineStr">
        <is>
          <t>EN 837-1</t>
        </is>
      </c>
      <c r="D58" s="321" t="inlineStr">
        <is>
          <t>15561</t>
        </is>
      </c>
      <c r="E58" s="321" t="inlineStr">
        <is>
          <t>2010</t>
        </is>
      </c>
      <c r="F58" s="321" t="inlineStr">
        <is>
          <t>0…16 бар</t>
        </is>
      </c>
      <c r="G58" s="321" t="inlineStr">
        <is>
          <t>1.5</t>
        </is>
      </c>
      <c r="H58" s="321" t="inlineStr">
        <is>
          <t>кран 36к</t>
        </is>
      </c>
      <c r="I58" s="321" t="inlineStr">
        <is>
          <t>Цех № 6</t>
        </is>
      </c>
      <c r="J58" s="321" t="inlineStr">
        <is>
          <t>АСУ,А и ТМ (КЦ № 6)</t>
        </is>
      </c>
      <c r="K58" s="321" t="inlineStr">
        <is>
          <t>2013</t>
        </is>
      </c>
      <c r="L58" s="321" t="inlineStr"/>
      <c r="M58" s="321" t="inlineStr"/>
      <c r="N58" s="322" t="inlineStr"/>
    </row>
    <row r="59" ht="22.5" customHeight="1" s="236">
      <c r="A59" s="243" t="n">
        <v>58</v>
      </c>
      <c r="B59" s="323" t="inlineStr">
        <is>
          <t>Манометр технический</t>
        </is>
      </c>
      <c r="C59" s="321" t="inlineStr">
        <is>
          <t>Fisher</t>
        </is>
      </c>
      <c r="D59" s="321" t="inlineStr">
        <is>
          <t>15445</t>
        </is>
      </c>
      <c r="E59" s="321" t="inlineStr">
        <is>
          <t>2010</t>
        </is>
      </c>
      <c r="F59" s="321" t="inlineStr">
        <is>
          <t>0…160 кгс/см²</t>
        </is>
      </c>
      <c r="G59" s="321" t="inlineStr">
        <is>
          <t>1.6</t>
        </is>
      </c>
      <c r="H59" s="321" t="inlineStr">
        <is>
          <t>кран 36к</t>
        </is>
      </c>
      <c r="I59" s="321" t="inlineStr">
        <is>
          <t>Цех № 6</t>
        </is>
      </c>
      <c r="J59" s="321" t="inlineStr">
        <is>
          <t>АСУ,А и ТМ (КЦ № 6)</t>
        </is>
      </c>
      <c r="K59" s="321" t="inlineStr">
        <is>
          <t>2013</t>
        </is>
      </c>
      <c r="L59" s="321" t="inlineStr"/>
      <c r="M59" s="321" t="inlineStr"/>
      <c r="N59" s="322" t="inlineStr"/>
    </row>
    <row r="60" ht="22.5" customHeight="1" s="236">
      <c r="A60" s="243" t="n">
        <v>59</v>
      </c>
      <c r="B60" s="323" t="inlineStr">
        <is>
          <t>Манометр технический</t>
        </is>
      </c>
      <c r="C60" s="321" t="inlineStr">
        <is>
          <t>Fisher</t>
        </is>
      </c>
      <c r="D60" s="321" t="inlineStr">
        <is>
          <t>15446</t>
        </is>
      </c>
      <c r="E60" s="321" t="inlineStr">
        <is>
          <t>2010</t>
        </is>
      </c>
      <c r="F60" s="321" t="inlineStr">
        <is>
          <t>0…1000 кПа</t>
        </is>
      </c>
      <c r="G60" s="321" t="inlineStr">
        <is>
          <t>2.5</t>
        </is>
      </c>
      <c r="H60" s="321" t="inlineStr">
        <is>
          <t>кран 36к</t>
        </is>
      </c>
      <c r="I60" s="321" t="inlineStr">
        <is>
          <t>Цех № 6</t>
        </is>
      </c>
      <c r="J60" s="321" t="inlineStr">
        <is>
          <t>АСУ,А и ТМ (КЦ № 6)</t>
        </is>
      </c>
      <c r="K60" s="321" t="inlineStr">
        <is>
          <t>2013</t>
        </is>
      </c>
      <c r="L60" s="321" t="inlineStr"/>
      <c r="M60" s="321" t="inlineStr"/>
      <c r="N60" s="322" t="inlineStr"/>
    </row>
    <row r="61" ht="22.5" customHeight="1" s="236">
      <c r="A61" s="243" t="n">
        <v>60</v>
      </c>
      <c r="B61" s="323" t="inlineStr">
        <is>
          <t>Манометр технический</t>
        </is>
      </c>
      <c r="C61" s="321" t="inlineStr">
        <is>
          <t>Fisher</t>
        </is>
      </c>
      <c r="D61" s="321" t="inlineStr">
        <is>
          <t>15447</t>
        </is>
      </c>
      <c r="E61" s="321" t="inlineStr">
        <is>
          <t>2010</t>
        </is>
      </c>
      <c r="F61" s="321" t="inlineStr">
        <is>
          <t>0…1000 кПа</t>
        </is>
      </c>
      <c r="G61" s="321" t="inlineStr">
        <is>
          <t>2.5</t>
        </is>
      </c>
      <c r="H61" s="321" t="inlineStr">
        <is>
          <t>кран 36к</t>
        </is>
      </c>
      <c r="I61" s="321" t="inlineStr">
        <is>
          <t>Цех № 6</t>
        </is>
      </c>
      <c r="J61" s="321" t="inlineStr">
        <is>
          <t>АСУ,А и ТМ (КЦ № 6)</t>
        </is>
      </c>
      <c r="K61" s="321" t="inlineStr">
        <is>
          <t>2013</t>
        </is>
      </c>
      <c r="L61" s="321" t="inlineStr"/>
      <c r="M61" s="321" t="inlineStr"/>
      <c r="N61" s="322" t="inlineStr"/>
    </row>
    <row r="62" ht="22.5" customHeight="1" s="236">
      <c r="A62" s="243" t="n">
        <v>61</v>
      </c>
      <c r="B62" s="323" t="inlineStr">
        <is>
          <t>Манометр технический</t>
        </is>
      </c>
      <c r="C62" s="321" t="inlineStr">
        <is>
          <t>Rotork</t>
        </is>
      </c>
      <c r="D62" s="321" t="inlineStr">
        <is>
          <t>15448</t>
        </is>
      </c>
      <c r="E62" s="321" t="inlineStr">
        <is>
          <t>2010</t>
        </is>
      </c>
      <c r="F62" s="321" t="inlineStr">
        <is>
          <t>0…160 бар</t>
        </is>
      </c>
      <c r="G62" s="321" t="inlineStr">
        <is>
          <t>1.6</t>
        </is>
      </c>
      <c r="H62" s="321" t="inlineStr">
        <is>
          <t>кран 36р</t>
        </is>
      </c>
      <c r="I62" s="321" t="inlineStr">
        <is>
          <t>Цех № 6</t>
        </is>
      </c>
      <c r="J62" s="321" t="inlineStr">
        <is>
          <t>АСУ,А и ТМ (КЦ № 6)</t>
        </is>
      </c>
      <c r="K62" s="321" t="inlineStr">
        <is>
          <t>2013</t>
        </is>
      </c>
      <c r="L62" s="321" t="inlineStr"/>
      <c r="M62" s="321" t="inlineStr"/>
      <c r="N62" s="322" t="inlineStr"/>
    </row>
    <row r="63" ht="22.5" customHeight="1" s="236">
      <c r="A63" s="243" t="n">
        <v>62</v>
      </c>
      <c r="B63" s="323" t="inlineStr">
        <is>
          <t>Манометр технический</t>
        </is>
      </c>
      <c r="C63" s="321" t="inlineStr">
        <is>
          <t>Rotork</t>
        </is>
      </c>
      <c r="D63" s="321" t="inlineStr">
        <is>
          <t>15477</t>
        </is>
      </c>
      <c r="E63" s="321" t="inlineStr">
        <is>
          <t>2010</t>
        </is>
      </c>
      <c r="F63" s="321" t="inlineStr">
        <is>
          <t>0…160 бар</t>
        </is>
      </c>
      <c r="G63" s="321" t="inlineStr">
        <is>
          <t>1.6</t>
        </is>
      </c>
      <c r="H63" s="321" t="inlineStr">
        <is>
          <t>кран 86</t>
        </is>
      </c>
      <c r="I63" s="321" t="inlineStr">
        <is>
          <t>Цех № 6</t>
        </is>
      </c>
      <c r="J63" s="321" t="inlineStr">
        <is>
          <t>АСУ,А и ТМ (КЦ № 6)</t>
        </is>
      </c>
      <c r="K63" s="321" t="inlineStr">
        <is>
          <t>2013</t>
        </is>
      </c>
      <c r="L63" s="321" t="inlineStr"/>
      <c r="M63" s="321" t="inlineStr"/>
      <c r="N63" s="322" t="inlineStr"/>
    </row>
    <row r="64" ht="22.5" customHeight="1" s="236">
      <c r="A64" s="243" t="n">
        <v>63</v>
      </c>
      <c r="B64" s="323" t="inlineStr">
        <is>
          <t>Манометр технический</t>
        </is>
      </c>
      <c r="C64" s="321" t="inlineStr">
        <is>
          <t>Rotork</t>
        </is>
      </c>
      <c r="D64" s="321" t="inlineStr">
        <is>
          <t>15478</t>
        </is>
      </c>
      <c r="E64" s="321" t="inlineStr">
        <is>
          <t>2010</t>
        </is>
      </c>
      <c r="F64" s="321" t="inlineStr">
        <is>
          <t>0…160 бар</t>
        </is>
      </c>
      <c r="G64" s="321" t="inlineStr">
        <is>
          <t>1.6</t>
        </is>
      </c>
      <c r="H64" s="321" t="inlineStr">
        <is>
          <t>кран 76</t>
        </is>
      </c>
      <c r="I64" s="321" t="inlineStr">
        <is>
          <t>Цех № 6</t>
        </is>
      </c>
      <c r="J64" s="321" t="inlineStr">
        <is>
          <t>АСУ,А и ТМ (КЦ № 6)</t>
        </is>
      </c>
      <c r="K64" s="321" t="inlineStr">
        <is>
          <t>2013</t>
        </is>
      </c>
      <c r="L64" s="321" t="inlineStr"/>
      <c r="M64" s="321" t="inlineStr"/>
      <c r="N64" s="322" t="inlineStr"/>
    </row>
    <row r="65" ht="22.5" customHeight="1" s="236">
      <c r="A65" s="243" t="n">
        <v>64</v>
      </c>
      <c r="B65" s="323" t="inlineStr">
        <is>
          <t>Манометр технический</t>
        </is>
      </c>
      <c r="C65" s="321" t="inlineStr">
        <is>
          <t>EN837-1</t>
        </is>
      </c>
      <c r="D65" s="321" t="inlineStr">
        <is>
          <t>15479</t>
        </is>
      </c>
      <c r="E65" s="321" t="inlineStr">
        <is>
          <t>2010</t>
        </is>
      </c>
      <c r="F65" s="321" t="inlineStr">
        <is>
          <t>0…250 бар</t>
        </is>
      </c>
      <c r="G65" s="321" t="inlineStr">
        <is>
          <t>1.6</t>
        </is>
      </c>
      <c r="H65" s="321" t="inlineStr">
        <is>
          <t>Кран 7-1</t>
        </is>
      </c>
      <c r="I65" s="321" t="inlineStr">
        <is>
          <t>Узел подключения</t>
        </is>
      </c>
      <c r="J65" s="321" t="inlineStr">
        <is>
          <t>АСУ,А и ТМ (КЦ № 6)</t>
        </is>
      </c>
      <c r="K65" s="321" t="inlineStr">
        <is>
          <t>2012</t>
        </is>
      </c>
      <c r="L65" s="321" t="inlineStr"/>
      <c r="M65" s="321" t="inlineStr"/>
      <c r="N65" s="322" t="inlineStr"/>
    </row>
    <row r="66" ht="22.5" customHeight="1" s="236">
      <c r="A66" s="243" t="n">
        <v>65</v>
      </c>
      <c r="B66" s="323" t="inlineStr">
        <is>
          <t>Манометр технический</t>
        </is>
      </c>
      <c r="C66" s="321" t="inlineStr">
        <is>
          <t>EN837-1</t>
        </is>
      </c>
      <c r="D66" s="321" t="inlineStr">
        <is>
          <t>15480</t>
        </is>
      </c>
      <c r="E66" s="321" t="inlineStr">
        <is>
          <t>2010</t>
        </is>
      </c>
      <c r="F66" s="321" t="inlineStr">
        <is>
          <t>0…250 бар</t>
        </is>
      </c>
      <c r="G66" s="321" t="inlineStr">
        <is>
          <t>1.6</t>
        </is>
      </c>
      <c r="H66" s="321" t="inlineStr">
        <is>
          <t>Кран 17</t>
        </is>
      </c>
      <c r="I66" s="321" t="inlineStr">
        <is>
          <t>Узел подключения</t>
        </is>
      </c>
      <c r="J66" s="321" t="inlineStr">
        <is>
          <t>АСУ,А и ТМ (КЦ № 6)</t>
        </is>
      </c>
      <c r="K66" s="321" t="inlineStr">
        <is>
          <t>2012</t>
        </is>
      </c>
      <c r="L66" s="321" t="inlineStr"/>
      <c r="M66" s="321" t="inlineStr"/>
      <c r="N66" s="322" t="inlineStr"/>
    </row>
    <row r="67" ht="22.5" customHeight="1" s="236">
      <c r="A67" s="243" t="n">
        <v>66</v>
      </c>
      <c r="B67" s="323" t="inlineStr">
        <is>
          <t>Манометр технический</t>
        </is>
      </c>
      <c r="C67" s="321" t="inlineStr">
        <is>
          <t>EN837-1</t>
        </is>
      </c>
      <c r="D67" s="321" t="inlineStr">
        <is>
          <t>15481</t>
        </is>
      </c>
      <c r="E67" s="321" t="inlineStr">
        <is>
          <t>2010</t>
        </is>
      </c>
      <c r="F67" s="321" t="inlineStr">
        <is>
          <t>0…250 бар</t>
        </is>
      </c>
      <c r="G67" s="321" t="inlineStr">
        <is>
          <t>1.6</t>
        </is>
      </c>
      <c r="H67" s="321" t="inlineStr">
        <is>
          <t>Кран 8</t>
        </is>
      </c>
      <c r="I67" s="321" t="inlineStr">
        <is>
          <t>Узел подключения</t>
        </is>
      </c>
      <c r="J67" s="321" t="inlineStr">
        <is>
          <t>АСУ,А и ТМ (КЦ № 6)</t>
        </is>
      </c>
      <c r="K67" s="321" t="inlineStr">
        <is>
          <t>2012</t>
        </is>
      </c>
      <c r="L67" s="321" t="inlineStr"/>
      <c r="M67" s="321" t="inlineStr"/>
      <c r="N67" s="322" t="inlineStr"/>
    </row>
    <row r="68" ht="22.5" customHeight="1" s="236">
      <c r="A68" s="243" t="n">
        <v>67</v>
      </c>
      <c r="B68" s="323" t="inlineStr">
        <is>
          <t>Манометр технический</t>
        </is>
      </c>
      <c r="C68" s="321" t="inlineStr">
        <is>
          <t>EN837-1</t>
        </is>
      </c>
      <c r="D68" s="321" t="inlineStr">
        <is>
          <t>15482</t>
        </is>
      </c>
      <c r="E68" s="321" t="inlineStr">
        <is>
          <t>2010</t>
        </is>
      </c>
      <c r="F68" s="321" t="inlineStr">
        <is>
          <t>0…250 бар</t>
        </is>
      </c>
      <c r="G68" s="321" t="inlineStr">
        <is>
          <t>1.6</t>
        </is>
      </c>
      <c r="H68" s="321" t="inlineStr">
        <is>
          <t>Кран 18</t>
        </is>
      </c>
      <c r="I68" s="321" t="inlineStr">
        <is>
          <t>Узел подключения</t>
        </is>
      </c>
      <c r="J68" s="321" t="inlineStr">
        <is>
          <t>АСУ,А и ТМ (КЦ № 6)</t>
        </is>
      </c>
      <c r="K68" s="321" t="inlineStr">
        <is>
          <t>2012</t>
        </is>
      </c>
      <c r="L68" s="321" t="inlineStr"/>
      <c r="M68" s="321" t="inlineStr"/>
      <c r="N68" s="322" t="inlineStr"/>
    </row>
    <row r="69" ht="15" customHeight="1" s="236">
      <c r="A69" s="239" t="n"/>
      <c r="B69" s="241" t="inlineStr">
        <is>
          <t>КЦ 7</t>
        </is>
      </c>
      <c r="C69" s="324" t="n"/>
      <c r="D69" s="324" t="n"/>
      <c r="E69" s="324" t="n"/>
      <c r="F69" s="324" t="n"/>
      <c r="G69" s="324" t="n"/>
      <c r="H69" s="324" t="n"/>
      <c r="I69" s="324" t="n"/>
      <c r="J69" s="324" t="n"/>
      <c r="K69" s="324" t="n"/>
      <c r="L69" s="324" t="n"/>
      <c r="M69" s="324" t="n"/>
      <c r="N69" s="325" t="n"/>
    </row>
    <row r="70" ht="22.5" customHeight="1" s="236">
      <c r="A70" s="243" t="n">
        <v>69</v>
      </c>
      <c r="B70" s="244" t="inlineStr">
        <is>
          <t>Манометр технический</t>
        </is>
      </c>
      <c r="C70" s="321" t="inlineStr">
        <is>
          <t>EN 837-1</t>
        </is>
      </c>
      <c r="D70" s="321" t="inlineStr">
        <is>
          <t>К671</t>
        </is>
      </c>
      <c r="E70" s="321" t="inlineStr">
        <is>
          <t>2018</t>
        </is>
      </c>
      <c r="F70" s="321" t="inlineStr">
        <is>
          <t>0…10 бар</t>
        </is>
      </c>
      <c r="G70" s="321" t="inlineStr">
        <is>
          <t>1.6</t>
        </is>
      </c>
      <c r="H70" s="321" t="inlineStr">
        <is>
          <t>P воды в установке промывки</t>
        </is>
      </c>
      <c r="I70" s="321" t="inlineStr">
        <is>
          <t>ГПА 71</t>
        </is>
      </c>
      <c r="J70" s="321" t="inlineStr">
        <is>
          <t>АСУ,А и ТМ (КЦ № 7)</t>
        </is>
      </c>
      <c r="K70" s="321" t="inlineStr">
        <is>
          <t>2020г.</t>
        </is>
      </c>
      <c r="L70" s="321" t="inlineStr"/>
      <c r="M70" s="321" t="inlineStr"/>
      <c r="N70" s="322" t="inlineStr"/>
    </row>
    <row r="71" ht="22.5" customHeight="1" s="236">
      <c r="A71" s="243" t="n">
        <v>70</v>
      </c>
      <c r="B71" s="244" t="inlineStr">
        <is>
          <t>Манометр технический</t>
        </is>
      </c>
      <c r="C71" s="321" t="inlineStr">
        <is>
          <t>EN 837-1</t>
        </is>
      </c>
      <c r="D71" s="321" t="inlineStr">
        <is>
          <t>К738</t>
        </is>
      </c>
      <c r="E71" s="321" t="inlineStr">
        <is>
          <t>2018</t>
        </is>
      </c>
      <c r="F71" s="321" t="inlineStr">
        <is>
          <t>0…2,5 бар</t>
        </is>
      </c>
      <c r="G71" s="321" t="inlineStr">
        <is>
          <t>1.6</t>
        </is>
      </c>
      <c r="H71" s="321" t="inlineStr">
        <is>
          <t>P м на выходе блока маслоочистки</t>
        </is>
      </c>
      <c r="I71" s="321" t="inlineStr">
        <is>
          <t>БМД 71</t>
        </is>
      </c>
      <c r="J71" s="321" t="inlineStr">
        <is>
          <t>АСУ,А и ТМ (КЦ № 7)</t>
        </is>
      </c>
      <c r="K71" s="321" t="inlineStr">
        <is>
          <t>2020г.</t>
        </is>
      </c>
      <c r="L71" s="321" t="inlineStr"/>
      <c r="M71" s="321" t="inlineStr"/>
      <c r="N71" s="322" t="inlineStr"/>
    </row>
    <row r="72" ht="22.5" customHeight="1" s="236">
      <c r="A72" s="243" t="n">
        <v>71</v>
      </c>
      <c r="B72" s="244" t="inlineStr">
        <is>
          <t>Манометр технический</t>
        </is>
      </c>
      <c r="C72" s="321" t="inlineStr">
        <is>
          <t>ЭкМ160</t>
        </is>
      </c>
      <c r="D72" s="321" t="inlineStr">
        <is>
          <t>011712358</t>
        </is>
      </c>
      <c r="E72" s="321" t="inlineStr">
        <is>
          <t>2018</t>
        </is>
      </c>
      <c r="F72" s="321" t="inlineStr">
        <is>
          <t>0…40 МПа</t>
        </is>
      </c>
      <c r="G72" s="321" t="inlineStr">
        <is>
          <t>1.5</t>
        </is>
      </c>
      <c r="H72" s="321" t="inlineStr">
        <is>
          <t>P м в гидроаккумуляторе крана 2-1</t>
        </is>
      </c>
      <c r="I72" s="321" t="inlineStr">
        <is>
          <t>ГПА 71</t>
        </is>
      </c>
      <c r="J72" s="321" t="inlineStr">
        <is>
          <t>АСУ,А и ТМ (КЦ № 7)</t>
        </is>
      </c>
      <c r="K72" s="321" t="inlineStr">
        <is>
          <t>2020г.</t>
        </is>
      </c>
      <c r="L72" s="321" t="inlineStr"/>
      <c r="M72" s="321" t="inlineStr"/>
      <c r="N72" s="322" t="inlineStr"/>
    </row>
    <row r="73" ht="22.5" customHeight="1" s="236">
      <c r="A73" s="243" t="n">
        <v>72</v>
      </c>
      <c r="B73" s="244" t="inlineStr">
        <is>
          <t>Манометр технический</t>
        </is>
      </c>
      <c r="C73" s="321" t="inlineStr">
        <is>
          <t>ЭкМ160</t>
        </is>
      </c>
      <c r="D73" s="321" t="inlineStr">
        <is>
          <t>011712368</t>
        </is>
      </c>
      <c r="E73" s="321" t="inlineStr">
        <is>
          <t>2018</t>
        </is>
      </c>
      <c r="F73" s="321" t="inlineStr">
        <is>
          <t>0…40 МПа</t>
        </is>
      </c>
      <c r="G73" s="321" t="inlineStr">
        <is>
          <t>1.5</t>
        </is>
      </c>
      <c r="H73" s="321" t="inlineStr">
        <is>
          <t>P м в гидроаккумуляторе крана 1-1</t>
        </is>
      </c>
      <c r="I73" s="321" t="inlineStr">
        <is>
          <t>ГПА 71</t>
        </is>
      </c>
      <c r="J73" s="321" t="inlineStr">
        <is>
          <t>АСУ,А и ТМ (КЦ № 7)</t>
        </is>
      </c>
      <c r="K73" s="321" t="inlineStr">
        <is>
          <t>2020г.</t>
        </is>
      </c>
      <c r="L73" s="321" t="inlineStr"/>
      <c r="M73" s="321" t="inlineStr"/>
      <c r="N73" s="322" t="inlineStr"/>
    </row>
    <row r="74" ht="22.5" customHeight="1" s="236">
      <c r="A74" s="243" t="n">
        <v>73</v>
      </c>
      <c r="B74" s="244" t="inlineStr">
        <is>
          <t>Манометр технический</t>
        </is>
      </c>
      <c r="C74" s="321" t="inlineStr">
        <is>
          <t>ЭкМ160</t>
        </is>
      </c>
      <c r="D74" s="321" t="inlineStr">
        <is>
          <t>011712373</t>
        </is>
      </c>
      <c r="E74" s="321" t="inlineStr">
        <is>
          <t>2018</t>
        </is>
      </c>
      <c r="F74" s="321" t="inlineStr">
        <is>
          <t>0…40 МПа</t>
        </is>
      </c>
      <c r="G74" s="321" t="inlineStr">
        <is>
          <t>1.5</t>
        </is>
      </c>
      <c r="H74" s="321" t="inlineStr">
        <is>
          <t>P м в гидроаккумуляторе крана 1</t>
        </is>
      </c>
      <c r="I74" s="321" t="inlineStr">
        <is>
          <t>ГПА 71</t>
        </is>
      </c>
      <c r="J74" s="321" t="inlineStr">
        <is>
          <t>АСУ,А и ТМ (КЦ № 7)</t>
        </is>
      </c>
      <c r="K74" s="321" t="inlineStr">
        <is>
          <t>2020г.</t>
        </is>
      </c>
      <c r="L74" s="321" t="inlineStr"/>
      <c r="M74" s="321" t="inlineStr"/>
      <c r="N74" s="322" t="inlineStr"/>
    </row>
    <row r="75" ht="22.5" customHeight="1" s="236">
      <c r="A75" s="243" t="n">
        <v>74</v>
      </c>
      <c r="B75" s="244" t="inlineStr">
        <is>
          <t>Манометр технический</t>
        </is>
      </c>
      <c r="C75" s="321" t="inlineStr">
        <is>
          <t>ЭкМ160</t>
        </is>
      </c>
      <c r="D75" s="321" t="inlineStr">
        <is>
          <t>011712360</t>
        </is>
      </c>
      <c r="E75" s="321" t="inlineStr">
        <is>
          <t>2018</t>
        </is>
      </c>
      <c r="F75" s="321" t="inlineStr">
        <is>
          <t>0…40 МПа</t>
        </is>
      </c>
      <c r="G75" s="321" t="inlineStr">
        <is>
          <t>1.5</t>
        </is>
      </c>
      <c r="H75" s="321" t="inlineStr">
        <is>
          <t>P м в гидроаккумуляторе крана 2</t>
        </is>
      </c>
      <c r="I75" s="321" t="inlineStr">
        <is>
          <t>ГПА 71</t>
        </is>
      </c>
      <c r="J75" s="321" t="inlineStr">
        <is>
          <t>АСУ,А и ТМ (КЦ № 7)</t>
        </is>
      </c>
      <c r="K75" s="321" t="inlineStr">
        <is>
          <t>2020г.</t>
        </is>
      </c>
      <c r="L75" s="321" t="inlineStr"/>
      <c r="M75" s="321" t="inlineStr"/>
      <c r="N75" s="322" t="inlineStr"/>
    </row>
    <row r="76" ht="22.5" customHeight="1" s="236">
      <c r="A76" s="243" t="n">
        <v>75</v>
      </c>
      <c r="B76" s="244" t="inlineStr">
        <is>
          <t>Манометр технический</t>
        </is>
      </c>
      <c r="C76" s="321" t="inlineStr">
        <is>
          <t>EN 837-1</t>
        </is>
      </c>
      <c r="D76" s="321" t="inlineStr">
        <is>
          <t>113550</t>
        </is>
      </c>
      <c r="E76" s="321" t="inlineStr">
        <is>
          <t>2018</t>
        </is>
      </c>
      <c r="F76" s="321" t="inlineStr">
        <is>
          <t>0…160 бар</t>
        </is>
      </c>
      <c r="G76" s="321" t="inlineStr">
        <is>
          <t>1.6</t>
        </is>
      </c>
      <c r="H76" s="321" t="inlineStr">
        <is>
          <t>P г до регулятора высокого давления 3бис</t>
        </is>
      </c>
      <c r="I76" s="321" t="inlineStr">
        <is>
          <t>ГПА 71</t>
        </is>
      </c>
      <c r="J76" s="321" t="inlineStr">
        <is>
          <t>АСУ,А и ТМ (КЦ № 7)</t>
        </is>
      </c>
      <c r="K76" s="321" t="inlineStr">
        <is>
          <t>2020г.</t>
        </is>
      </c>
      <c r="L76" s="321" t="inlineStr"/>
      <c r="M76" s="321" t="inlineStr"/>
      <c r="N76" s="322" t="inlineStr"/>
    </row>
    <row r="77" ht="22.5" customHeight="1" s="236">
      <c r="A77" s="243" t="n">
        <v>76</v>
      </c>
      <c r="B77" s="244" t="inlineStr">
        <is>
          <t>Манометр технический</t>
        </is>
      </c>
      <c r="C77" s="321" t="inlineStr">
        <is>
          <t>EN 837-1</t>
        </is>
      </c>
      <c r="D77" s="321" t="inlineStr">
        <is>
          <t>113528</t>
        </is>
      </c>
      <c r="E77" s="321" t="inlineStr">
        <is>
          <t>2018</t>
        </is>
      </c>
      <c r="F77" s="321" t="inlineStr">
        <is>
          <t>0…60 бар</t>
        </is>
      </c>
      <c r="G77" s="321" t="inlineStr">
        <is>
          <t>1.6</t>
        </is>
      </c>
      <c r="H77" s="321" t="inlineStr">
        <is>
          <t>P г после регулятора высокого давления 3бис</t>
        </is>
      </c>
      <c r="I77" s="321" t="inlineStr">
        <is>
          <t>ГПА 71</t>
        </is>
      </c>
      <c r="J77" s="321" t="inlineStr">
        <is>
          <t>АСУ,А и ТМ (КЦ № 7)</t>
        </is>
      </c>
      <c r="K77" s="321" t="inlineStr">
        <is>
          <t>2020г.</t>
        </is>
      </c>
      <c r="L77" s="321" t="inlineStr"/>
      <c r="M77" s="321" t="inlineStr"/>
      <c r="N77" s="322" t="inlineStr"/>
    </row>
    <row r="78" ht="22.5" customHeight="1" s="236">
      <c r="A78" s="243" t="n">
        <v>77</v>
      </c>
      <c r="B78" s="244" t="inlineStr">
        <is>
          <t>Манометр технический</t>
        </is>
      </c>
      <c r="C78" s="321" t="inlineStr">
        <is>
          <t>Bifold</t>
        </is>
      </c>
      <c r="D78" s="321" t="inlineStr">
        <is>
          <t>36398/1195</t>
        </is>
      </c>
      <c r="E78" s="321" t="inlineStr">
        <is>
          <t>2018</t>
        </is>
      </c>
      <c r="F78" s="321" t="inlineStr">
        <is>
          <t>0…10 бар</t>
        </is>
      </c>
      <c r="G78" s="321" t="inlineStr"/>
      <c r="H78" s="321" t="inlineStr">
        <is>
          <t>Шкаф управления краном 3бис</t>
        </is>
      </c>
      <c r="I78" s="321" t="inlineStr">
        <is>
          <t>ГПА 71</t>
        </is>
      </c>
      <c r="J78" s="321" t="inlineStr">
        <is>
          <t>АСУ,А и ТМ (КЦ № 7)</t>
        </is>
      </c>
      <c r="K78" s="321" t="inlineStr">
        <is>
          <t>2020г.</t>
        </is>
      </c>
      <c r="L78" s="321" t="inlineStr"/>
      <c r="M78" s="321" t="inlineStr"/>
      <c r="N78" s="322" t="inlineStr"/>
    </row>
    <row r="79" ht="22.5" customHeight="1" s="236">
      <c r="A79" s="243" t="n">
        <v>78</v>
      </c>
      <c r="B79" s="244" t="inlineStr">
        <is>
          <t>Манометр технический</t>
        </is>
      </c>
      <c r="C79" s="321" t="inlineStr">
        <is>
          <t>EN 837-1</t>
        </is>
      </c>
      <c r="D79" s="321" t="inlineStr">
        <is>
          <t>113538</t>
        </is>
      </c>
      <c r="E79" s="321" t="inlineStr">
        <is>
          <t>2018</t>
        </is>
      </c>
      <c r="F79" s="321" t="inlineStr">
        <is>
          <t>0…60 бар</t>
        </is>
      </c>
      <c r="G79" s="321" t="inlineStr">
        <is>
          <t>1.6</t>
        </is>
      </c>
      <c r="H79" s="321" t="inlineStr">
        <is>
          <t>P г в аккумуляторе крана 3бис</t>
        </is>
      </c>
      <c r="I79" s="321" t="inlineStr">
        <is>
          <t>ГПА 71</t>
        </is>
      </c>
      <c r="J79" s="321" t="inlineStr">
        <is>
          <t>АСУ,А и ТМ (КЦ № 7)</t>
        </is>
      </c>
      <c r="K79" s="321" t="inlineStr">
        <is>
          <t>2020г.</t>
        </is>
      </c>
      <c r="L79" s="321" t="inlineStr"/>
      <c r="M79" s="321" t="inlineStr"/>
      <c r="N79" s="322" t="inlineStr"/>
    </row>
    <row r="80" ht="22.5" customHeight="1" s="236">
      <c r="A80" s="243" t="n">
        <v>79</v>
      </c>
      <c r="B80" s="244" t="inlineStr">
        <is>
          <t>Манометр технический</t>
        </is>
      </c>
      <c r="C80" s="321" t="inlineStr">
        <is>
          <t>EN 837-1</t>
        </is>
      </c>
      <c r="D80" s="321" t="inlineStr">
        <is>
          <t>2014113</t>
        </is>
      </c>
      <c r="E80" s="321" t="inlineStr">
        <is>
          <t>2018</t>
        </is>
      </c>
      <c r="F80" s="321" t="inlineStr">
        <is>
          <t>0…160 бар</t>
        </is>
      </c>
      <c r="G80" s="321" t="inlineStr">
        <is>
          <t>1.6</t>
        </is>
      </c>
      <c r="H80" s="321" t="inlineStr">
        <is>
          <t>P г до регулятора высокого давления 6к</t>
        </is>
      </c>
      <c r="I80" s="321" t="inlineStr">
        <is>
          <t>ГПА 71</t>
        </is>
      </c>
      <c r="J80" s="321" t="inlineStr">
        <is>
          <t>АСУ,А и ТМ (КЦ № 7)</t>
        </is>
      </c>
      <c r="K80" s="321" t="inlineStr"/>
      <c r="L80" s="321" t="inlineStr"/>
      <c r="M80" s="321" t="inlineStr"/>
      <c r="N80" s="322" t="inlineStr"/>
    </row>
    <row r="81" ht="22.5" customHeight="1" s="236">
      <c r="A81" s="243" t="n">
        <v>80</v>
      </c>
      <c r="B81" s="244" t="inlineStr">
        <is>
          <t>Манометр технический</t>
        </is>
      </c>
      <c r="C81" s="321" t="inlineStr">
        <is>
          <t>EN 837-1</t>
        </is>
      </c>
      <c r="D81" s="321" t="inlineStr">
        <is>
          <t>700294</t>
        </is>
      </c>
      <c r="E81" s="321" t="inlineStr">
        <is>
          <t>2018</t>
        </is>
      </c>
      <c r="F81" s="321" t="inlineStr">
        <is>
          <t>0…40 бар</t>
        </is>
      </c>
      <c r="G81" s="321" t="inlineStr">
        <is>
          <t>1.6</t>
        </is>
      </c>
      <c r="H81" s="321" t="inlineStr">
        <is>
          <t>P г после регулятора высокого давления 6к</t>
        </is>
      </c>
      <c r="I81" s="321" t="inlineStr">
        <is>
          <t>ГПА 71</t>
        </is>
      </c>
      <c r="J81" s="321" t="inlineStr">
        <is>
          <t>АСУ,А и ТМ (КЦ № 7)</t>
        </is>
      </c>
      <c r="K81" s="321" t="inlineStr"/>
      <c r="L81" s="321" t="inlineStr"/>
      <c r="M81" s="321" t="inlineStr"/>
      <c r="N81" s="322" t="inlineStr"/>
    </row>
    <row r="82" ht="22.5" customHeight="1" s="236">
      <c r="A82" s="243" t="n">
        <v>81</v>
      </c>
      <c r="B82" s="244" t="inlineStr">
        <is>
          <t>Манометр технический</t>
        </is>
      </c>
      <c r="C82" s="321" t="inlineStr">
        <is>
          <t>EN 837-1</t>
        </is>
      </c>
      <c r="D82" s="321" t="inlineStr">
        <is>
          <t>700295</t>
        </is>
      </c>
      <c r="E82" s="321" t="inlineStr">
        <is>
          <t>2018</t>
        </is>
      </c>
      <c r="F82" s="321" t="inlineStr">
        <is>
          <t>0…100 бар</t>
        </is>
      </c>
      <c r="G82" s="321" t="inlineStr">
        <is>
          <t>1.6</t>
        </is>
      </c>
      <c r="H82" s="321" t="inlineStr">
        <is>
          <t>P г в аккумуляторе крана 6к</t>
        </is>
      </c>
      <c r="I82" s="321" t="inlineStr">
        <is>
          <t>ГПА 71</t>
        </is>
      </c>
      <c r="J82" s="321" t="inlineStr">
        <is>
          <t>АСУ,А и ТМ (КЦ № 7)</t>
        </is>
      </c>
      <c r="K82" s="321" t="inlineStr"/>
      <c r="L82" s="321" t="inlineStr"/>
      <c r="M82" s="321" t="inlineStr"/>
      <c r="N82" s="322" t="inlineStr"/>
    </row>
    <row r="83" ht="22.5" customHeight="1" s="236">
      <c r="A83" s="243" t="n">
        <v>82</v>
      </c>
      <c r="B83" s="244" t="inlineStr">
        <is>
          <t>Манометр технический</t>
        </is>
      </c>
      <c r="C83" s="321" t="inlineStr">
        <is>
          <t>Bifold</t>
        </is>
      </c>
      <c r="D83" s="321" t="inlineStr">
        <is>
          <t>36398/2391</t>
        </is>
      </c>
      <c r="E83" s="321" t="inlineStr">
        <is>
          <t>2018</t>
        </is>
      </c>
      <c r="F83" s="321" t="inlineStr">
        <is>
          <t>0…10 бар</t>
        </is>
      </c>
      <c r="G83" s="321" t="inlineStr"/>
      <c r="H83" s="321" t="inlineStr">
        <is>
          <t>P в фильтре крана 6к</t>
        </is>
      </c>
      <c r="I83" s="321" t="inlineStr">
        <is>
          <t>ГПА 71</t>
        </is>
      </c>
      <c r="J83" s="321" t="inlineStr">
        <is>
          <t>АСУ,А и ТМ (КЦ № 7)</t>
        </is>
      </c>
      <c r="K83" s="321" t="inlineStr"/>
      <c r="L83" s="321" t="inlineStr"/>
      <c r="M83" s="321" t="inlineStr"/>
      <c r="N83" s="322" t="inlineStr"/>
    </row>
    <row r="84" ht="22.5" customHeight="1" s="236">
      <c r="A84" s="243" t="n">
        <v>83</v>
      </c>
      <c r="B84" s="244" t="inlineStr">
        <is>
          <t>Манометр технический</t>
        </is>
      </c>
      <c r="C84" s="321" t="inlineStr">
        <is>
          <t>Bifold</t>
        </is>
      </c>
      <c r="D84" s="321" t="inlineStr">
        <is>
          <t>700296</t>
        </is>
      </c>
      <c r="E84" s="321" t="inlineStr">
        <is>
          <t>2018</t>
        </is>
      </c>
      <c r="F84" s="321" t="inlineStr">
        <is>
          <t>0…8 бар</t>
        </is>
      </c>
      <c r="G84" s="321" t="inlineStr"/>
      <c r="H84" s="321" t="inlineStr">
        <is>
          <t>Шкаф управления краном 6к</t>
        </is>
      </c>
      <c r="I84" s="321" t="inlineStr">
        <is>
          <t>ГПА 71</t>
        </is>
      </c>
      <c r="J84" s="321" t="inlineStr">
        <is>
          <t>АСУ,А и ТМ (КЦ № 7)</t>
        </is>
      </c>
      <c r="K84" s="321" t="inlineStr"/>
      <c r="L84" s="321" t="inlineStr"/>
      <c r="M84" s="321" t="inlineStr"/>
      <c r="N84" s="322" t="inlineStr"/>
    </row>
    <row r="85" ht="22.5" customHeight="1" s="236">
      <c r="A85" s="243" t="n">
        <v>84</v>
      </c>
      <c r="B85" s="244" t="inlineStr">
        <is>
          <t>Манометр технический</t>
        </is>
      </c>
      <c r="C85" s="321" t="inlineStr">
        <is>
          <t>Bifold</t>
        </is>
      </c>
      <c r="D85" s="321" t="inlineStr">
        <is>
          <t>700297</t>
        </is>
      </c>
      <c r="E85" s="321" t="inlineStr">
        <is>
          <t>2018</t>
        </is>
      </c>
      <c r="F85" s="321" t="inlineStr">
        <is>
          <t>0…8 бар</t>
        </is>
      </c>
      <c r="G85" s="321" t="inlineStr"/>
      <c r="H85" s="321" t="inlineStr">
        <is>
          <t>Шкаф управления краном 6к</t>
        </is>
      </c>
      <c r="I85" s="321" t="inlineStr">
        <is>
          <t>ГПА 71</t>
        </is>
      </c>
      <c r="J85" s="321" t="inlineStr">
        <is>
          <t>АСУ,А и ТМ (КЦ № 7)</t>
        </is>
      </c>
      <c r="K85" s="321" t="inlineStr"/>
      <c r="L85" s="321" t="inlineStr"/>
      <c r="M85" s="321" t="inlineStr"/>
      <c r="N85" s="322" t="inlineStr"/>
    </row>
    <row r="86" ht="22.5" customHeight="1" s="236">
      <c r="A86" s="243" t="n">
        <v>85</v>
      </c>
      <c r="B86" s="244" t="inlineStr">
        <is>
          <t>Манометр технический</t>
        </is>
      </c>
      <c r="C86" s="321" t="inlineStr">
        <is>
          <t>EN 837-1</t>
        </is>
      </c>
      <c r="D86" s="321" t="inlineStr">
        <is>
          <t>К650</t>
        </is>
      </c>
      <c r="E86" s="321" t="inlineStr"/>
      <c r="F86" s="321" t="inlineStr">
        <is>
          <t>0…10 бар</t>
        </is>
      </c>
      <c r="G86" s="321" t="inlineStr">
        <is>
          <t>1.6</t>
        </is>
      </c>
      <c r="H86" s="321" t="inlineStr">
        <is>
          <t>P воды в установке промывки</t>
        </is>
      </c>
      <c r="I86" s="321" t="inlineStr">
        <is>
          <t>ГПА 72</t>
        </is>
      </c>
      <c r="J86" s="321" t="inlineStr">
        <is>
          <t>АСУ,А и ТМ (КЦ № 7)</t>
        </is>
      </c>
      <c r="K86" s="321" t="inlineStr"/>
      <c r="L86" s="321" t="inlineStr"/>
      <c r="M86" s="321" t="inlineStr"/>
      <c r="N86" s="322" t="inlineStr"/>
    </row>
    <row r="87" ht="22.5" customHeight="1" s="236">
      <c r="A87" s="243" t="n">
        <v>86</v>
      </c>
      <c r="B87" s="244" t="inlineStr">
        <is>
          <t>Манометр технический</t>
        </is>
      </c>
      <c r="C87" s="321" t="inlineStr">
        <is>
          <t>EN 837-1</t>
        </is>
      </c>
      <c r="D87" s="321" t="inlineStr">
        <is>
          <t>К744</t>
        </is>
      </c>
      <c r="E87" s="321" t="inlineStr"/>
      <c r="F87" s="321" t="inlineStr">
        <is>
          <t>0…2,5 бар</t>
        </is>
      </c>
      <c r="G87" s="321" t="inlineStr">
        <is>
          <t>1.6</t>
        </is>
      </c>
      <c r="H87" s="321" t="inlineStr">
        <is>
          <t>P м на выходе блока маслоочистки</t>
        </is>
      </c>
      <c r="I87" s="321" t="inlineStr">
        <is>
          <t>ГПА 72</t>
        </is>
      </c>
      <c r="J87" s="321" t="inlineStr">
        <is>
          <t>АСУ,А и ТМ (КЦ № 7)</t>
        </is>
      </c>
      <c r="K87" s="321" t="inlineStr"/>
      <c r="L87" s="321" t="inlineStr"/>
      <c r="M87" s="321" t="inlineStr"/>
      <c r="N87" s="322" t="inlineStr"/>
    </row>
    <row r="88" ht="22.5" customHeight="1" s="236">
      <c r="A88" s="243" t="n">
        <v>87</v>
      </c>
      <c r="B88" s="244" t="inlineStr">
        <is>
          <t>Манометр технический</t>
        </is>
      </c>
      <c r="C88" s="321" t="inlineStr">
        <is>
          <t>ЭкМ160</t>
        </is>
      </c>
      <c r="D88" s="321" t="inlineStr">
        <is>
          <t>011801507</t>
        </is>
      </c>
      <c r="E88" s="321" t="inlineStr"/>
      <c r="F88" s="321" t="inlineStr">
        <is>
          <t>0…40 МПа</t>
        </is>
      </c>
      <c r="G88" s="321" t="inlineStr">
        <is>
          <t>1.5</t>
        </is>
      </c>
      <c r="H88" s="321" t="inlineStr">
        <is>
          <t>P м в гидроаккумуляторе крана 2-1</t>
        </is>
      </c>
      <c r="I88" s="321" t="inlineStr">
        <is>
          <t>ГПА 72</t>
        </is>
      </c>
      <c r="J88" s="321" t="inlineStr">
        <is>
          <t>АСУ,А и ТМ (КЦ № 7)</t>
        </is>
      </c>
      <c r="K88" s="321" t="inlineStr"/>
      <c r="L88" s="321" t="inlineStr"/>
      <c r="M88" s="321" t="inlineStr"/>
      <c r="N88" s="322" t="inlineStr"/>
    </row>
    <row r="89" ht="22.5" customHeight="1" s="236">
      <c r="A89" s="243" t="n">
        <v>88</v>
      </c>
      <c r="B89" s="244" t="inlineStr">
        <is>
          <t>Манометр технический</t>
        </is>
      </c>
      <c r="C89" s="321" t="inlineStr">
        <is>
          <t>ЭкМ160</t>
        </is>
      </c>
      <c r="D89" s="321" t="inlineStr">
        <is>
          <t>011801505</t>
        </is>
      </c>
      <c r="E89" s="321" t="inlineStr"/>
      <c r="F89" s="321" t="inlineStr">
        <is>
          <t>0…40 МПа</t>
        </is>
      </c>
      <c r="G89" s="321" t="inlineStr">
        <is>
          <t>1.5</t>
        </is>
      </c>
      <c r="H89" s="321" t="inlineStr">
        <is>
          <t>P м в гидроаккумуляторе крана 1-1</t>
        </is>
      </c>
      <c r="I89" s="321" t="inlineStr">
        <is>
          <t>ГПА 72</t>
        </is>
      </c>
      <c r="J89" s="321" t="inlineStr">
        <is>
          <t>АСУ,А и ТМ (КЦ № 7)</t>
        </is>
      </c>
      <c r="K89" s="321" t="inlineStr"/>
      <c r="L89" s="321" t="inlineStr"/>
      <c r="M89" s="321" t="inlineStr"/>
      <c r="N89" s="322" t="inlineStr"/>
    </row>
    <row r="90" ht="22.5" customHeight="1" s="236">
      <c r="A90" s="243" t="n">
        <v>89</v>
      </c>
      <c r="B90" s="244" t="inlineStr">
        <is>
          <t>Манометр технический</t>
        </is>
      </c>
      <c r="C90" s="321" t="inlineStr">
        <is>
          <t>ЭкМ160</t>
        </is>
      </c>
      <c r="D90" s="321" t="inlineStr">
        <is>
          <t>011712397</t>
        </is>
      </c>
      <c r="E90" s="321" t="inlineStr"/>
      <c r="F90" s="321" t="inlineStr">
        <is>
          <t>0…40 МПа</t>
        </is>
      </c>
      <c r="G90" s="321" t="inlineStr">
        <is>
          <t>1.5</t>
        </is>
      </c>
      <c r="H90" s="321" t="inlineStr">
        <is>
          <t>P м в гидроаккумуляторе крана 1</t>
        </is>
      </c>
      <c r="I90" s="321" t="inlineStr">
        <is>
          <t>ГПА 72</t>
        </is>
      </c>
      <c r="J90" s="321" t="inlineStr">
        <is>
          <t>АСУ,А и ТМ (КЦ № 7)</t>
        </is>
      </c>
      <c r="K90" s="321" t="inlineStr"/>
      <c r="L90" s="321" t="inlineStr"/>
      <c r="M90" s="321" t="inlineStr"/>
      <c r="N90" s="322" t="inlineStr"/>
    </row>
    <row r="91" ht="22.5" customHeight="1" s="236">
      <c r="A91" s="243" t="n">
        <v>90</v>
      </c>
      <c r="B91" s="244" t="inlineStr">
        <is>
          <t>Манометр технический</t>
        </is>
      </c>
      <c r="C91" s="321" t="inlineStr">
        <is>
          <t>ЭкМ160</t>
        </is>
      </c>
      <c r="D91" s="321" t="inlineStr">
        <is>
          <t>011712370</t>
        </is>
      </c>
      <c r="E91" s="321" t="inlineStr"/>
      <c r="F91" s="321" t="inlineStr">
        <is>
          <t>0…40 МПа</t>
        </is>
      </c>
      <c r="G91" s="321" t="inlineStr">
        <is>
          <t>1.5</t>
        </is>
      </c>
      <c r="H91" s="321" t="inlineStr">
        <is>
          <t>P м в гидроаккумуляторе крана 2</t>
        </is>
      </c>
      <c r="I91" s="321" t="inlineStr">
        <is>
          <t>ГПА 72</t>
        </is>
      </c>
      <c r="J91" s="321" t="inlineStr">
        <is>
          <t>АСУ,А и ТМ (КЦ № 7)</t>
        </is>
      </c>
      <c r="K91" s="321" t="inlineStr"/>
      <c r="L91" s="321" t="inlineStr"/>
      <c r="M91" s="321" t="inlineStr"/>
      <c r="N91" s="322" t="inlineStr"/>
    </row>
    <row r="92" ht="22.5" customHeight="1" s="236">
      <c r="A92" s="243" t="n">
        <v>91</v>
      </c>
      <c r="B92" s="244" t="inlineStr">
        <is>
          <t>Манометр технический</t>
        </is>
      </c>
      <c r="C92" s="321" t="inlineStr">
        <is>
          <t>EN 837-1</t>
        </is>
      </c>
      <c r="D92" s="321" t="inlineStr">
        <is>
          <t>113548</t>
        </is>
      </c>
      <c r="E92" s="321" t="inlineStr"/>
      <c r="F92" s="321" t="inlineStr">
        <is>
          <t>0…160 бар</t>
        </is>
      </c>
      <c r="G92" s="321" t="inlineStr">
        <is>
          <t>1.6</t>
        </is>
      </c>
      <c r="H92" s="321" t="inlineStr">
        <is>
          <t>P г до регулятора высокого давления 3бис</t>
        </is>
      </c>
      <c r="I92" s="321" t="inlineStr">
        <is>
          <t>ГПА 72</t>
        </is>
      </c>
      <c r="J92" s="321" t="inlineStr">
        <is>
          <t>АСУ,А и ТМ (КЦ № 7)</t>
        </is>
      </c>
      <c r="K92" s="321" t="inlineStr"/>
      <c r="L92" s="321" t="inlineStr"/>
      <c r="M92" s="321" t="inlineStr"/>
      <c r="N92" s="322" t="inlineStr"/>
    </row>
    <row r="93" ht="22.5" customHeight="1" s="236">
      <c r="A93" s="243" t="n">
        <v>92</v>
      </c>
      <c r="B93" s="244" t="inlineStr">
        <is>
          <t>Манометр технический</t>
        </is>
      </c>
      <c r="C93" s="321" t="inlineStr">
        <is>
          <t>EN 837-1</t>
        </is>
      </c>
      <c r="D93" s="321" t="inlineStr">
        <is>
          <t>113542</t>
        </is>
      </c>
      <c r="E93" s="321" t="inlineStr"/>
      <c r="F93" s="321" t="inlineStr">
        <is>
          <t>0…40 бар</t>
        </is>
      </c>
      <c r="G93" s="321" t="inlineStr">
        <is>
          <t>1.6</t>
        </is>
      </c>
      <c r="H93" s="321" t="inlineStr">
        <is>
          <t>P г после регулятора высокого давления 3бис</t>
        </is>
      </c>
      <c r="I93" s="321" t="inlineStr">
        <is>
          <t>ГПА 72</t>
        </is>
      </c>
      <c r="J93" s="321" t="inlineStr">
        <is>
          <t>АСУ,А и ТМ (КЦ № 7)</t>
        </is>
      </c>
      <c r="K93" s="321" t="inlineStr"/>
      <c r="L93" s="321" t="inlineStr"/>
      <c r="M93" s="321" t="inlineStr"/>
      <c r="N93" s="322" t="inlineStr"/>
    </row>
    <row r="94" ht="22.5" customHeight="1" s="236">
      <c r="A94" s="243" t="n">
        <v>93</v>
      </c>
      <c r="B94" s="244" t="inlineStr">
        <is>
          <t>Манометр технический</t>
        </is>
      </c>
      <c r="C94" s="321" t="inlineStr">
        <is>
          <t>Bifold</t>
        </is>
      </c>
      <c r="D94" s="321" t="inlineStr">
        <is>
          <t>36398/1199</t>
        </is>
      </c>
      <c r="E94" s="321" t="inlineStr"/>
      <c r="F94" s="321" t="inlineStr">
        <is>
          <t>0…10 бар</t>
        </is>
      </c>
      <c r="G94" s="321" t="inlineStr"/>
      <c r="H94" s="321" t="inlineStr">
        <is>
          <t>Шкаф управления краном 3бис</t>
        </is>
      </c>
      <c r="I94" s="321" t="inlineStr">
        <is>
          <t>ГПА 72</t>
        </is>
      </c>
      <c r="J94" s="321" t="inlineStr">
        <is>
          <t>АСУ,А и ТМ (КЦ № 7)</t>
        </is>
      </c>
      <c r="K94" s="321" t="inlineStr"/>
      <c r="L94" s="321" t="inlineStr"/>
      <c r="M94" s="321" t="inlineStr"/>
      <c r="N94" s="322" t="inlineStr"/>
    </row>
    <row r="95" ht="22.5" customHeight="1" s="236">
      <c r="A95" s="243" t="n">
        <v>94</v>
      </c>
      <c r="B95" s="244" t="inlineStr">
        <is>
          <t>Манометр технический</t>
        </is>
      </c>
      <c r="C95" s="321" t="inlineStr">
        <is>
          <t>EN 837-1</t>
        </is>
      </c>
      <c r="D95" s="321" t="inlineStr">
        <is>
          <t>113541</t>
        </is>
      </c>
      <c r="E95" s="321" t="inlineStr"/>
      <c r="F95" s="321" t="inlineStr">
        <is>
          <t>0…60 бар</t>
        </is>
      </c>
      <c r="G95" s="321" t="inlineStr">
        <is>
          <t>1.6</t>
        </is>
      </c>
      <c r="H95" s="321" t="inlineStr">
        <is>
          <t>P г в аккумуляторе крана 3бис</t>
        </is>
      </c>
      <c r="I95" s="321" t="inlineStr">
        <is>
          <t>ГПА 72</t>
        </is>
      </c>
      <c r="J95" s="321" t="inlineStr">
        <is>
          <t>АСУ,А и ТМ (КЦ № 7)</t>
        </is>
      </c>
      <c r="K95" s="321" t="inlineStr"/>
      <c r="L95" s="321" t="inlineStr"/>
      <c r="M95" s="321" t="inlineStr"/>
      <c r="N95" s="322" t="inlineStr"/>
    </row>
    <row r="96" ht="22.5" customHeight="1" s="236">
      <c r="A96" s="243" t="n">
        <v>95</v>
      </c>
      <c r="B96" s="244" t="inlineStr">
        <is>
          <t>Манометр технический</t>
        </is>
      </c>
      <c r="C96" s="321" t="inlineStr">
        <is>
          <t>EN 837-1</t>
        </is>
      </c>
      <c r="D96" s="321" t="inlineStr">
        <is>
          <t>2026243</t>
        </is>
      </c>
      <c r="E96" s="321" t="inlineStr"/>
      <c r="F96" s="321" t="inlineStr">
        <is>
          <t>0…160 бар</t>
        </is>
      </c>
      <c r="G96" s="321" t="inlineStr">
        <is>
          <t>1.6</t>
        </is>
      </c>
      <c r="H96" s="321" t="inlineStr">
        <is>
          <t>P г до регулятора высокого давления 6к</t>
        </is>
      </c>
      <c r="I96" s="321" t="inlineStr">
        <is>
          <t>ГПА 72</t>
        </is>
      </c>
      <c r="J96" s="321" t="inlineStr">
        <is>
          <t>АСУ,А и ТМ (КЦ № 7)</t>
        </is>
      </c>
      <c r="K96" s="321" t="inlineStr"/>
      <c r="L96" s="321" t="inlineStr"/>
      <c r="M96" s="321" t="inlineStr"/>
      <c r="N96" s="322" t="inlineStr"/>
    </row>
    <row r="97" ht="22.5" customHeight="1" s="236">
      <c r="A97" s="243" t="n">
        <v>96</v>
      </c>
      <c r="B97" s="244" t="inlineStr">
        <is>
          <t>Манометр технический</t>
        </is>
      </c>
      <c r="C97" s="321" t="inlineStr">
        <is>
          <t>EN 837-1</t>
        </is>
      </c>
      <c r="D97" s="321" t="inlineStr">
        <is>
          <t>2030441</t>
        </is>
      </c>
      <c r="E97" s="321" t="inlineStr"/>
      <c r="F97" s="321" t="inlineStr">
        <is>
          <t>0…40 бар</t>
        </is>
      </c>
      <c r="G97" s="321" t="inlineStr">
        <is>
          <t>1.6</t>
        </is>
      </c>
      <c r="H97" s="321" t="inlineStr">
        <is>
          <t>P г после регулятора высокого давления 6к</t>
        </is>
      </c>
      <c r="I97" s="321" t="inlineStr">
        <is>
          <t>ГПА 72</t>
        </is>
      </c>
      <c r="J97" s="321" t="inlineStr">
        <is>
          <t>АСУ,А и ТМ (КЦ № 7)</t>
        </is>
      </c>
      <c r="K97" s="321" t="inlineStr"/>
      <c r="L97" s="321" t="inlineStr"/>
      <c r="M97" s="321" t="inlineStr"/>
      <c r="N97" s="322" t="inlineStr"/>
    </row>
    <row r="98" ht="22.5" customHeight="1" s="236">
      <c r="A98" s="243" t="n">
        <v>97</v>
      </c>
      <c r="B98" s="244" t="inlineStr">
        <is>
          <t>Манометр технический</t>
        </is>
      </c>
      <c r="C98" s="321" t="inlineStr">
        <is>
          <t>EN 837-1</t>
        </is>
      </c>
      <c r="D98" s="321" t="inlineStr">
        <is>
          <t>7000261</t>
        </is>
      </c>
      <c r="E98" s="321" t="inlineStr"/>
      <c r="F98" s="321" t="inlineStr">
        <is>
          <t>0…100 бар</t>
        </is>
      </c>
      <c r="G98" s="321" t="inlineStr">
        <is>
          <t>1.6</t>
        </is>
      </c>
      <c r="H98" s="321" t="inlineStr">
        <is>
          <t>P г в аккумуляторе крана 6к</t>
        </is>
      </c>
      <c r="I98" s="321" t="inlineStr">
        <is>
          <t>ГПА 72</t>
        </is>
      </c>
      <c r="J98" s="321" t="inlineStr">
        <is>
          <t>АСУ,А и ТМ (КЦ № 7)</t>
        </is>
      </c>
      <c r="K98" s="321" t="inlineStr"/>
      <c r="L98" s="321" t="inlineStr"/>
      <c r="M98" s="321" t="inlineStr"/>
      <c r="N98" s="322" t="inlineStr"/>
    </row>
    <row r="99" ht="22.5" customHeight="1" s="236">
      <c r="A99" s="243" t="n">
        <v>98</v>
      </c>
      <c r="B99" s="244" t="inlineStr">
        <is>
          <t>Манометр технический</t>
        </is>
      </c>
      <c r="C99" s="321" t="inlineStr">
        <is>
          <t>Bifold</t>
        </is>
      </c>
      <c r="D99" s="321" t="inlineStr">
        <is>
          <t>36398/2372</t>
        </is>
      </c>
      <c r="E99" s="321" t="inlineStr"/>
      <c r="F99" s="321" t="inlineStr">
        <is>
          <t>0…10 бар</t>
        </is>
      </c>
      <c r="G99" s="321" t="inlineStr"/>
      <c r="H99" s="321" t="inlineStr">
        <is>
          <t>P в фильтре крана 6к</t>
        </is>
      </c>
      <c r="I99" s="321" t="inlineStr">
        <is>
          <t>ГПА 72</t>
        </is>
      </c>
      <c r="J99" s="321" t="inlineStr">
        <is>
          <t>АСУ,А и ТМ (КЦ № 7)</t>
        </is>
      </c>
      <c r="K99" s="321" t="inlineStr"/>
      <c r="L99" s="321" t="inlineStr"/>
      <c r="M99" s="321" t="inlineStr"/>
      <c r="N99" s="322" t="inlineStr"/>
    </row>
    <row r="100" ht="22.5" customHeight="1" s="236">
      <c r="A100" s="243" t="n">
        <v>99</v>
      </c>
      <c r="B100" s="244" t="inlineStr">
        <is>
          <t>Манометр технический</t>
        </is>
      </c>
      <c r="C100" s="321" t="inlineStr">
        <is>
          <t>Bifold</t>
        </is>
      </c>
      <c r="D100" s="321" t="inlineStr">
        <is>
          <t>700298</t>
        </is>
      </c>
      <c r="E100" s="321" t="inlineStr"/>
      <c r="F100" s="321" t="inlineStr">
        <is>
          <t>0…8 бар</t>
        </is>
      </c>
      <c r="G100" s="321" t="inlineStr"/>
      <c r="H100" s="321" t="inlineStr">
        <is>
          <t>Шкаф управления краном 6к</t>
        </is>
      </c>
      <c r="I100" s="321" t="inlineStr">
        <is>
          <t>ГПА 72</t>
        </is>
      </c>
      <c r="J100" s="321" t="inlineStr">
        <is>
          <t>АСУ,А и ТМ (КЦ № 7)</t>
        </is>
      </c>
      <c r="K100" s="321" t="inlineStr"/>
      <c r="L100" s="321" t="inlineStr"/>
      <c r="M100" s="321" t="inlineStr"/>
      <c r="N100" s="322" t="inlineStr"/>
    </row>
    <row r="101" ht="22.5" customHeight="1" s="236">
      <c r="A101" s="243" t="n">
        <v>100</v>
      </c>
      <c r="B101" s="244" t="inlineStr">
        <is>
          <t>Манометр технический</t>
        </is>
      </c>
      <c r="C101" s="321" t="inlineStr">
        <is>
          <t>Bifold</t>
        </is>
      </c>
      <c r="D101" s="321" t="inlineStr">
        <is>
          <t>700299</t>
        </is>
      </c>
      <c r="E101" s="321" t="inlineStr"/>
      <c r="F101" s="321" t="inlineStr">
        <is>
          <t>0…8 бар</t>
        </is>
      </c>
      <c r="G101" s="321" t="inlineStr"/>
      <c r="H101" s="321" t="inlineStr">
        <is>
          <t>Шкаф управления краном 6к</t>
        </is>
      </c>
      <c r="I101" s="321" t="inlineStr">
        <is>
          <t>ГПА 72</t>
        </is>
      </c>
      <c r="J101" s="321" t="inlineStr">
        <is>
          <t>АСУ,А и ТМ (КЦ № 7)</t>
        </is>
      </c>
      <c r="K101" s="321" t="inlineStr"/>
      <c r="L101" s="321" t="inlineStr"/>
      <c r="M101" s="321" t="inlineStr"/>
      <c r="N101" s="322" t="inlineStr"/>
    </row>
    <row r="102" ht="22.5" customHeight="1" s="236">
      <c r="A102" s="243" t="n">
        <v>101</v>
      </c>
      <c r="B102" s="244" t="inlineStr">
        <is>
          <t>Манометр технический</t>
        </is>
      </c>
      <c r="C102" s="321" t="inlineStr">
        <is>
          <t>EN 837-1</t>
        </is>
      </c>
      <c r="D102" s="321" t="inlineStr">
        <is>
          <t>К771</t>
        </is>
      </c>
      <c r="E102" s="321" t="inlineStr"/>
      <c r="F102" s="321" t="inlineStr">
        <is>
          <t>0…10 бар</t>
        </is>
      </c>
      <c r="G102" s="321" t="inlineStr">
        <is>
          <t>1.6</t>
        </is>
      </c>
      <c r="H102" s="321" t="inlineStr">
        <is>
          <t>P воды в установке промывки</t>
        </is>
      </c>
      <c r="I102" s="321" t="inlineStr">
        <is>
          <t>ГПА 73</t>
        </is>
      </c>
      <c r="J102" s="321" t="inlineStr">
        <is>
          <t>АСУ,А и ТМ (КЦ № 7)</t>
        </is>
      </c>
      <c r="K102" s="321" t="inlineStr"/>
      <c r="L102" s="321" t="inlineStr"/>
      <c r="M102" s="321" t="inlineStr"/>
      <c r="N102" s="322" t="inlineStr"/>
    </row>
    <row r="103" ht="22.5" customHeight="1" s="236">
      <c r="A103" s="243" t="n">
        <v>102</v>
      </c>
      <c r="B103" s="244" t="inlineStr">
        <is>
          <t>Манометр технический</t>
        </is>
      </c>
      <c r="C103" s="321" t="inlineStr">
        <is>
          <t>EN 837-1</t>
        </is>
      </c>
      <c r="D103" s="321" t="inlineStr">
        <is>
          <t>К742</t>
        </is>
      </c>
      <c r="E103" s="321" t="inlineStr"/>
      <c r="F103" s="321" t="inlineStr">
        <is>
          <t>0…2,5 бар</t>
        </is>
      </c>
      <c r="G103" s="321" t="inlineStr">
        <is>
          <t>1.6</t>
        </is>
      </c>
      <c r="H103" s="321" t="inlineStr">
        <is>
          <t>P м на выходе блока маслоочистки</t>
        </is>
      </c>
      <c r="I103" s="321" t="inlineStr">
        <is>
          <t>ГПА 73</t>
        </is>
      </c>
      <c r="J103" s="321" t="inlineStr">
        <is>
          <t>АСУ,А и ТМ (КЦ № 7)</t>
        </is>
      </c>
      <c r="K103" s="321" t="inlineStr"/>
      <c r="L103" s="321" t="inlineStr"/>
      <c r="M103" s="321" t="inlineStr"/>
      <c r="N103" s="322" t="inlineStr"/>
    </row>
    <row r="104" ht="22.5" customHeight="1" s="236">
      <c r="A104" s="243" t="n">
        <v>103</v>
      </c>
      <c r="B104" s="244" t="inlineStr">
        <is>
          <t>Манометр технический</t>
        </is>
      </c>
      <c r="C104" s="321" t="inlineStr">
        <is>
          <t>ЭкМ160</t>
        </is>
      </c>
      <c r="D104" s="321" t="inlineStr">
        <is>
          <t>011712363</t>
        </is>
      </c>
      <c r="E104" s="321" t="inlineStr"/>
      <c r="F104" s="321" t="inlineStr">
        <is>
          <t>0…40 МПа</t>
        </is>
      </c>
      <c r="G104" s="321" t="inlineStr">
        <is>
          <t>1.5</t>
        </is>
      </c>
      <c r="H104" s="321" t="inlineStr">
        <is>
          <t>P м в гидроаккумуляторе крана 2-1</t>
        </is>
      </c>
      <c r="I104" s="321" t="inlineStr">
        <is>
          <t>ГПА 73</t>
        </is>
      </c>
      <c r="J104" s="321" t="inlineStr">
        <is>
          <t>АСУ,А и ТМ (КЦ № 7)</t>
        </is>
      </c>
      <c r="K104" s="321" t="inlineStr"/>
      <c r="L104" s="321" t="inlineStr"/>
      <c r="M104" s="321" t="inlineStr"/>
      <c r="N104" s="322" t="inlineStr"/>
    </row>
    <row r="105" ht="22.5" customHeight="1" s="236">
      <c r="A105" s="243" t="n">
        <v>104</v>
      </c>
      <c r="B105" s="244" t="inlineStr">
        <is>
          <t>Манометр технический</t>
        </is>
      </c>
      <c r="C105" s="321" t="inlineStr">
        <is>
          <t>ЭкМ160</t>
        </is>
      </c>
      <c r="D105" s="321" t="inlineStr">
        <is>
          <t>011802718</t>
        </is>
      </c>
      <c r="E105" s="321" t="inlineStr"/>
      <c r="F105" s="321" t="inlineStr">
        <is>
          <t>0…40 МПа</t>
        </is>
      </c>
      <c r="G105" s="321" t="inlineStr">
        <is>
          <t>1.5</t>
        </is>
      </c>
      <c r="H105" s="321" t="inlineStr">
        <is>
          <t>P м в гидроаккумуляторе крана 1-1</t>
        </is>
      </c>
      <c r="I105" s="321" t="inlineStr">
        <is>
          <t>ГПА 73</t>
        </is>
      </c>
      <c r="J105" s="321" t="inlineStr">
        <is>
          <t>АСУ,А и ТМ (КЦ № 7)</t>
        </is>
      </c>
      <c r="K105" s="321" t="inlineStr"/>
      <c r="L105" s="321" t="inlineStr"/>
      <c r="M105" s="321" t="inlineStr"/>
      <c r="N105" s="322" t="inlineStr"/>
    </row>
    <row r="106" ht="22.5" customHeight="1" s="236">
      <c r="A106" s="243" t="n">
        <v>105</v>
      </c>
      <c r="B106" s="244" t="inlineStr">
        <is>
          <t>Манометр технический</t>
        </is>
      </c>
      <c r="C106" s="321" t="inlineStr">
        <is>
          <t>ЭкМ160</t>
        </is>
      </c>
      <c r="D106" s="321" t="inlineStr">
        <is>
          <t>011712383</t>
        </is>
      </c>
      <c r="E106" s="321" t="inlineStr"/>
      <c r="F106" s="321" t="inlineStr">
        <is>
          <t>0…40 МПа</t>
        </is>
      </c>
      <c r="G106" s="321" t="inlineStr">
        <is>
          <t>1.5</t>
        </is>
      </c>
      <c r="H106" s="321" t="inlineStr">
        <is>
          <t>P м в гидроаккумуляторе крана 1</t>
        </is>
      </c>
      <c r="I106" s="321" t="inlineStr">
        <is>
          <t>ГПА 73</t>
        </is>
      </c>
      <c r="J106" s="321" t="inlineStr">
        <is>
          <t>АСУ,А и ТМ (КЦ № 7)</t>
        </is>
      </c>
      <c r="K106" s="321" t="inlineStr"/>
      <c r="L106" s="321" t="inlineStr"/>
      <c r="M106" s="321" t="inlineStr"/>
      <c r="N106" s="322" t="inlineStr"/>
    </row>
    <row r="107" ht="22.5" customHeight="1" s="236">
      <c r="A107" s="243" t="n">
        <v>106</v>
      </c>
      <c r="B107" s="244" t="inlineStr">
        <is>
          <t>Манометр технический</t>
        </is>
      </c>
      <c r="C107" s="321" t="inlineStr">
        <is>
          <t>ЭкМ160</t>
        </is>
      </c>
      <c r="D107" s="321" t="inlineStr">
        <is>
          <t>011712362</t>
        </is>
      </c>
      <c r="E107" s="321" t="inlineStr"/>
      <c r="F107" s="321" t="inlineStr">
        <is>
          <t>0…40 МПа</t>
        </is>
      </c>
      <c r="G107" s="321" t="inlineStr">
        <is>
          <t>1.5</t>
        </is>
      </c>
      <c r="H107" s="321" t="inlineStr">
        <is>
          <t>P м в гидроаккумуляторе крана 2</t>
        </is>
      </c>
      <c r="I107" s="321" t="inlineStr">
        <is>
          <t>ГПА 73</t>
        </is>
      </c>
      <c r="J107" s="321" t="inlineStr">
        <is>
          <t>АСУ,А и ТМ (КЦ № 7)</t>
        </is>
      </c>
      <c r="K107" s="321" t="inlineStr"/>
      <c r="L107" s="321" t="inlineStr"/>
      <c r="M107" s="321" t="inlineStr"/>
      <c r="N107" s="322" t="inlineStr"/>
    </row>
    <row r="108" ht="22.5" customHeight="1" s="236">
      <c r="A108" s="243" t="n">
        <v>107</v>
      </c>
      <c r="B108" s="244" t="inlineStr">
        <is>
          <t>Манометр технический</t>
        </is>
      </c>
      <c r="C108" s="321" t="inlineStr">
        <is>
          <t>EN 837-1</t>
        </is>
      </c>
      <c r="D108" s="321" t="inlineStr">
        <is>
          <t>113543</t>
        </is>
      </c>
      <c r="E108" s="321" t="inlineStr"/>
      <c r="F108" s="321" t="inlineStr">
        <is>
          <t>0…160 бар</t>
        </is>
      </c>
      <c r="G108" s="321" t="inlineStr">
        <is>
          <t>1.6</t>
        </is>
      </c>
      <c r="H108" s="321" t="inlineStr">
        <is>
          <t>P г до регулятора высокого давления 3бис</t>
        </is>
      </c>
      <c r="I108" s="321" t="inlineStr">
        <is>
          <t>ГПА 73</t>
        </is>
      </c>
      <c r="J108" s="321" t="inlineStr">
        <is>
          <t>АСУ,А и ТМ (КЦ № 7)</t>
        </is>
      </c>
      <c r="K108" s="321" t="inlineStr"/>
      <c r="L108" s="321" t="inlineStr"/>
      <c r="M108" s="321" t="inlineStr"/>
      <c r="N108" s="322" t="inlineStr"/>
    </row>
    <row r="109" ht="22.5" customHeight="1" s="236">
      <c r="A109" s="243" t="n">
        <v>108</v>
      </c>
      <c r="B109" s="244" t="inlineStr">
        <is>
          <t>Манометр технический</t>
        </is>
      </c>
      <c r="C109" s="321" t="inlineStr">
        <is>
          <t>EN 837-1</t>
        </is>
      </c>
      <c r="D109" s="321" t="inlineStr">
        <is>
          <t>2038956</t>
        </is>
      </c>
      <c r="E109" s="321" t="inlineStr"/>
      <c r="F109" s="321" t="inlineStr">
        <is>
          <t>0…60 бар</t>
        </is>
      </c>
      <c r="G109" s="321" t="inlineStr">
        <is>
          <t>1.6</t>
        </is>
      </c>
      <c r="H109" s="321" t="inlineStr">
        <is>
          <t>P г после регулятора высокого давления 3бис</t>
        </is>
      </c>
      <c r="I109" s="321" t="inlineStr">
        <is>
          <t>ГПА 73</t>
        </is>
      </c>
      <c r="J109" s="321" t="inlineStr">
        <is>
          <t>АСУ,А и ТМ (КЦ № 7)</t>
        </is>
      </c>
      <c r="K109" s="321" t="inlineStr"/>
      <c r="L109" s="321" t="inlineStr"/>
      <c r="M109" s="321" t="inlineStr"/>
      <c r="N109" s="322" t="inlineStr"/>
    </row>
    <row r="110" ht="22.5" customHeight="1" s="236">
      <c r="A110" s="243" t="n">
        <v>109</v>
      </c>
      <c r="B110" s="244" t="inlineStr">
        <is>
          <t>Манометр технический</t>
        </is>
      </c>
      <c r="C110" s="321" t="inlineStr">
        <is>
          <t>Bifold</t>
        </is>
      </c>
      <c r="D110" s="321" t="inlineStr">
        <is>
          <t>34728/1493</t>
        </is>
      </c>
      <c r="E110" s="321" t="inlineStr"/>
      <c r="F110" s="321" t="inlineStr">
        <is>
          <t>0…10 бар</t>
        </is>
      </c>
      <c r="G110" s="321" t="inlineStr"/>
      <c r="H110" s="321" t="inlineStr">
        <is>
          <t>Шкаф управления краном 3бис</t>
        </is>
      </c>
      <c r="I110" s="321" t="inlineStr">
        <is>
          <t>ГПА 73</t>
        </is>
      </c>
      <c r="J110" s="321" t="inlineStr">
        <is>
          <t>АСУ,А и ТМ (КЦ № 7)</t>
        </is>
      </c>
      <c r="K110" s="321" t="inlineStr"/>
      <c r="L110" s="321" t="inlineStr"/>
      <c r="M110" s="321" t="inlineStr"/>
      <c r="N110" s="322" t="inlineStr"/>
    </row>
    <row r="111" ht="22.5" customHeight="1" s="236">
      <c r="A111" s="243" t="n">
        <v>110</v>
      </c>
      <c r="B111" s="244" t="inlineStr">
        <is>
          <t>Манометр технический</t>
        </is>
      </c>
      <c r="C111" s="321" t="inlineStr">
        <is>
          <t>EN 837-1</t>
        </is>
      </c>
      <c r="D111" s="321" t="inlineStr">
        <is>
          <t>113535</t>
        </is>
      </c>
      <c r="E111" s="321" t="inlineStr"/>
      <c r="F111" s="321" t="inlineStr">
        <is>
          <t>0…60 бар</t>
        </is>
      </c>
      <c r="G111" s="321" t="inlineStr">
        <is>
          <t>1.6</t>
        </is>
      </c>
      <c r="H111" s="321" t="inlineStr">
        <is>
          <t>P г в аккумуляторе крана 3бис</t>
        </is>
      </c>
      <c r="I111" s="321" t="inlineStr">
        <is>
          <t>ГПА 73</t>
        </is>
      </c>
      <c r="J111" s="321" t="inlineStr">
        <is>
          <t>АСУ,А и ТМ (КЦ № 7)</t>
        </is>
      </c>
      <c r="K111" s="321" t="inlineStr"/>
      <c r="L111" s="321" t="inlineStr"/>
      <c r="M111" s="321" t="inlineStr"/>
      <c r="N111" s="322" t="inlineStr"/>
    </row>
    <row r="112" ht="22.5" customHeight="1" s="236">
      <c r="A112" s="243" t="n">
        <v>111</v>
      </c>
      <c r="B112" s="244" t="inlineStr">
        <is>
          <t>Манометр технический</t>
        </is>
      </c>
      <c r="C112" s="321" t="inlineStr">
        <is>
          <t>EN 837-1</t>
        </is>
      </c>
      <c r="D112" s="321" t="inlineStr">
        <is>
          <t>700300</t>
        </is>
      </c>
      <c r="E112" s="321" t="inlineStr"/>
      <c r="F112" s="321" t="inlineStr">
        <is>
          <t>0…160 бар</t>
        </is>
      </c>
      <c r="G112" s="321" t="inlineStr">
        <is>
          <t>1.6</t>
        </is>
      </c>
      <c r="H112" s="321" t="inlineStr">
        <is>
          <t>P г до регулятора высокого давления 6к</t>
        </is>
      </c>
      <c r="I112" s="321" t="inlineStr">
        <is>
          <t>ГПА 73</t>
        </is>
      </c>
      <c r="J112" s="321" t="inlineStr">
        <is>
          <t>АСУ,А и ТМ (КЦ № 7)</t>
        </is>
      </c>
      <c r="K112" s="321" t="inlineStr"/>
      <c r="L112" s="321" t="inlineStr"/>
      <c r="M112" s="321" t="inlineStr"/>
      <c r="N112" s="322" t="inlineStr"/>
    </row>
    <row r="113" ht="22.5" customHeight="1" s="236">
      <c r="A113" s="243" t="n">
        <v>112</v>
      </c>
      <c r="B113" s="244" t="inlineStr">
        <is>
          <t>Манометр технический</t>
        </is>
      </c>
      <c r="C113" s="321" t="inlineStr">
        <is>
          <t>EN 837-1</t>
        </is>
      </c>
      <c r="D113" s="321" t="inlineStr">
        <is>
          <t>700301</t>
        </is>
      </c>
      <c r="E113" s="321" t="inlineStr"/>
      <c r="F113" s="321" t="inlineStr">
        <is>
          <t>0…40 бар</t>
        </is>
      </c>
      <c r="G113" s="321" t="inlineStr">
        <is>
          <t>1.6</t>
        </is>
      </c>
      <c r="H113" s="321" t="inlineStr">
        <is>
          <t>P г после регулятора высокого давления 6к</t>
        </is>
      </c>
      <c r="I113" s="321" t="inlineStr">
        <is>
          <t>ГПА 73</t>
        </is>
      </c>
      <c r="J113" s="321" t="inlineStr">
        <is>
          <t>АСУ,А и ТМ (КЦ № 7)</t>
        </is>
      </c>
      <c r="K113" s="321" t="inlineStr"/>
      <c r="L113" s="321" t="inlineStr"/>
      <c r="M113" s="321" t="inlineStr"/>
      <c r="N113" s="322" t="inlineStr"/>
    </row>
    <row r="114" ht="22.5" customHeight="1" s="236">
      <c r="A114" s="243" t="n">
        <v>113</v>
      </c>
      <c r="B114" s="244" t="inlineStr">
        <is>
          <t>Манометр технический</t>
        </is>
      </c>
      <c r="C114" s="321" t="inlineStr">
        <is>
          <t>EN 837-1</t>
        </is>
      </c>
      <c r="D114" s="321" t="inlineStr">
        <is>
          <t>700302</t>
        </is>
      </c>
      <c r="E114" s="321" t="inlineStr"/>
      <c r="F114" s="321" t="inlineStr">
        <is>
          <t>0…100 бар</t>
        </is>
      </c>
      <c r="G114" s="321" t="inlineStr">
        <is>
          <t>1.6</t>
        </is>
      </c>
      <c r="H114" s="321" t="inlineStr">
        <is>
          <t>P г в аккумуляторе крана 6к</t>
        </is>
      </c>
      <c r="I114" s="321" t="inlineStr">
        <is>
          <t>ГПА 73</t>
        </is>
      </c>
      <c r="J114" s="321" t="inlineStr">
        <is>
          <t>АСУ,А и ТМ (КЦ № 7)</t>
        </is>
      </c>
      <c r="K114" s="321" t="inlineStr"/>
      <c r="L114" s="321" t="inlineStr"/>
      <c r="M114" s="321" t="inlineStr"/>
      <c r="N114" s="322" t="inlineStr"/>
    </row>
    <row r="115" ht="22.5" customHeight="1" s="236">
      <c r="A115" s="243" t="n">
        <v>114</v>
      </c>
      <c r="B115" s="244" t="inlineStr">
        <is>
          <t>Манометр технический</t>
        </is>
      </c>
      <c r="C115" s="321" t="inlineStr">
        <is>
          <t>Bifold</t>
        </is>
      </c>
      <c r="D115" s="321" t="inlineStr">
        <is>
          <t>36398/2377</t>
        </is>
      </c>
      <c r="E115" s="321" t="inlineStr"/>
      <c r="F115" s="321" t="inlineStr">
        <is>
          <t>0…10 бар</t>
        </is>
      </c>
      <c r="G115" s="321" t="inlineStr"/>
      <c r="H115" s="321" t="inlineStr">
        <is>
          <t>P в фильтре крана 6к</t>
        </is>
      </c>
      <c r="I115" s="321" t="inlineStr">
        <is>
          <t>ГПА 73</t>
        </is>
      </c>
      <c r="J115" s="321" t="inlineStr">
        <is>
          <t>АСУ,А и ТМ (КЦ № 7)</t>
        </is>
      </c>
      <c r="K115" s="321" t="inlineStr"/>
      <c r="L115" s="321" t="inlineStr"/>
      <c r="M115" s="321" t="inlineStr"/>
      <c r="N115" s="322" t="inlineStr"/>
    </row>
    <row r="116" ht="22.5" customHeight="1" s="236">
      <c r="A116" s="243" t="n">
        <v>115</v>
      </c>
      <c r="B116" s="244" t="inlineStr">
        <is>
          <t>Манометр технический</t>
        </is>
      </c>
      <c r="C116" s="321" t="inlineStr">
        <is>
          <t>Bifold</t>
        </is>
      </c>
      <c r="D116" s="321" t="inlineStr">
        <is>
          <t>700303</t>
        </is>
      </c>
      <c r="E116" s="321" t="inlineStr"/>
      <c r="F116" s="321" t="inlineStr">
        <is>
          <t>0…8 бар</t>
        </is>
      </c>
      <c r="G116" s="321" t="inlineStr"/>
      <c r="H116" s="321" t="inlineStr">
        <is>
          <t>Шкаф управления краном 6к</t>
        </is>
      </c>
      <c r="I116" s="321" t="inlineStr">
        <is>
          <t>ГПА 73</t>
        </is>
      </c>
      <c r="J116" s="321" t="inlineStr">
        <is>
          <t>АСУ,А и ТМ (КЦ № 7)</t>
        </is>
      </c>
      <c r="K116" s="321" t="inlineStr"/>
      <c r="L116" s="321" t="inlineStr"/>
      <c r="M116" s="321" t="inlineStr"/>
      <c r="N116" s="322" t="inlineStr"/>
    </row>
    <row r="117" ht="22.5" customHeight="1" s="236">
      <c r="A117" s="243" t="n">
        <v>116</v>
      </c>
      <c r="B117" s="244" t="inlineStr">
        <is>
          <t>Манометр технический</t>
        </is>
      </c>
      <c r="C117" s="321" t="inlineStr">
        <is>
          <t>Bifold</t>
        </is>
      </c>
      <c r="D117" s="321" t="inlineStr">
        <is>
          <t>700304</t>
        </is>
      </c>
      <c r="E117" s="321" t="inlineStr"/>
      <c r="F117" s="321" t="inlineStr">
        <is>
          <t>0…8 бар</t>
        </is>
      </c>
      <c r="G117" s="321" t="inlineStr"/>
      <c r="H117" s="321" t="inlineStr">
        <is>
          <t>Шкаф управления краном 6к</t>
        </is>
      </c>
      <c r="I117" s="321" t="inlineStr">
        <is>
          <t>ГПА 73</t>
        </is>
      </c>
      <c r="J117" s="321" t="inlineStr">
        <is>
          <t>АСУ,А и ТМ (КЦ № 7)</t>
        </is>
      </c>
      <c r="K117" s="321" t="inlineStr"/>
      <c r="L117" s="321" t="inlineStr"/>
      <c r="M117" s="321" t="inlineStr"/>
      <c r="N117" s="322" t="inlineStr"/>
    </row>
    <row r="118" ht="22.5" customHeight="1" s="236">
      <c r="A118" s="243" t="n">
        <v>117</v>
      </c>
      <c r="B118" s="244" t="inlineStr">
        <is>
          <t>Манометр технический</t>
        </is>
      </c>
      <c r="C118" s="321" t="inlineStr">
        <is>
          <t>EN 837-1</t>
        </is>
      </c>
      <c r="D118" s="321" t="inlineStr">
        <is>
          <t>700305</t>
        </is>
      </c>
      <c r="E118" s="321" t="inlineStr"/>
      <c r="F118" s="321" t="inlineStr">
        <is>
          <t>0…100 бар</t>
        </is>
      </c>
      <c r="G118" s="321" t="inlineStr">
        <is>
          <t>1.6</t>
        </is>
      </c>
      <c r="H118" s="321" t="inlineStr">
        <is>
          <t>Шкаф управления краном 36к</t>
        </is>
      </c>
      <c r="I118" s="321" t="inlineStr">
        <is>
          <t>Промплощадка</t>
        </is>
      </c>
      <c r="J118" s="321" t="inlineStr">
        <is>
          <t>АСУ,А и ТМ (КЦ № 7)</t>
        </is>
      </c>
      <c r="K118" s="321" t="inlineStr"/>
      <c r="L118" s="321" t="inlineStr"/>
      <c r="M118" s="321" t="inlineStr"/>
      <c r="N118" s="322" t="inlineStr"/>
    </row>
    <row r="119" ht="22.5" customHeight="1" s="236">
      <c r="A119" s="243" t="n">
        <v>118</v>
      </c>
      <c r="B119" s="244" t="inlineStr">
        <is>
          <t>Манометр технический</t>
        </is>
      </c>
      <c r="C119" s="321" t="inlineStr">
        <is>
          <t>EN 837-1</t>
        </is>
      </c>
      <c r="D119" s="321" t="inlineStr">
        <is>
          <t>700306</t>
        </is>
      </c>
      <c r="E119" s="321" t="inlineStr"/>
      <c r="F119" s="321" t="inlineStr">
        <is>
          <t>0…40 бар</t>
        </is>
      </c>
      <c r="G119" s="321" t="inlineStr">
        <is>
          <t>1.6</t>
        </is>
      </c>
      <c r="H119" s="321" t="inlineStr">
        <is>
          <t>Шкаф управления краном 36к</t>
        </is>
      </c>
      <c r="I119" s="321" t="inlineStr">
        <is>
          <t>Промплощадка</t>
        </is>
      </c>
      <c r="J119" s="321" t="inlineStr">
        <is>
          <t>АСУ,А и ТМ (КЦ № 7)</t>
        </is>
      </c>
      <c r="K119" s="321" t="inlineStr"/>
      <c r="L119" s="321" t="inlineStr"/>
      <c r="M119" s="321" t="inlineStr"/>
      <c r="N119" s="322" t="inlineStr"/>
    </row>
    <row r="120" ht="22.5" customHeight="1" s="236">
      <c r="A120" s="243" t="n">
        <v>119</v>
      </c>
      <c r="B120" s="244" t="inlineStr">
        <is>
          <t>Манометр технический</t>
        </is>
      </c>
      <c r="C120" s="321" t="inlineStr">
        <is>
          <t>Bifold</t>
        </is>
      </c>
      <c r="D120" s="321" t="inlineStr">
        <is>
          <t>36398/2379</t>
        </is>
      </c>
      <c r="E120" s="321" t="inlineStr"/>
      <c r="F120" s="321" t="inlineStr">
        <is>
          <t>0…40 бар</t>
        </is>
      </c>
      <c r="G120" s="321" t="inlineStr"/>
      <c r="H120" s="321" t="inlineStr">
        <is>
          <t>Шкаф управления краном 36к</t>
        </is>
      </c>
      <c r="I120" s="321" t="inlineStr">
        <is>
          <t>Промплощадка</t>
        </is>
      </c>
      <c r="J120" s="321" t="inlineStr">
        <is>
          <t>АСУ,А и ТМ (КЦ № 7)</t>
        </is>
      </c>
      <c r="K120" s="321" t="inlineStr"/>
      <c r="L120" s="321" t="inlineStr"/>
      <c r="M120" s="321" t="inlineStr"/>
      <c r="N120" s="322" t="inlineStr"/>
    </row>
    <row r="121" ht="22.5" customHeight="1" s="236">
      <c r="A121" s="243" t="n">
        <v>120</v>
      </c>
      <c r="B121" s="244" t="inlineStr">
        <is>
          <t>Манометр технический</t>
        </is>
      </c>
      <c r="C121" s="321" t="inlineStr">
        <is>
          <t>Bifold</t>
        </is>
      </c>
      <c r="D121" s="321" t="inlineStr">
        <is>
          <t>700307</t>
        </is>
      </c>
      <c r="E121" s="321" t="inlineStr"/>
      <c r="F121" s="321" t="inlineStr">
        <is>
          <t>0…8 бар</t>
        </is>
      </c>
      <c r="G121" s="321" t="inlineStr"/>
      <c r="H121" s="321" t="inlineStr">
        <is>
          <t>Шкаф управления краном 36к</t>
        </is>
      </c>
      <c r="I121" s="321" t="inlineStr">
        <is>
          <t>Промплощадка</t>
        </is>
      </c>
      <c r="J121" s="321" t="inlineStr">
        <is>
          <t>АСУ,А и ТМ (КЦ № 7)</t>
        </is>
      </c>
      <c r="K121" s="321" t="inlineStr"/>
      <c r="L121" s="321" t="inlineStr"/>
      <c r="M121" s="321" t="inlineStr"/>
      <c r="N121" s="322" t="inlineStr"/>
    </row>
    <row r="122" ht="22.5" customHeight="1" s="236">
      <c r="A122" s="243" t="n">
        <v>121</v>
      </c>
      <c r="B122" s="244" t="inlineStr">
        <is>
          <t>Манометр технический</t>
        </is>
      </c>
      <c r="C122" s="321" t="inlineStr">
        <is>
          <t>Bifold</t>
        </is>
      </c>
      <c r="D122" s="321" t="inlineStr">
        <is>
          <t>700308</t>
        </is>
      </c>
      <c r="E122" s="321" t="inlineStr"/>
      <c r="F122" s="321" t="inlineStr">
        <is>
          <t>0…8 бар</t>
        </is>
      </c>
      <c r="G122" s="321" t="inlineStr"/>
      <c r="H122" s="321" t="inlineStr">
        <is>
          <t>Шкаф управления краном 36к</t>
        </is>
      </c>
      <c r="I122" s="321" t="inlineStr">
        <is>
          <t>Промплощадка</t>
        </is>
      </c>
      <c r="J122" s="321" t="inlineStr">
        <is>
          <t>АСУ,А и ТМ (КЦ № 7)</t>
        </is>
      </c>
      <c r="K122" s="321" t="inlineStr"/>
      <c r="L122" s="321" t="inlineStr"/>
      <c r="M122" s="321" t="inlineStr"/>
      <c r="N122" s="322" t="inlineStr"/>
    </row>
    <row r="123" ht="22.5" customHeight="1" s="236">
      <c r="A123" s="243" t="n">
        <v>122</v>
      </c>
      <c r="B123" s="244" t="inlineStr">
        <is>
          <t>Манометр технический</t>
        </is>
      </c>
      <c r="C123" s="321" t="inlineStr">
        <is>
          <t>ЭкМ160</t>
        </is>
      </c>
      <c r="D123" s="321" t="inlineStr">
        <is>
          <t>011711571</t>
        </is>
      </c>
      <c r="E123" s="321" t="inlineStr"/>
      <c r="F123" s="321" t="inlineStr">
        <is>
          <t>0…40 МПа</t>
        </is>
      </c>
      <c r="G123" s="321" t="inlineStr">
        <is>
          <t>1.5</t>
        </is>
      </c>
      <c r="H123" s="321" t="inlineStr">
        <is>
          <t>P м в гидроаккумуляторе крана 36</t>
        </is>
      </c>
      <c r="I123" s="321" t="inlineStr">
        <is>
          <t>Промплощадка</t>
        </is>
      </c>
      <c r="J123" s="321" t="inlineStr">
        <is>
          <t>АСУ,А и ТМ (КЦ № 7)</t>
        </is>
      </c>
      <c r="K123" s="321" t="inlineStr"/>
      <c r="L123" s="321" t="inlineStr"/>
      <c r="M123" s="321" t="inlineStr"/>
      <c r="N123" s="322" t="inlineStr"/>
    </row>
    <row r="124" ht="22.5" customHeight="1" s="236">
      <c r="A124" s="243" t="n">
        <v>123</v>
      </c>
      <c r="B124" s="244" t="inlineStr">
        <is>
          <t>Манометр технический</t>
        </is>
      </c>
      <c r="C124" s="321" t="inlineStr">
        <is>
          <t>ЭкМ160</t>
        </is>
      </c>
      <c r="D124" s="321" t="inlineStr">
        <is>
          <t>011712386</t>
        </is>
      </c>
      <c r="E124" s="321" t="inlineStr"/>
      <c r="F124" s="321" t="inlineStr">
        <is>
          <t>0…40 МПа</t>
        </is>
      </c>
      <c r="G124" s="321" t="inlineStr">
        <is>
          <t>1.5</t>
        </is>
      </c>
      <c r="H124" s="321" t="inlineStr">
        <is>
          <t>P м в гидроаккумуляторе крана 77</t>
        </is>
      </c>
      <c r="I124" s="321" t="inlineStr">
        <is>
          <t>Промплощадка</t>
        </is>
      </c>
      <c r="J124" s="321" t="inlineStr">
        <is>
          <t>АСУ,А и ТМ (КЦ № 7)</t>
        </is>
      </c>
      <c r="K124" s="321" t="inlineStr"/>
      <c r="L124" s="321" t="inlineStr"/>
      <c r="M124" s="321" t="inlineStr"/>
      <c r="N124" s="322" t="inlineStr"/>
    </row>
    <row r="125" ht="22.5" customHeight="1" s="236">
      <c r="A125" s="243" t="n">
        <v>124</v>
      </c>
      <c r="B125" s="244" t="inlineStr">
        <is>
          <t>Манометр технический</t>
        </is>
      </c>
      <c r="C125" s="321" t="inlineStr">
        <is>
          <t>ЭкМ160</t>
        </is>
      </c>
      <c r="D125" s="321" t="inlineStr">
        <is>
          <t>011712354</t>
        </is>
      </c>
      <c r="E125" s="321" t="inlineStr"/>
      <c r="F125" s="321" t="inlineStr">
        <is>
          <t>0…40 МПа</t>
        </is>
      </c>
      <c r="G125" s="321" t="inlineStr">
        <is>
          <t>1.5</t>
        </is>
      </c>
      <c r="H125" s="321" t="inlineStr">
        <is>
          <t>P м в гидроаккумуляторе крана 78</t>
        </is>
      </c>
      <c r="I125" s="321" t="inlineStr">
        <is>
          <t>Промплощадка</t>
        </is>
      </c>
      <c r="J125" s="321" t="inlineStr">
        <is>
          <t>АСУ,А и ТМ (КЦ № 7)</t>
        </is>
      </c>
      <c r="K125" s="321" t="inlineStr"/>
      <c r="L125" s="321" t="inlineStr"/>
      <c r="M125" s="321" t="inlineStr"/>
      <c r="N125" s="322" t="inlineStr"/>
    </row>
    <row r="126" ht="22.5" customHeight="1" s="236">
      <c r="A126" s="243" t="n">
        <v>125</v>
      </c>
      <c r="B126" s="244" t="inlineStr">
        <is>
          <t>Манометр технический</t>
        </is>
      </c>
      <c r="C126" s="321" t="inlineStr">
        <is>
          <t>без названия</t>
        </is>
      </c>
      <c r="D126" s="321" t="inlineStr">
        <is>
          <t>7000277</t>
        </is>
      </c>
      <c r="E126" s="321" t="inlineStr"/>
      <c r="F126" s="321" t="inlineStr">
        <is>
          <t>0…16 бар</t>
        </is>
      </c>
      <c r="G126" s="321" t="inlineStr"/>
      <c r="H126" s="321" t="inlineStr">
        <is>
          <t>Переносной компрессор</t>
        </is>
      </c>
      <c r="I126" s="321" t="inlineStr">
        <is>
          <t>УТО</t>
        </is>
      </c>
      <c r="J126" s="321" t="inlineStr">
        <is>
          <t>АСУ,А и ТМ (КЦ № 7)</t>
        </is>
      </c>
      <c r="K126" s="321" t="inlineStr"/>
      <c r="L126" s="321" t="inlineStr"/>
      <c r="M126" s="321" t="inlineStr"/>
      <c r="N126" s="322" t="inlineStr"/>
    </row>
    <row r="127" ht="22.5" customHeight="1" s="236">
      <c r="A127" s="243" t="n">
        <v>126</v>
      </c>
      <c r="B127" s="244" t="inlineStr">
        <is>
          <t>Манометр технический</t>
        </is>
      </c>
      <c r="C127" s="321" t="inlineStr">
        <is>
          <t>без названия</t>
        </is>
      </c>
      <c r="D127" s="321" t="inlineStr">
        <is>
          <t>7000278</t>
        </is>
      </c>
      <c r="E127" s="321" t="inlineStr"/>
      <c r="F127" s="321" t="inlineStr">
        <is>
          <t>0…16 бар</t>
        </is>
      </c>
      <c r="G127" s="321" t="inlineStr"/>
      <c r="H127" s="321" t="inlineStr">
        <is>
          <t>Переносной компрессор</t>
        </is>
      </c>
      <c r="I127" s="321" t="inlineStr">
        <is>
          <t>УТО</t>
        </is>
      </c>
      <c r="J127" s="321" t="inlineStr">
        <is>
          <t>АСУ,А и ТМ (КЦ № 7)</t>
        </is>
      </c>
      <c r="K127" s="321" t="inlineStr"/>
      <c r="L127" s="321" t="inlineStr"/>
      <c r="M127" s="321" t="inlineStr"/>
      <c r="N127" s="322" t="inlineStr"/>
    </row>
    <row r="128" ht="22.5" customHeight="1" s="236">
      <c r="A128" s="243" t="n">
        <v>127</v>
      </c>
      <c r="B128" s="244" t="inlineStr">
        <is>
          <t>Манометр технический</t>
        </is>
      </c>
      <c r="C128" s="321" t="inlineStr">
        <is>
          <t>EN 837-1</t>
        </is>
      </c>
      <c r="D128" s="321" t="inlineStr">
        <is>
          <t>700229</t>
        </is>
      </c>
      <c r="E128" s="321" t="inlineStr"/>
      <c r="F128" s="321" t="inlineStr">
        <is>
          <t>0…250 бар</t>
        </is>
      </c>
      <c r="G128" s="321" t="inlineStr">
        <is>
          <t>1.6</t>
        </is>
      </c>
      <c r="H128" s="321" t="inlineStr">
        <is>
          <t>Р в гидросистеме</t>
        </is>
      </c>
      <c r="I128" s="321" t="inlineStr">
        <is>
          <t>УТО</t>
        </is>
      </c>
      <c r="J128" s="321" t="inlineStr">
        <is>
          <t>АСУ,А и ТМ (КЦ № 7)</t>
        </is>
      </c>
      <c r="K128" s="321" t="inlineStr"/>
      <c r="L128" s="321" t="inlineStr"/>
      <c r="M128" s="321" t="inlineStr"/>
      <c r="N128" s="322" t="inlineStr"/>
    </row>
    <row r="129" ht="22.5" customHeight="1" s="236">
      <c r="A129" s="243" t="n">
        <v>128</v>
      </c>
      <c r="B129" s="244" t="inlineStr">
        <is>
          <t>Манометр технический</t>
        </is>
      </c>
      <c r="C129" s="321" t="inlineStr">
        <is>
          <t>EN 837-1</t>
        </is>
      </c>
      <c r="D129" s="321" t="inlineStr">
        <is>
          <t>700228</t>
        </is>
      </c>
      <c r="E129" s="321" t="inlineStr"/>
      <c r="F129" s="321" t="inlineStr">
        <is>
          <t>0…12 бар</t>
        </is>
      </c>
      <c r="G129" s="321" t="inlineStr">
        <is>
          <t>1.6</t>
        </is>
      </c>
      <c r="H129" s="321" t="inlineStr">
        <is>
          <t>Р в маслобаке</t>
        </is>
      </c>
      <c r="I129" s="321" t="inlineStr">
        <is>
          <t>УТО</t>
        </is>
      </c>
      <c r="J129" s="321" t="inlineStr">
        <is>
          <t>АСУ,А и ТМ (КЦ № 7)</t>
        </is>
      </c>
      <c r="K129" s="321" t="inlineStr"/>
      <c r="L129" s="321" t="inlineStr"/>
      <c r="M129" s="321" t="inlineStr"/>
      <c r="N129" s="322" t="inlineStr"/>
    </row>
    <row r="130" ht="22.5" customHeight="1" s="236">
      <c r="A130" s="243" t="n">
        <v>129</v>
      </c>
      <c r="B130" s="244" t="inlineStr">
        <is>
          <t>Манометр технический</t>
        </is>
      </c>
      <c r="C130" s="321" t="inlineStr">
        <is>
          <t>ДМ 2005Сг1Eх-УЗ</t>
        </is>
      </c>
      <c r="D130" s="321" t="inlineStr">
        <is>
          <t>163257</t>
        </is>
      </c>
      <c r="E130" s="321" t="inlineStr">
        <is>
          <t>2010</t>
        </is>
      </c>
      <c r="F130" s="321" t="inlineStr">
        <is>
          <t>0…400 кгс/см²</t>
        </is>
      </c>
      <c r="G130" s="321" t="inlineStr">
        <is>
          <t>1.5</t>
        </is>
      </c>
      <c r="H130" s="321" t="inlineStr">
        <is>
          <t>Кран 8</t>
        </is>
      </c>
      <c r="I130" s="321" t="inlineStr">
        <is>
          <t>Узел подключения</t>
        </is>
      </c>
      <c r="J130" s="321" t="inlineStr">
        <is>
          <t>АСУ,А и ТМ (КЦ № 7)</t>
        </is>
      </c>
      <c r="K130" s="321" t="inlineStr">
        <is>
          <t>2012</t>
        </is>
      </c>
      <c r="L130" s="321" t="inlineStr"/>
      <c r="M130" s="321" t="inlineStr"/>
      <c r="N130" s="322" t="inlineStr"/>
    </row>
    <row r="131" ht="22.5" customHeight="1" s="236">
      <c r="A131" s="243" t="n">
        <v>130</v>
      </c>
      <c r="B131" s="244" t="inlineStr">
        <is>
          <t>Манометр технический</t>
        </is>
      </c>
      <c r="C131" s="321" t="inlineStr">
        <is>
          <t>ДМ 2005Сг1Eх-УЗ</t>
        </is>
      </c>
      <c r="D131" s="321" t="inlineStr">
        <is>
          <t>163255</t>
        </is>
      </c>
      <c r="E131" s="321" t="inlineStr">
        <is>
          <t>2010</t>
        </is>
      </c>
      <c r="F131" s="321" t="inlineStr">
        <is>
          <t>0…400 кгс/см²</t>
        </is>
      </c>
      <c r="G131" s="321" t="inlineStr">
        <is>
          <t>1.5</t>
        </is>
      </c>
      <c r="H131" s="321" t="inlineStr">
        <is>
          <t>Кран 18</t>
        </is>
      </c>
      <c r="I131" s="321" t="inlineStr">
        <is>
          <t>Узел подключения</t>
        </is>
      </c>
      <c r="J131" s="321" t="inlineStr">
        <is>
          <t>АСУ,А и ТМ (КЦ № 7)</t>
        </is>
      </c>
      <c r="K131" s="321" t="inlineStr">
        <is>
          <t>2012</t>
        </is>
      </c>
      <c r="L131" s="321" t="inlineStr"/>
      <c r="M131" s="321" t="inlineStr"/>
      <c r="N131" s="322" t="inlineStr"/>
    </row>
    <row r="132" ht="22.5" customHeight="1" s="236">
      <c r="A132" s="243" t="n">
        <v>131</v>
      </c>
      <c r="B132" s="244" t="inlineStr">
        <is>
          <t>Манометр технический</t>
        </is>
      </c>
      <c r="C132" s="321" t="inlineStr">
        <is>
          <t>ДМ 2005Сг1Eх-УЗ</t>
        </is>
      </c>
      <c r="D132" s="321" t="inlineStr">
        <is>
          <t>163254</t>
        </is>
      </c>
      <c r="E132" s="321" t="inlineStr">
        <is>
          <t>2010</t>
        </is>
      </c>
      <c r="F132" s="321" t="inlineStr">
        <is>
          <t>0…400 кгс/см²</t>
        </is>
      </c>
      <c r="G132" s="321" t="inlineStr">
        <is>
          <t>1.5</t>
        </is>
      </c>
      <c r="H132" s="321" t="inlineStr">
        <is>
          <t>Кран 7</t>
        </is>
      </c>
      <c r="I132" s="321" t="inlineStr">
        <is>
          <t>Узел подключения</t>
        </is>
      </c>
      <c r="J132" s="321" t="inlineStr">
        <is>
          <t>АСУ,А и ТМ (КЦ № 7)</t>
        </is>
      </c>
      <c r="K132" s="321" t="inlineStr">
        <is>
          <t>2012</t>
        </is>
      </c>
      <c r="L132" s="321" t="inlineStr"/>
      <c r="M132" s="321" t="inlineStr"/>
      <c r="N132" s="322" t="inlineStr"/>
    </row>
    <row r="133" ht="22.5" customHeight="1" s="236">
      <c r="A133" s="243" t="n">
        <v>132</v>
      </c>
      <c r="B133" s="244" t="inlineStr">
        <is>
          <t>Манометр технический</t>
        </is>
      </c>
      <c r="C133" s="321" t="inlineStr">
        <is>
          <t>ДМ 2005Сг1Eх-УЗ</t>
        </is>
      </c>
      <c r="D133" s="321" t="inlineStr">
        <is>
          <t>118408</t>
        </is>
      </c>
      <c r="E133" s="321" t="inlineStr">
        <is>
          <t>2010</t>
        </is>
      </c>
      <c r="F133" s="321" t="inlineStr">
        <is>
          <t>0…400 кгс/см²</t>
        </is>
      </c>
      <c r="G133" s="321" t="inlineStr">
        <is>
          <t>1.5</t>
        </is>
      </c>
      <c r="H133" s="321" t="inlineStr">
        <is>
          <t>Кран 7-1</t>
        </is>
      </c>
      <c r="I133" s="321" t="inlineStr">
        <is>
          <t>Узел подключения</t>
        </is>
      </c>
      <c r="J133" s="321" t="inlineStr">
        <is>
          <t>АСУ,А и ТМ (КЦ № 7)</t>
        </is>
      </c>
      <c r="K133" s="321" t="inlineStr">
        <is>
          <t>2012</t>
        </is>
      </c>
      <c r="L133" s="321" t="inlineStr"/>
      <c r="M133" s="321" t="inlineStr"/>
      <c r="N133" s="322" t="inlineStr"/>
    </row>
    <row r="134" ht="22.5" customHeight="1" s="236">
      <c r="A134" s="243" t="n">
        <v>133</v>
      </c>
      <c r="B134" s="244" t="inlineStr">
        <is>
          <t>Манометр технический</t>
        </is>
      </c>
      <c r="C134" s="321" t="inlineStr">
        <is>
          <t>ДМ 2005Сг1Eх-УЗ</t>
        </is>
      </c>
      <c r="D134" s="321" t="inlineStr">
        <is>
          <t>163256</t>
        </is>
      </c>
      <c r="E134" s="321" t="inlineStr">
        <is>
          <t>2010</t>
        </is>
      </c>
      <c r="F134" s="321" t="inlineStr">
        <is>
          <t>0…400 кгс/см²</t>
        </is>
      </c>
      <c r="G134" s="321" t="inlineStr">
        <is>
          <t>1.5</t>
        </is>
      </c>
      <c r="H134" s="321" t="inlineStr">
        <is>
          <t>Кран 17</t>
        </is>
      </c>
      <c r="I134" s="321" t="inlineStr">
        <is>
          <t>Узел подключения</t>
        </is>
      </c>
      <c r="J134" s="321" t="inlineStr">
        <is>
          <t>АСУ,А и ТМ (КЦ № 7)</t>
        </is>
      </c>
      <c r="K134" s="321" t="inlineStr">
        <is>
          <t>2012</t>
        </is>
      </c>
      <c r="L134" s="321" t="inlineStr"/>
      <c r="M134" s="321" t="inlineStr"/>
      <c r="N134" s="322" t="inlineStr"/>
    </row>
    <row r="135">
      <c r="A135" s="243" t="n">
        <v>1</v>
      </c>
      <c r="B135" s="248" t="inlineStr">
        <is>
          <t>Манометр технический</t>
        </is>
      </c>
      <c r="C135" s="243" t="inlineStr">
        <is>
          <t>TecSis</t>
        </is>
      </c>
      <c r="D135" s="254" t="inlineStr"/>
      <c r="E135" s="245" t="inlineStr">
        <is>
          <t>2010</t>
        </is>
      </c>
      <c r="F135" s="273" t="inlineStr">
        <is>
          <t>0…16 бар</t>
        </is>
      </c>
      <c r="G135" s="243" t="inlineStr"/>
      <c r="H135" s="243" t="inlineStr">
        <is>
          <t>Давление воды на выходе насосов №1</t>
        </is>
      </c>
      <c r="I135" s="243" t="inlineStr">
        <is>
          <t>НППВ</t>
        </is>
      </c>
      <c r="J135" s="243" t="inlineStr">
        <is>
          <t>АСУ,А и ТМ (КЦ № 6)</t>
        </is>
      </c>
      <c r="K135" s="243" t="inlineStr">
        <is>
          <t>2012</t>
        </is>
      </c>
      <c r="L135" s="326" t="inlineStr"/>
      <c r="M135" s="326" t="inlineStr"/>
      <c r="N135" s="326" t="inlineStr"/>
    </row>
    <row r="136">
      <c r="A136" s="243" t="n">
        <v>2</v>
      </c>
      <c r="B136" s="248" t="inlineStr">
        <is>
          <t>Манометр технический</t>
        </is>
      </c>
      <c r="C136" s="243" t="inlineStr">
        <is>
          <t>TecSis</t>
        </is>
      </c>
      <c r="D136" s="254" t="inlineStr"/>
      <c r="E136" s="245" t="inlineStr">
        <is>
          <t>2010</t>
        </is>
      </c>
      <c r="F136" s="273" t="inlineStr">
        <is>
          <t>0…16 бар</t>
        </is>
      </c>
      <c r="G136" s="243" t="inlineStr"/>
      <c r="H136" s="243" t="inlineStr">
        <is>
          <t>Давление воды на выходе насосов №1</t>
        </is>
      </c>
      <c r="I136" s="243" t="inlineStr">
        <is>
          <t>НППВ</t>
        </is>
      </c>
      <c r="J136" s="243" t="inlineStr">
        <is>
          <t>АСУ,А и ТМ (КЦ № 6)</t>
        </is>
      </c>
      <c r="K136" s="243" t="inlineStr">
        <is>
          <t>2012</t>
        </is>
      </c>
      <c r="L136" s="326" t="inlineStr"/>
      <c r="M136" s="326" t="inlineStr"/>
      <c r="N136" s="326" t="inlineStr"/>
    </row>
    <row r="137">
      <c r="A137" s="243" t="n">
        <v>3</v>
      </c>
      <c r="B137" s="248" t="inlineStr">
        <is>
          <t>Манометр технический</t>
        </is>
      </c>
      <c r="C137" s="243" t="inlineStr">
        <is>
          <t>TecSis</t>
        </is>
      </c>
      <c r="D137" s="254" t="inlineStr"/>
      <c r="E137" s="245" t="inlineStr">
        <is>
          <t>2010</t>
        </is>
      </c>
      <c r="F137" s="273" t="inlineStr">
        <is>
          <t>0…16 бар</t>
        </is>
      </c>
      <c r="G137" s="243" t="inlineStr"/>
      <c r="H137" s="243" t="inlineStr">
        <is>
          <t>Давление воды на выходе с насоса №1</t>
        </is>
      </c>
      <c r="I137" s="243" t="inlineStr">
        <is>
          <t>НППВ</t>
        </is>
      </c>
      <c r="J137" s="243" t="inlineStr">
        <is>
          <t>АСУ,А и ТМ (КЦ № 6)</t>
        </is>
      </c>
      <c r="K137" s="243" t="inlineStr">
        <is>
          <t>2012</t>
        </is>
      </c>
      <c r="L137" s="326" t="inlineStr"/>
      <c r="M137" s="326" t="inlineStr"/>
      <c r="N137" s="326" t="inlineStr"/>
    </row>
    <row r="138">
      <c r="A138" s="243" t="n">
        <v>4</v>
      </c>
      <c r="B138" s="248" t="inlineStr">
        <is>
          <t>Манометр технический</t>
        </is>
      </c>
      <c r="C138" s="243" t="inlineStr">
        <is>
          <t>TecSis</t>
        </is>
      </c>
      <c r="D138" s="254" t="inlineStr"/>
      <c r="E138" s="245" t="inlineStr">
        <is>
          <t>2010</t>
        </is>
      </c>
      <c r="F138" s="273" t="inlineStr">
        <is>
          <t>0…16 бар</t>
        </is>
      </c>
      <c r="G138" s="243" t="inlineStr"/>
      <c r="H138" s="243" t="inlineStr">
        <is>
          <t>Давление воды на выходе с насоса №2</t>
        </is>
      </c>
      <c r="I138" s="243" t="inlineStr">
        <is>
          <t>НППВ</t>
        </is>
      </c>
      <c r="J138" s="243" t="inlineStr">
        <is>
          <t>АСУ,А и ТМ (КЦ № 6)</t>
        </is>
      </c>
      <c r="K138" s="243" t="inlineStr">
        <is>
          <t>2012</t>
        </is>
      </c>
      <c r="L138" s="326" t="inlineStr"/>
      <c r="M138" s="326" t="inlineStr"/>
      <c r="N138" s="326" t="inlineStr"/>
    </row>
    <row r="139">
      <c r="A139" s="243" t="n">
        <v>5</v>
      </c>
      <c r="B139" s="248" t="inlineStr">
        <is>
          <t>Манометр технический</t>
        </is>
      </c>
      <c r="C139" s="243" t="inlineStr">
        <is>
          <t>TecSis</t>
        </is>
      </c>
      <c r="D139" s="254" t="inlineStr"/>
      <c r="E139" s="245" t="inlineStr">
        <is>
          <t>2010</t>
        </is>
      </c>
      <c r="F139" s="273" t="inlineStr">
        <is>
          <t>0…16 бар</t>
        </is>
      </c>
      <c r="G139" s="243" t="inlineStr"/>
      <c r="H139" s="243" t="inlineStr">
        <is>
          <t>Давление воды на выходе с насоса №3</t>
        </is>
      </c>
      <c r="I139" s="243" t="inlineStr">
        <is>
          <t>НППВ</t>
        </is>
      </c>
      <c r="J139" s="243" t="inlineStr">
        <is>
          <t>АСУ,А и ТМ (КЦ № 6)</t>
        </is>
      </c>
      <c r="K139" s="243" t="inlineStr">
        <is>
          <t>2012</t>
        </is>
      </c>
      <c r="L139" s="326" t="inlineStr"/>
      <c r="M139" s="326" t="inlineStr"/>
      <c r="N139" s="326" t="inlineStr"/>
    </row>
    <row r="140">
      <c r="A140" s="243" t="n">
        <v>6</v>
      </c>
      <c r="B140" s="248" t="inlineStr">
        <is>
          <t>Манометр технический</t>
        </is>
      </c>
      <c r="C140" s="243" t="inlineStr">
        <is>
          <t>TecSis</t>
        </is>
      </c>
      <c r="D140" s="254" t="inlineStr"/>
      <c r="E140" s="245" t="inlineStr">
        <is>
          <t>2010</t>
        </is>
      </c>
      <c r="F140" s="273" t="inlineStr">
        <is>
          <t>0…16 бар</t>
        </is>
      </c>
      <c r="G140" s="243" t="inlineStr"/>
      <c r="H140" s="243" t="inlineStr">
        <is>
          <t>Давление воды на выходе с насоса №4</t>
        </is>
      </c>
      <c r="I140" s="243" t="inlineStr">
        <is>
          <t>НППВ</t>
        </is>
      </c>
      <c r="J140" s="243" t="inlineStr">
        <is>
          <t>АСУ,А и ТМ (КЦ № 6)</t>
        </is>
      </c>
      <c r="K140" s="243" t="inlineStr">
        <is>
          <t>2012</t>
        </is>
      </c>
      <c r="L140" s="326" t="inlineStr"/>
      <c r="M140" s="326" t="inlineStr"/>
      <c r="N140" s="326" t="inlineStr"/>
    </row>
    <row r="141">
      <c r="A141" s="243" t="n">
        <v>7</v>
      </c>
      <c r="B141" s="248" t="inlineStr">
        <is>
          <t>Манометр технический</t>
        </is>
      </c>
      <c r="C141" s="243" t="inlineStr">
        <is>
          <t>TecSis</t>
        </is>
      </c>
      <c r="D141" s="254" t="inlineStr"/>
      <c r="E141" s="245" t="inlineStr">
        <is>
          <t>2010</t>
        </is>
      </c>
      <c r="F141" s="273" t="inlineStr">
        <is>
          <t>0…9 бар</t>
        </is>
      </c>
      <c r="G141" s="243" t="inlineStr"/>
      <c r="H141" s="243" t="inlineStr">
        <is>
          <t>Давление воды на входе 1-ой емкости</t>
        </is>
      </c>
      <c r="I141" s="243" t="inlineStr">
        <is>
          <t>НППВ</t>
        </is>
      </c>
      <c r="J141" s="243" t="inlineStr">
        <is>
          <t>АСУ,А и ТМ (КЦ № 6)</t>
        </is>
      </c>
      <c r="K141" s="243" t="inlineStr">
        <is>
          <t>2012</t>
        </is>
      </c>
      <c r="L141" s="326" t="inlineStr"/>
      <c r="M141" s="326" t="inlineStr"/>
      <c r="N141" s="326" t="inlineStr"/>
    </row>
    <row r="142">
      <c r="A142" s="243" t="n">
        <v>8</v>
      </c>
      <c r="B142" s="248" t="inlineStr">
        <is>
          <t>Манометр технический</t>
        </is>
      </c>
      <c r="C142" s="243" t="inlineStr">
        <is>
          <t>TecSis</t>
        </is>
      </c>
      <c r="D142" s="254" t="inlineStr"/>
      <c r="E142" s="245" t="inlineStr">
        <is>
          <t>2010</t>
        </is>
      </c>
      <c r="F142" s="273" t="inlineStr">
        <is>
          <t>0…9 бар</t>
        </is>
      </c>
      <c r="G142" s="243" t="inlineStr"/>
      <c r="H142" s="243" t="inlineStr">
        <is>
          <t>Давление воды на входе 2-ой емкости</t>
        </is>
      </c>
      <c r="I142" s="243" t="inlineStr">
        <is>
          <t>НППВ</t>
        </is>
      </c>
      <c r="J142" s="243" t="inlineStr">
        <is>
          <t>АСУ,А и ТМ (КЦ № 6)</t>
        </is>
      </c>
      <c r="K142" s="243" t="inlineStr">
        <is>
          <t>2012</t>
        </is>
      </c>
      <c r="L142" s="326" t="inlineStr"/>
      <c r="M142" s="326" t="inlineStr"/>
      <c r="N142" s="326" t="inlineStr"/>
    </row>
    <row r="143">
      <c r="A143" s="243" t="n">
        <v>9</v>
      </c>
      <c r="B143" s="248" t="inlineStr">
        <is>
          <t>Манометр технический</t>
        </is>
      </c>
      <c r="C143" s="243" t="inlineStr">
        <is>
          <t>TecSis</t>
        </is>
      </c>
      <c r="D143" s="254" t="inlineStr"/>
      <c r="E143" s="245" t="inlineStr">
        <is>
          <t>2010</t>
        </is>
      </c>
      <c r="F143" s="273" t="inlineStr">
        <is>
          <t>0…10 бар</t>
        </is>
      </c>
      <c r="G143" s="243" t="inlineStr"/>
      <c r="H143" s="243" t="inlineStr">
        <is>
          <t>Давление воды на выходе частотной станции подпитки</t>
        </is>
      </c>
      <c r="I143" s="243" t="inlineStr">
        <is>
          <t>НХПВ</t>
        </is>
      </c>
      <c r="J143" s="243" t="inlineStr">
        <is>
          <t>АСУ,А и ТМ (КЦ № 6)</t>
        </is>
      </c>
      <c r="K143" s="243" t="inlineStr">
        <is>
          <t>2012</t>
        </is>
      </c>
      <c r="L143" s="326" t="inlineStr"/>
      <c r="M143" s="326" t="inlineStr"/>
      <c r="N143" s="326" t="inlineStr"/>
    </row>
    <row r="144">
      <c r="A144" s="243" t="n">
        <v>10</v>
      </c>
      <c r="B144" s="248" t="inlineStr">
        <is>
          <t>Манометр технический</t>
        </is>
      </c>
      <c r="C144" s="243" t="inlineStr">
        <is>
          <t>ТМ3</t>
        </is>
      </c>
      <c r="D144" s="254" t="inlineStr"/>
      <c r="E144" s="245" t="inlineStr">
        <is>
          <t>2010</t>
        </is>
      </c>
      <c r="F144" s="273" t="inlineStr">
        <is>
          <t>0…10 бар</t>
        </is>
      </c>
      <c r="G144" s="243" t="inlineStr">
        <is>
          <t>2.5</t>
        </is>
      </c>
      <c r="H144" s="243" t="inlineStr">
        <is>
          <t>Давление воды на входе станции промывки</t>
        </is>
      </c>
      <c r="I144" s="243" t="inlineStr">
        <is>
          <t>НХПВ</t>
        </is>
      </c>
      <c r="J144" s="243" t="inlineStr">
        <is>
          <t>АСУ,А и ТМ (КЦ № 6)</t>
        </is>
      </c>
      <c r="K144" s="243" t="inlineStr">
        <is>
          <t>2012</t>
        </is>
      </c>
      <c r="L144" s="326" t="inlineStr"/>
      <c r="M144" s="326" t="inlineStr"/>
      <c r="N144" s="326" t="inlineStr"/>
    </row>
    <row r="145">
      <c r="A145" s="243" t="n">
        <v>11</v>
      </c>
      <c r="B145" s="248" t="inlineStr">
        <is>
          <t>Манометр технический</t>
        </is>
      </c>
      <c r="C145" s="243" t="inlineStr">
        <is>
          <t>ТМ3</t>
        </is>
      </c>
      <c r="D145" s="254" t="inlineStr"/>
      <c r="E145" s="245" t="inlineStr">
        <is>
          <t>2010</t>
        </is>
      </c>
      <c r="F145" s="273" t="inlineStr">
        <is>
          <t>0…10 бар</t>
        </is>
      </c>
      <c r="G145" s="243" t="inlineStr">
        <is>
          <t>2.5</t>
        </is>
      </c>
      <c r="H145" s="243" t="inlineStr">
        <is>
          <t>Давление воды на выходе станции промывки</t>
        </is>
      </c>
      <c r="I145" s="243" t="inlineStr">
        <is>
          <t>НХПВ</t>
        </is>
      </c>
      <c r="J145" s="243" t="inlineStr">
        <is>
          <t>АСУ,А и ТМ (КЦ № 6)</t>
        </is>
      </c>
      <c r="K145" s="243" t="inlineStr">
        <is>
          <t>2012</t>
        </is>
      </c>
      <c r="L145" s="326" t="inlineStr"/>
      <c r="M145" s="326" t="inlineStr"/>
      <c r="N145" s="326" t="inlineStr"/>
    </row>
    <row r="146">
      <c r="A146" s="243" t="n">
        <v>12</v>
      </c>
      <c r="B146" s="248" t="inlineStr">
        <is>
          <t>Манометр технический</t>
        </is>
      </c>
      <c r="C146" s="243" t="inlineStr">
        <is>
          <t>YYST</t>
        </is>
      </c>
      <c r="D146" s="254" t="inlineStr"/>
      <c r="E146" s="245" t="inlineStr">
        <is>
          <t>2010</t>
        </is>
      </c>
      <c r="F146" s="273" t="inlineStr">
        <is>
          <t>0…1,0 МПа</t>
        </is>
      </c>
      <c r="G146" s="243" t="inlineStr"/>
      <c r="H146" s="243" t="inlineStr">
        <is>
          <t>Осмос: вход насоса</t>
        </is>
      </c>
      <c r="I146" s="243" t="inlineStr">
        <is>
          <t>НХПВ</t>
        </is>
      </c>
      <c r="J146" s="243" t="inlineStr">
        <is>
          <t>АСУ,А и ТМ (КЦ № 6)</t>
        </is>
      </c>
      <c r="K146" s="243" t="inlineStr">
        <is>
          <t>2012</t>
        </is>
      </c>
      <c r="L146" s="326" t="inlineStr"/>
      <c r="M146" s="326" t="inlineStr"/>
      <c r="N146" s="326" t="inlineStr"/>
    </row>
    <row r="147">
      <c r="A147" s="243" t="n">
        <v>13</v>
      </c>
      <c r="B147" s="248" t="inlineStr">
        <is>
          <t>Манометр технический</t>
        </is>
      </c>
      <c r="C147" s="243" t="inlineStr">
        <is>
          <t>YYST</t>
        </is>
      </c>
      <c r="D147" s="254" t="inlineStr"/>
      <c r="E147" s="245" t="inlineStr">
        <is>
          <t>2010</t>
        </is>
      </c>
      <c r="F147" s="273" t="inlineStr">
        <is>
          <t>0…3,0 МПа</t>
        </is>
      </c>
      <c r="G147" s="243" t="inlineStr"/>
      <c r="H147" s="243" t="inlineStr">
        <is>
          <t>Осмос: выход мембран</t>
        </is>
      </c>
      <c r="I147" s="243" t="inlineStr">
        <is>
          <t>НХПВ</t>
        </is>
      </c>
      <c r="J147" s="243" t="inlineStr">
        <is>
          <t>АСУ,А и ТМ (КЦ № 6)</t>
        </is>
      </c>
      <c r="K147" s="243" t="inlineStr">
        <is>
          <t>2012</t>
        </is>
      </c>
      <c r="L147" s="326" t="inlineStr"/>
      <c r="M147" s="326" t="inlineStr"/>
      <c r="N147" s="326" t="inlineStr"/>
    </row>
    <row r="148">
      <c r="A148" s="243" t="n">
        <v>14</v>
      </c>
      <c r="B148" s="248" t="inlineStr">
        <is>
          <t>Манометр технический</t>
        </is>
      </c>
      <c r="C148" s="243" t="inlineStr">
        <is>
          <t>YYST</t>
        </is>
      </c>
      <c r="D148" s="254" t="inlineStr"/>
      <c r="E148" s="245" t="inlineStr">
        <is>
          <t>2010</t>
        </is>
      </c>
      <c r="F148" s="273" t="inlineStr">
        <is>
          <t>0…1,0 МПа</t>
        </is>
      </c>
      <c r="G148" s="243" t="inlineStr"/>
      <c r="H148" s="243" t="inlineStr">
        <is>
          <t>Осмос: выход</t>
        </is>
      </c>
      <c r="I148" s="243" t="inlineStr">
        <is>
          <t>НХПВ</t>
        </is>
      </c>
      <c r="J148" s="243" t="inlineStr">
        <is>
          <t>АСУ,А и ТМ (КЦ № 6)</t>
        </is>
      </c>
      <c r="K148" s="243" t="inlineStr">
        <is>
          <t>2012</t>
        </is>
      </c>
      <c r="L148" s="326" t="inlineStr"/>
      <c r="M148" s="326" t="inlineStr"/>
      <c r="N148" s="326" t="inlineStr"/>
    </row>
    <row r="149">
      <c r="A149" s="243" t="n">
        <v>15</v>
      </c>
      <c r="B149" s="248" t="inlineStr">
        <is>
          <t>КЦ 6</t>
        </is>
      </c>
      <c r="C149" s="243" t="inlineStr"/>
      <c r="D149" s="254" t="inlineStr"/>
      <c r="E149" s="245" t="inlineStr"/>
      <c r="F149" s="273" t="inlineStr"/>
      <c r="G149" s="243" t="inlineStr"/>
      <c r="H149" s="243" t="inlineStr"/>
      <c r="I149" s="243" t="inlineStr"/>
      <c r="J149" s="243" t="inlineStr"/>
      <c r="K149" s="243" t="inlineStr"/>
      <c r="L149" s="326" t="inlineStr"/>
      <c r="M149" s="326" t="inlineStr"/>
      <c r="N149" s="326" t="inlineStr"/>
    </row>
    <row r="150">
      <c r="A150" s="243" t="n">
        <v>68</v>
      </c>
      <c r="B150" s="248" t="inlineStr">
        <is>
          <t>КЦ 7</t>
        </is>
      </c>
      <c r="C150" s="243" t="inlineStr"/>
      <c r="D150" s="254" t="inlineStr"/>
      <c r="E150" s="245" t="inlineStr"/>
      <c r="F150" s="273" t="inlineStr"/>
      <c r="G150" s="243" t="inlineStr"/>
      <c r="H150" s="243" t="inlineStr"/>
      <c r="I150" s="243" t="inlineStr"/>
      <c r="J150" s="243" t="inlineStr"/>
      <c r="K150" s="243" t="inlineStr"/>
      <c r="L150" s="326" t="inlineStr"/>
      <c r="M150" s="326" t="inlineStr"/>
      <c r="N150" s="326" t="inlineStr"/>
    </row>
  </sheetData>
  <mergeCells count="2">
    <mergeCell ref="B69:N69"/>
    <mergeCell ref="B16:N16"/>
  </mergeCells>
  <conditionalFormatting sqref="D87">
    <cfRule type="duplicateValues" rank="0" priority="2" equalAverage="0" aboveAverage="0" dxfId="21" text="" percent="0" bottom="0"/>
  </conditionalFormatting>
  <conditionalFormatting sqref="D98:D99 D101">
    <cfRule type="duplicateValues" rank="0" priority="3" equalAverage="0" aboveAverage="0" dxfId="21" text="" percent="0" bottom="0"/>
  </conditionalFormatting>
  <conditionalFormatting sqref="D102">
    <cfRule type="duplicateValues" rank="0" priority="4" equalAverage="0" aboveAverage="0" dxfId="21" text="" percent="0" bottom="0"/>
  </conditionalFormatting>
  <conditionalFormatting sqref="D103">
    <cfRule type="duplicateValues" rank="0" priority="5" equalAverage="0" aboveAverage="0" dxfId="21" text="" percent="0" bottom="0"/>
  </conditionalFormatting>
  <conditionalFormatting sqref="D86">
    <cfRule type="duplicateValues" rank="0" priority="6" equalAverage="0" aboveAverage="0" dxfId="21" text="" percent="0" bottom="0"/>
  </conditionalFormatting>
  <conditionalFormatting sqref="D90:D91">
    <cfRule type="duplicateValues" rank="0" priority="7" equalAverage="0" aboveAverage="0" dxfId="21" text="" percent="0" bottom="0"/>
  </conditionalFormatting>
  <conditionalFormatting sqref="D106:D107">
    <cfRule type="duplicateValues" rank="0" priority="8" equalAverage="0" aboveAverage="0" dxfId="21" text="" percent="0" bottom="0"/>
  </conditionalFormatting>
  <conditionalFormatting sqref="D124:D125">
    <cfRule type="duplicateValues" rank="0" priority="9" equalAverage="0" aboveAverage="0" dxfId="21" text="" percent="0" bottom="0"/>
  </conditionalFormatting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0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H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6" activeCellId="0" sqref="G6"/>
    </sheetView>
  </sheetViews>
  <sheetFormatPr baseColWidth="8" defaultColWidth="8.55078125" defaultRowHeight="15" zeroHeight="0" outlineLevelRow="0"/>
  <cols>
    <col width="17.58" customWidth="1" style="235" min="1" max="1"/>
    <col width="14.57" customWidth="1" style="235" min="2" max="2"/>
    <col width="9.289999999999999" customWidth="1" style="235" min="3" max="3"/>
    <col width="6.57" customWidth="1" style="235" min="4" max="4"/>
    <col width="10.99" customWidth="1" style="235" min="5" max="5"/>
    <col width="7.42" customWidth="1" style="235" min="6" max="6"/>
    <col width="20.86" customWidth="1" style="235" min="7" max="7"/>
    <col width="11.29" customWidth="1" style="235" min="8" max="8"/>
  </cols>
  <sheetData>
    <row r="1" ht="22.5" customHeight="1" s="236">
      <c r="A1" s="241" t="inlineStr">
        <is>
          <t>Манометр технический</t>
        </is>
      </c>
      <c r="B1" s="242" t="inlineStr">
        <is>
          <t>Bifold</t>
        </is>
      </c>
      <c r="C1" s="242" t="inlineStr">
        <is>
          <t>36398/1195</t>
        </is>
      </c>
      <c r="D1" s="242" t="n">
        <v>2018</v>
      </c>
      <c r="E1" s="239" t="inlineStr">
        <is>
          <t xml:space="preserve">0…10 бар                   </t>
        </is>
      </c>
      <c r="F1" s="275" t="n"/>
      <c r="G1" s="239" t="inlineStr">
        <is>
          <t>Шкаф управления краном 3бис</t>
        </is>
      </c>
      <c r="H1" s="242" t="inlineStr">
        <is>
          <t>ГПА 71</t>
        </is>
      </c>
    </row>
    <row r="2" ht="22.5" customHeight="1" s="236">
      <c r="A2" s="241" t="inlineStr">
        <is>
          <t>Манометр технический</t>
        </is>
      </c>
      <c r="B2" s="251" t="inlineStr">
        <is>
          <t>EN 837-1</t>
        </is>
      </c>
      <c r="C2" s="242" t="n">
        <v>113538</v>
      </c>
      <c r="D2" s="242" t="n">
        <v>2018</v>
      </c>
      <c r="E2" s="239" t="inlineStr">
        <is>
          <t xml:space="preserve">0…60 бар                   </t>
        </is>
      </c>
      <c r="F2" s="275" t="n">
        <v>1.6</v>
      </c>
      <c r="G2" s="239" t="inlineStr">
        <is>
          <t>P г в аккумуляторе крана 3бис</t>
        </is>
      </c>
      <c r="H2" s="242" t="inlineStr">
        <is>
          <t>ГПА 71</t>
        </is>
      </c>
    </row>
    <row r="3" ht="22.5" customHeight="1" s="236">
      <c r="A3" s="241" t="inlineStr">
        <is>
          <t>Манометр технический</t>
        </is>
      </c>
      <c r="B3" s="251" t="inlineStr">
        <is>
          <t>EN 837-1</t>
        </is>
      </c>
      <c r="C3" s="242" t="n">
        <v>113548</v>
      </c>
      <c r="D3" s="242" t="n"/>
      <c r="E3" s="239" t="inlineStr">
        <is>
          <t xml:space="preserve">0…160 бар                   </t>
        </is>
      </c>
      <c r="F3" s="275" t="n">
        <v>1.6</v>
      </c>
      <c r="G3" s="239" t="inlineStr">
        <is>
          <t>P г до регулятора высокого давления 3бис</t>
        </is>
      </c>
      <c r="H3" s="242" t="inlineStr">
        <is>
          <t>ГПА 72</t>
        </is>
      </c>
    </row>
    <row r="4" ht="22.5" customHeight="1" s="236">
      <c r="A4" s="241" t="inlineStr">
        <is>
          <t>Манометр технический</t>
        </is>
      </c>
      <c r="B4" s="251" t="inlineStr">
        <is>
          <t>EN 837-1</t>
        </is>
      </c>
      <c r="C4" s="242" t="n">
        <v>113542</v>
      </c>
      <c r="D4" s="242" t="n"/>
      <c r="E4" s="239" t="inlineStr">
        <is>
          <t xml:space="preserve">0…60 бар                   </t>
        </is>
      </c>
      <c r="F4" s="275" t="n">
        <v>1.6</v>
      </c>
      <c r="G4" s="239" t="inlineStr">
        <is>
          <t>P г после регулятора высокого давления 3бис</t>
        </is>
      </c>
      <c r="H4" s="242" t="inlineStr">
        <is>
          <t>ГПА 72</t>
        </is>
      </c>
    </row>
    <row r="5" ht="22.5" customHeight="1" s="236">
      <c r="A5" s="241" t="inlineStr">
        <is>
          <t>Манометр технический</t>
        </is>
      </c>
      <c r="B5" s="242" t="inlineStr">
        <is>
          <t>Bifold</t>
        </is>
      </c>
      <c r="C5" s="242" t="inlineStr">
        <is>
          <t>34728/1493</t>
        </is>
      </c>
      <c r="D5" s="242" t="n"/>
      <c r="E5" s="239" t="inlineStr">
        <is>
          <t xml:space="preserve">0…10 бар                   </t>
        </is>
      </c>
      <c r="F5" s="275" t="n"/>
      <c r="G5" s="239" t="inlineStr">
        <is>
          <t>Шкаф управления краном 3бис</t>
        </is>
      </c>
      <c r="H5" s="242" t="inlineStr">
        <is>
          <t>ГПА 73</t>
        </is>
      </c>
    </row>
    <row r="6" ht="22.5" customHeight="1" s="236">
      <c r="A6" s="241" t="inlineStr">
        <is>
          <t>Манометр технический</t>
        </is>
      </c>
      <c r="B6" s="251" t="inlineStr">
        <is>
          <t>EN 837-1</t>
        </is>
      </c>
      <c r="C6" s="242" t="n">
        <v>113535</v>
      </c>
      <c r="D6" s="242" t="n"/>
      <c r="E6" s="239" t="inlineStr">
        <is>
          <t xml:space="preserve">0…60 бар                   </t>
        </is>
      </c>
      <c r="F6" s="275" t="n">
        <v>1.6</v>
      </c>
      <c r="G6" s="239" t="inlineStr">
        <is>
          <t>P г в аккумуляторе крана 3бис</t>
        </is>
      </c>
      <c r="H6" s="242" t="inlineStr">
        <is>
          <t>ГПА 73</t>
        </is>
      </c>
    </row>
    <row r="7" ht="22.5" customHeight="1" s="236">
      <c r="A7" s="241" t="inlineStr">
        <is>
          <t>Манометр технический</t>
        </is>
      </c>
      <c r="B7" s="239" t="inlineStr">
        <is>
          <t>EN 837-1</t>
        </is>
      </c>
      <c r="C7" s="251" t="n">
        <v>700305</v>
      </c>
      <c r="D7" s="251" t="n"/>
      <c r="E7" s="239" t="inlineStr">
        <is>
          <t xml:space="preserve">0…10 бар                   </t>
        </is>
      </c>
      <c r="F7" s="275" t="n">
        <v>1.6</v>
      </c>
      <c r="G7" s="239" t="inlineStr">
        <is>
          <t>Шкаф управления краном 36к</t>
        </is>
      </c>
      <c r="H7" s="239" t="inlineStr">
        <is>
          <t>Промплощадка</t>
        </is>
      </c>
    </row>
    <row r="8" ht="22.5" customHeight="1" s="236">
      <c r="A8" s="241" t="inlineStr">
        <is>
          <t>Манометр технический</t>
        </is>
      </c>
      <c r="B8" s="239" t="inlineStr">
        <is>
          <t>EN 837-1</t>
        </is>
      </c>
      <c r="C8" s="251" t="n">
        <v>700306</v>
      </c>
      <c r="D8" s="239" t="n"/>
      <c r="E8" s="239" t="inlineStr">
        <is>
          <t xml:space="preserve">0…2,5 бар                   </t>
        </is>
      </c>
      <c r="F8" s="275" t="n">
        <v>1.6</v>
      </c>
      <c r="G8" s="239" t="inlineStr">
        <is>
          <t>Шкаф управления краном 36к</t>
        </is>
      </c>
      <c r="H8" s="239" t="inlineStr">
        <is>
          <t>Промплощадка</t>
        </is>
      </c>
    </row>
    <row r="9" ht="22.5" customHeight="1" s="236">
      <c r="A9" s="241" t="inlineStr">
        <is>
          <t>Манометр технический</t>
        </is>
      </c>
      <c r="B9" s="251" t="inlineStr">
        <is>
          <t>Bifold</t>
        </is>
      </c>
      <c r="C9" s="239" t="inlineStr">
        <is>
          <t>36398/2379</t>
        </is>
      </c>
      <c r="D9" s="242" t="n"/>
      <c r="E9" s="239" t="inlineStr">
        <is>
          <t xml:space="preserve">0…10 бар                   </t>
        </is>
      </c>
      <c r="F9" s="275" t="n"/>
      <c r="G9" s="239" t="inlineStr">
        <is>
          <t>Шкаф управления краном 36к</t>
        </is>
      </c>
      <c r="H9" s="239" t="inlineStr">
        <is>
          <t>Промплощадка</t>
        </is>
      </c>
    </row>
    <row r="10" ht="22.5" customHeight="1" s="236">
      <c r="A10" s="241" t="inlineStr">
        <is>
          <t>Манометр технический</t>
        </is>
      </c>
      <c r="B10" s="251" t="inlineStr">
        <is>
          <t>Bifold</t>
        </is>
      </c>
      <c r="C10" s="251" t="n">
        <v>700307</v>
      </c>
      <c r="D10" s="242" t="n"/>
      <c r="E10" s="239" t="inlineStr">
        <is>
          <t xml:space="preserve">0…8 бар                   </t>
        </is>
      </c>
      <c r="F10" s="275" t="n"/>
      <c r="G10" s="239" t="inlineStr">
        <is>
          <t>Шкаф управления краном 36к</t>
        </is>
      </c>
      <c r="H10" s="239" t="inlineStr">
        <is>
          <t>Промплощадка</t>
        </is>
      </c>
    </row>
    <row r="11" ht="22.5" customHeight="1" s="236">
      <c r="A11" s="241" t="inlineStr">
        <is>
          <t>Манометр технический</t>
        </is>
      </c>
      <c r="B11" s="251" t="inlineStr">
        <is>
          <t>Bifold</t>
        </is>
      </c>
      <c r="C11" s="251" t="n">
        <v>700308</v>
      </c>
      <c r="D11" s="242" t="n"/>
      <c r="E11" s="239" t="inlineStr">
        <is>
          <t xml:space="preserve">0…8 бар                   </t>
        </is>
      </c>
      <c r="F11" s="275" t="n"/>
      <c r="G11" s="239" t="inlineStr">
        <is>
          <t>Шкаф управления краном 36к</t>
        </is>
      </c>
      <c r="H11" s="239" t="inlineStr">
        <is>
          <t>Промплощадка</t>
        </is>
      </c>
    </row>
    <row r="12" ht="22.5" customHeight="1" s="236">
      <c r="A12" s="241" t="inlineStr">
        <is>
          <t>Манометр технический</t>
        </is>
      </c>
      <c r="B12" s="242" t="inlineStr">
        <is>
          <t>ЭкМ160</t>
        </is>
      </c>
      <c r="C12" s="301" t="inlineStr">
        <is>
          <t>011711571</t>
        </is>
      </c>
      <c r="D12" s="242" t="n"/>
      <c r="E12" s="242" t="inlineStr">
        <is>
          <t>0…40 МПа</t>
        </is>
      </c>
      <c r="F12" s="275" t="n">
        <v>1.5</v>
      </c>
      <c r="G12" s="239" t="inlineStr">
        <is>
          <t>P м в гидроаккумуляторе крана 36</t>
        </is>
      </c>
      <c r="H12" s="239" t="inlineStr">
        <is>
          <t>Промплощадка</t>
        </is>
      </c>
    </row>
  </sheetData>
  <printOptions horizontalCentered="0" verticalCentered="0" headings="0" gridLines="0" gridLinesSet="1"/>
  <pageMargins left="0.7" right="0.7" top="0.75" bottom="0.75" header="0.511805555555555" footer="0.511805555555555"/>
  <pageSetup orientation="landscape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N29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68" activePane="bottomLeft" state="frozen"/>
      <selection pane="topLeft" activeCell="A1" activeCellId="0" sqref="A1"/>
      <selection pane="bottomLeft" activeCell="D68" activeCellId="0" sqref="D68"/>
    </sheetView>
  </sheetViews>
  <sheetFormatPr baseColWidth="8" defaultColWidth="9.15625" defaultRowHeight="11.25" zeroHeight="0" outlineLevelRow="0"/>
  <cols>
    <col width="3.57" customWidth="1" style="327" min="1" max="1"/>
    <col width="22.28" customWidth="1" style="327" min="2" max="2"/>
    <col width="13.43" customWidth="1" style="327" min="3" max="3"/>
    <col width="8.710000000000001" customWidth="1" style="328" min="4" max="4"/>
    <col width="6.57" customWidth="1" style="327" min="5" max="5"/>
    <col width="11.57" customWidth="1" style="327" min="6" max="6"/>
    <col width="7.42" customWidth="1" style="327" min="7" max="7"/>
    <col width="10" customWidth="1" style="327" min="8" max="8"/>
    <col width="10.58" customWidth="1" style="327" min="9" max="9"/>
    <col width="11.71" customWidth="1" style="327" min="10" max="10"/>
    <col width="16.29" customWidth="1" style="327" min="11" max="11"/>
    <col width="9.140000000000001" customWidth="1" style="281" min="12" max="12"/>
    <col width="67.70999999999999" customWidth="1" style="281" min="13" max="13"/>
    <col width="9.140000000000001" customWidth="1" style="281" min="14" max="1024"/>
  </cols>
  <sheetData>
    <row r="1" ht="45" customHeight="1" s="236">
      <c r="A1" s="239" t="inlineStr">
        <is>
          <t>№ п/п</t>
        </is>
      </c>
      <c r="B1" s="239" t="inlineStr">
        <is>
          <t>Наименование</t>
        </is>
      </c>
      <c r="C1" s="239" t="inlineStr">
        <is>
          <t>Тип</t>
        </is>
      </c>
      <c r="D1" s="240" t="inlineStr">
        <is>
          <t>Заводской номер</t>
        </is>
      </c>
      <c r="E1" s="240" t="inlineStr">
        <is>
          <t>Год выпуска</t>
        </is>
      </c>
      <c r="F1" s="239" t="inlineStr">
        <is>
          <t>Диапазон измерений</t>
        </is>
      </c>
      <c r="G1" s="239" t="inlineStr">
        <is>
          <t>Класс точности</t>
        </is>
      </c>
      <c r="H1" s="239" t="inlineStr">
        <is>
          <t>Тип резьбы</t>
        </is>
      </c>
      <c r="I1" s="239" t="inlineStr">
        <is>
          <t>Межповерочный интервал, мес.</t>
        </is>
      </c>
      <c r="J1" s="240" t="inlineStr">
        <is>
          <t>Дата последней поверки / калибровки</t>
        </is>
      </c>
      <c r="K1" s="239" t="inlineStr">
        <is>
          <t>Ориентация 
штуцера</t>
        </is>
      </c>
    </row>
    <row r="2" ht="11.25" customHeight="1" s="236">
      <c r="A2" s="329" t="n">
        <v>1</v>
      </c>
      <c r="B2" s="329" t="inlineStr">
        <is>
          <t>Манометр электроконтактный</t>
        </is>
      </c>
      <c r="C2" s="329" t="inlineStr">
        <is>
          <t>ДМ2010СгУ2</t>
        </is>
      </c>
      <c r="D2" s="330" t="inlineStr">
        <is>
          <t>б/н</t>
        </is>
      </c>
      <c r="E2" s="329" t="inlineStr"/>
      <c r="F2" s="329" t="inlineStr">
        <is>
          <t>0...10 МПа</t>
        </is>
      </c>
      <c r="G2" s="329" t="inlineStr">
        <is>
          <t>1.5</t>
        </is>
      </c>
      <c r="H2" s="329" t="inlineStr">
        <is>
          <t>Метрическая</t>
        </is>
      </c>
      <c r="I2" s="329" t="inlineStr">
        <is>
          <t>12</t>
        </is>
      </c>
      <c r="J2" s="329" t="inlineStr">
        <is>
          <t>отсутствует</t>
        </is>
      </c>
      <c r="K2" s="329" t="inlineStr">
        <is>
          <t>Радиальный</t>
        </is>
      </c>
    </row>
    <row r="3" ht="11.25" customHeight="1" s="236">
      <c r="A3" s="331" t="n">
        <v>2</v>
      </c>
      <c r="B3" s="331" t="inlineStr">
        <is>
          <t>Манометр технический</t>
        </is>
      </c>
      <c r="C3" s="331" t="inlineStr">
        <is>
          <t>ДМ8008-Вуф</t>
        </is>
      </c>
      <c r="D3" s="332" t="inlineStr">
        <is>
          <t>008736</t>
        </is>
      </c>
      <c r="E3" s="331" t="inlineStr"/>
      <c r="F3" s="331" t="inlineStr">
        <is>
          <t>0...16 МПа</t>
        </is>
      </c>
      <c r="G3" s="331" t="inlineStr">
        <is>
          <t>1</t>
        </is>
      </c>
      <c r="H3" s="329" t="inlineStr">
        <is>
          <t>Метрическая</t>
        </is>
      </c>
      <c r="I3" s="331" t="inlineStr">
        <is>
          <t>12</t>
        </is>
      </c>
      <c r="J3" s="331" t="inlineStr">
        <is>
          <t>2К24</t>
        </is>
      </c>
      <c r="K3" s="329" t="inlineStr">
        <is>
          <t>Радиальный</t>
        </is>
      </c>
    </row>
    <row r="4" ht="11.25" customHeight="1" s="236">
      <c r="A4" s="331" t="n">
        <v>3</v>
      </c>
      <c r="B4" s="331" t="inlineStr">
        <is>
          <t>Манометр технический</t>
        </is>
      </c>
      <c r="C4" s="331" t="inlineStr">
        <is>
          <t>ДМ8008-Вуф</t>
        </is>
      </c>
      <c r="D4" s="332" t="inlineStr">
        <is>
          <t>010356</t>
        </is>
      </c>
      <c r="E4" s="331" t="inlineStr"/>
      <c r="F4" s="331" t="inlineStr">
        <is>
          <t>0...16 МПа</t>
        </is>
      </c>
      <c r="G4" s="331" t="inlineStr">
        <is>
          <t>1</t>
        </is>
      </c>
      <c r="H4" s="329" t="inlineStr">
        <is>
          <t>Метрическая</t>
        </is>
      </c>
      <c r="I4" s="331" t="inlineStr">
        <is>
          <t>12</t>
        </is>
      </c>
      <c r="J4" s="331" t="inlineStr">
        <is>
          <t>2К24</t>
        </is>
      </c>
      <c r="K4" s="329" t="inlineStr">
        <is>
          <t>Радиальный</t>
        </is>
      </c>
    </row>
    <row r="5" ht="11.25" customHeight="1" s="236">
      <c r="A5" s="331" t="n">
        <v>4</v>
      </c>
      <c r="B5" s="331" t="inlineStr">
        <is>
          <t>Манометр технический</t>
        </is>
      </c>
      <c r="C5" s="331" t="inlineStr">
        <is>
          <t>ДМ8008-Вуф</t>
        </is>
      </c>
      <c r="D5" s="332" t="inlineStr">
        <is>
          <t>008622</t>
        </is>
      </c>
      <c r="E5" s="331" t="inlineStr"/>
      <c r="F5" s="331" t="inlineStr">
        <is>
          <t>0...16 МПа</t>
        </is>
      </c>
      <c r="G5" s="331" t="inlineStr">
        <is>
          <t>1</t>
        </is>
      </c>
      <c r="H5" s="329" t="inlineStr">
        <is>
          <t>Метрическая</t>
        </is>
      </c>
      <c r="I5" s="331" t="inlineStr">
        <is>
          <t>12</t>
        </is>
      </c>
      <c r="J5" s="331" t="inlineStr">
        <is>
          <t>2К24</t>
        </is>
      </c>
      <c r="K5" s="329" t="inlineStr">
        <is>
          <t>Радиальный</t>
        </is>
      </c>
    </row>
    <row r="6" ht="11.25" customHeight="1" s="236">
      <c r="A6" s="331" t="n">
        <v>5</v>
      </c>
      <c r="B6" s="331" t="inlineStr">
        <is>
          <t>Манометр технический</t>
        </is>
      </c>
      <c r="C6" s="331" t="inlineStr">
        <is>
          <t>ДМ8008-Вуф</t>
        </is>
      </c>
      <c r="D6" s="332" t="inlineStr">
        <is>
          <t>008657</t>
        </is>
      </c>
      <c r="E6" s="331" t="inlineStr"/>
      <c r="F6" s="331" t="inlineStr">
        <is>
          <t>0...16 МПа</t>
        </is>
      </c>
      <c r="G6" s="331" t="inlineStr">
        <is>
          <t>1</t>
        </is>
      </c>
      <c r="H6" s="329" t="inlineStr">
        <is>
          <t>Метрическая</t>
        </is>
      </c>
      <c r="I6" s="331" t="inlineStr">
        <is>
          <t>12</t>
        </is>
      </c>
      <c r="J6" s="331" t="inlineStr">
        <is>
          <t>2К24</t>
        </is>
      </c>
      <c r="K6" s="329" t="inlineStr">
        <is>
          <t>Радиальный</t>
        </is>
      </c>
    </row>
    <row r="7" ht="11.25" customHeight="1" s="236">
      <c r="A7" s="331" t="n">
        <v>6</v>
      </c>
      <c r="B7" s="331" t="inlineStr">
        <is>
          <t>Манометр технический</t>
        </is>
      </c>
      <c r="C7" s="331" t="inlineStr">
        <is>
          <t>ДМ8008-Вуф</t>
        </is>
      </c>
      <c r="D7" s="332" t="inlineStr">
        <is>
          <t>008759</t>
        </is>
      </c>
      <c r="E7" s="331" t="inlineStr"/>
      <c r="F7" s="331" t="inlineStr">
        <is>
          <t>0...16 МПа</t>
        </is>
      </c>
      <c r="G7" s="331" t="inlineStr">
        <is>
          <t>1</t>
        </is>
      </c>
      <c r="H7" s="329" t="inlineStr">
        <is>
          <t>Метрическая</t>
        </is>
      </c>
      <c r="I7" s="331" t="inlineStr">
        <is>
          <t>12</t>
        </is>
      </c>
      <c r="J7" s="331" t="inlineStr">
        <is>
          <t>2К24</t>
        </is>
      </c>
      <c r="K7" s="329" t="inlineStr">
        <is>
          <t>Радиальный</t>
        </is>
      </c>
    </row>
    <row r="8" ht="11.25" customHeight="1" s="236">
      <c r="A8" s="331" t="n">
        <v>7</v>
      </c>
      <c r="B8" s="331" t="inlineStr">
        <is>
          <t>Манометр технический</t>
        </is>
      </c>
      <c r="C8" s="331" t="inlineStr">
        <is>
          <t>ДМ8008-Вуф</t>
        </is>
      </c>
      <c r="D8" s="332" t="inlineStr">
        <is>
          <t>007562</t>
        </is>
      </c>
      <c r="E8" s="331" t="inlineStr"/>
      <c r="F8" s="331" t="inlineStr">
        <is>
          <t>0...16 МПа</t>
        </is>
      </c>
      <c r="G8" s="331" t="inlineStr">
        <is>
          <t>1</t>
        </is>
      </c>
      <c r="H8" s="329" t="inlineStr">
        <is>
          <t>Метрическая</t>
        </is>
      </c>
      <c r="I8" s="331" t="inlineStr">
        <is>
          <t>12</t>
        </is>
      </c>
      <c r="J8" s="331" t="inlineStr">
        <is>
          <t>2К24</t>
        </is>
      </c>
      <c r="K8" s="329" t="inlineStr">
        <is>
          <t>Радиальный</t>
        </is>
      </c>
    </row>
    <row r="9" ht="11.25" customHeight="1" s="236">
      <c r="A9" s="331" t="n">
        <v>8</v>
      </c>
      <c r="B9" s="331" t="inlineStr">
        <is>
          <t>Манометр технический</t>
        </is>
      </c>
      <c r="C9" s="331" t="inlineStr">
        <is>
          <t>ДМ8008-Вуф</t>
        </is>
      </c>
      <c r="D9" s="332" t="inlineStr">
        <is>
          <t>008780</t>
        </is>
      </c>
      <c r="E9" s="331" t="inlineStr"/>
      <c r="F9" s="331" t="inlineStr">
        <is>
          <t>0...16 МПа</t>
        </is>
      </c>
      <c r="G9" s="331" t="inlineStr">
        <is>
          <t>1</t>
        </is>
      </c>
      <c r="H9" s="329" t="inlineStr">
        <is>
          <t>Метрическая</t>
        </is>
      </c>
      <c r="I9" s="331" t="inlineStr">
        <is>
          <t>12</t>
        </is>
      </c>
      <c r="J9" s="331" t="inlineStr">
        <is>
          <t>2К24</t>
        </is>
      </c>
      <c r="K9" s="329" t="inlineStr">
        <is>
          <t>Радиальный</t>
        </is>
      </c>
    </row>
    <row r="10" ht="11.25" customHeight="1" s="236">
      <c r="A10" s="331" t="n">
        <v>9</v>
      </c>
      <c r="B10" s="331" t="inlineStr">
        <is>
          <t>Манометр технический</t>
        </is>
      </c>
      <c r="C10" s="331" t="inlineStr">
        <is>
          <t>ДМ8008-Вуф</t>
        </is>
      </c>
      <c r="D10" s="332" t="inlineStr">
        <is>
          <t>010164</t>
        </is>
      </c>
      <c r="E10" s="331" t="inlineStr"/>
      <c r="F10" s="331" t="inlineStr">
        <is>
          <t>0...16 МПа</t>
        </is>
      </c>
      <c r="G10" s="331" t="inlineStr">
        <is>
          <t>1</t>
        </is>
      </c>
      <c r="H10" s="329" t="inlineStr">
        <is>
          <t>Метрическая</t>
        </is>
      </c>
      <c r="I10" s="331" t="inlineStr">
        <is>
          <t>12</t>
        </is>
      </c>
      <c r="J10" s="331" t="inlineStr">
        <is>
          <t>2К24</t>
        </is>
      </c>
      <c r="K10" s="329" t="inlineStr">
        <is>
          <t>Радиальный</t>
        </is>
      </c>
    </row>
    <row r="11" ht="11.25" customHeight="1" s="236">
      <c r="A11" s="331" t="n">
        <v>10</v>
      </c>
      <c r="B11" s="331" t="inlineStr">
        <is>
          <t>Манометр технический</t>
        </is>
      </c>
      <c r="C11" s="331" t="inlineStr">
        <is>
          <t>ДМ8008-Вуф</t>
        </is>
      </c>
      <c r="D11" s="332" t="inlineStr">
        <is>
          <t>010166</t>
        </is>
      </c>
      <c r="E11" s="331" t="inlineStr"/>
      <c r="F11" s="331" t="inlineStr">
        <is>
          <t>0...16 МПа</t>
        </is>
      </c>
      <c r="G11" s="331" t="inlineStr">
        <is>
          <t>1</t>
        </is>
      </c>
      <c r="H11" s="329" t="inlineStr">
        <is>
          <t>Метрическая</t>
        </is>
      </c>
      <c r="I11" s="331" t="inlineStr">
        <is>
          <t>12</t>
        </is>
      </c>
      <c r="J11" s="331" t="inlineStr">
        <is>
          <t>2К24</t>
        </is>
      </c>
      <c r="K11" s="329" t="inlineStr">
        <is>
          <t>Радиальный</t>
        </is>
      </c>
    </row>
    <row r="12" ht="11.25" customHeight="1" s="236">
      <c r="A12" s="331" t="n">
        <v>11</v>
      </c>
      <c r="B12" s="331" t="inlineStr">
        <is>
          <t>Манометр технический</t>
        </is>
      </c>
      <c r="C12" s="331" t="inlineStr">
        <is>
          <t>ДМ8008-Вуф</t>
        </is>
      </c>
      <c r="D12" s="332" t="inlineStr">
        <is>
          <t>010085</t>
        </is>
      </c>
      <c r="E12" s="331" t="inlineStr"/>
      <c r="F12" s="331" t="inlineStr">
        <is>
          <t>0...16 МПа</t>
        </is>
      </c>
      <c r="G12" s="331" t="inlineStr">
        <is>
          <t>1</t>
        </is>
      </c>
      <c r="H12" s="329" t="inlineStr">
        <is>
          <t>Метрическая</t>
        </is>
      </c>
      <c r="I12" s="331" t="inlineStr">
        <is>
          <t>12</t>
        </is>
      </c>
      <c r="J12" s="331" t="inlineStr">
        <is>
          <t>2К24</t>
        </is>
      </c>
      <c r="K12" s="329" t="inlineStr">
        <is>
          <t>Радиальный</t>
        </is>
      </c>
    </row>
    <row r="13" ht="11.25" customHeight="1" s="236">
      <c r="A13" s="331" t="n">
        <v>12</v>
      </c>
      <c r="B13" s="331" t="inlineStr">
        <is>
          <t>Манометр технический</t>
        </is>
      </c>
      <c r="C13" s="331" t="inlineStr">
        <is>
          <t>ДМ8008-Вуф</t>
        </is>
      </c>
      <c r="D13" s="332" t="inlineStr">
        <is>
          <t>007557</t>
        </is>
      </c>
      <c r="E13" s="331" t="inlineStr"/>
      <c r="F13" s="331" t="inlineStr">
        <is>
          <t>0...16 МПа</t>
        </is>
      </c>
      <c r="G13" s="331" t="inlineStr">
        <is>
          <t>1</t>
        </is>
      </c>
      <c r="H13" s="329" t="inlineStr">
        <is>
          <t>Метрическая</t>
        </is>
      </c>
      <c r="I13" s="331" t="inlineStr">
        <is>
          <t>12</t>
        </is>
      </c>
      <c r="J13" s="331" t="inlineStr">
        <is>
          <t>2К24</t>
        </is>
      </c>
      <c r="K13" s="329" t="inlineStr">
        <is>
          <t>Радиальный</t>
        </is>
      </c>
    </row>
    <row r="14" ht="11.25" customHeight="1" s="236">
      <c r="A14" s="331" t="n">
        <v>13</v>
      </c>
      <c r="B14" s="331" t="inlineStr">
        <is>
          <t>Манометр технический</t>
        </is>
      </c>
      <c r="C14" s="331" t="inlineStr">
        <is>
          <t>ДМ8008-Вуф</t>
        </is>
      </c>
      <c r="D14" s="332" t="inlineStr">
        <is>
          <t>007600</t>
        </is>
      </c>
      <c r="E14" s="331" t="inlineStr"/>
      <c r="F14" s="331" t="inlineStr">
        <is>
          <t>0...16 МПа</t>
        </is>
      </c>
      <c r="G14" s="331" t="inlineStr">
        <is>
          <t>1</t>
        </is>
      </c>
      <c r="H14" s="329" t="inlineStr">
        <is>
          <t>Метрическая</t>
        </is>
      </c>
      <c r="I14" s="331" t="inlineStr">
        <is>
          <t>12</t>
        </is>
      </c>
      <c r="J14" s="331" t="inlineStr">
        <is>
          <t>2К24</t>
        </is>
      </c>
      <c r="K14" s="329" t="inlineStr">
        <is>
          <t>Радиальный</t>
        </is>
      </c>
    </row>
    <row r="15" ht="11.25" customHeight="1" s="236">
      <c r="A15" s="331" t="n">
        <v>14</v>
      </c>
      <c r="B15" s="331" t="inlineStr">
        <is>
          <t>Манометр технический</t>
        </is>
      </c>
      <c r="C15" s="331" t="inlineStr">
        <is>
          <t>ТМ5</t>
        </is>
      </c>
      <c r="D15" s="332" t="inlineStr">
        <is>
          <t>7000242</t>
        </is>
      </c>
      <c r="E15" s="331" t="inlineStr"/>
      <c r="F15" s="331" t="inlineStr">
        <is>
          <t>0...1,6 МПа</t>
        </is>
      </c>
      <c r="G15" s="331" t="inlineStr">
        <is>
          <t>1.5</t>
        </is>
      </c>
      <c r="H15" s="329" t="inlineStr">
        <is>
          <t>Трубная</t>
        </is>
      </c>
      <c r="I15" s="331" t="inlineStr">
        <is>
          <t>12</t>
        </is>
      </c>
      <c r="J15" s="331" t="inlineStr">
        <is>
          <t>25ДЯУ</t>
        </is>
      </c>
      <c r="K15" s="329" t="inlineStr">
        <is>
          <t>Радиальный</t>
        </is>
      </c>
    </row>
    <row r="16" ht="11.25" customHeight="1" s="236">
      <c r="A16" s="331" t="n">
        <v>15</v>
      </c>
      <c r="B16" s="331" t="inlineStr">
        <is>
          <t>Манометр технический</t>
        </is>
      </c>
      <c r="C16" s="331" t="inlineStr">
        <is>
          <t>МП4-УУ2</t>
        </is>
      </c>
      <c r="D16" s="332" t="inlineStr">
        <is>
          <t>15330</t>
        </is>
      </c>
      <c r="E16" s="331" t="inlineStr"/>
      <c r="F16" s="331" t="inlineStr">
        <is>
          <t>0...160 кгс/см2</t>
        </is>
      </c>
      <c r="G16" s="331" t="inlineStr">
        <is>
          <t>1.5</t>
        </is>
      </c>
      <c r="H16" s="329" t="inlineStr">
        <is>
          <t>Метрическая</t>
        </is>
      </c>
      <c r="I16" s="331" t="inlineStr">
        <is>
          <t>12</t>
        </is>
      </c>
      <c r="J16" s="331" t="inlineStr">
        <is>
          <t>25ДЯУ</t>
        </is>
      </c>
      <c r="K16" s="329" t="inlineStr">
        <is>
          <t>Осевой</t>
        </is>
      </c>
    </row>
    <row r="17" ht="11.25" customHeight="1" s="236">
      <c r="A17" s="331" t="n">
        <v>16</v>
      </c>
      <c r="B17" s="331" t="inlineStr">
        <is>
          <t>Манометр технический</t>
        </is>
      </c>
      <c r="C17" s="331" t="inlineStr">
        <is>
          <t>МП4-УУ2</t>
        </is>
      </c>
      <c r="D17" s="332" t="inlineStr">
        <is>
          <t>15346</t>
        </is>
      </c>
      <c r="E17" s="331" t="inlineStr"/>
      <c r="F17" s="331" t="inlineStr">
        <is>
          <t>0...160 кгс/см2</t>
        </is>
      </c>
      <c r="G17" s="331" t="inlineStr">
        <is>
          <t>1.5</t>
        </is>
      </c>
      <c r="H17" s="329" t="inlineStr">
        <is>
          <t>Метрическая</t>
        </is>
      </c>
      <c r="I17" s="331" t="inlineStr">
        <is>
          <t>12</t>
        </is>
      </c>
      <c r="J17" s="331" t="inlineStr">
        <is>
          <t>25ДЯУ</t>
        </is>
      </c>
      <c r="K17" s="329" t="inlineStr">
        <is>
          <t>Осевой</t>
        </is>
      </c>
    </row>
    <row r="18" ht="11.25" customHeight="1" s="236">
      <c r="A18" s="331" t="n">
        <v>17</v>
      </c>
      <c r="B18" s="331" t="inlineStr">
        <is>
          <t>Манометр технический</t>
        </is>
      </c>
      <c r="C18" s="331" t="inlineStr">
        <is>
          <t>МП4-УУ2</t>
        </is>
      </c>
      <c r="D18" s="332" t="inlineStr">
        <is>
          <t>6313</t>
        </is>
      </c>
      <c r="E18" s="331" t="inlineStr"/>
      <c r="F18" s="331" t="inlineStr">
        <is>
          <t>0...100 кгс/см2</t>
        </is>
      </c>
      <c r="G18" s="331" t="inlineStr">
        <is>
          <t>1.5</t>
        </is>
      </c>
      <c r="H18" s="329" t="inlineStr">
        <is>
          <t>Метрическая</t>
        </is>
      </c>
      <c r="I18" s="331" t="inlineStr">
        <is>
          <t>12</t>
        </is>
      </c>
      <c r="J18" s="331" t="inlineStr">
        <is>
          <t>23ДЯУ</t>
        </is>
      </c>
      <c r="K18" s="329" t="inlineStr">
        <is>
          <t>Радиальный</t>
        </is>
      </c>
    </row>
    <row r="19" ht="11.25" customHeight="1" s="236">
      <c r="A19" s="331" t="n">
        <v>18</v>
      </c>
      <c r="B19" s="331" t="inlineStr">
        <is>
          <t>Манометр технический</t>
        </is>
      </c>
      <c r="C19" s="331" t="inlineStr">
        <is>
          <t>МП4-УУ2</t>
        </is>
      </c>
      <c r="D19" s="332" t="inlineStr">
        <is>
          <t>212032693</t>
        </is>
      </c>
      <c r="E19" s="331" t="inlineStr"/>
      <c r="F19" s="331" t="inlineStr">
        <is>
          <t>0...10 МПа</t>
        </is>
      </c>
      <c r="G19" s="331" t="inlineStr">
        <is>
          <t>1</t>
        </is>
      </c>
      <c r="H19" s="329" t="inlineStr">
        <is>
          <t>Метрическая</t>
        </is>
      </c>
      <c r="I19" s="331" t="inlineStr">
        <is>
          <t>12</t>
        </is>
      </c>
      <c r="J19" s="331" t="inlineStr">
        <is>
          <t>23ДЯУ</t>
        </is>
      </c>
      <c r="K19" s="329" t="inlineStr">
        <is>
          <t>Радиальный</t>
        </is>
      </c>
    </row>
    <row r="20" ht="11.25" customHeight="1" s="236">
      <c r="A20" s="331" t="n">
        <v>19</v>
      </c>
      <c r="B20" s="331" t="inlineStr">
        <is>
          <t>Манометр технический</t>
        </is>
      </c>
      <c r="C20" s="331" t="inlineStr">
        <is>
          <t>МП4-У</t>
        </is>
      </c>
      <c r="D20" s="332" t="inlineStr">
        <is>
          <t>5658</t>
        </is>
      </c>
      <c r="E20" s="331" t="inlineStr"/>
      <c r="F20" s="331" t="inlineStr">
        <is>
          <t>0...100 кгс/см2</t>
        </is>
      </c>
      <c r="G20" s="331" t="inlineStr">
        <is>
          <t>1.5</t>
        </is>
      </c>
      <c r="H20" s="329" t="inlineStr">
        <is>
          <t>Метрическая</t>
        </is>
      </c>
      <c r="I20" s="331" t="inlineStr">
        <is>
          <t>12</t>
        </is>
      </c>
      <c r="J20" s="331" t="inlineStr">
        <is>
          <t>25ДЯУ</t>
        </is>
      </c>
      <c r="K20" s="329" t="inlineStr">
        <is>
          <t>Радиальный</t>
        </is>
      </c>
    </row>
    <row r="21" ht="11.25" customHeight="1" s="236">
      <c r="A21" s="331" t="n">
        <v>20</v>
      </c>
      <c r="B21" s="331" t="inlineStr">
        <is>
          <t>Манометр технический</t>
        </is>
      </c>
      <c r="C21" s="331" t="inlineStr">
        <is>
          <t>МП4-УУ2</t>
        </is>
      </c>
      <c r="D21" s="332" t="inlineStr">
        <is>
          <t>15253</t>
        </is>
      </c>
      <c r="E21" s="331" t="inlineStr"/>
      <c r="F21" s="331" t="inlineStr">
        <is>
          <t>0...10 кгс/см2</t>
        </is>
      </c>
      <c r="G21" s="331" t="inlineStr">
        <is>
          <t>1.5</t>
        </is>
      </c>
      <c r="H21" s="329" t="inlineStr">
        <is>
          <t>Метрическая</t>
        </is>
      </c>
      <c r="I21" s="331" t="inlineStr">
        <is>
          <t>12</t>
        </is>
      </c>
      <c r="J21" s="331" t="inlineStr">
        <is>
          <t>3К23</t>
        </is>
      </c>
      <c r="K21" s="329" t="inlineStr">
        <is>
          <t>Радиальный</t>
        </is>
      </c>
    </row>
    <row r="22" ht="11.25" customHeight="1" s="236">
      <c r="A22" s="331" t="n">
        <v>21</v>
      </c>
      <c r="B22" s="331" t="inlineStr">
        <is>
          <t>Манометр технический</t>
        </is>
      </c>
      <c r="C22" s="331" t="inlineStr">
        <is>
          <t>МП3-УУ2</t>
        </is>
      </c>
      <c r="D22" s="332" t="inlineStr">
        <is>
          <t>212027980</t>
        </is>
      </c>
      <c r="E22" s="331" t="inlineStr"/>
      <c r="F22" s="331" t="inlineStr">
        <is>
          <t>0...16 МПа</t>
        </is>
      </c>
      <c r="G22" s="331" t="inlineStr">
        <is>
          <t>1</t>
        </is>
      </c>
      <c r="H22" s="329" t="inlineStr">
        <is>
          <t>Метрическая</t>
        </is>
      </c>
      <c r="I22" s="331" t="inlineStr">
        <is>
          <t>12</t>
        </is>
      </c>
      <c r="J22" s="331" t="inlineStr">
        <is>
          <t>1К24</t>
        </is>
      </c>
      <c r="K22" s="329" t="inlineStr">
        <is>
          <t>Радиальный</t>
        </is>
      </c>
    </row>
    <row r="23" ht="11.25" customHeight="1" s="236">
      <c r="A23" s="331" t="n">
        <v>22</v>
      </c>
      <c r="B23" s="331" t="inlineStr">
        <is>
          <t>Манометр технический</t>
        </is>
      </c>
      <c r="C23" s="331" t="inlineStr">
        <is>
          <t>МП3-УУ2</t>
        </is>
      </c>
      <c r="D23" s="332" t="inlineStr">
        <is>
          <t>212027934</t>
        </is>
      </c>
      <c r="E23" s="331" t="inlineStr"/>
      <c r="F23" s="331" t="inlineStr">
        <is>
          <t>0...16 МПа</t>
        </is>
      </c>
      <c r="G23" s="331" t="inlineStr">
        <is>
          <t>1</t>
        </is>
      </c>
      <c r="H23" s="329" t="inlineStr">
        <is>
          <t>Метрическая</t>
        </is>
      </c>
      <c r="I23" s="331" t="inlineStr">
        <is>
          <t>12</t>
        </is>
      </c>
      <c r="J23" s="331" t="inlineStr">
        <is>
          <t>25ДЯУ</t>
        </is>
      </c>
      <c r="K23" s="329" t="inlineStr">
        <is>
          <t>Радиальный</t>
        </is>
      </c>
    </row>
    <row r="24" ht="11.25" customHeight="1" s="236">
      <c r="A24" s="331" t="n">
        <v>23</v>
      </c>
      <c r="B24" s="331" t="inlineStr">
        <is>
          <t>Манометр технический</t>
        </is>
      </c>
      <c r="C24" s="331" t="inlineStr">
        <is>
          <t>ТМ5</t>
        </is>
      </c>
      <c r="D24" s="332" t="inlineStr">
        <is>
          <t>15099</t>
        </is>
      </c>
      <c r="E24" s="331" t="inlineStr"/>
      <c r="F24" s="331" t="inlineStr">
        <is>
          <t>0...160 кгс/см2</t>
        </is>
      </c>
      <c r="G24" s="331" t="inlineStr">
        <is>
          <t>1.5</t>
        </is>
      </c>
      <c r="H24" s="329" t="inlineStr">
        <is>
          <t>Метрическая</t>
        </is>
      </c>
      <c r="I24" s="331" t="inlineStr">
        <is>
          <t>12</t>
        </is>
      </c>
      <c r="J24" s="331" t="inlineStr">
        <is>
          <t>1К23</t>
        </is>
      </c>
      <c r="K24" s="329" t="inlineStr">
        <is>
          <t>Радиальный</t>
        </is>
      </c>
    </row>
    <row r="25" ht="11.25" customHeight="1" s="236">
      <c r="A25" s="331" t="n">
        <v>24</v>
      </c>
      <c r="B25" s="331" t="inlineStr">
        <is>
          <t>Манометр технический</t>
        </is>
      </c>
      <c r="C25" s="331" t="inlineStr">
        <is>
          <t>ДМ02-100-1-М</t>
        </is>
      </c>
      <c r="D25" s="332" t="inlineStr">
        <is>
          <t>15218</t>
        </is>
      </c>
      <c r="E25" s="331" t="inlineStr"/>
      <c r="F25" s="331" t="inlineStr">
        <is>
          <t>0...160 кгс/см2</t>
        </is>
      </c>
      <c r="G25" s="331" t="inlineStr">
        <is>
          <t>1.5</t>
        </is>
      </c>
      <c r="H25" s="329" t="inlineStr">
        <is>
          <t>Метрическая</t>
        </is>
      </c>
      <c r="I25" s="331" t="inlineStr">
        <is>
          <t>12</t>
        </is>
      </c>
      <c r="J25" s="331" t="inlineStr">
        <is>
          <t>1К23</t>
        </is>
      </c>
      <c r="K25" s="329" t="inlineStr">
        <is>
          <t>Радиальный</t>
        </is>
      </c>
    </row>
    <row r="26" ht="11.25" customHeight="1" s="236">
      <c r="A26" s="331" t="n">
        <v>25</v>
      </c>
      <c r="B26" s="331" t="inlineStr">
        <is>
          <t>Манометр технический</t>
        </is>
      </c>
      <c r="C26" s="331" t="inlineStr">
        <is>
          <t>МП3-УТ2</t>
        </is>
      </c>
      <c r="D26" s="332" t="inlineStr">
        <is>
          <t>1322119</t>
        </is>
      </c>
      <c r="E26" s="331" t="inlineStr"/>
      <c r="F26" s="331" t="inlineStr">
        <is>
          <t>0...16 кгс/см2</t>
        </is>
      </c>
      <c r="G26" s="331" t="inlineStr">
        <is>
          <t>1.5</t>
        </is>
      </c>
      <c r="H26" s="329" t="inlineStr">
        <is>
          <t>Метрическая</t>
        </is>
      </c>
      <c r="I26" s="331" t="inlineStr">
        <is>
          <t>12</t>
        </is>
      </c>
      <c r="J26" s="331" t="inlineStr">
        <is>
          <t>23ДЯУ</t>
        </is>
      </c>
      <c r="K26" s="329" t="inlineStr">
        <is>
          <t>Радиальный</t>
        </is>
      </c>
    </row>
    <row r="27" ht="11.25" customHeight="1" s="236">
      <c r="A27" s="331" t="n">
        <v>26</v>
      </c>
      <c r="B27" s="331" t="inlineStr">
        <is>
          <t>Манометр технический</t>
        </is>
      </c>
      <c r="C27" s="331" t="inlineStr">
        <is>
          <t>МП4-УУ2</t>
        </is>
      </c>
      <c r="D27" s="332" t="inlineStr">
        <is>
          <t>15115</t>
        </is>
      </c>
      <c r="E27" s="331" t="inlineStr"/>
      <c r="F27" s="331" t="inlineStr">
        <is>
          <t>0...16 кгс/см2</t>
        </is>
      </c>
      <c r="G27" s="331" t="inlineStr">
        <is>
          <t>1.5</t>
        </is>
      </c>
      <c r="H27" s="329" t="inlineStr">
        <is>
          <t>Метрическая</t>
        </is>
      </c>
      <c r="I27" s="331" t="inlineStr">
        <is>
          <t>12</t>
        </is>
      </c>
      <c r="J27" s="331" t="inlineStr">
        <is>
          <t>23ДЯУ</t>
        </is>
      </c>
      <c r="K27" s="329" t="inlineStr">
        <is>
          <t>Радиальный</t>
        </is>
      </c>
    </row>
    <row r="28" ht="11.25" customHeight="1" s="236">
      <c r="A28" s="331" t="n">
        <v>27</v>
      </c>
      <c r="B28" s="331" t="inlineStr">
        <is>
          <t>Манометр технический</t>
        </is>
      </c>
      <c r="C28" s="331" t="inlineStr">
        <is>
          <t>МП4-УУ2</t>
        </is>
      </c>
      <c r="D28" s="332" t="inlineStr">
        <is>
          <t>15320</t>
        </is>
      </c>
      <c r="E28" s="331" t="inlineStr"/>
      <c r="F28" s="331" t="inlineStr">
        <is>
          <t>0...16 кгс/см2</t>
        </is>
      </c>
      <c r="G28" s="331" t="inlineStr">
        <is>
          <t>1.5</t>
        </is>
      </c>
      <c r="H28" s="329" t="inlineStr">
        <is>
          <t>Метрическая</t>
        </is>
      </c>
      <c r="I28" s="331" t="inlineStr">
        <is>
          <t>12</t>
        </is>
      </c>
      <c r="J28" s="331" t="inlineStr">
        <is>
          <t>23ДЯУ</t>
        </is>
      </c>
      <c r="K28" s="329" t="inlineStr">
        <is>
          <t>Радиальный</t>
        </is>
      </c>
    </row>
    <row r="29" ht="11.25" customHeight="1" s="236">
      <c r="A29" s="331" t="n">
        <v>28</v>
      </c>
      <c r="B29" s="331" t="inlineStr">
        <is>
          <t>Манометр технический</t>
        </is>
      </c>
      <c r="C29" s="331" t="inlineStr">
        <is>
          <t>МП4-Уф</t>
        </is>
      </c>
      <c r="D29" s="332" t="inlineStr">
        <is>
          <t>15529</t>
        </is>
      </c>
      <c r="E29" s="331" t="inlineStr"/>
      <c r="F29" s="331" t="inlineStr">
        <is>
          <t>0...16 кгс/см2</t>
        </is>
      </c>
      <c r="G29" s="331" t="inlineStr">
        <is>
          <t>1.5</t>
        </is>
      </c>
      <c r="H29" s="329" t="inlineStr">
        <is>
          <t>Метрическая</t>
        </is>
      </c>
      <c r="I29" s="331" t="inlineStr">
        <is>
          <t>12</t>
        </is>
      </c>
      <c r="J29" s="331" t="inlineStr">
        <is>
          <t>23ДЯУ</t>
        </is>
      </c>
      <c r="K29" s="329" t="inlineStr">
        <is>
          <t>Радиальный</t>
        </is>
      </c>
    </row>
    <row r="30" ht="11.25" customHeight="1" s="236">
      <c r="A30" s="331" t="n">
        <v>29</v>
      </c>
      <c r="B30" s="331" t="inlineStr">
        <is>
          <t>Манометр технический</t>
        </is>
      </c>
      <c r="C30" s="331" t="inlineStr">
        <is>
          <t>МП4-УУ2</t>
        </is>
      </c>
      <c r="D30" s="332" t="inlineStr">
        <is>
          <t>15144</t>
        </is>
      </c>
      <c r="E30" s="331" t="inlineStr"/>
      <c r="F30" s="331" t="inlineStr">
        <is>
          <t>0...16 кгс/см2</t>
        </is>
      </c>
      <c r="G30" s="331" t="inlineStr">
        <is>
          <t>1.5</t>
        </is>
      </c>
      <c r="H30" s="329" t="inlineStr">
        <is>
          <t>Метрическая</t>
        </is>
      </c>
      <c r="I30" s="331" t="inlineStr">
        <is>
          <t>12</t>
        </is>
      </c>
      <c r="J30" s="331" t="inlineStr">
        <is>
          <t>25ДЯУ</t>
        </is>
      </c>
      <c r="K30" s="329" t="inlineStr">
        <is>
          <t>Радиальный</t>
        </is>
      </c>
    </row>
    <row r="31" ht="11.25" customHeight="1" s="236">
      <c r="A31" s="331" t="n">
        <v>30</v>
      </c>
      <c r="B31" s="331" t="inlineStr">
        <is>
          <t>Манометр технический</t>
        </is>
      </c>
      <c r="C31" s="331" t="inlineStr">
        <is>
          <t>ДМ8008-ВУ-У2</t>
        </is>
      </c>
      <c r="D31" s="332" t="inlineStr">
        <is>
          <t>15160</t>
        </is>
      </c>
      <c r="E31" s="331" t="inlineStr"/>
      <c r="F31" s="331" t="inlineStr">
        <is>
          <t>0…6 кгс/см2</t>
        </is>
      </c>
      <c r="G31" s="331" t="inlineStr">
        <is>
          <t>1.5</t>
        </is>
      </c>
      <c r="H31" s="329" t="inlineStr">
        <is>
          <t>Метрическая</t>
        </is>
      </c>
      <c r="I31" s="331" t="inlineStr">
        <is>
          <t>12</t>
        </is>
      </c>
      <c r="J31" s="331" t="inlineStr">
        <is>
          <t>24ДЯУ</t>
        </is>
      </c>
      <c r="K31" s="329" t="inlineStr">
        <is>
          <t>Радиальный</t>
        </is>
      </c>
    </row>
    <row r="32" ht="11.25" customHeight="1" s="236">
      <c r="A32" s="331" t="n">
        <v>31</v>
      </c>
      <c r="B32" s="331" t="inlineStr">
        <is>
          <t>Манометр технический</t>
        </is>
      </c>
      <c r="C32" s="331" t="inlineStr">
        <is>
          <t>ДМ8008-ВУ-У2</t>
        </is>
      </c>
      <c r="D32" s="332" t="inlineStr">
        <is>
          <t>15159</t>
        </is>
      </c>
      <c r="E32" s="331" t="inlineStr"/>
      <c r="F32" s="331" t="inlineStr">
        <is>
          <t>0…6 кгс/см2</t>
        </is>
      </c>
      <c r="G32" s="331" t="inlineStr">
        <is>
          <t>1.5</t>
        </is>
      </c>
      <c r="H32" s="329" t="inlineStr">
        <is>
          <t>Метрическая</t>
        </is>
      </c>
      <c r="I32" s="331" t="inlineStr">
        <is>
          <t>12</t>
        </is>
      </c>
      <c r="J32" s="331" t="inlineStr">
        <is>
          <t>отсутствует</t>
        </is>
      </c>
      <c r="K32" s="329" t="inlineStr">
        <is>
          <t>Радиальный</t>
        </is>
      </c>
    </row>
    <row r="33" ht="11.25" customHeight="1" s="236">
      <c r="A33" s="331" t="n">
        <v>32</v>
      </c>
      <c r="B33" s="331" t="inlineStr">
        <is>
          <t>Манометр технический</t>
        </is>
      </c>
      <c r="C33" s="331" t="inlineStr">
        <is>
          <t>ДМ8008-ВУ-У2</t>
        </is>
      </c>
      <c r="D33" s="332" t="inlineStr">
        <is>
          <t>15165</t>
        </is>
      </c>
      <c r="E33" s="331" t="inlineStr"/>
      <c r="F33" s="331" t="inlineStr">
        <is>
          <t>0…6 кгс/см2</t>
        </is>
      </c>
      <c r="G33" s="331" t="inlineStr">
        <is>
          <t>1.5</t>
        </is>
      </c>
      <c r="H33" s="329" t="inlineStr">
        <is>
          <t>Метрическая</t>
        </is>
      </c>
      <c r="I33" s="331" t="inlineStr">
        <is>
          <t>12</t>
        </is>
      </c>
      <c r="J33" s="331" t="inlineStr">
        <is>
          <t>отсутствует</t>
        </is>
      </c>
      <c r="K33" s="329" t="inlineStr">
        <is>
          <t>Радиальный</t>
        </is>
      </c>
    </row>
    <row r="34" ht="11.25" customHeight="1" s="236">
      <c r="A34" s="331" t="n">
        <v>33</v>
      </c>
      <c r="B34" s="331" t="inlineStr">
        <is>
          <t>Манометр технический</t>
        </is>
      </c>
      <c r="C34" s="331" t="inlineStr">
        <is>
          <t>МП4-УУ2</t>
        </is>
      </c>
      <c r="D34" s="332" t="inlineStr">
        <is>
          <t>15556</t>
        </is>
      </c>
      <c r="E34" s="331" t="inlineStr"/>
      <c r="F34" s="331" t="inlineStr">
        <is>
          <t>0...0,6 кгс/см2</t>
        </is>
      </c>
      <c r="G34" s="331" t="inlineStr">
        <is>
          <t>1.5</t>
        </is>
      </c>
      <c r="H34" s="329" t="inlineStr">
        <is>
          <t>Метрическая</t>
        </is>
      </c>
      <c r="I34" s="331" t="inlineStr">
        <is>
          <t>12</t>
        </is>
      </c>
      <c r="J34" s="331" t="inlineStr">
        <is>
          <t>1К24</t>
        </is>
      </c>
      <c r="K34" s="329" t="inlineStr">
        <is>
          <t>Радиальный</t>
        </is>
      </c>
    </row>
    <row r="35" ht="11.25" customHeight="1" s="236">
      <c r="A35" s="331" t="n">
        <v>34</v>
      </c>
      <c r="B35" s="331" t="inlineStr">
        <is>
          <t>Манометр технический</t>
        </is>
      </c>
      <c r="C35" s="331" t="inlineStr">
        <is>
          <t>ТМ5</t>
        </is>
      </c>
      <c r="D35" s="332" t="inlineStr">
        <is>
          <t>7000230</t>
        </is>
      </c>
      <c r="E35" s="331" t="inlineStr"/>
      <c r="F35" s="331" t="inlineStr">
        <is>
          <t>0...1,6 МПа</t>
        </is>
      </c>
      <c r="G35" s="331" t="inlineStr">
        <is>
          <t>1.5</t>
        </is>
      </c>
      <c r="H35" s="329" t="inlineStr">
        <is>
          <t>Трубная</t>
        </is>
      </c>
      <c r="I35" s="331" t="inlineStr">
        <is>
          <t>12</t>
        </is>
      </c>
      <c r="J35" s="331" t="inlineStr">
        <is>
          <t>23ДЯУ</t>
        </is>
      </c>
      <c r="K35" s="329" t="inlineStr">
        <is>
          <t>Радиальный</t>
        </is>
      </c>
    </row>
    <row r="36" ht="11.25" customHeight="1" s="236">
      <c r="A36" s="331" t="n">
        <v>35</v>
      </c>
      <c r="B36" s="331" t="inlineStr">
        <is>
          <t>Манометр технический</t>
        </is>
      </c>
      <c r="C36" s="331" t="inlineStr">
        <is>
          <t>ТМ5</t>
        </is>
      </c>
      <c r="D36" s="332" t="inlineStr">
        <is>
          <t>7000247</t>
        </is>
      </c>
      <c r="E36" s="331" t="inlineStr"/>
      <c r="F36" s="331" t="inlineStr">
        <is>
          <t>0...1,6 МПа</t>
        </is>
      </c>
      <c r="G36" s="331" t="inlineStr">
        <is>
          <t>1.5</t>
        </is>
      </c>
      <c r="H36" s="329" t="inlineStr">
        <is>
          <t>Трубная</t>
        </is>
      </c>
      <c r="I36" s="331" t="inlineStr">
        <is>
          <t>12</t>
        </is>
      </c>
      <c r="J36" s="331" t="inlineStr">
        <is>
          <t>25ДЯУ</t>
        </is>
      </c>
      <c r="K36" s="329" t="inlineStr">
        <is>
          <t>Радиальный</t>
        </is>
      </c>
    </row>
    <row r="37" ht="11.25" customHeight="1" s="236">
      <c r="A37" s="331" t="n">
        <v>36</v>
      </c>
      <c r="B37" s="331" t="inlineStr">
        <is>
          <t>Манометр технический</t>
        </is>
      </c>
      <c r="C37" s="331" t="inlineStr">
        <is>
          <t>ТМ5</t>
        </is>
      </c>
      <c r="D37" s="332" t="inlineStr">
        <is>
          <t>7000217</t>
        </is>
      </c>
      <c r="E37" s="331" t="inlineStr"/>
      <c r="F37" s="331" t="inlineStr">
        <is>
          <t>0...1,6 МПа</t>
        </is>
      </c>
      <c r="G37" s="331" t="inlineStr">
        <is>
          <t>1.5</t>
        </is>
      </c>
      <c r="H37" s="329" t="inlineStr">
        <is>
          <t>Трубная</t>
        </is>
      </c>
      <c r="I37" s="331" t="inlineStr">
        <is>
          <t>12</t>
        </is>
      </c>
      <c r="J37" s="331" t="inlineStr">
        <is>
          <t>23ДЯУ</t>
        </is>
      </c>
      <c r="K37" s="329" t="inlineStr">
        <is>
          <t>Радиальный</t>
        </is>
      </c>
    </row>
    <row r="38" ht="11.25" customHeight="1" s="236">
      <c r="A38" s="331" t="n">
        <v>37</v>
      </c>
      <c r="B38" s="331" t="inlineStr">
        <is>
          <t>Манометр технический</t>
        </is>
      </c>
      <c r="C38" s="331" t="inlineStr">
        <is>
          <t>ТМ5</t>
        </is>
      </c>
      <c r="D38" s="332" t="inlineStr">
        <is>
          <t>7000240</t>
        </is>
      </c>
      <c r="E38" s="331" t="inlineStr"/>
      <c r="F38" s="331" t="inlineStr">
        <is>
          <t>0...1,6 МПа</t>
        </is>
      </c>
      <c r="G38" s="331" t="inlineStr">
        <is>
          <t>1.5</t>
        </is>
      </c>
      <c r="H38" s="329" t="inlineStr">
        <is>
          <t>Трубная</t>
        </is>
      </c>
      <c r="I38" s="331" t="inlineStr">
        <is>
          <t>12</t>
        </is>
      </c>
      <c r="J38" s="331" t="inlineStr">
        <is>
          <t>23ДЯУ</t>
        </is>
      </c>
      <c r="K38" s="329" t="inlineStr">
        <is>
          <t>Радиальный</t>
        </is>
      </c>
    </row>
    <row r="39" ht="11.25" customHeight="1" s="236">
      <c r="A39" s="331" t="n">
        <v>38</v>
      </c>
      <c r="B39" s="331" t="inlineStr">
        <is>
          <t>Манометр технический</t>
        </is>
      </c>
      <c r="C39" s="331" t="inlineStr">
        <is>
          <t>ТМ5</t>
        </is>
      </c>
      <c r="D39" s="332" t="inlineStr">
        <is>
          <t>7000223</t>
        </is>
      </c>
      <c r="E39" s="331" t="inlineStr"/>
      <c r="F39" s="331" t="inlineStr">
        <is>
          <t>0...1,6 МПа</t>
        </is>
      </c>
      <c r="G39" s="331" t="inlineStr">
        <is>
          <t>1.5</t>
        </is>
      </c>
      <c r="H39" s="329" t="inlineStr">
        <is>
          <t>Трубная</t>
        </is>
      </c>
      <c r="I39" s="331" t="inlineStr">
        <is>
          <t>12</t>
        </is>
      </c>
      <c r="J39" s="331" t="inlineStr">
        <is>
          <t>23ДЯУ</t>
        </is>
      </c>
      <c r="K39" s="329" t="inlineStr">
        <is>
          <t>Радиальный</t>
        </is>
      </c>
    </row>
    <row r="40" ht="11.25" customHeight="1" s="236">
      <c r="A40" s="331" t="n">
        <v>39</v>
      </c>
      <c r="B40" s="331" t="inlineStr">
        <is>
          <t>Манометр технический</t>
        </is>
      </c>
      <c r="C40" s="331" t="inlineStr">
        <is>
          <t>ТМ5</t>
        </is>
      </c>
      <c r="D40" s="332" t="inlineStr">
        <is>
          <t>7000245</t>
        </is>
      </c>
      <c r="E40" s="331" t="inlineStr"/>
      <c r="F40" s="331" t="inlineStr">
        <is>
          <t>0...1,6 МПа</t>
        </is>
      </c>
      <c r="G40" s="331" t="inlineStr">
        <is>
          <t>1.5</t>
        </is>
      </c>
      <c r="H40" s="329" t="inlineStr">
        <is>
          <t>Трубная</t>
        </is>
      </c>
      <c r="I40" s="331" t="inlineStr">
        <is>
          <t>12</t>
        </is>
      </c>
      <c r="J40" s="331" t="inlineStr">
        <is>
          <t>23ДЯУ</t>
        </is>
      </c>
      <c r="K40" s="329" t="inlineStr">
        <is>
          <t>Радиальный</t>
        </is>
      </c>
    </row>
    <row r="41" ht="11.25" customHeight="1" s="236">
      <c r="A41" s="331" t="n">
        <v>40</v>
      </c>
      <c r="B41" s="331" t="inlineStr">
        <is>
          <t>Манометр технический</t>
        </is>
      </c>
      <c r="C41" s="331" t="inlineStr">
        <is>
          <t>ТМ5</t>
        </is>
      </c>
      <c r="D41" s="332" t="inlineStr">
        <is>
          <t>7000214</t>
        </is>
      </c>
      <c r="E41" s="331" t="inlineStr"/>
      <c r="F41" s="331" t="inlineStr">
        <is>
          <t>0...1,6 МПа</t>
        </is>
      </c>
      <c r="G41" s="331" t="inlineStr">
        <is>
          <t>1.5</t>
        </is>
      </c>
      <c r="H41" s="329" t="inlineStr">
        <is>
          <t>Трубная</t>
        </is>
      </c>
      <c r="I41" s="331" t="inlineStr">
        <is>
          <t>12</t>
        </is>
      </c>
      <c r="J41" s="331" t="inlineStr">
        <is>
          <t>25ДЯУ</t>
        </is>
      </c>
      <c r="K41" s="329" t="inlineStr">
        <is>
          <t>Радиальный</t>
        </is>
      </c>
    </row>
    <row r="42" ht="11.25" customHeight="1" s="236">
      <c r="A42" s="331" t="n">
        <v>41</v>
      </c>
      <c r="B42" s="331" t="inlineStr">
        <is>
          <t>Манометр технический</t>
        </is>
      </c>
      <c r="C42" s="331" t="inlineStr">
        <is>
          <t>ТМ5</t>
        </is>
      </c>
      <c r="D42" s="332" t="inlineStr">
        <is>
          <t>7000234</t>
        </is>
      </c>
      <c r="E42" s="331" t="inlineStr"/>
      <c r="F42" s="331" t="inlineStr">
        <is>
          <t>0...1,6 МПа</t>
        </is>
      </c>
      <c r="G42" s="331" t="inlineStr">
        <is>
          <t>1.5</t>
        </is>
      </c>
      <c r="H42" s="329" t="inlineStr">
        <is>
          <t>Трубная</t>
        </is>
      </c>
      <c r="I42" s="331" t="inlineStr">
        <is>
          <t>12</t>
        </is>
      </c>
      <c r="J42" s="331" t="inlineStr">
        <is>
          <t>25ДЯУ</t>
        </is>
      </c>
      <c r="K42" s="329" t="inlineStr">
        <is>
          <t>Радиальный</t>
        </is>
      </c>
    </row>
    <row r="43" ht="11.25" customHeight="1" s="236">
      <c r="A43" s="331" t="n">
        <v>42</v>
      </c>
      <c r="B43" s="331" t="inlineStr">
        <is>
          <t>Манометр технический</t>
        </is>
      </c>
      <c r="C43" s="331" t="inlineStr">
        <is>
          <t>ТМ5</t>
        </is>
      </c>
      <c r="D43" s="332" t="inlineStr">
        <is>
          <t>7000226</t>
        </is>
      </c>
      <c r="E43" s="331" t="inlineStr"/>
      <c r="F43" s="331" t="inlineStr">
        <is>
          <t>0...1,6 МПа</t>
        </is>
      </c>
      <c r="G43" s="331" t="inlineStr">
        <is>
          <t>1.5</t>
        </is>
      </c>
      <c r="H43" s="329" t="inlineStr">
        <is>
          <t>Трубная</t>
        </is>
      </c>
      <c r="I43" s="331" t="inlineStr">
        <is>
          <t>12</t>
        </is>
      </c>
      <c r="J43" s="331" t="inlineStr">
        <is>
          <t>25ДЯУ</t>
        </is>
      </c>
      <c r="K43" s="329" t="inlineStr">
        <is>
          <t>Радиальный</t>
        </is>
      </c>
    </row>
    <row r="44" ht="11.25" customHeight="1" s="236">
      <c r="A44" s="331" t="n">
        <v>43</v>
      </c>
      <c r="B44" s="331" t="inlineStr">
        <is>
          <t>Манометр технический</t>
        </is>
      </c>
      <c r="C44" s="331" t="inlineStr">
        <is>
          <t>ТМ5</t>
        </is>
      </c>
      <c r="D44" s="332" t="inlineStr">
        <is>
          <t>7000232</t>
        </is>
      </c>
      <c r="E44" s="331" t="inlineStr"/>
      <c r="F44" s="331" t="inlineStr">
        <is>
          <t>0...1,6 МПа</t>
        </is>
      </c>
      <c r="G44" s="331" t="inlineStr">
        <is>
          <t>1.5</t>
        </is>
      </c>
      <c r="H44" s="329" t="inlineStr">
        <is>
          <t>Трубная</t>
        </is>
      </c>
      <c r="I44" s="331" t="inlineStr">
        <is>
          <t>12</t>
        </is>
      </c>
      <c r="J44" s="331" t="inlineStr">
        <is>
          <t>25ДЯУ</t>
        </is>
      </c>
      <c r="K44" s="329" t="inlineStr">
        <is>
          <t>Радиальный</t>
        </is>
      </c>
    </row>
    <row r="45" ht="11.25" customHeight="1" s="236">
      <c r="A45" s="331" t="n">
        <v>44</v>
      </c>
      <c r="B45" s="331" t="inlineStr">
        <is>
          <t>Манометр технический</t>
        </is>
      </c>
      <c r="C45" s="331" t="inlineStr">
        <is>
          <t>ТМ5</t>
        </is>
      </c>
      <c r="D45" s="332" t="inlineStr">
        <is>
          <t>7000220</t>
        </is>
      </c>
      <c r="E45" s="331" t="inlineStr"/>
      <c r="F45" s="331" t="inlineStr">
        <is>
          <t>0...1,6 МПа</t>
        </is>
      </c>
      <c r="G45" s="331" t="inlineStr">
        <is>
          <t>1.5</t>
        </is>
      </c>
      <c r="H45" s="329" t="inlineStr">
        <is>
          <t>Трубная</t>
        </is>
      </c>
      <c r="I45" s="331" t="inlineStr">
        <is>
          <t>12</t>
        </is>
      </c>
      <c r="J45" s="331" t="inlineStr">
        <is>
          <t>25ДЯУ</t>
        </is>
      </c>
      <c r="K45" s="329" t="inlineStr">
        <is>
          <t>Радиальный</t>
        </is>
      </c>
    </row>
    <row r="46" ht="11.25" customHeight="1" s="236">
      <c r="A46" s="331" t="n">
        <v>45</v>
      </c>
      <c r="B46" s="331" t="inlineStr">
        <is>
          <t>Манометр технический</t>
        </is>
      </c>
      <c r="C46" s="331" t="inlineStr">
        <is>
          <t>ТМ5</t>
        </is>
      </c>
      <c r="D46" s="332" t="inlineStr">
        <is>
          <t>7000241</t>
        </is>
      </c>
      <c r="E46" s="331" t="inlineStr"/>
      <c r="F46" s="331" t="inlineStr">
        <is>
          <t>0...1,6 МПа</t>
        </is>
      </c>
      <c r="G46" s="331" t="inlineStr">
        <is>
          <t>1.5</t>
        </is>
      </c>
      <c r="H46" s="329" t="inlineStr">
        <is>
          <t>Трубная</t>
        </is>
      </c>
      <c r="I46" s="331" t="inlineStr">
        <is>
          <t>12</t>
        </is>
      </c>
      <c r="J46" s="331" t="inlineStr">
        <is>
          <t>25ДЯУ</t>
        </is>
      </c>
      <c r="K46" s="329" t="inlineStr">
        <is>
          <t>Радиальный</t>
        </is>
      </c>
    </row>
    <row r="47" ht="11.25" customHeight="1" s="236">
      <c r="A47" s="331" t="n">
        <v>46</v>
      </c>
      <c r="B47" s="331" t="inlineStr">
        <is>
          <t>Манометр технический</t>
        </is>
      </c>
      <c r="C47" s="331" t="inlineStr">
        <is>
          <t>ТМ5</t>
        </is>
      </c>
      <c r="D47" s="332" t="inlineStr">
        <is>
          <t>903</t>
        </is>
      </c>
      <c r="E47" s="331" t="inlineStr"/>
      <c r="F47" s="331" t="inlineStr">
        <is>
          <t>0...1,6 МПа</t>
        </is>
      </c>
      <c r="G47" s="331" t="inlineStr">
        <is>
          <t>1.5</t>
        </is>
      </c>
      <c r="H47" s="329" t="inlineStr">
        <is>
          <t>Трубная</t>
        </is>
      </c>
      <c r="I47" s="331" t="inlineStr">
        <is>
          <t>12</t>
        </is>
      </c>
      <c r="J47" s="331" t="inlineStr">
        <is>
          <t>25ДЯУ</t>
        </is>
      </c>
      <c r="K47" s="329" t="inlineStr">
        <is>
          <t>Радиальный</t>
        </is>
      </c>
    </row>
    <row r="48" ht="11.25" customHeight="1" s="236">
      <c r="A48" s="331" t="n">
        <v>47</v>
      </c>
      <c r="B48" s="331" t="inlineStr">
        <is>
          <t>Манометр технический</t>
        </is>
      </c>
      <c r="C48" s="331" t="inlineStr">
        <is>
          <t>ТМ5</t>
        </is>
      </c>
      <c r="D48" s="332" t="inlineStr">
        <is>
          <t>7000244</t>
        </is>
      </c>
      <c r="E48" s="331" t="inlineStr"/>
      <c r="F48" s="331" t="inlineStr">
        <is>
          <t>0...1,6 МПа</t>
        </is>
      </c>
      <c r="G48" s="331" t="inlineStr">
        <is>
          <t>1.5</t>
        </is>
      </c>
      <c r="H48" s="329" t="inlineStr">
        <is>
          <t>Трубная</t>
        </is>
      </c>
      <c r="I48" s="331" t="inlineStr">
        <is>
          <t>12</t>
        </is>
      </c>
      <c r="J48" s="331" t="inlineStr">
        <is>
          <t>23ДЯУ</t>
        </is>
      </c>
      <c r="K48" s="329" t="inlineStr">
        <is>
          <t>Радиальный</t>
        </is>
      </c>
    </row>
    <row r="49" ht="11.25" customHeight="1" s="236">
      <c r="A49" s="331" t="n">
        <v>48</v>
      </c>
      <c r="B49" s="331" t="inlineStr">
        <is>
          <t>Манометр технический</t>
        </is>
      </c>
      <c r="C49" s="331" t="inlineStr">
        <is>
          <t>ТМ5</t>
        </is>
      </c>
      <c r="D49" s="332" t="inlineStr">
        <is>
          <t>7000218</t>
        </is>
      </c>
      <c r="E49" s="331" t="inlineStr"/>
      <c r="F49" s="331" t="inlineStr">
        <is>
          <t>0...1,6 МПа</t>
        </is>
      </c>
      <c r="G49" s="331" t="inlineStr">
        <is>
          <t>1.5</t>
        </is>
      </c>
      <c r="H49" s="329" t="inlineStr">
        <is>
          <t>Трубная</t>
        </is>
      </c>
      <c r="I49" s="331" t="inlineStr">
        <is>
          <t>12</t>
        </is>
      </c>
      <c r="J49" s="331" t="inlineStr">
        <is>
          <t>23ДЯУ</t>
        </is>
      </c>
      <c r="K49" s="329" t="inlineStr">
        <is>
          <t>Радиальный</t>
        </is>
      </c>
    </row>
    <row r="50" ht="11.25" customHeight="1" s="236">
      <c r="A50" s="331" t="n">
        <v>49</v>
      </c>
      <c r="B50" s="331" t="inlineStr">
        <is>
          <t>Манометр технический</t>
        </is>
      </c>
      <c r="C50" s="331" t="inlineStr">
        <is>
          <t>ТМ5</t>
        </is>
      </c>
      <c r="D50" s="332" t="inlineStr">
        <is>
          <t>7099</t>
        </is>
      </c>
      <c r="E50" s="331" t="inlineStr"/>
      <c r="F50" s="331" t="inlineStr">
        <is>
          <t>0...1,6 МПа</t>
        </is>
      </c>
      <c r="G50" s="331" t="inlineStr">
        <is>
          <t>1.5</t>
        </is>
      </c>
      <c r="H50" s="329" t="inlineStr">
        <is>
          <t>Трубная</t>
        </is>
      </c>
      <c r="I50" s="331" t="inlineStr">
        <is>
          <t>12</t>
        </is>
      </c>
      <c r="J50" s="331" t="inlineStr">
        <is>
          <t>отсутствует</t>
        </is>
      </c>
      <c r="K50" s="329" t="inlineStr">
        <is>
          <t>Радиальный</t>
        </is>
      </c>
    </row>
    <row r="51" ht="11.25" customHeight="1" s="236">
      <c r="A51" s="331" t="n">
        <v>50</v>
      </c>
      <c r="B51" s="331" t="inlineStr">
        <is>
          <t>Манометр технический</t>
        </is>
      </c>
      <c r="C51" s="331" t="inlineStr">
        <is>
          <t>ТМ5</t>
        </is>
      </c>
      <c r="D51" s="332" t="inlineStr">
        <is>
          <t>7000228</t>
        </is>
      </c>
      <c r="E51" s="331" t="inlineStr"/>
      <c r="F51" s="331" t="inlineStr">
        <is>
          <t>0...1,6 МПа</t>
        </is>
      </c>
      <c r="G51" s="331" t="inlineStr">
        <is>
          <t>1.5</t>
        </is>
      </c>
      <c r="H51" s="329" t="inlineStr">
        <is>
          <t>Трубная</t>
        </is>
      </c>
      <c r="I51" s="331" t="inlineStr">
        <is>
          <t>12</t>
        </is>
      </c>
      <c r="J51" s="331" t="inlineStr">
        <is>
          <t>отсутствует</t>
        </is>
      </c>
      <c r="K51" s="329" t="inlineStr">
        <is>
          <t>Радиальный</t>
        </is>
      </c>
    </row>
    <row r="52" ht="11.25" customHeight="1" s="236">
      <c r="A52" s="331" t="n">
        <v>51</v>
      </c>
      <c r="B52" s="331" t="inlineStr">
        <is>
          <t>Манометр технический</t>
        </is>
      </c>
      <c r="C52" s="331" t="inlineStr">
        <is>
          <t>МП3-УУ2</t>
        </is>
      </c>
      <c r="D52" s="332" t="inlineStr">
        <is>
          <t>50494</t>
        </is>
      </c>
      <c r="E52" s="331" t="inlineStr"/>
      <c r="F52" s="331" t="inlineStr">
        <is>
          <t>0...16 кгс/см2</t>
        </is>
      </c>
      <c r="G52" s="331" t="inlineStr">
        <is>
          <t>1.5</t>
        </is>
      </c>
      <c r="H52" s="329" t="inlineStr">
        <is>
          <t>Метрическая</t>
        </is>
      </c>
      <c r="I52" s="331" t="inlineStr">
        <is>
          <t>12</t>
        </is>
      </c>
      <c r="J52" s="331" t="inlineStr">
        <is>
          <t>24ДЯУ</t>
        </is>
      </c>
      <c r="K52" s="329" t="inlineStr">
        <is>
          <t>Радиальный</t>
        </is>
      </c>
    </row>
    <row r="53" ht="11.25" customHeight="1" s="236">
      <c r="A53" s="331" t="n">
        <v>52</v>
      </c>
      <c r="B53" s="331" t="inlineStr">
        <is>
          <t>Манометр технический</t>
        </is>
      </c>
      <c r="C53" s="331" t="inlineStr">
        <is>
          <t>МП3-УТ2</t>
        </is>
      </c>
      <c r="D53" s="332" t="inlineStr">
        <is>
          <t>1322145</t>
        </is>
      </c>
      <c r="E53" s="331" t="inlineStr"/>
      <c r="F53" s="331" t="inlineStr">
        <is>
          <t>0...16 кгс/см2</t>
        </is>
      </c>
      <c r="G53" s="331" t="inlineStr">
        <is>
          <t>1.5</t>
        </is>
      </c>
      <c r="H53" s="329" t="inlineStr">
        <is>
          <t>Метрическая</t>
        </is>
      </c>
      <c r="I53" s="331" t="inlineStr">
        <is>
          <t>12</t>
        </is>
      </c>
      <c r="J53" s="331" t="inlineStr">
        <is>
          <t>25ДЯУ</t>
        </is>
      </c>
      <c r="K53" s="329" t="inlineStr">
        <is>
          <t>Радиальный</t>
        </is>
      </c>
    </row>
    <row r="54" ht="11.25" customHeight="1" s="236">
      <c r="A54" s="331" t="n">
        <v>53</v>
      </c>
      <c r="B54" s="331" t="inlineStr">
        <is>
          <t>Манометр технический</t>
        </is>
      </c>
      <c r="C54" s="331" t="inlineStr">
        <is>
          <t>МП3-УТ2</t>
        </is>
      </c>
      <c r="D54" s="332" t="inlineStr">
        <is>
          <t>1322127</t>
        </is>
      </c>
      <c r="E54" s="331" t="inlineStr"/>
      <c r="F54" s="331" t="inlineStr">
        <is>
          <t>0...16 кгс/см2</t>
        </is>
      </c>
      <c r="G54" s="331" t="inlineStr">
        <is>
          <t>1.5</t>
        </is>
      </c>
      <c r="H54" s="329" t="inlineStr">
        <is>
          <t>Метрическая</t>
        </is>
      </c>
      <c r="I54" s="331" t="inlineStr">
        <is>
          <t>12</t>
        </is>
      </c>
      <c r="J54" s="331" t="inlineStr">
        <is>
          <t>отсутствует</t>
        </is>
      </c>
      <c r="K54" s="329" t="inlineStr">
        <is>
          <t>Радиальный</t>
        </is>
      </c>
    </row>
    <row r="55" ht="11.25" customHeight="1" s="236">
      <c r="A55" s="331" t="n">
        <v>54</v>
      </c>
      <c r="B55" s="331" t="inlineStr">
        <is>
          <t>Манометр технический</t>
        </is>
      </c>
      <c r="C55" s="331" t="inlineStr">
        <is>
          <t>ТМ5</t>
        </is>
      </c>
      <c r="D55" s="332" t="inlineStr">
        <is>
          <t>7000199</t>
        </is>
      </c>
      <c r="E55" s="331" t="inlineStr"/>
      <c r="F55" s="331" t="inlineStr">
        <is>
          <t>0...1,6 МПа</t>
        </is>
      </c>
      <c r="G55" s="331" t="inlineStr">
        <is>
          <t>1.5</t>
        </is>
      </c>
      <c r="H55" s="329" t="inlineStr">
        <is>
          <t>Метрическая</t>
        </is>
      </c>
      <c r="I55" s="331" t="inlineStr">
        <is>
          <t>12</t>
        </is>
      </c>
      <c r="J55" s="331" t="inlineStr">
        <is>
          <t>отсутствует</t>
        </is>
      </c>
      <c r="K55" s="329" t="inlineStr">
        <is>
          <t>Радиальный</t>
        </is>
      </c>
    </row>
    <row r="56" ht="11.25" customHeight="1" s="236">
      <c r="A56" s="331" t="n">
        <v>55</v>
      </c>
      <c r="B56" s="331" t="inlineStr">
        <is>
          <t>Манометр технический</t>
        </is>
      </c>
      <c r="C56" s="331" t="inlineStr">
        <is>
          <t>МП4-УУ2</t>
        </is>
      </c>
      <c r="D56" s="332" t="inlineStr">
        <is>
          <t>15301</t>
        </is>
      </c>
      <c r="E56" s="331" t="inlineStr"/>
      <c r="F56" s="331" t="inlineStr">
        <is>
          <t>0...16 кгс/см2</t>
        </is>
      </c>
      <c r="G56" s="331" t="inlineStr">
        <is>
          <t>1.5</t>
        </is>
      </c>
      <c r="H56" s="329" t="inlineStr">
        <is>
          <t>Метрическая</t>
        </is>
      </c>
      <c r="I56" s="331" t="inlineStr">
        <is>
          <t>12</t>
        </is>
      </c>
      <c r="J56" s="331" t="inlineStr">
        <is>
          <t>24ДЯУ</t>
        </is>
      </c>
      <c r="K56" s="329" t="inlineStr">
        <is>
          <t>Радиальный</t>
        </is>
      </c>
    </row>
    <row r="57" ht="11.25" customHeight="1" s="236">
      <c r="A57" s="331" t="n">
        <v>56</v>
      </c>
      <c r="B57" s="331" t="inlineStr">
        <is>
          <t>Манометр технический</t>
        </is>
      </c>
      <c r="C57" s="331" t="inlineStr">
        <is>
          <t>МП4-УУ2</t>
        </is>
      </c>
      <c r="D57" s="332" t="inlineStr">
        <is>
          <t>0674</t>
        </is>
      </c>
      <c r="E57" s="331" t="inlineStr"/>
      <c r="F57" s="331" t="inlineStr">
        <is>
          <t>0...16 кгс/см2</t>
        </is>
      </c>
      <c r="G57" s="331" t="inlineStr">
        <is>
          <t>1.5</t>
        </is>
      </c>
      <c r="H57" s="329" t="inlineStr">
        <is>
          <t>Метрическая</t>
        </is>
      </c>
      <c r="I57" s="331" t="inlineStr">
        <is>
          <t>12</t>
        </is>
      </c>
      <c r="J57" s="331" t="inlineStr">
        <is>
          <t>отсутствует</t>
        </is>
      </c>
      <c r="K57" s="329" t="inlineStr">
        <is>
          <t>Радиальный</t>
        </is>
      </c>
    </row>
    <row r="58" ht="11.25" customHeight="1" s="236">
      <c r="A58" s="331" t="n">
        <v>57</v>
      </c>
      <c r="B58" s="331" t="inlineStr">
        <is>
          <t>Манометр технический</t>
        </is>
      </c>
      <c r="C58" s="331" t="inlineStr">
        <is>
          <t>МП4-УУ2</t>
        </is>
      </c>
      <c r="D58" s="332" t="inlineStr">
        <is>
          <t>212032715</t>
        </is>
      </c>
      <c r="E58" s="331" t="inlineStr"/>
      <c r="F58" s="331" t="inlineStr">
        <is>
          <t>0...10 МПа</t>
        </is>
      </c>
      <c r="G58" s="331" t="inlineStr">
        <is>
          <t>1</t>
        </is>
      </c>
      <c r="H58" s="329" t="inlineStr">
        <is>
          <t>Метрическая</t>
        </is>
      </c>
      <c r="I58" s="331" t="inlineStr">
        <is>
          <t>12</t>
        </is>
      </c>
      <c r="J58" s="331" t="inlineStr">
        <is>
          <t>23ДЯУ</t>
        </is>
      </c>
      <c r="K58" s="329" t="inlineStr">
        <is>
          <t>Радиальный</t>
        </is>
      </c>
    </row>
    <row r="59" ht="11.25" customHeight="1" s="236">
      <c r="A59" s="331" t="n">
        <v>58</v>
      </c>
      <c r="B59" s="331" t="inlineStr">
        <is>
          <t>Манометр технический</t>
        </is>
      </c>
      <c r="C59" s="331" t="inlineStr">
        <is>
          <t>ТМ5</t>
        </is>
      </c>
      <c r="D59" s="332" t="inlineStr">
        <is>
          <t>1115</t>
        </is>
      </c>
      <c r="E59" s="331" t="inlineStr"/>
      <c r="F59" s="331" t="inlineStr">
        <is>
          <t>0…6 bar</t>
        </is>
      </c>
      <c r="G59" s="331" t="inlineStr">
        <is>
          <t>1.5</t>
        </is>
      </c>
      <c r="H59" s="329" t="inlineStr">
        <is>
          <t>Трубная</t>
        </is>
      </c>
      <c r="I59" s="331" t="inlineStr">
        <is>
          <t>12</t>
        </is>
      </c>
      <c r="J59" s="331" t="inlineStr">
        <is>
          <t>23ДЯУ</t>
        </is>
      </c>
      <c r="K59" s="329" t="inlineStr">
        <is>
          <t>Радиальный</t>
        </is>
      </c>
    </row>
    <row r="60" ht="11.25" customHeight="1" s="236">
      <c r="A60" s="331" t="n">
        <v>59</v>
      </c>
      <c r="B60" s="331" t="inlineStr">
        <is>
          <t>Манометр технический</t>
        </is>
      </c>
      <c r="C60" s="331" t="inlineStr">
        <is>
          <t>ТМ5</t>
        </is>
      </c>
      <c r="D60" s="332" t="inlineStr">
        <is>
          <t>1110</t>
        </is>
      </c>
      <c r="E60" s="331" t="inlineStr"/>
      <c r="F60" s="331" t="inlineStr">
        <is>
          <t>0…6 bar</t>
        </is>
      </c>
      <c r="G60" s="331" t="inlineStr">
        <is>
          <t>1.5</t>
        </is>
      </c>
      <c r="H60" s="329" t="inlineStr">
        <is>
          <t>Трубная</t>
        </is>
      </c>
      <c r="I60" s="331" t="inlineStr">
        <is>
          <t>12</t>
        </is>
      </c>
      <c r="J60" s="331" t="inlineStr">
        <is>
          <t>23ДЯУ</t>
        </is>
      </c>
      <c r="K60" s="329" t="inlineStr">
        <is>
          <t>Радиальный</t>
        </is>
      </c>
    </row>
    <row r="61" ht="11.25" customHeight="1" s="236">
      <c r="A61" s="331" t="n">
        <v>60</v>
      </c>
      <c r="B61" s="331" t="inlineStr">
        <is>
          <t>Манометр технический</t>
        </is>
      </c>
      <c r="C61" s="331" t="inlineStr">
        <is>
          <t>ДМ8008-ВУ-У2</t>
        </is>
      </c>
      <c r="D61" s="332" t="inlineStr">
        <is>
          <t>15163</t>
        </is>
      </c>
      <c r="E61" s="331" t="inlineStr">
        <is>
          <t>2012</t>
        </is>
      </c>
      <c r="F61" s="331" t="inlineStr">
        <is>
          <t>0…6 кгс/см2</t>
        </is>
      </c>
      <c r="G61" s="331" t="inlineStr">
        <is>
          <t>1.5</t>
        </is>
      </c>
      <c r="H61" s="329" t="inlineStr">
        <is>
          <t>Метрическая</t>
        </is>
      </c>
      <c r="I61" s="331" t="inlineStr">
        <is>
          <t>12</t>
        </is>
      </c>
      <c r="J61" s="331" t="inlineStr">
        <is>
          <t>отсутствует</t>
        </is>
      </c>
      <c r="K61" s="329" t="inlineStr">
        <is>
          <t>Радиальный</t>
        </is>
      </c>
    </row>
    <row r="62" ht="11.25" customHeight="1" s="236">
      <c r="A62" s="331" t="n">
        <v>61</v>
      </c>
      <c r="B62" s="331" t="inlineStr">
        <is>
          <t>Манометр технический</t>
        </is>
      </c>
      <c r="C62" s="331" t="inlineStr">
        <is>
          <t>МП3-У</t>
        </is>
      </c>
      <c r="D62" s="332" t="inlineStr">
        <is>
          <t>8461</t>
        </is>
      </c>
      <c r="E62" s="331" t="inlineStr"/>
      <c r="F62" s="331" t="inlineStr">
        <is>
          <t>0...16 кгс/см2</t>
        </is>
      </c>
      <c r="G62" s="331" t="inlineStr">
        <is>
          <t>1</t>
        </is>
      </c>
      <c r="H62" s="329" t="inlineStr">
        <is>
          <t>Метрическая</t>
        </is>
      </c>
      <c r="I62" s="331" t="inlineStr">
        <is>
          <t>12</t>
        </is>
      </c>
      <c r="J62" s="331" t="inlineStr">
        <is>
          <t>23ДЯУ</t>
        </is>
      </c>
      <c r="K62" s="329" t="inlineStr">
        <is>
          <t>Радиальный</t>
        </is>
      </c>
    </row>
    <row r="63" ht="11.25" customHeight="1" s="236">
      <c r="A63" s="331" t="n">
        <v>62</v>
      </c>
      <c r="B63" s="331" t="inlineStr">
        <is>
          <t>Манометр технический</t>
        </is>
      </c>
      <c r="C63" s="331" t="inlineStr">
        <is>
          <t>КМ2</t>
        </is>
      </c>
      <c r="D63" s="332" t="inlineStr">
        <is>
          <t>15442</t>
        </is>
      </c>
      <c r="E63" s="331" t="inlineStr"/>
      <c r="F63" s="331" t="inlineStr">
        <is>
          <t>-1…1,5 кгс/см2</t>
        </is>
      </c>
      <c r="G63" s="331" t="inlineStr">
        <is>
          <t>1.5</t>
        </is>
      </c>
      <c r="H63" s="329" t="inlineStr">
        <is>
          <t>Метрическая</t>
        </is>
      </c>
      <c r="I63" s="331" t="inlineStr">
        <is>
          <t>12</t>
        </is>
      </c>
      <c r="J63" s="331" t="inlineStr">
        <is>
          <t>отсутствует</t>
        </is>
      </c>
      <c r="K63" s="329" t="inlineStr">
        <is>
          <t>Радиальный</t>
        </is>
      </c>
    </row>
    <row r="64" ht="11.25" customHeight="1" s="236">
      <c r="A64" s="331" t="n">
        <v>63</v>
      </c>
      <c r="B64" s="331" t="inlineStr">
        <is>
          <t>Манометр технический</t>
        </is>
      </c>
      <c r="C64" s="331" t="inlineStr">
        <is>
          <t>МВП3-У</t>
        </is>
      </c>
      <c r="D64" s="332" t="inlineStr">
        <is>
          <t>600064</t>
        </is>
      </c>
      <c r="E64" s="331" t="inlineStr">
        <is>
          <t>1991</t>
        </is>
      </c>
      <c r="F64" s="331" t="inlineStr">
        <is>
          <t>-1…1,5 кгс/см2</t>
        </is>
      </c>
      <c r="G64" s="331" t="inlineStr">
        <is>
          <t>1.5</t>
        </is>
      </c>
      <c r="H64" s="329" t="inlineStr">
        <is>
          <t>Метрическая</t>
        </is>
      </c>
      <c r="I64" s="331" t="inlineStr">
        <is>
          <t>12</t>
        </is>
      </c>
      <c r="J64" s="331" t="inlineStr">
        <is>
          <t>отсутствует</t>
        </is>
      </c>
      <c r="K64" s="329" t="inlineStr">
        <is>
          <t>Радиальный</t>
        </is>
      </c>
    </row>
    <row r="65" ht="11.25" customHeight="1" s="236">
      <c r="A65" s="331" t="n">
        <v>64</v>
      </c>
      <c r="B65" s="331" t="inlineStr">
        <is>
          <t>Манометр технический</t>
        </is>
      </c>
      <c r="C65" s="331" t="inlineStr">
        <is>
          <t>МП3-УУ2</t>
        </is>
      </c>
      <c r="D65" s="332" t="inlineStr">
        <is>
          <t>50140</t>
        </is>
      </c>
      <c r="E65" s="331" t="inlineStr"/>
      <c r="F65" s="331" t="inlineStr">
        <is>
          <t>0...100 кгс/см2</t>
        </is>
      </c>
      <c r="G65" s="331" t="inlineStr">
        <is>
          <t>1.5</t>
        </is>
      </c>
      <c r="H65" s="329" t="inlineStr">
        <is>
          <t>Метрическая</t>
        </is>
      </c>
      <c r="I65" s="331" t="inlineStr">
        <is>
          <t>12</t>
        </is>
      </c>
      <c r="J65" s="331" t="inlineStr">
        <is>
          <t>1К23</t>
        </is>
      </c>
      <c r="K65" s="329" t="inlineStr">
        <is>
          <t>Радиальный</t>
        </is>
      </c>
    </row>
    <row r="66" ht="11.25" customHeight="1" s="236">
      <c r="A66" s="331" t="n">
        <v>65</v>
      </c>
      <c r="B66" s="331" t="inlineStr">
        <is>
          <t>Манометр технический</t>
        </is>
      </c>
      <c r="C66" s="331" t="inlineStr">
        <is>
          <t>МП3-УУ2</t>
        </is>
      </c>
      <c r="D66" s="332" t="inlineStr">
        <is>
          <t>211222291</t>
        </is>
      </c>
      <c r="E66" s="331" t="inlineStr"/>
      <c r="F66" s="331" t="inlineStr">
        <is>
          <t>0...1,6 МПа</t>
        </is>
      </c>
      <c r="G66" s="331" t="inlineStr">
        <is>
          <t>1.5</t>
        </is>
      </c>
      <c r="H66" s="329" t="inlineStr">
        <is>
          <t>Метрическая</t>
        </is>
      </c>
      <c r="I66" s="331" t="inlineStr">
        <is>
          <t>12</t>
        </is>
      </c>
      <c r="J66" s="331" t="inlineStr">
        <is>
          <t>25ДЯУ</t>
        </is>
      </c>
      <c r="K66" s="329" t="inlineStr">
        <is>
          <t>Радиальный</t>
        </is>
      </c>
    </row>
    <row r="67" ht="11.25" customHeight="1" s="236">
      <c r="A67" s="331" t="n">
        <v>66</v>
      </c>
      <c r="B67" s="331" t="inlineStr">
        <is>
          <t>Манометр технический</t>
        </is>
      </c>
      <c r="C67" s="331" t="inlineStr">
        <is>
          <t>ТМ5</t>
        </is>
      </c>
      <c r="D67" s="332" t="inlineStr">
        <is>
          <t>15425</t>
        </is>
      </c>
      <c r="E67" s="331" t="inlineStr"/>
      <c r="F67" s="331" t="inlineStr">
        <is>
          <t>0...16 кгс/см2</t>
        </is>
      </c>
      <c r="G67" s="331" t="inlineStr">
        <is>
          <t>1.5</t>
        </is>
      </c>
      <c r="H67" s="329" t="inlineStr">
        <is>
          <t>Трубная</t>
        </is>
      </c>
      <c r="I67" s="331" t="inlineStr">
        <is>
          <t>12</t>
        </is>
      </c>
      <c r="J67" s="331" t="inlineStr">
        <is>
          <t>отсутствует</t>
        </is>
      </c>
      <c r="K67" s="329" t="inlineStr">
        <is>
          <t>Радиальный</t>
        </is>
      </c>
    </row>
    <row r="68" ht="11.25" customHeight="1" s="236">
      <c r="A68" s="331" t="n">
        <v>67</v>
      </c>
      <c r="B68" s="331" t="inlineStr">
        <is>
          <t>Манометр технический</t>
        </is>
      </c>
      <c r="C68" s="331" t="inlineStr">
        <is>
          <t>МП3-УУ2</t>
        </is>
      </c>
      <c r="D68" s="332" t="inlineStr">
        <is>
          <t>15532</t>
        </is>
      </c>
      <c r="E68" s="331" t="inlineStr"/>
      <c r="F68" s="331" t="inlineStr">
        <is>
          <t>0...16 кгс/см2</t>
        </is>
      </c>
      <c r="G68" s="331" t="inlineStr">
        <is>
          <t>1.5</t>
        </is>
      </c>
      <c r="H68" s="329" t="inlineStr">
        <is>
          <t>Метрическая</t>
        </is>
      </c>
      <c r="I68" s="331" t="inlineStr">
        <is>
          <t>12</t>
        </is>
      </c>
      <c r="J68" s="331" t="inlineStr">
        <is>
          <t>25ДЯУ</t>
        </is>
      </c>
      <c r="K68" s="329" t="inlineStr">
        <is>
          <t>Радиальный</t>
        </is>
      </c>
    </row>
    <row r="69" ht="11.25" customHeight="1" s="236">
      <c r="A69" s="331" t="n">
        <v>68</v>
      </c>
      <c r="B69" s="331" t="inlineStr">
        <is>
          <t>Манометр технический</t>
        </is>
      </c>
      <c r="C69" s="331" t="inlineStr">
        <is>
          <t>МП3-УУ2</t>
        </is>
      </c>
      <c r="D69" s="332" t="inlineStr">
        <is>
          <t>15533</t>
        </is>
      </c>
      <c r="E69" s="331" t="inlineStr"/>
      <c r="F69" s="331" t="inlineStr">
        <is>
          <t>0...16 кгс/см2</t>
        </is>
      </c>
      <c r="G69" s="331" t="inlineStr">
        <is>
          <t>1.5</t>
        </is>
      </c>
      <c r="H69" s="329" t="inlineStr">
        <is>
          <t>Метрическая</t>
        </is>
      </c>
      <c r="I69" s="331" t="inlineStr">
        <is>
          <t>12</t>
        </is>
      </c>
      <c r="J69" s="331" t="inlineStr">
        <is>
          <t>23ДЯУ</t>
        </is>
      </c>
      <c r="K69" s="329" t="inlineStr">
        <is>
          <t>Радиальный</t>
        </is>
      </c>
    </row>
    <row r="70" ht="11.25" customHeight="1" s="236">
      <c r="A70" s="331" t="n">
        <v>69</v>
      </c>
      <c r="B70" s="331" t="inlineStr">
        <is>
          <t>Манометр технический</t>
        </is>
      </c>
      <c r="C70" s="331" t="inlineStr">
        <is>
          <t>МП3-УУ2</t>
        </is>
      </c>
      <c r="D70" s="332" t="inlineStr">
        <is>
          <t>211222323</t>
        </is>
      </c>
      <c r="E70" s="331" t="inlineStr"/>
      <c r="F70" s="331" t="inlineStr">
        <is>
          <t>0...1,6 МПа</t>
        </is>
      </c>
      <c r="G70" s="331" t="inlineStr">
        <is>
          <t>1.5</t>
        </is>
      </c>
      <c r="H70" s="329" t="inlineStr">
        <is>
          <t>Метрическая</t>
        </is>
      </c>
      <c r="I70" s="331" t="inlineStr">
        <is>
          <t>12</t>
        </is>
      </c>
      <c r="J70" s="331" t="inlineStr">
        <is>
          <t>23ДЯУ</t>
        </is>
      </c>
      <c r="K70" s="329" t="inlineStr">
        <is>
          <t>Радиальный</t>
        </is>
      </c>
    </row>
    <row r="71" ht="11.25" customHeight="1" s="236">
      <c r="A71" s="331" t="n">
        <v>70</v>
      </c>
      <c r="B71" s="331" t="inlineStr">
        <is>
          <t>Манометр технический</t>
        </is>
      </c>
      <c r="C71" s="331" t="inlineStr">
        <is>
          <t>ТМ5</t>
        </is>
      </c>
      <c r="D71" s="332" t="inlineStr">
        <is>
          <t>3293</t>
        </is>
      </c>
      <c r="E71" s="331" t="inlineStr"/>
      <c r="F71" s="331" t="inlineStr">
        <is>
          <t>0…10 кгс/см2</t>
        </is>
      </c>
      <c r="G71" s="331" t="inlineStr">
        <is>
          <t>1.5</t>
        </is>
      </c>
      <c r="H71" s="329" t="inlineStr">
        <is>
          <t>Метрическая</t>
        </is>
      </c>
      <c r="I71" s="331" t="inlineStr">
        <is>
          <t>12</t>
        </is>
      </c>
      <c r="J71" s="331" t="inlineStr">
        <is>
          <t>2К25</t>
        </is>
      </c>
      <c r="K71" s="329" t="inlineStr">
        <is>
          <t>Осевой</t>
        </is>
      </c>
    </row>
    <row r="72" ht="11.25" customHeight="1" s="236">
      <c r="A72" s="331" t="n">
        <v>71</v>
      </c>
      <c r="B72" s="331" t="inlineStr">
        <is>
          <t>Манометр технический</t>
        </is>
      </c>
      <c r="C72" s="331" t="inlineStr">
        <is>
          <t>ДМ02-100-1-G</t>
        </is>
      </c>
      <c r="D72" s="332" t="inlineStr">
        <is>
          <t>15151</t>
        </is>
      </c>
      <c r="E72" s="331" t="inlineStr"/>
      <c r="F72" s="331" t="inlineStr">
        <is>
          <t>-1…24 bar</t>
        </is>
      </c>
      <c r="G72" s="331" t="inlineStr">
        <is>
          <t>1.5</t>
        </is>
      </c>
      <c r="H72" s="329" t="inlineStr">
        <is>
          <t>Трубная</t>
        </is>
      </c>
      <c r="I72" s="331" t="inlineStr">
        <is>
          <t>12</t>
        </is>
      </c>
      <c r="J72" s="331" t="inlineStr">
        <is>
          <t>1К23</t>
        </is>
      </c>
      <c r="K72" s="329" t="inlineStr">
        <is>
          <t>Радиальный</t>
        </is>
      </c>
    </row>
    <row r="73" ht="11.25" customHeight="1" s="236">
      <c r="A73" s="329">
        <f>IF(B73&lt;&gt;"", COUNTA($B$2:B73), "")</f>
        <v/>
      </c>
      <c r="B73" s="329" t="inlineStr">
        <is>
          <t>Манометр технический</t>
        </is>
      </c>
      <c r="C73" s="329" t="inlineStr">
        <is>
          <t>ТМ5</t>
        </is>
      </c>
      <c r="D73" s="330" t="n">
        <v>7000167</v>
      </c>
      <c r="E73" s="329" t="n"/>
      <c r="F73" s="329" t="inlineStr">
        <is>
          <t>0...1 МПа</t>
        </is>
      </c>
      <c r="G73" s="329" t="n">
        <v>1.5</v>
      </c>
      <c r="H73" s="329" t="inlineStr">
        <is>
          <t>Метрическая</t>
        </is>
      </c>
      <c r="I73" s="329" t="n">
        <v>12</v>
      </c>
      <c r="J73" s="329" t="inlineStr">
        <is>
          <t>23ДЯУ</t>
        </is>
      </c>
      <c r="K73" s="329" t="inlineStr">
        <is>
          <t>Осевой</t>
        </is>
      </c>
    </row>
    <row r="74" ht="11.25" customHeight="1" s="236">
      <c r="A74" s="331" t="n">
        <v>73</v>
      </c>
      <c r="B74" s="331" t="inlineStr">
        <is>
          <t>Манометр технический</t>
        </is>
      </c>
      <c r="C74" s="331" t="inlineStr">
        <is>
          <t>ТМ5</t>
        </is>
      </c>
      <c r="D74" s="332" t="inlineStr">
        <is>
          <t>7000191</t>
        </is>
      </c>
      <c r="E74" s="331" t="inlineStr"/>
      <c r="F74" s="331" t="inlineStr">
        <is>
          <t>0…0,06 МПа</t>
        </is>
      </c>
      <c r="G74" s="331" t="inlineStr">
        <is>
          <t>1.5</t>
        </is>
      </c>
      <c r="H74" s="329" t="inlineStr">
        <is>
          <t>Трубная</t>
        </is>
      </c>
      <c r="I74" s="331" t="inlineStr">
        <is>
          <t>12</t>
        </is>
      </c>
      <c r="J74" s="331" t="inlineStr">
        <is>
          <t>2К22</t>
        </is>
      </c>
      <c r="K74" s="329" t="inlineStr">
        <is>
          <t>Радиальный</t>
        </is>
      </c>
    </row>
    <row r="75" ht="11.25" customHeight="1" s="236">
      <c r="A75" s="331" t="n">
        <v>74</v>
      </c>
      <c r="B75" s="331" t="inlineStr">
        <is>
          <t>Манометр технический</t>
        </is>
      </c>
      <c r="C75" s="331" t="inlineStr">
        <is>
          <t>ДМ02-100-1-G</t>
        </is>
      </c>
      <c r="D75" s="332" t="inlineStr">
        <is>
          <t>15283</t>
        </is>
      </c>
      <c r="E75" s="331" t="inlineStr"/>
      <c r="F75" s="331" t="inlineStr">
        <is>
          <t>0…10 bar</t>
        </is>
      </c>
      <c r="G75" s="331" t="inlineStr">
        <is>
          <t>1.5</t>
        </is>
      </c>
      <c r="H75" s="329" t="inlineStr">
        <is>
          <t>Трубная</t>
        </is>
      </c>
      <c r="I75" s="331" t="inlineStr">
        <is>
          <t>12</t>
        </is>
      </c>
      <c r="J75" s="331" t="inlineStr">
        <is>
          <t>3К22</t>
        </is>
      </c>
      <c r="K75" s="329" t="inlineStr">
        <is>
          <t>Радиальный</t>
        </is>
      </c>
    </row>
    <row r="76" ht="11.25" customHeight="1" s="236">
      <c r="A76" s="331" t="n">
        <v>75</v>
      </c>
      <c r="B76" s="331" t="inlineStr">
        <is>
          <t>Манометр технический</t>
        </is>
      </c>
      <c r="C76" s="331" t="inlineStr">
        <is>
          <t>ДМ02-100-1-М</t>
        </is>
      </c>
      <c r="D76" s="332" t="inlineStr">
        <is>
          <t>15282</t>
        </is>
      </c>
      <c r="E76" s="331" t="inlineStr"/>
      <c r="F76" s="331" t="inlineStr">
        <is>
          <t>0…10 кгс/см2</t>
        </is>
      </c>
      <c r="G76" s="331" t="inlineStr">
        <is>
          <t>1.5</t>
        </is>
      </c>
      <c r="H76" s="329" t="inlineStr">
        <is>
          <t>Метрическая</t>
        </is>
      </c>
      <c r="I76" s="331" t="inlineStr">
        <is>
          <t>12</t>
        </is>
      </c>
      <c r="J76" s="331" t="inlineStr">
        <is>
          <t>25ДЯУ</t>
        </is>
      </c>
      <c r="K76" s="329" t="inlineStr">
        <is>
          <t>Радиальный</t>
        </is>
      </c>
    </row>
    <row r="77" ht="11.25" customHeight="1" s="236">
      <c r="A77" s="331" t="n">
        <v>76</v>
      </c>
      <c r="B77" s="331" t="inlineStr">
        <is>
          <t>Манометр технический</t>
        </is>
      </c>
      <c r="C77" s="331" t="inlineStr">
        <is>
          <t>КМ2</t>
        </is>
      </c>
      <c r="D77" s="332" t="inlineStr">
        <is>
          <t>7000167</t>
        </is>
      </c>
      <c r="E77" s="331" t="inlineStr"/>
      <c r="F77" s="331" t="inlineStr">
        <is>
          <t>0…40 кПа</t>
        </is>
      </c>
      <c r="G77" s="331" t="inlineStr">
        <is>
          <t>1.5</t>
        </is>
      </c>
      <c r="H77" s="329" t="inlineStr">
        <is>
          <t>Метрическая</t>
        </is>
      </c>
      <c r="I77" s="331" t="inlineStr">
        <is>
          <t>12</t>
        </is>
      </c>
      <c r="J77" s="331" t="inlineStr">
        <is>
          <t>2К23</t>
        </is>
      </c>
      <c r="K77" s="329" t="inlineStr">
        <is>
          <t>Радиальный</t>
        </is>
      </c>
    </row>
    <row r="78" ht="11.25" customHeight="1" s="236">
      <c r="A78" s="331" t="n">
        <v>77</v>
      </c>
      <c r="B78" s="331" t="inlineStr">
        <is>
          <t>Манометр технический</t>
        </is>
      </c>
      <c r="C78" s="331" t="inlineStr">
        <is>
          <t>МТП-160</t>
        </is>
      </c>
      <c r="D78" s="332" t="inlineStr">
        <is>
          <t>455163</t>
        </is>
      </c>
      <c r="E78" s="331" t="inlineStr"/>
      <c r="F78" s="331" t="inlineStr">
        <is>
          <t>0…4 кгс/см2</t>
        </is>
      </c>
      <c r="G78" s="331" t="inlineStr">
        <is>
          <t>1.5</t>
        </is>
      </c>
      <c r="H78" s="329" t="inlineStr">
        <is>
          <t>Метрическая</t>
        </is>
      </c>
      <c r="I78" s="331" t="inlineStr">
        <is>
          <t>12</t>
        </is>
      </c>
      <c r="J78" s="331" t="inlineStr">
        <is>
          <t>3К24</t>
        </is>
      </c>
      <c r="K78" s="329" t="inlineStr">
        <is>
          <t>Радиальный</t>
        </is>
      </c>
    </row>
    <row r="79" ht="11.25" customHeight="1" s="236">
      <c r="A79" s="331" t="n">
        <v>78</v>
      </c>
      <c r="B79" s="331" t="inlineStr">
        <is>
          <t>Манометр технический</t>
        </is>
      </c>
      <c r="C79" s="331" t="inlineStr">
        <is>
          <t>МП4-У</t>
        </is>
      </c>
      <c r="D79" s="332" t="inlineStr">
        <is>
          <t>101</t>
        </is>
      </c>
      <c r="E79" s="331" t="inlineStr"/>
      <c r="F79" s="331" t="inlineStr">
        <is>
          <t>0…4 кгс/см2</t>
        </is>
      </c>
      <c r="G79" s="331" t="inlineStr">
        <is>
          <t>1</t>
        </is>
      </c>
      <c r="H79" s="329" t="inlineStr">
        <is>
          <t>Метрическая</t>
        </is>
      </c>
      <c r="I79" s="331" t="inlineStr">
        <is>
          <t>12</t>
        </is>
      </c>
      <c r="J79" s="331" t="inlineStr">
        <is>
          <t>23ДЯУ</t>
        </is>
      </c>
      <c r="K79" s="329" t="inlineStr">
        <is>
          <t>Радиальный</t>
        </is>
      </c>
    </row>
    <row r="80" ht="11.25" customHeight="1" s="236">
      <c r="A80" s="331" t="n">
        <v>79</v>
      </c>
      <c r="B80" s="331" t="inlineStr">
        <is>
          <t>Манометр технический</t>
        </is>
      </c>
      <c r="C80" s="331" t="inlineStr">
        <is>
          <t>МП4-УУ2</t>
        </is>
      </c>
      <c r="D80" s="332" t="inlineStr">
        <is>
          <t>30035</t>
        </is>
      </c>
      <c r="E80" s="331" t="inlineStr"/>
      <c r="F80" s="331" t="inlineStr">
        <is>
          <t>0…4 кгс/см2</t>
        </is>
      </c>
      <c r="G80" s="331" t="inlineStr">
        <is>
          <t>1.5</t>
        </is>
      </c>
      <c r="H80" s="329" t="inlineStr">
        <is>
          <t>Метрическая</t>
        </is>
      </c>
      <c r="I80" s="331" t="inlineStr">
        <is>
          <t>12</t>
        </is>
      </c>
      <c r="J80" s="331" t="inlineStr">
        <is>
          <t>22ДЯУ</t>
        </is>
      </c>
      <c r="K80" s="329" t="inlineStr">
        <is>
          <t>Радиальный</t>
        </is>
      </c>
    </row>
    <row r="81" ht="11.25" customHeight="1" s="236">
      <c r="A81" s="331" t="n">
        <v>80</v>
      </c>
      <c r="B81" s="331" t="inlineStr">
        <is>
          <t>Манометр технический</t>
        </is>
      </c>
      <c r="C81" s="331" t="inlineStr">
        <is>
          <t>МП4-УУ2</t>
        </is>
      </c>
      <c r="D81" s="332" t="inlineStr">
        <is>
          <t>30033</t>
        </is>
      </c>
      <c r="E81" s="331" t="inlineStr"/>
      <c r="F81" s="331" t="inlineStr">
        <is>
          <t>0…4 кгс/см2</t>
        </is>
      </c>
      <c r="G81" s="331" t="inlineStr">
        <is>
          <t>1.5</t>
        </is>
      </c>
      <c r="H81" s="329" t="inlineStr">
        <is>
          <t>Метрическая</t>
        </is>
      </c>
      <c r="I81" s="331" t="inlineStr">
        <is>
          <t>12</t>
        </is>
      </c>
      <c r="J81" s="331" t="inlineStr">
        <is>
          <t>22ДЯУ</t>
        </is>
      </c>
      <c r="K81" s="329" t="inlineStr">
        <is>
          <t>Радиальный</t>
        </is>
      </c>
    </row>
    <row r="82" ht="11.25" customHeight="1" s="236">
      <c r="A82" s="331" t="n">
        <v>81</v>
      </c>
      <c r="B82" s="331" t="inlineStr">
        <is>
          <t>Манометр технический</t>
        </is>
      </c>
      <c r="C82" s="331" t="inlineStr">
        <is>
          <t>МП4-УУ2</t>
        </is>
      </c>
      <c r="D82" s="332" t="inlineStr">
        <is>
          <t>15651</t>
        </is>
      </c>
      <c r="E82" s="331" t="inlineStr"/>
      <c r="F82" s="331" t="inlineStr">
        <is>
          <t>0…160 кгс/см2</t>
        </is>
      </c>
      <c r="G82" s="331" t="inlineStr">
        <is>
          <t>1.5</t>
        </is>
      </c>
      <c r="H82" s="329" t="inlineStr">
        <is>
          <t>Метрическая</t>
        </is>
      </c>
      <c r="I82" s="331" t="inlineStr">
        <is>
          <t>12</t>
        </is>
      </c>
      <c r="J82" s="331" t="inlineStr">
        <is>
          <t>25ДЯУ</t>
        </is>
      </c>
      <c r="K82" s="329" t="inlineStr">
        <is>
          <t>Радиальный</t>
        </is>
      </c>
    </row>
    <row r="83" ht="11.25" customHeight="1" s="236">
      <c r="A83" s="331" t="n">
        <v>82</v>
      </c>
      <c r="B83" s="331" t="inlineStr">
        <is>
          <t>Манометр технический</t>
        </is>
      </c>
      <c r="C83" s="331" t="inlineStr">
        <is>
          <t>МП4-УУ2</t>
        </is>
      </c>
      <c r="D83" s="332" t="inlineStr">
        <is>
          <t>15036</t>
        </is>
      </c>
      <c r="E83" s="331" t="inlineStr"/>
      <c r="F83" s="331" t="inlineStr">
        <is>
          <t>0…160 кгс/см2</t>
        </is>
      </c>
      <c r="G83" s="331" t="inlineStr">
        <is>
          <t>1.5</t>
        </is>
      </c>
      <c r="H83" s="329" t="inlineStr">
        <is>
          <t>Метрическая</t>
        </is>
      </c>
      <c r="I83" s="331" t="inlineStr">
        <is>
          <t>12</t>
        </is>
      </c>
      <c r="J83" s="331" t="inlineStr">
        <is>
          <t>24ДЯУ</t>
        </is>
      </c>
      <c r="K83" s="329" t="inlineStr">
        <is>
          <t>Радиальный</t>
        </is>
      </c>
    </row>
    <row r="84" ht="9.75" customFormat="1" customHeight="1" s="235">
      <c r="A84" s="331" t="n">
        <v>83</v>
      </c>
      <c r="B84" s="331" t="inlineStr">
        <is>
          <t>Манометр технический</t>
        </is>
      </c>
      <c r="C84" s="331" t="inlineStr">
        <is>
          <t>МП4-УУ2</t>
        </is>
      </c>
      <c r="D84" s="332" t="inlineStr">
        <is>
          <t>7000138</t>
        </is>
      </c>
      <c r="E84" s="331" t="inlineStr"/>
      <c r="F84" s="331" t="inlineStr">
        <is>
          <t>0..16 МПа</t>
        </is>
      </c>
      <c r="G84" s="331" t="inlineStr">
        <is>
          <t>1.5</t>
        </is>
      </c>
      <c r="H84" s="329" t="inlineStr">
        <is>
          <t>Метрическая</t>
        </is>
      </c>
      <c r="I84" s="331" t="inlineStr">
        <is>
          <t>12</t>
        </is>
      </c>
      <c r="J84" s="331" t="inlineStr">
        <is>
          <t>2К24</t>
        </is>
      </c>
      <c r="K84" s="333" t="inlineStr">
        <is>
          <t>Радиальный</t>
        </is>
      </c>
      <c r="L84" s="334" t="n"/>
      <c r="M84" s="263" t="n"/>
      <c r="N84" s="262" t="n"/>
    </row>
    <row r="85" ht="11.25" customHeight="1" s="236">
      <c r="A85" s="331" t="n">
        <v>84</v>
      </c>
      <c r="B85" s="331" t="inlineStr">
        <is>
          <t>Манометр технический</t>
        </is>
      </c>
      <c r="C85" s="331" t="inlineStr">
        <is>
          <t>МП4-УУ2</t>
        </is>
      </c>
      <c r="D85" s="332" t="inlineStr">
        <is>
          <t>15390</t>
        </is>
      </c>
      <c r="E85" s="331" t="inlineStr"/>
      <c r="F85" s="331" t="inlineStr">
        <is>
          <t>0…160 кгс/см2</t>
        </is>
      </c>
      <c r="G85" s="331" t="inlineStr">
        <is>
          <t>1.5</t>
        </is>
      </c>
      <c r="H85" s="329" t="inlineStr">
        <is>
          <t>Метрическая</t>
        </is>
      </c>
      <c r="I85" s="331" t="inlineStr">
        <is>
          <t>12</t>
        </is>
      </c>
      <c r="J85" s="331" t="inlineStr">
        <is>
          <t>25ДЯУ</t>
        </is>
      </c>
      <c r="K85" s="329" t="inlineStr">
        <is>
          <t>Радиальный</t>
        </is>
      </c>
    </row>
    <row r="86" ht="11.25" customHeight="1" s="236">
      <c r="A86" s="331" t="n">
        <v>85</v>
      </c>
      <c r="B86" s="331" t="inlineStr">
        <is>
          <t>Манометр технический</t>
        </is>
      </c>
      <c r="C86" s="331" t="inlineStr">
        <is>
          <t>МП4-УУ2</t>
        </is>
      </c>
      <c r="D86" s="332" t="inlineStr">
        <is>
          <t>5311</t>
        </is>
      </c>
      <c r="E86" s="331" t="inlineStr"/>
      <c r="F86" s="331" t="inlineStr">
        <is>
          <t>0…160 кгс/см2</t>
        </is>
      </c>
      <c r="G86" s="331" t="inlineStr">
        <is>
          <t>1.5</t>
        </is>
      </c>
      <c r="H86" s="329" t="inlineStr">
        <is>
          <t>Метрическая</t>
        </is>
      </c>
      <c r="I86" s="331" t="inlineStr">
        <is>
          <t>12</t>
        </is>
      </c>
      <c r="J86" s="331" t="inlineStr">
        <is>
          <t>25ДЯУ</t>
        </is>
      </c>
      <c r="K86" s="329" t="inlineStr">
        <is>
          <t>Радиальный</t>
        </is>
      </c>
    </row>
    <row r="87" ht="11.25" customHeight="1" s="236">
      <c r="A87" s="331" t="n">
        <v>86</v>
      </c>
      <c r="B87" s="331" t="inlineStr">
        <is>
          <t>Манометр технический</t>
        </is>
      </c>
      <c r="C87" s="331" t="inlineStr">
        <is>
          <t>МП4-УУ2</t>
        </is>
      </c>
      <c r="D87" s="332" t="inlineStr">
        <is>
          <t>15176</t>
        </is>
      </c>
      <c r="E87" s="331" t="inlineStr"/>
      <c r="F87" s="331" t="inlineStr">
        <is>
          <t>0…160 кгс/см2</t>
        </is>
      </c>
      <c r="G87" s="331" t="inlineStr">
        <is>
          <t>1.5</t>
        </is>
      </c>
      <c r="H87" s="329" t="inlineStr">
        <is>
          <t>Метрическая</t>
        </is>
      </c>
      <c r="I87" s="331" t="inlineStr">
        <is>
          <t>12</t>
        </is>
      </c>
      <c r="J87" s="331" t="inlineStr">
        <is>
          <t>25ДЯУ</t>
        </is>
      </c>
      <c r="K87" s="329" t="inlineStr">
        <is>
          <t>Радиальный</t>
        </is>
      </c>
    </row>
    <row r="88" ht="11.25" customHeight="1" s="236">
      <c r="A88" s="329">
        <f>IF(B88&lt;&gt;"", COUNTA($B$2:B88), "")</f>
        <v/>
      </c>
      <c r="B88" s="329" t="inlineStr">
        <is>
          <t>Манометр технический</t>
        </is>
      </c>
      <c r="C88" s="329" t="inlineStr">
        <is>
          <t>МП4-УУ2</t>
        </is>
      </c>
      <c r="D88" s="330" t="inlineStr">
        <is>
          <t> </t>
        </is>
      </c>
      <c r="E88" s="329" t="n"/>
      <c r="F88" s="329" t="inlineStr">
        <is>
          <t>0…160 кгс/см2</t>
        </is>
      </c>
      <c r="G88" s="329" t="n">
        <v>1.5</v>
      </c>
      <c r="H88" s="329" t="inlineStr">
        <is>
          <t>Метрическая</t>
        </is>
      </c>
      <c r="I88" s="329" t="n">
        <v>12</v>
      </c>
      <c r="J88" s="329" t="inlineStr">
        <is>
          <t>25ДЯУ</t>
        </is>
      </c>
      <c r="K88" s="329" t="inlineStr">
        <is>
          <t>Радиальный</t>
        </is>
      </c>
    </row>
    <row r="89" ht="11.25" customHeight="1" s="236">
      <c r="A89" s="331" t="n">
        <v>88</v>
      </c>
      <c r="B89" s="331" t="inlineStr">
        <is>
          <t>Манометр технический</t>
        </is>
      </c>
      <c r="C89" s="331" t="inlineStr">
        <is>
          <t>МП4-УУ2</t>
        </is>
      </c>
      <c r="D89" s="332" t="inlineStr">
        <is>
          <t>15407</t>
        </is>
      </c>
      <c r="E89" s="331" t="inlineStr"/>
      <c r="F89" s="331" t="inlineStr">
        <is>
          <t>0…160 кгс/см2</t>
        </is>
      </c>
      <c r="G89" s="331" t="inlineStr">
        <is>
          <t>1</t>
        </is>
      </c>
      <c r="H89" s="329" t="inlineStr">
        <is>
          <t>Метрическая</t>
        </is>
      </c>
      <c r="I89" s="331" t="inlineStr">
        <is>
          <t>12</t>
        </is>
      </c>
      <c r="J89" s="331" t="inlineStr">
        <is>
          <t>25ДЯУ</t>
        </is>
      </c>
      <c r="K89" s="329" t="inlineStr">
        <is>
          <t>Радиальный</t>
        </is>
      </c>
    </row>
    <row r="90" ht="11.25" customHeight="1" s="236">
      <c r="A90" s="331" t="n">
        <v>89</v>
      </c>
      <c r="B90" s="331" t="inlineStr">
        <is>
          <t>Манометр технический</t>
        </is>
      </c>
      <c r="C90" s="331" t="inlineStr">
        <is>
          <t>МП4-УУ2</t>
        </is>
      </c>
      <c r="D90" s="332" t="inlineStr">
        <is>
          <t>15311</t>
        </is>
      </c>
      <c r="E90" s="331" t="inlineStr"/>
      <c r="F90" s="331" t="inlineStr">
        <is>
          <t>0...0,6 кгс/см2</t>
        </is>
      </c>
      <c r="G90" s="331" t="inlineStr">
        <is>
          <t>1.5</t>
        </is>
      </c>
      <c r="H90" s="329" t="inlineStr">
        <is>
          <t>Метрическая</t>
        </is>
      </c>
      <c r="I90" s="331" t="inlineStr">
        <is>
          <t>12</t>
        </is>
      </c>
      <c r="J90" s="331" t="inlineStr">
        <is>
          <t>1К22</t>
        </is>
      </c>
      <c r="K90" s="329" t="inlineStr">
        <is>
          <t>Радиальный</t>
        </is>
      </c>
    </row>
    <row r="91" ht="11.25" customHeight="1" s="236">
      <c r="A91" s="331" t="n">
        <v>90</v>
      </c>
      <c r="B91" s="331" t="inlineStr">
        <is>
          <t>Манометр технический</t>
        </is>
      </c>
      <c r="C91" s="331" t="inlineStr">
        <is>
          <t>МП4-УУ2</t>
        </is>
      </c>
      <c r="D91" s="332" t="inlineStr">
        <is>
          <t>15658</t>
        </is>
      </c>
      <c r="E91" s="331" t="inlineStr"/>
      <c r="F91" s="331" t="inlineStr">
        <is>
          <t>0...160 кПа</t>
        </is>
      </c>
      <c r="G91" s="331" t="inlineStr">
        <is>
          <t>1.5</t>
        </is>
      </c>
      <c r="H91" s="329" t="inlineStr">
        <is>
          <t>Метрическая</t>
        </is>
      </c>
      <c r="I91" s="331" t="inlineStr">
        <is>
          <t>12</t>
        </is>
      </c>
      <c r="J91" s="331" t="inlineStr">
        <is>
          <t>25ДЯУ</t>
        </is>
      </c>
      <c r="K91" s="329" t="inlineStr">
        <is>
          <t>Радиальный</t>
        </is>
      </c>
    </row>
    <row r="92" ht="11.25" customHeight="1" s="236">
      <c r="A92" s="331" t="n">
        <v>91</v>
      </c>
      <c r="B92" s="331" t="inlineStr">
        <is>
          <t>Манометр технический</t>
        </is>
      </c>
      <c r="C92" s="331" t="inlineStr">
        <is>
          <t>МП4-УУ2</t>
        </is>
      </c>
      <c r="D92" s="332" t="inlineStr">
        <is>
          <t>40129</t>
        </is>
      </c>
      <c r="E92" s="331" t="inlineStr"/>
      <c r="F92" s="331" t="inlineStr">
        <is>
          <t>0…100 кгс/см2</t>
        </is>
      </c>
      <c r="G92" s="331" t="inlineStr">
        <is>
          <t>1.5</t>
        </is>
      </c>
      <c r="H92" s="329" t="inlineStr">
        <is>
          <t>Метрическая</t>
        </is>
      </c>
      <c r="I92" s="331" t="inlineStr">
        <is>
          <t>12</t>
        </is>
      </c>
      <c r="J92" s="331" t="inlineStr">
        <is>
          <t>25ДЯУ</t>
        </is>
      </c>
      <c r="K92" s="329" t="inlineStr">
        <is>
          <t>Радиальный</t>
        </is>
      </c>
    </row>
    <row r="93" ht="11.25" customHeight="1" s="236">
      <c r="A93" s="331" t="n">
        <v>92</v>
      </c>
      <c r="B93" s="331" t="inlineStr">
        <is>
          <t>Манометр технический</t>
        </is>
      </c>
      <c r="C93" s="331" t="inlineStr">
        <is>
          <t>МП4-УУ2</t>
        </is>
      </c>
      <c r="D93" s="332" t="inlineStr">
        <is>
          <t>212032338</t>
        </is>
      </c>
      <c r="E93" s="331" t="inlineStr"/>
      <c r="F93" s="331" t="inlineStr">
        <is>
          <t>0...16 МПа</t>
        </is>
      </c>
      <c r="G93" s="331" t="inlineStr">
        <is>
          <t>1.5</t>
        </is>
      </c>
      <c r="H93" s="329" t="inlineStr">
        <is>
          <t>Метрическая</t>
        </is>
      </c>
      <c r="I93" s="331" t="inlineStr">
        <is>
          <t>12</t>
        </is>
      </c>
      <c r="J93" s="331" t="inlineStr">
        <is>
          <t>25ДЯУ</t>
        </is>
      </c>
      <c r="K93" s="329" t="inlineStr">
        <is>
          <t>Радиальный</t>
        </is>
      </c>
    </row>
    <row r="94" ht="11.25" customHeight="1" s="236">
      <c r="A94" s="331" t="n">
        <v>93</v>
      </c>
      <c r="B94" s="331" t="inlineStr">
        <is>
          <t>Манометр технический</t>
        </is>
      </c>
      <c r="C94" s="331" t="inlineStr">
        <is>
          <t>МП4-У</t>
        </is>
      </c>
      <c r="D94" s="332" t="inlineStr">
        <is>
          <t>100</t>
        </is>
      </c>
      <c r="E94" s="331" t="inlineStr"/>
      <c r="F94" s="331" t="inlineStr">
        <is>
          <t>0…4 кгс/см2</t>
        </is>
      </c>
      <c r="G94" s="331" t="inlineStr">
        <is>
          <t>1</t>
        </is>
      </c>
      <c r="H94" s="329" t="inlineStr">
        <is>
          <t>Метрическая</t>
        </is>
      </c>
      <c r="I94" s="331" t="inlineStr">
        <is>
          <t>12</t>
        </is>
      </c>
      <c r="J94" s="331" t="inlineStr">
        <is>
          <t>отсутствует</t>
        </is>
      </c>
      <c r="K94" s="329" t="inlineStr">
        <is>
          <t>Радиальный</t>
        </is>
      </c>
    </row>
    <row r="95" ht="11.25" customHeight="1" s="236">
      <c r="A95" s="331" t="n">
        <v>94</v>
      </c>
      <c r="B95" s="331" t="inlineStr">
        <is>
          <t>Манометр технический</t>
        </is>
      </c>
      <c r="C95" s="331" t="inlineStr">
        <is>
          <t>МП4-У</t>
        </is>
      </c>
      <c r="D95" s="332" t="inlineStr">
        <is>
          <t>63</t>
        </is>
      </c>
      <c r="E95" s="331" t="inlineStr"/>
      <c r="F95" s="331" t="inlineStr">
        <is>
          <t>0…4 кгс/см2</t>
        </is>
      </c>
      <c r="G95" s="331" t="inlineStr">
        <is>
          <t>1</t>
        </is>
      </c>
      <c r="H95" s="329" t="inlineStr">
        <is>
          <t>Метрическая</t>
        </is>
      </c>
      <c r="I95" s="331" t="inlineStr">
        <is>
          <t>12</t>
        </is>
      </c>
      <c r="J95" s="331" t="inlineStr">
        <is>
          <t>2К23</t>
        </is>
      </c>
      <c r="K95" s="329" t="inlineStr">
        <is>
          <t>Радиальный</t>
        </is>
      </c>
    </row>
    <row r="96" ht="11.25" customHeight="1" s="236">
      <c r="A96" s="331" t="n">
        <v>95</v>
      </c>
      <c r="B96" s="331" t="inlineStr">
        <is>
          <t>Манометр технический</t>
        </is>
      </c>
      <c r="C96" s="331" t="inlineStr">
        <is>
          <t>МП3-УУ2</t>
        </is>
      </c>
      <c r="D96" s="332" t="inlineStr">
        <is>
          <t>15649</t>
        </is>
      </c>
      <c r="E96" s="331" t="inlineStr"/>
      <c r="F96" s="331" t="inlineStr">
        <is>
          <t>0...16 МПа</t>
        </is>
      </c>
      <c r="G96" s="331" t="inlineStr">
        <is>
          <t>1.5</t>
        </is>
      </c>
      <c r="H96" s="329" t="inlineStr">
        <is>
          <t>Метрическая</t>
        </is>
      </c>
      <c r="I96" s="331" t="inlineStr">
        <is>
          <t>12</t>
        </is>
      </c>
      <c r="J96" s="331" t="inlineStr">
        <is>
          <t>1К24</t>
        </is>
      </c>
      <c r="K96" s="329" t="inlineStr">
        <is>
          <t>Радиальный</t>
        </is>
      </c>
    </row>
    <row r="97" ht="11.25" customHeight="1" s="236">
      <c r="A97" s="331" t="n">
        <v>96</v>
      </c>
      <c r="B97" s="331" t="inlineStr">
        <is>
          <t>Манометр технический</t>
        </is>
      </c>
      <c r="C97" s="331" t="inlineStr">
        <is>
          <t>МП4-УУ2</t>
        </is>
      </c>
      <c r="D97" s="332" t="inlineStr">
        <is>
          <t>1870798</t>
        </is>
      </c>
      <c r="E97" s="331" t="inlineStr"/>
      <c r="F97" s="331" t="inlineStr">
        <is>
          <t>0...10 МПа</t>
        </is>
      </c>
      <c r="G97" s="331" t="inlineStr">
        <is>
          <t>1</t>
        </is>
      </c>
      <c r="H97" s="329" t="inlineStr">
        <is>
          <t>Метрическая</t>
        </is>
      </c>
      <c r="I97" s="331" t="inlineStr">
        <is>
          <t>12</t>
        </is>
      </c>
      <c r="J97" s="331" t="inlineStr">
        <is>
          <t>отсутствует</t>
        </is>
      </c>
      <c r="K97" s="329" t="inlineStr">
        <is>
          <t>Радиальный</t>
        </is>
      </c>
    </row>
    <row r="98" ht="11.25" customHeight="1" s="236">
      <c r="A98" s="331" t="n">
        <v>97</v>
      </c>
      <c r="B98" s="331" t="inlineStr">
        <is>
          <t>Манометр технический</t>
        </is>
      </c>
      <c r="C98" s="331" t="inlineStr">
        <is>
          <t>МП4-УУ2</t>
        </is>
      </c>
      <c r="D98" s="332" t="inlineStr">
        <is>
          <t>15281</t>
        </is>
      </c>
      <c r="E98" s="331" t="inlineStr"/>
      <c r="F98" s="331" t="inlineStr">
        <is>
          <t>0…16 кгс/см2</t>
        </is>
      </c>
      <c r="G98" s="331" t="inlineStr">
        <is>
          <t>1.5</t>
        </is>
      </c>
      <c r="H98" s="329" t="inlineStr">
        <is>
          <t>Метрическая</t>
        </is>
      </c>
      <c r="I98" s="331" t="inlineStr">
        <is>
          <t>12</t>
        </is>
      </c>
      <c r="J98" s="331" t="inlineStr">
        <is>
          <t>1К25</t>
        </is>
      </c>
      <c r="K98" s="329" t="inlineStr">
        <is>
          <t>Радиальный Ушастый</t>
        </is>
      </c>
    </row>
    <row r="99" ht="11.25" customHeight="1" s="236">
      <c r="A99" s="331" t="n">
        <v>98</v>
      </c>
      <c r="B99" s="331" t="inlineStr">
        <is>
          <t>Манометр технический</t>
        </is>
      </c>
      <c r="C99" s="331" t="inlineStr">
        <is>
          <t>МП4-УУ2</t>
        </is>
      </c>
      <c r="D99" s="332" t="inlineStr">
        <is>
          <t>15288</t>
        </is>
      </c>
      <c r="E99" s="331" t="inlineStr"/>
      <c r="F99" s="331" t="inlineStr">
        <is>
          <t>0…16 кгс/см2</t>
        </is>
      </c>
      <c r="G99" s="331" t="inlineStr">
        <is>
          <t>1.5</t>
        </is>
      </c>
      <c r="H99" s="329" t="inlineStr">
        <is>
          <t>Метрическая</t>
        </is>
      </c>
      <c r="I99" s="331" t="inlineStr">
        <is>
          <t>12</t>
        </is>
      </c>
      <c r="J99" s="331" t="inlineStr">
        <is>
          <t>1К25</t>
        </is>
      </c>
      <c r="K99" s="329" t="inlineStr">
        <is>
          <t>Радиальный Ушастый</t>
        </is>
      </c>
    </row>
    <row r="100" ht="11.25" customHeight="1" s="236">
      <c r="A100" s="331" t="n">
        <v>99</v>
      </c>
      <c r="B100" s="331" t="inlineStr">
        <is>
          <t>Манометр технический</t>
        </is>
      </c>
      <c r="C100" s="331" t="inlineStr">
        <is>
          <t>МП4-УУ2</t>
        </is>
      </c>
      <c r="D100" s="332" t="inlineStr">
        <is>
          <t>212032725</t>
        </is>
      </c>
      <c r="E100" s="331" t="inlineStr"/>
      <c r="F100" s="331" t="inlineStr">
        <is>
          <t>0...10 МПа</t>
        </is>
      </c>
      <c r="G100" s="331" t="inlineStr">
        <is>
          <t>1</t>
        </is>
      </c>
      <c r="H100" s="329" t="inlineStr">
        <is>
          <t>Метрическая</t>
        </is>
      </c>
      <c r="I100" s="331" t="inlineStr">
        <is>
          <t>12</t>
        </is>
      </c>
      <c r="J100" s="331" t="inlineStr">
        <is>
          <t>1К24</t>
        </is>
      </c>
      <c r="K100" s="329" t="inlineStr">
        <is>
          <t>Радиальный</t>
        </is>
      </c>
    </row>
    <row r="101" ht="11.25" customHeight="1" s="236">
      <c r="A101" s="331" t="n">
        <v>100</v>
      </c>
      <c r="B101" s="331" t="inlineStr">
        <is>
          <t>Манометр технический</t>
        </is>
      </c>
      <c r="C101" s="331" t="inlineStr">
        <is>
          <t>ВП4-УУ2</t>
        </is>
      </c>
      <c r="D101" s="332" t="inlineStr">
        <is>
          <t>15415</t>
        </is>
      </c>
      <c r="E101" s="331" t="inlineStr"/>
      <c r="F101" s="331" t="inlineStr">
        <is>
          <t>-0,6…0 кгс/см2</t>
        </is>
      </c>
      <c r="G101" s="331" t="inlineStr">
        <is>
          <t>1.5</t>
        </is>
      </c>
      <c r="H101" s="329" t="inlineStr">
        <is>
          <t>Метрическая</t>
        </is>
      </c>
      <c r="I101" s="331" t="inlineStr">
        <is>
          <t>12</t>
        </is>
      </c>
      <c r="J101" s="331" t="inlineStr">
        <is>
          <t>1К25</t>
        </is>
      </c>
      <c r="K101" s="329" t="inlineStr">
        <is>
          <t>Радиальный</t>
        </is>
      </c>
    </row>
    <row r="102" ht="11.25" customHeight="1" s="236">
      <c r="A102" s="331" t="n">
        <v>101</v>
      </c>
      <c r="B102" s="331" t="inlineStr">
        <is>
          <t>Манометр технический</t>
        </is>
      </c>
      <c r="C102" s="331" t="inlineStr">
        <is>
          <t>МВП4-УУ2</t>
        </is>
      </c>
      <c r="D102" s="332" t="inlineStr">
        <is>
          <t>15318</t>
        </is>
      </c>
      <c r="E102" s="331" t="inlineStr"/>
      <c r="F102" s="331" t="inlineStr">
        <is>
          <t>-1…1,5 кгс/см2</t>
        </is>
      </c>
      <c r="G102" s="331" t="inlineStr">
        <is>
          <t>1.5</t>
        </is>
      </c>
      <c r="H102" s="329" t="inlineStr">
        <is>
          <t>Метрическая</t>
        </is>
      </c>
      <c r="I102" s="331" t="inlineStr">
        <is>
          <t>12</t>
        </is>
      </c>
      <c r="J102" s="331" t="inlineStr">
        <is>
          <t>1К25</t>
        </is>
      </c>
      <c r="K102" s="329" t="inlineStr">
        <is>
          <t>Радиальный</t>
        </is>
      </c>
    </row>
    <row r="103" ht="11.25" customHeight="1" s="236">
      <c r="A103" s="331" t="n">
        <v>102</v>
      </c>
      <c r="B103" s="331" t="inlineStr">
        <is>
          <t>Манометр технический</t>
        </is>
      </c>
      <c r="C103" s="331" t="inlineStr">
        <is>
          <t>МП4-УфБСУХЛ1</t>
        </is>
      </c>
      <c r="D103" s="332" t="inlineStr">
        <is>
          <t>А0810410</t>
        </is>
      </c>
      <c r="E103" s="331" t="inlineStr"/>
      <c r="F103" s="331" t="inlineStr">
        <is>
          <t>0…100 кПа</t>
        </is>
      </c>
      <c r="G103" s="331" t="inlineStr">
        <is>
          <t>1</t>
        </is>
      </c>
      <c r="H103" s="329" t="inlineStr">
        <is>
          <t>Метрическая</t>
        </is>
      </c>
      <c r="I103" s="331" t="inlineStr">
        <is>
          <t>12</t>
        </is>
      </c>
      <c r="J103" s="331" t="inlineStr">
        <is>
          <t>2К24</t>
        </is>
      </c>
      <c r="K103" s="329" t="inlineStr">
        <is>
          <t>Радиальный</t>
        </is>
      </c>
    </row>
    <row r="104" ht="11.25" customHeight="1" s="236">
      <c r="A104" s="331" t="n">
        <v>103</v>
      </c>
      <c r="B104" s="331" t="inlineStr">
        <is>
          <t>Манометр технический</t>
        </is>
      </c>
      <c r="C104" s="331" t="inlineStr">
        <is>
          <t>ТМ6</t>
        </is>
      </c>
      <c r="D104" s="332" t="inlineStr">
        <is>
          <t>15505</t>
        </is>
      </c>
      <c r="E104" s="331" t="inlineStr"/>
      <c r="F104" s="331" t="inlineStr">
        <is>
          <t>0…160 кгс/см2</t>
        </is>
      </c>
      <c r="G104" s="331" t="inlineStr">
        <is>
          <t>1.5</t>
        </is>
      </c>
      <c r="H104" s="329" t="inlineStr">
        <is>
          <t>Метрическая</t>
        </is>
      </c>
      <c r="I104" s="331" t="inlineStr">
        <is>
          <t>12</t>
        </is>
      </c>
      <c r="J104" s="331" t="inlineStr">
        <is>
          <t>25ДЯУ</t>
        </is>
      </c>
      <c r="K104" s="329" t="inlineStr">
        <is>
          <t>Радиальный</t>
        </is>
      </c>
    </row>
    <row r="105" ht="11.25" customHeight="1" s="236">
      <c r="A105" s="331" t="n">
        <v>104</v>
      </c>
      <c r="B105" s="331" t="inlineStr">
        <is>
          <t>Манометр технический</t>
        </is>
      </c>
      <c r="C105" s="331" t="inlineStr">
        <is>
          <t>МП4-УУХЛ1</t>
        </is>
      </c>
      <c r="D105" s="332" t="inlineStr">
        <is>
          <t>20125880</t>
        </is>
      </c>
      <c r="E105" s="331" t="inlineStr"/>
      <c r="F105" s="331" t="inlineStr">
        <is>
          <t>0…600 кПа</t>
        </is>
      </c>
      <c r="G105" s="331" t="inlineStr">
        <is>
          <t>1</t>
        </is>
      </c>
      <c r="H105" s="329" t="inlineStr">
        <is>
          <t>Метрическая</t>
        </is>
      </c>
      <c r="I105" s="331" t="inlineStr">
        <is>
          <t>12</t>
        </is>
      </c>
      <c r="J105" s="331" t="inlineStr">
        <is>
          <t>2К24</t>
        </is>
      </c>
      <c r="K105" s="329" t="inlineStr">
        <is>
          <t>Радиальный</t>
        </is>
      </c>
    </row>
    <row r="106" ht="11.25" customHeight="1" s="236">
      <c r="A106" s="331" t="n">
        <v>105</v>
      </c>
      <c r="B106" s="331" t="inlineStr">
        <is>
          <t>Манометр технический</t>
        </is>
      </c>
      <c r="C106" s="331" t="inlineStr">
        <is>
          <t>МП4-УУ2</t>
        </is>
      </c>
      <c r="D106" s="332" t="inlineStr">
        <is>
          <t>700047</t>
        </is>
      </c>
      <c r="E106" s="331" t="inlineStr"/>
      <c r="F106" s="331" t="inlineStr"/>
      <c r="G106" s="331" t="inlineStr">
        <is>
          <t>1.5</t>
        </is>
      </c>
      <c r="H106" s="329" t="inlineStr">
        <is>
          <t>Метрическая</t>
        </is>
      </c>
      <c r="I106" s="331" t="inlineStr">
        <is>
          <t>12</t>
        </is>
      </c>
      <c r="J106" s="331" t="inlineStr">
        <is>
          <t>отсутствует</t>
        </is>
      </c>
      <c r="K106" s="329" t="inlineStr">
        <is>
          <t>Радиальный Ушастый</t>
        </is>
      </c>
    </row>
    <row r="107" ht="11.25" customHeight="1" s="236">
      <c r="A107" s="331" t="n">
        <v>106</v>
      </c>
      <c r="B107" s="331" t="inlineStr">
        <is>
          <t>Манометр технический</t>
        </is>
      </c>
      <c r="C107" s="331" t="inlineStr">
        <is>
          <t>МП3-УУ1</t>
        </is>
      </c>
      <c r="D107" s="332" t="inlineStr">
        <is>
          <t>700001</t>
        </is>
      </c>
      <c r="E107" s="331" t="inlineStr"/>
      <c r="F107" s="331" t="inlineStr">
        <is>
          <t>0...16 МПа</t>
        </is>
      </c>
      <c r="G107" s="331" t="inlineStr">
        <is>
          <t>1.5</t>
        </is>
      </c>
      <c r="H107" s="329" t="inlineStr">
        <is>
          <t>Метрическая</t>
        </is>
      </c>
      <c r="I107" s="331" t="inlineStr">
        <is>
          <t>12</t>
        </is>
      </c>
      <c r="J107" s="331" t="inlineStr">
        <is>
          <t>25ДЯУ</t>
        </is>
      </c>
      <c r="K107" s="329" t="inlineStr">
        <is>
          <t>Радиальный</t>
        </is>
      </c>
    </row>
    <row r="108" ht="11.25" customHeight="1" s="236">
      <c r="A108" s="331" t="n">
        <v>107</v>
      </c>
      <c r="B108" s="331" t="inlineStr">
        <is>
          <t>Манометр технический</t>
        </is>
      </c>
      <c r="C108" s="331" t="inlineStr">
        <is>
          <t>МП4-УУ2</t>
        </is>
      </c>
      <c r="D108" s="332" t="inlineStr">
        <is>
          <t>15659</t>
        </is>
      </c>
      <c r="E108" s="331" t="inlineStr"/>
      <c r="F108" s="331" t="inlineStr">
        <is>
          <t>0…160 кПа</t>
        </is>
      </c>
      <c r="G108" s="331" t="inlineStr">
        <is>
          <t>1.5</t>
        </is>
      </c>
      <c r="H108" s="329" t="inlineStr">
        <is>
          <t>Метрическая</t>
        </is>
      </c>
      <c r="I108" s="331" t="inlineStr">
        <is>
          <t>12</t>
        </is>
      </c>
      <c r="J108" s="331" t="inlineStr">
        <is>
          <t>25ДЯУ</t>
        </is>
      </c>
      <c r="K108" s="329" t="inlineStr">
        <is>
          <t>Радиальный</t>
        </is>
      </c>
    </row>
    <row r="109" ht="11.25" customHeight="1" s="236">
      <c r="A109" s="331" t="n">
        <v>108</v>
      </c>
      <c r="B109" s="331" t="inlineStr">
        <is>
          <t>Манометр технический</t>
        </is>
      </c>
      <c r="C109" s="331" t="inlineStr">
        <is>
          <t>МП3-УУ2</t>
        </is>
      </c>
      <c r="D109" s="332" t="inlineStr">
        <is>
          <t>75550</t>
        </is>
      </c>
      <c r="E109" s="331" t="inlineStr"/>
      <c r="F109" s="331" t="inlineStr">
        <is>
          <t>0...16 МПа</t>
        </is>
      </c>
      <c r="G109" s="331" t="inlineStr">
        <is>
          <t>1.5</t>
        </is>
      </c>
      <c r="H109" s="329" t="inlineStr">
        <is>
          <t>Метрическая</t>
        </is>
      </c>
      <c r="I109" s="331" t="inlineStr">
        <is>
          <t>12</t>
        </is>
      </c>
      <c r="J109" s="331" t="inlineStr">
        <is>
          <t>25ДЯУ</t>
        </is>
      </c>
      <c r="K109" s="329" t="inlineStr">
        <is>
          <t>Радиальный</t>
        </is>
      </c>
    </row>
    <row r="110" ht="11.25" customHeight="1" s="236">
      <c r="A110" s="331" t="n">
        <v>109</v>
      </c>
      <c r="B110" s="331" t="inlineStr">
        <is>
          <t>Манометр технический</t>
        </is>
      </c>
      <c r="C110" s="331" t="inlineStr">
        <is>
          <t>КМ2</t>
        </is>
      </c>
      <c r="D110" s="332" t="inlineStr">
        <is>
          <t>7000166</t>
        </is>
      </c>
      <c r="E110" s="331" t="inlineStr"/>
      <c r="F110" s="331" t="inlineStr">
        <is>
          <t>0…40 кПа</t>
        </is>
      </c>
      <c r="G110" s="331" t="inlineStr">
        <is>
          <t>1.5</t>
        </is>
      </c>
      <c r="H110" s="329" t="inlineStr">
        <is>
          <t>Метрическая</t>
        </is>
      </c>
      <c r="I110" s="331" t="inlineStr">
        <is>
          <t>12</t>
        </is>
      </c>
      <c r="J110" s="331" t="inlineStr">
        <is>
          <t>1К23</t>
        </is>
      </c>
      <c r="K110" s="329" t="inlineStr">
        <is>
          <t>Радиальный</t>
        </is>
      </c>
    </row>
    <row r="111" ht="11.25" customHeight="1" s="236">
      <c r="A111" s="331" t="n">
        <v>110</v>
      </c>
      <c r="B111" s="331" t="inlineStr">
        <is>
          <t>Манометр технический</t>
        </is>
      </c>
      <c r="C111" s="331" t="inlineStr">
        <is>
          <t>МП3-УУ2</t>
        </is>
      </c>
      <c r="D111" s="332" t="inlineStr">
        <is>
          <t>600281</t>
        </is>
      </c>
      <c r="E111" s="331" t="inlineStr"/>
      <c r="F111" s="331" t="inlineStr">
        <is>
          <t>0…16 кгс/см2</t>
        </is>
      </c>
      <c r="G111" s="331" t="inlineStr">
        <is>
          <t>1.5</t>
        </is>
      </c>
      <c r="H111" s="329" t="inlineStr">
        <is>
          <t>Метрическая</t>
        </is>
      </c>
      <c r="I111" s="331" t="inlineStr">
        <is>
          <t>12</t>
        </is>
      </c>
      <c r="J111" s="331" t="inlineStr">
        <is>
          <t>2К24</t>
        </is>
      </c>
      <c r="K111" s="329" t="inlineStr">
        <is>
          <t>Радиальный</t>
        </is>
      </c>
    </row>
    <row r="112" ht="11.25" customHeight="1" s="236">
      <c r="A112" s="331" t="n">
        <v>111</v>
      </c>
      <c r="B112" s="331" t="inlineStr">
        <is>
          <t>Манометр технический</t>
        </is>
      </c>
      <c r="C112" s="331" t="inlineStr">
        <is>
          <t>МП4-УУ2</t>
        </is>
      </c>
      <c r="D112" s="332" t="inlineStr">
        <is>
          <t>40074</t>
        </is>
      </c>
      <c r="E112" s="331" t="inlineStr">
        <is>
          <t>2008</t>
        </is>
      </c>
      <c r="F112" s="331" t="inlineStr">
        <is>
          <t>0…6 кгс/см2</t>
        </is>
      </c>
      <c r="G112" s="331" t="inlineStr">
        <is>
          <t>1.5</t>
        </is>
      </c>
      <c r="H112" s="329" t="inlineStr">
        <is>
          <t>Метрическая</t>
        </is>
      </c>
      <c r="I112" s="331" t="inlineStr">
        <is>
          <t>12</t>
        </is>
      </c>
      <c r="J112" s="331" t="inlineStr">
        <is>
          <t>25ДЯУ</t>
        </is>
      </c>
      <c r="K112" s="329" t="inlineStr">
        <is>
          <t>Радиальный</t>
        </is>
      </c>
    </row>
    <row r="113" ht="11.25" customHeight="1" s="236">
      <c r="A113" s="331" t="n">
        <v>112</v>
      </c>
      <c r="B113" s="331" t="inlineStr">
        <is>
          <t>Манометр технический</t>
        </is>
      </c>
      <c r="C113" s="331" t="inlineStr">
        <is>
          <t>МП4-УУ2</t>
        </is>
      </c>
      <c r="D113" s="332" t="inlineStr">
        <is>
          <t>15313</t>
        </is>
      </c>
      <c r="E113" s="331" t="inlineStr"/>
      <c r="F113" s="331" t="inlineStr">
        <is>
          <t>0…160 кгс/см2</t>
        </is>
      </c>
      <c r="G113" s="331" t="inlineStr">
        <is>
          <t>1.5</t>
        </is>
      </c>
      <c r="H113" s="329" t="inlineStr">
        <is>
          <t>Метрическая</t>
        </is>
      </c>
      <c r="I113" s="331" t="inlineStr">
        <is>
          <t>12</t>
        </is>
      </c>
      <c r="J113" s="331" t="inlineStr">
        <is>
          <t>2К25</t>
        </is>
      </c>
      <c r="K113" s="329" t="inlineStr">
        <is>
          <t>Радиальный</t>
        </is>
      </c>
    </row>
    <row r="114" ht="11.25" customHeight="1" s="236">
      <c r="A114" s="331" t="n">
        <v>113</v>
      </c>
      <c r="B114" s="331" t="inlineStr">
        <is>
          <t>Манометр технический</t>
        </is>
      </c>
      <c r="C114" s="331" t="inlineStr">
        <is>
          <t>МП4-УУ2</t>
        </is>
      </c>
      <c r="D114" s="332" t="inlineStr">
        <is>
          <t>15507</t>
        </is>
      </c>
      <c r="E114" s="331" t="inlineStr"/>
      <c r="F114" s="331" t="inlineStr">
        <is>
          <t>0…160 кгс/см2</t>
        </is>
      </c>
      <c r="G114" s="331" t="inlineStr">
        <is>
          <t>1.5</t>
        </is>
      </c>
      <c r="H114" s="329" t="inlineStr">
        <is>
          <t>Метрическая</t>
        </is>
      </c>
      <c r="I114" s="331" t="inlineStr">
        <is>
          <t>12</t>
        </is>
      </c>
      <c r="J114" s="331" t="inlineStr">
        <is>
          <t>24ДЯУ</t>
        </is>
      </c>
      <c r="K114" s="329" t="inlineStr">
        <is>
          <t>Радиальный</t>
        </is>
      </c>
    </row>
    <row r="115" ht="11.25" customHeight="1" s="236">
      <c r="A115" s="331" t="n">
        <v>114</v>
      </c>
      <c r="B115" s="331" t="inlineStr">
        <is>
          <t>Манометр технический</t>
        </is>
      </c>
      <c r="C115" s="331" t="inlineStr">
        <is>
          <t>МП4-УфБСУХЛ1</t>
        </is>
      </c>
      <c r="D115" s="332" t="inlineStr">
        <is>
          <t>312452</t>
        </is>
      </c>
      <c r="E115" s="331" t="inlineStr"/>
      <c r="F115" s="331" t="inlineStr">
        <is>
          <t>0...16 МПа</t>
        </is>
      </c>
      <c r="G115" s="331" t="inlineStr">
        <is>
          <t>1</t>
        </is>
      </c>
      <c r="H115" s="329" t="inlineStr">
        <is>
          <t>Метрическая</t>
        </is>
      </c>
      <c r="I115" s="331" t="inlineStr">
        <is>
          <t>12</t>
        </is>
      </c>
      <c r="J115" s="331" t="inlineStr">
        <is>
          <t>24ДЯУ</t>
        </is>
      </c>
      <c r="K115" s="329" t="inlineStr">
        <is>
          <t>Радиальный</t>
        </is>
      </c>
    </row>
    <row r="116" ht="11.25" customHeight="1" s="236">
      <c r="A116" s="331" t="n">
        <v>115</v>
      </c>
      <c r="B116" s="331" t="inlineStr">
        <is>
          <t>Манометр технический</t>
        </is>
      </c>
      <c r="C116" s="331" t="inlineStr">
        <is>
          <t>МП4-УУ2</t>
        </is>
      </c>
      <c r="D116" s="332" t="inlineStr">
        <is>
          <t>15307</t>
        </is>
      </c>
      <c r="E116" s="331" t="inlineStr"/>
      <c r="F116" s="331" t="inlineStr">
        <is>
          <t>0…160 кгс/см2</t>
        </is>
      </c>
      <c r="G116" s="331" t="inlineStr">
        <is>
          <t>1</t>
        </is>
      </c>
      <c r="H116" s="329" t="inlineStr">
        <is>
          <t>Метрическая</t>
        </is>
      </c>
      <c r="I116" s="331" t="inlineStr">
        <is>
          <t>12</t>
        </is>
      </c>
      <c r="J116" s="331" t="inlineStr">
        <is>
          <t>отсутствует</t>
        </is>
      </c>
      <c r="K116" s="329" t="inlineStr">
        <is>
          <t>Радиальный</t>
        </is>
      </c>
    </row>
    <row r="117" ht="11.25" customHeight="1" s="236">
      <c r="A117" s="331" t="n">
        <v>116</v>
      </c>
      <c r="B117" s="331" t="inlineStr">
        <is>
          <t>Манометр технический</t>
        </is>
      </c>
      <c r="C117" s="331" t="inlineStr">
        <is>
          <t>МП3-УУХЛ1</t>
        </is>
      </c>
      <c r="D117" s="332" t="inlineStr">
        <is>
          <t>7000188</t>
        </is>
      </c>
      <c r="E117" s="331" t="inlineStr"/>
      <c r="F117" s="331" t="inlineStr">
        <is>
          <t>0…10 МПа</t>
        </is>
      </c>
      <c r="G117" s="331" t="inlineStr">
        <is>
          <t>1</t>
        </is>
      </c>
      <c r="H117" s="329" t="inlineStr">
        <is>
          <t>Метрическая</t>
        </is>
      </c>
      <c r="I117" s="331" t="inlineStr">
        <is>
          <t>12</t>
        </is>
      </c>
      <c r="J117" s="331" t="inlineStr">
        <is>
          <t>23ДЯУ</t>
        </is>
      </c>
      <c r="K117" s="329" t="inlineStr">
        <is>
          <t>Радиальный</t>
        </is>
      </c>
    </row>
    <row r="118" ht="11.25" customHeight="1" s="236">
      <c r="A118" s="331" t="n">
        <v>117</v>
      </c>
      <c r="B118" s="331" t="inlineStr">
        <is>
          <t>Манометр технический</t>
        </is>
      </c>
      <c r="C118" s="331" t="inlineStr">
        <is>
          <t>МП4-УУ2</t>
        </is>
      </c>
      <c r="D118" s="332" t="inlineStr">
        <is>
          <t>15134</t>
        </is>
      </c>
      <c r="E118" s="331" t="inlineStr"/>
      <c r="F118" s="331" t="inlineStr">
        <is>
          <t>0…160 кгс/см2</t>
        </is>
      </c>
      <c r="G118" s="331" t="inlineStr">
        <is>
          <t>1.5</t>
        </is>
      </c>
      <c r="H118" s="329" t="inlineStr">
        <is>
          <t>Метрическая</t>
        </is>
      </c>
      <c r="I118" s="331" t="inlineStr">
        <is>
          <t>12</t>
        </is>
      </c>
      <c r="J118" s="331" t="inlineStr">
        <is>
          <t>отсутствует</t>
        </is>
      </c>
      <c r="K118" s="329" t="inlineStr">
        <is>
          <t>Радиальный</t>
        </is>
      </c>
    </row>
    <row r="119" ht="11.25" customHeight="1" s="236">
      <c r="A119" s="331" t="n">
        <v>118</v>
      </c>
      <c r="B119" s="331" t="inlineStr">
        <is>
          <t>Манометр технический</t>
        </is>
      </c>
      <c r="C119" s="331" t="inlineStr">
        <is>
          <t>МП4-УУ2</t>
        </is>
      </c>
      <c r="D119" s="332" t="inlineStr">
        <is>
          <t>15326</t>
        </is>
      </c>
      <c r="E119" s="331" t="inlineStr"/>
      <c r="F119" s="331" t="inlineStr">
        <is>
          <t>0…160 кгс/см2</t>
        </is>
      </c>
      <c r="G119" s="331" t="inlineStr">
        <is>
          <t>1</t>
        </is>
      </c>
      <c r="H119" s="329" t="inlineStr">
        <is>
          <t>Метрическая</t>
        </is>
      </c>
      <c r="I119" s="331" t="inlineStr">
        <is>
          <t>12</t>
        </is>
      </c>
      <c r="J119" s="331" t="inlineStr">
        <is>
          <t>отсутствует</t>
        </is>
      </c>
      <c r="K119" s="329" t="inlineStr">
        <is>
          <t>Радиальный</t>
        </is>
      </c>
    </row>
    <row r="120" ht="11.25" customHeight="1" s="236">
      <c r="A120" s="331" t="n">
        <v>119</v>
      </c>
      <c r="B120" s="331" t="inlineStr">
        <is>
          <t>Манометр технический</t>
        </is>
      </c>
      <c r="C120" s="331" t="inlineStr">
        <is>
          <t>МП4-УУ2</t>
        </is>
      </c>
      <c r="D120" s="332" t="inlineStr">
        <is>
          <t>15576</t>
        </is>
      </c>
      <c r="E120" s="331" t="inlineStr"/>
      <c r="F120" s="331" t="inlineStr">
        <is>
          <t>0…0,6 кгс/см2</t>
        </is>
      </c>
      <c r="G120" s="331" t="inlineStr">
        <is>
          <t>1.5</t>
        </is>
      </c>
      <c r="H120" s="329" t="inlineStr">
        <is>
          <t>Метрическая</t>
        </is>
      </c>
      <c r="I120" s="331" t="inlineStr">
        <is>
          <t>12</t>
        </is>
      </c>
      <c r="J120" s="331" t="inlineStr">
        <is>
          <t>отсутствует</t>
        </is>
      </c>
      <c r="K120" s="329" t="inlineStr">
        <is>
          <t>Радиальный</t>
        </is>
      </c>
    </row>
    <row r="121" ht="11.25" customHeight="1" s="236">
      <c r="A121" s="331" t="n">
        <v>120</v>
      </c>
      <c r="B121" s="331" t="inlineStr">
        <is>
          <t>Манометр технический</t>
        </is>
      </c>
      <c r="C121" s="331" t="inlineStr">
        <is>
          <t>МП4-УУ2</t>
        </is>
      </c>
      <c r="D121" s="332" t="inlineStr">
        <is>
          <t>15087а</t>
        </is>
      </c>
      <c r="E121" s="331" t="inlineStr"/>
      <c r="F121" s="331" t="inlineStr">
        <is>
          <t>0…160 кгс/см2</t>
        </is>
      </c>
      <c r="G121" s="331" t="inlineStr">
        <is>
          <t>1.5</t>
        </is>
      </c>
      <c r="H121" s="329" t="inlineStr">
        <is>
          <t>Метрическая</t>
        </is>
      </c>
      <c r="I121" s="331" t="inlineStr">
        <is>
          <t>12</t>
        </is>
      </c>
      <c r="J121" s="331" t="inlineStr">
        <is>
          <t>отсутствует</t>
        </is>
      </c>
      <c r="K121" s="329" t="inlineStr">
        <is>
          <t>Радиальный</t>
        </is>
      </c>
    </row>
    <row r="122" ht="11.25" customHeight="1" s="236">
      <c r="A122" s="331" t="n">
        <v>121</v>
      </c>
      <c r="B122" s="331" t="inlineStr">
        <is>
          <t>Манометр технический</t>
        </is>
      </c>
      <c r="C122" s="331" t="inlineStr">
        <is>
          <t>МП4-УУ2</t>
        </is>
      </c>
      <c r="D122" s="332" t="inlineStr">
        <is>
          <t>6205</t>
        </is>
      </c>
      <c r="E122" s="331" t="inlineStr"/>
      <c r="F122" s="331" t="inlineStr">
        <is>
          <t>0…6 кгс/см2</t>
        </is>
      </c>
      <c r="G122" s="331" t="inlineStr">
        <is>
          <t>1.5</t>
        </is>
      </c>
      <c r="H122" s="329" t="inlineStr">
        <is>
          <t>Метрическая</t>
        </is>
      </c>
      <c r="I122" s="331" t="inlineStr">
        <is>
          <t>12</t>
        </is>
      </c>
      <c r="J122" s="331" t="inlineStr">
        <is>
          <t>1К24</t>
        </is>
      </c>
      <c r="K122" s="329" t="inlineStr">
        <is>
          <t>Радиальный</t>
        </is>
      </c>
    </row>
    <row r="123" ht="11.25" customHeight="1" s="236">
      <c r="A123" s="331" t="n">
        <v>122</v>
      </c>
      <c r="B123" s="331" t="inlineStr">
        <is>
          <t>Манометр технический</t>
        </is>
      </c>
      <c r="C123" s="331" t="inlineStr">
        <is>
          <t>МП4-УУ2</t>
        </is>
      </c>
      <c r="D123" s="332" t="inlineStr">
        <is>
          <t>7000122</t>
        </is>
      </c>
      <c r="E123" s="331" t="inlineStr"/>
      <c r="F123" s="331" t="inlineStr">
        <is>
          <t>0…16 МПа</t>
        </is>
      </c>
      <c r="G123" s="331" t="inlineStr">
        <is>
          <t>1.5</t>
        </is>
      </c>
      <c r="H123" s="329" t="inlineStr">
        <is>
          <t>Метрическая</t>
        </is>
      </c>
      <c r="I123" s="331" t="inlineStr">
        <is>
          <t>12</t>
        </is>
      </c>
      <c r="J123" s="331" t="inlineStr">
        <is>
          <t>3К24</t>
        </is>
      </c>
      <c r="K123" s="329" t="inlineStr">
        <is>
          <t>Радиальный</t>
        </is>
      </c>
    </row>
    <row r="124" ht="11.25" customHeight="1" s="236">
      <c r="A124" s="331" t="n">
        <v>123</v>
      </c>
      <c r="B124" s="331" t="inlineStr">
        <is>
          <t>Манометр технический</t>
        </is>
      </c>
      <c r="C124" s="331" t="inlineStr">
        <is>
          <t>МП4-УУ2</t>
        </is>
      </c>
      <c r="D124" s="332" t="inlineStr">
        <is>
          <t>700035</t>
        </is>
      </c>
      <c r="E124" s="331" t="inlineStr"/>
      <c r="F124" s="331" t="inlineStr">
        <is>
          <t>0…16 МПа</t>
        </is>
      </c>
      <c r="G124" s="331" t="inlineStr">
        <is>
          <t>1</t>
        </is>
      </c>
      <c r="H124" s="329" t="inlineStr">
        <is>
          <t>Метрическая</t>
        </is>
      </c>
      <c r="I124" s="331" t="inlineStr">
        <is>
          <t>12</t>
        </is>
      </c>
      <c r="J124" s="331" t="inlineStr">
        <is>
          <t>2К24</t>
        </is>
      </c>
      <c r="K124" s="329" t="inlineStr">
        <is>
          <t>Радиальный</t>
        </is>
      </c>
    </row>
    <row r="125" ht="11.25" customHeight="1" s="236">
      <c r="A125" s="331" t="n">
        <v>124</v>
      </c>
      <c r="B125" s="331" t="inlineStr">
        <is>
          <t>Манометр технический</t>
        </is>
      </c>
      <c r="C125" s="331" t="inlineStr">
        <is>
          <t>МП4-УУ2</t>
        </is>
      </c>
      <c r="D125" s="332" t="inlineStr">
        <is>
          <t>700021</t>
        </is>
      </c>
      <c r="E125" s="331" t="inlineStr"/>
      <c r="F125" s="331" t="inlineStr">
        <is>
          <t>0…16 МПа</t>
        </is>
      </c>
      <c r="G125" s="331" t="inlineStr">
        <is>
          <t>1</t>
        </is>
      </c>
      <c r="H125" s="329" t="inlineStr">
        <is>
          <t>Метрическая</t>
        </is>
      </c>
      <c r="I125" s="331" t="inlineStr">
        <is>
          <t>12</t>
        </is>
      </c>
      <c r="J125" s="331" t="inlineStr">
        <is>
          <t>2К24</t>
        </is>
      </c>
      <c r="K125" s="329" t="inlineStr">
        <is>
          <t>Радиальный</t>
        </is>
      </c>
    </row>
    <row r="126" ht="11.25" customHeight="1" s="236">
      <c r="A126" s="331" t="n">
        <v>125</v>
      </c>
      <c r="B126" s="331" t="inlineStr">
        <is>
          <t>Манометр технический</t>
        </is>
      </c>
      <c r="C126" s="331" t="inlineStr">
        <is>
          <t>МП4-УУ2</t>
        </is>
      </c>
      <c r="D126" s="332" t="inlineStr">
        <is>
          <t>700022</t>
        </is>
      </c>
      <c r="E126" s="331" t="inlineStr"/>
      <c r="F126" s="331" t="inlineStr">
        <is>
          <t>0…16 МПа</t>
        </is>
      </c>
      <c r="G126" s="331" t="inlineStr">
        <is>
          <t>1</t>
        </is>
      </c>
      <c r="H126" s="329" t="inlineStr">
        <is>
          <t>Метрическая</t>
        </is>
      </c>
      <c r="I126" s="331" t="inlineStr">
        <is>
          <t>12</t>
        </is>
      </c>
      <c r="J126" s="331" t="inlineStr">
        <is>
          <t>23ДЯУ</t>
        </is>
      </c>
      <c r="K126" s="329" t="inlineStr">
        <is>
          <t>Радиальный</t>
        </is>
      </c>
    </row>
    <row r="127" ht="11.25" customHeight="1" s="236">
      <c r="A127" s="331" t="n">
        <v>126</v>
      </c>
      <c r="B127" s="331" t="inlineStr">
        <is>
          <t>Манометр технический</t>
        </is>
      </c>
      <c r="C127" s="331" t="inlineStr">
        <is>
          <t>МП4-УУ2</t>
        </is>
      </c>
      <c r="D127" s="332" t="inlineStr">
        <is>
          <t>80396</t>
        </is>
      </c>
      <c r="E127" s="331" t="inlineStr"/>
      <c r="F127" s="331" t="inlineStr">
        <is>
          <t>0…160 кгс/см2</t>
        </is>
      </c>
      <c r="G127" s="331" t="inlineStr">
        <is>
          <t>1.5</t>
        </is>
      </c>
      <c r="H127" s="329" t="inlineStr">
        <is>
          <t>Метрическая</t>
        </is>
      </c>
      <c r="I127" s="331" t="inlineStr">
        <is>
          <t>12</t>
        </is>
      </c>
      <c r="J127" s="331" t="inlineStr">
        <is>
          <t>отсутствует</t>
        </is>
      </c>
      <c r="K127" s="329" t="inlineStr">
        <is>
          <t>Радиальный</t>
        </is>
      </c>
    </row>
    <row r="128" ht="11.25" customHeight="1" s="236">
      <c r="A128" s="331" t="n">
        <v>127</v>
      </c>
      <c r="B128" s="331" t="inlineStr">
        <is>
          <t>Манометр технический</t>
        </is>
      </c>
      <c r="C128" s="331" t="inlineStr">
        <is>
          <t>МП4-УУ2</t>
        </is>
      </c>
      <c r="D128" s="332" t="inlineStr">
        <is>
          <t>7000281</t>
        </is>
      </c>
      <c r="E128" s="331" t="inlineStr"/>
      <c r="F128" s="331" t="inlineStr">
        <is>
          <t>0…16 МПа</t>
        </is>
      </c>
      <c r="G128" s="331" t="inlineStr">
        <is>
          <t>1</t>
        </is>
      </c>
      <c r="H128" s="329" t="inlineStr">
        <is>
          <t>Метрическая</t>
        </is>
      </c>
      <c r="I128" s="331" t="inlineStr">
        <is>
          <t>12</t>
        </is>
      </c>
      <c r="J128" s="331" t="inlineStr">
        <is>
          <t>2К23</t>
        </is>
      </c>
      <c r="K128" s="329" t="inlineStr">
        <is>
          <t>Радиальный</t>
        </is>
      </c>
    </row>
    <row r="129" ht="11.25" customHeight="1" s="236">
      <c r="A129" s="331" t="n">
        <v>128</v>
      </c>
      <c r="B129" s="331" t="inlineStr">
        <is>
          <t>Манометр технический</t>
        </is>
      </c>
      <c r="C129" s="331" t="inlineStr">
        <is>
          <t>МП4-УУ2</t>
        </is>
      </c>
      <c r="D129" s="332" t="inlineStr">
        <is>
          <t>15379</t>
        </is>
      </c>
      <c r="E129" s="331" t="inlineStr"/>
      <c r="F129" s="331" t="inlineStr">
        <is>
          <t>0…160 кгс/см2</t>
        </is>
      </c>
      <c r="G129" s="331" t="inlineStr">
        <is>
          <t>1.5</t>
        </is>
      </c>
      <c r="H129" s="329" t="inlineStr">
        <is>
          <t>Метрическая</t>
        </is>
      </c>
      <c r="I129" s="331" t="inlineStr">
        <is>
          <t>12</t>
        </is>
      </c>
      <c r="J129" s="331" t="inlineStr">
        <is>
          <t>24ДЯУ</t>
        </is>
      </c>
      <c r="K129" s="329" t="inlineStr">
        <is>
          <t>Радиальный</t>
        </is>
      </c>
    </row>
    <row r="130" ht="11.25" customHeight="1" s="236">
      <c r="A130" s="331" t="n">
        <v>129</v>
      </c>
      <c r="B130" s="331" t="inlineStr">
        <is>
          <t>Манометр технический</t>
        </is>
      </c>
      <c r="C130" s="331" t="inlineStr">
        <is>
          <t>МП4-УУ2</t>
        </is>
      </c>
      <c r="D130" s="332" t="inlineStr">
        <is>
          <t>700061</t>
        </is>
      </c>
      <c r="E130" s="331" t="inlineStr"/>
      <c r="F130" s="331" t="inlineStr">
        <is>
          <t>0…600 кПа</t>
        </is>
      </c>
      <c r="G130" s="331" t="inlineStr">
        <is>
          <t>1.5</t>
        </is>
      </c>
      <c r="H130" s="329" t="inlineStr">
        <is>
          <t>Метрическая</t>
        </is>
      </c>
      <c r="I130" s="331" t="inlineStr">
        <is>
          <t>12</t>
        </is>
      </c>
      <c r="J130" s="331" t="inlineStr">
        <is>
          <t>отсутствует</t>
        </is>
      </c>
      <c r="K130" s="329" t="inlineStr">
        <is>
          <t>Радиальный</t>
        </is>
      </c>
    </row>
    <row r="131" ht="11.25" customHeight="1" s="236">
      <c r="A131" s="331" t="n">
        <v>130</v>
      </c>
      <c r="B131" s="331" t="inlineStr">
        <is>
          <t>Манометр технический</t>
        </is>
      </c>
      <c r="C131" s="331" t="inlineStr">
        <is>
          <t>МП4-УУХЛ1</t>
        </is>
      </c>
      <c r="D131" s="332" t="inlineStr">
        <is>
          <t>700087</t>
        </is>
      </c>
      <c r="E131" s="331" t="inlineStr"/>
      <c r="F131" s="331" t="inlineStr">
        <is>
          <t>0…16 МПа</t>
        </is>
      </c>
      <c r="G131" s="331" t="inlineStr">
        <is>
          <t>1</t>
        </is>
      </c>
      <c r="H131" s="329" t="inlineStr">
        <is>
          <t>Метрическая</t>
        </is>
      </c>
      <c r="I131" s="331" t="inlineStr">
        <is>
          <t>12</t>
        </is>
      </c>
      <c r="J131" s="331" t="inlineStr">
        <is>
          <t>24ДЯУ</t>
        </is>
      </c>
      <c r="K131" s="329" t="inlineStr">
        <is>
          <t>Радиальный</t>
        </is>
      </c>
    </row>
    <row r="132" ht="11.25" customHeight="1" s="236">
      <c r="A132" s="331" t="n">
        <v>131</v>
      </c>
      <c r="B132" s="331" t="inlineStr">
        <is>
          <t>Манометр технический</t>
        </is>
      </c>
      <c r="C132" s="331" t="inlineStr">
        <is>
          <t>МП4-УУ2</t>
        </is>
      </c>
      <c r="D132" s="332" t="inlineStr">
        <is>
          <t>211228069</t>
        </is>
      </c>
      <c r="E132" s="331" t="inlineStr"/>
      <c r="F132" s="331" t="inlineStr">
        <is>
          <t>0…1,6 МПа</t>
        </is>
      </c>
      <c r="G132" s="331" t="inlineStr">
        <is>
          <t>1</t>
        </is>
      </c>
      <c r="H132" s="329" t="inlineStr">
        <is>
          <t>Метрическая</t>
        </is>
      </c>
      <c r="I132" s="331" t="inlineStr">
        <is>
          <t>12</t>
        </is>
      </c>
      <c r="J132" s="331" t="inlineStr">
        <is>
          <t>24ДЯУ</t>
        </is>
      </c>
      <c r="K132" s="329" t="inlineStr">
        <is>
          <t>Радиальный</t>
        </is>
      </c>
    </row>
    <row r="133" ht="11.25" customHeight="1" s="236">
      <c r="A133" s="331" t="n">
        <v>132</v>
      </c>
      <c r="B133" s="331" t="inlineStr">
        <is>
          <t>Манометр технический</t>
        </is>
      </c>
      <c r="C133" s="331" t="inlineStr">
        <is>
          <t>МП4-УУХЛ1</t>
        </is>
      </c>
      <c r="D133" s="332" t="inlineStr">
        <is>
          <t>700083</t>
        </is>
      </c>
      <c r="E133" s="331" t="inlineStr"/>
      <c r="F133" s="331" t="inlineStr">
        <is>
          <t>0…160 кПа</t>
        </is>
      </c>
      <c r="G133" s="331" t="inlineStr">
        <is>
          <t>1</t>
        </is>
      </c>
      <c r="H133" s="329" t="inlineStr">
        <is>
          <t>Метрическая</t>
        </is>
      </c>
      <c r="I133" s="331" t="inlineStr">
        <is>
          <t>12</t>
        </is>
      </c>
      <c r="J133" s="331" t="inlineStr">
        <is>
          <t>2К23</t>
        </is>
      </c>
      <c r="K133" s="329" t="inlineStr">
        <is>
          <t>Радиальный</t>
        </is>
      </c>
    </row>
    <row r="134" ht="11.25" customHeight="1" s="236">
      <c r="A134" s="331" t="n">
        <v>133</v>
      </c>
      <c r="B134" s="331" t="inlineStr">
        <is>
          <t>Манометр технический</t>
        </is>
      </c>
      <c r="C134" s="331" t="inlineStr">
        <is>
          <t>МП4-УУХЛ1</t>
        </is>
      </c>
      <c r="D134" s="332" t="inlineStr">
        <is>
          <t>7000176</t>
        </is>
      </c>
      <c r="E134" s="331" t="inlineStr"/>
      <c r="F134" s="331" t="inlineStr">
        <is>
          <t>0…10 МПа</t>
        </is>
      </c>
      <c r="G134" s="331" t="inlineStr">
        <is>
          <t>1</t>
        </is>
      </c>
      <c r="H134" s="329" t="inlineStr">
        <is>
          <t>Метрическая</t>
        </is>
      </c>
      <c r="I134" s="331" t="inlineStr">
        <is>
          <t>12</t>
        </is>
      </c>
      <c r="J134" s="331" t="inlineStr">
        <is>
          <t>23ДЯУ</t>
        </is>
      </c>
      <c r="K134" s="329" t="inlineStr">
        <is>
          <t>Радиальный</t>
        </is>
      </c>
    </row>
    <row r="135" ht="11.25" customHeight="1" s="236">
      <c r="A135" s="331" t="n">
        <v>134</v>
      </c>
      <c r="B135" s="331" t="inlineStr">
        <is>
          <t>Манометр технический</t>
        </is>
      </c>
      <c r="C135" s="331" t="inlineStr">
        <is>
          <t>МП4-УУХЛ1</t>
        </is>
      </c>
      <c r="D135" s="332" t="inlineStr">
        <is>
          <t>20125864</t>
        </is>
      </c>
      <c r="E135" s="331" t="inlineStr"/>
      <c r="F135" s="331" t="inlineStr">
        <is>
          <t>0…600 кПа</t>
        </is>
      </c>
      <c r="G135" s="331" t="inlineStr">
        <is>
          <t>1</t>
        </is>
      </c>
      <c r="H135" s="329" t="inlineStr">
        <is>
          <t>Метрическая</t>
        </is>
      </c>
      <c r="I135" s="331" t="inlineStr">
        <is>
          <t>12</t>
        </is>
      </c>
      <c r="J135" s="331" t="inlineStr">
        <is>
          <t>2К23</t>
        </is>
      </c>
      <c r="K135" s="329" t="inlineStr">
        <is>
          <t>Радиальный</t>
        </is>
      </c>
    </row>
    <row r="136" ht="11.25" customHeight="1" s="236">
      <c r="A136" s="331" t="n">
        <v>135</v>
      </c>
      <c r="B136" s="331" t="inlineStr">
        <is>
          <t>Манометр технический</t>
        </is>
      </c>
      <c r="C136" s="331" t="inlineStr">
        <is>
          <t>МП4-УУ2</t>
        </is>
      </c>
      <c r="D136" s="332" t="inlineStr">
        <is>
          <t>700292</t>
        </is>
      </c>
      <c r="E136" s="331" t="inlineStr"/>
      <c r="F136" s="331" t="inlineStr">
        <is>
          <t>0…160 кгс/см2</t>
        </is>
      </c>
      <c r="G136" s="331" t="inlineStr">
        <is>
          <t>1</t>
        </is>
      </c>
      <c r="H136" s="329" t="inlineStr">
        <is>
          <t>Метрическая</t>
        </is>
      </c>
      <c r="I136" s="331" t="inlineStr">
        <is>
          <t>12</t>
        </is>
      </c>
      <c r="J136" s="331" t="inlineStr">
        <is>
          <t>2К24</t>
        </is>
      </c>
      <c r="K136" s="329" t="inlineStr">
        <is>
          <t>Радиальный</t>
        </is>
      </c>
    </row>
    <row r="137" ht="11.25" customHeight="1" s="236">
      <c r="A137" s="331" t="n">
        <v>136</v>
      </c>
      <c r="B137" s="331" t="inlineStr">
        <is>
          <t>Манометр технический</t>
        </is>
      </c>
      <c r="C137" s="331" t="inlineStr">
        <is>
          <t>МП4-УУ2</t>
        </is>
      </c>
      <c r="D137" s="332" t="inlineStr">
        <is>
          <t>15577</t>
        </is>
      </c>
      <c r="E137" s="331" t="inlineStr"/>
      <c r="F137" s="331" t="inlineStr">
        <is>
          <t>0…0,6 кгс/см2</t>
        </is>
      </c>
      <c r="G137" s="331" t="inlineStr">
        <is>
          <t>1.5</t>
        </is>
      </c>
      <c r="H137" s="329" t="inlineStr">
        <is>
          <t>Метрическая</t>
        </is>
      </c>
      <c r="I137" s="331" t="inlineStr">
        <is>
          <t>12</t>
        </is>
      </c>
      <c r="J137" s="331" t="inlineStr">
        <is>
          <t>отсутствует</t>
        </is>
      </c>
      <c r="K137" s="329" t="inlineStr">
        <is>
          <t>Радиальный</t>
        </is>
      </c>
    </row>
    <row r="138" ht="11.25" customHeight="1" s="236">
      <c r="A138" s="331" t="n">
        <v>137</v>
      </c>
      <c r="B138" s="331" t="inlineStr">
        <is>
          <t>Манометр технический</t>
        </is>
      </c>
      <c r="C138" s="331" t="inlineStr">
        <is>
          <t>МП4-УУ2</t>
        </is>
      </c>
      <c r="D138" s="332" t="inlineStr">
        <is>
          <t>15558</t>
        </is>
      </c>
      <c r="E138" s="331" t="inlineStr"/>
      <c r="F138" s="331" t="inlineStr">
        <is>
          <t>0…0,6 кгс/см2</t>
        </is>
      </c>
      <c r="G138" s="331" t="inlineStr">
        <is>
          <t>1.5</t>
        </is>
      </c>
      <c r="H138" s="329" t="inlineStr">
        <is>
          <t>Метрическая</t>
        </is>
      </c>
      <c r="I138" s="331" t="inlineStr">
        <is>
          <t>12</t>
        </is>
      </c>
      <c r="J138" s="331" t="inlineStr">
        <is>
          <t>отсутствует</t>
        </is>
      </c>
      <c r="K138" s="329" t="inlineStr">
        <is>
          <t>Радиальный</t>
        </is>
      </c>
    </row>
    <row r="139" ht="11.25" customHeight="1" s="236">
      <c r="A139" s="331" t="n">
        <v>138</v>
      </c>
      <c r="B139" s="331" t="inlineStr">
        <is>
          <t>Манометр технический</t>
        </is>
      </c>
      <c r="C139" s="331" t="inlineStr">
        <is>
          <t>МП4-УУ2</t>
        </is>
      </c>
      <c r="D139" s="332" t="inlineStr">
        <is>
          <t>700028</t>
        </is>
      </c>
      <c r="E139" s="331" t="inlineStr"/>
      <c r="F139" s="331" t="inlineStr">
        <is>
          <t>0…16 МПа</t>
        </is>
      </c>
      <c r="G139" s="331" t="inlineStr">
        <is>
          <t>1</t>
        </is>
      </c>
      <c r="H139" s="329" t="inlineStr">
        <is>
          <t>Метрическая</t>
        </is>
      </c>
      <c r="I139" s="331" t="inlineStr">
        <is>
          <t>12</t>
        </is>
      </c>
      <c r="J139" s="331" t="inlineStr">
        <is>
          <t>1К23</t>
        </is>
      </c>
      <c r="K139" s="329" t="inlineStr">
        <is>
          <t>Радиальный</t>
        </is>
      </c>
    </row>
    <row r="140" ht="11.25" customHeight="1" s="236">
      <c r="A140" s="331" t="n">
        <v>139</v>
      </c>
      <c r="B140" s="331" t="inlineStr">
        <is>
          <t>Манометр технический</t>
        </is>
      </c>
      <c r="C140" s="331" t="inlineStr">
        <is>
          <t>МП4-УУ2</t>
        </is>
      </c>
      <c r="D140" s="332" t="inlineStr">
        <is>
          <t>7000305</t>
        </is>
      </c>
      <c r="E140" s="331" t="inlineStr"/>
      <c r="F140" s="331" t="inlineStr">
        <is>
          <t>0…16 МПа</t>
        </is>
      </c>
      <c r="G140" s="331" t="inlineStr">
        <is>
          <t>1</t>
        </is>
      </c>
      <c r="H140" s="329" t="inlineStr">
        <is>
          <t>Метрическая</t>
        </is>
      </c>
      <c r="I140" s="331" t="inlineStr">
        <is>
          <t>12</t>
        </is>
      </c>
      <c r="J140" s="331" t="inlineStr">
        <is>
          <t>2К24</t>
        </is>
      </c>
      <c r="K140" s="329" t="inlineStr">
        <is>
          <t>Радиальный</t>
        </is>
      </c>
    </row>
    <row r="141" ht="11.25" customHeight="1" s="236">
      <c r="A141" s="331" t="n">
        <v>140</v>
      </c>
      <c r="B141" s="331" t="inlineStr">
        <is>
          <t>Манометр технический</t>
        </is>
      </c>
      <c r="C141" s="331" t="inlineStr">
        <is>
          <t>МП4-УУ2</t>
        </is>
      </c>
      <c r="D141" s="332" t="inlineStr">
        <is>
          <t>700062</t>
        </is>
      </c>
      <c r="E141" s="331" t="inlineStr"/>
      <c r="F141" s="331" t="inlineStr">
        <is>
          <t>0…600 кПа</t>
        </is>
      </c>
      <c r="G141" s="331" t="inlineStr">
        <is>
          <t>1.5</t>
        </is>
      </c>
      <c r="H141" s="329" t="inlineStr">
        <is>
          <t>Метрическая</t>
        </is>
      </c>
      <c r="I141" s="331" t="inlineStr">
        <is>
          <t>12</t>
        </is>
      </c>
      <c r="J141" s="331" t="inlineStr">
        <is>
          <t>2К24</t>
        </is>
      </c>
      <c r="K141" s="329" t="inlineStr">
        <is>
          <t>Радиальный</t>
        </is>
      </c>
    </row>
    <row r="142" ht="11.25" customHeight="1" s="236">
      <c r="A142" s="331" t="n">
        <v>141</v>
      </c>
      <c r="B142" s="331" t="inlineStr">
        <is>
          <t>Манометр технический</t>
        </is>
      </c>
      <c r="C142" s="331" t="inlineStr">
        <is>
          <t>МП4-УУ2</t>
        </is>
      </c>
      <c r="D142" s="332" t="inlineStr">
        <is>
          <t>13913</t>
        </is>
      </c>
      <c r="E142" s="331" t="inlineStr"/>
      <c r="F142" s="331" t="inlineStr">
        <is>
          <t>0…6 кгс/см2</t>
        </is>
      </c>
      <c r="G142" s="331" t="inlineStr">
        <is>
          <t>1</t>
        </is>
      </c>
      <c r="H142" s="329" t="inlineStr">
        <is>
          <t>Метрическая</t>
        </is>
      </c>
      <c r="I142" s="331" t="inlineStr">
        <is>
          <t>12</t>
        </is>
      </c>
      <c r="J142" s="331" t="inlineStr">
        <is>
          <t>отсутствует</t>
        </is>
      </c>
      <c r="K142" s="329" t="inlineStr">
        <is>
          <t>Радиальный</t>
        </is>
      </c>
    </row>
    <row r="143" ht="11.25" customHeight="1" s="236">
      <c r="A143" s="331" t="n">
        <v>142</v>
      </c>
      <c r="B143" s="331" t="inlineStr">
        <is>
          <t>Манометр технический</t>
        </is>
      </c>
      <c r="C143" s="331" t="inlineStr">
        <is>
          <t>МП4-УфБСУХЛ1</t>
        </is>
      </c>
      <c r="D143" s="332" t="inlineStr">
        <is>
          <t>А0810157</t>
        </is>
      </c>
      <c r="E143" s="331" t="inlineStr"/>
      <c r="F143" s="331" t="inlineStr">
        <is>
          <t>0…100 кПа</t>
        </is>
      </c>
      <c r="G143" s="331" t="inlineStr">
        <is>
          <t>1</t>
        </is>
      </c>
      <c r="H143" s="329" t="inlineStr">
        <is>
          <t>Метрическая</t>
        </is>
      </c>
      <c r="I143" s="331" t="inlineStr">
        <is>
          <t>12</t>
        </is>
      </c>
      <c r="J143" s="331" t="inlineStr">
        <is>
          <t>отсутствует</t>
        </is>
      </c>
      <c r="K143" s="329" t="inlineStr">
        <is>
          <t>Радиальный</t>
        </is>
      </c>
    </row>
    <row r="144" ht="11.25" customHeight="1" s="236">
      <c r="A144" s="331" t="n">
        <v>143</v>
      </c>
      <c r="B144" s="331" t="inlineStr">
        <is>
          <t>Манометр технический</t>
        </is>
      </c>
      <c r="C144" s="331" t="inlineStr">
        <is>
          <t>МП4-УУ2</t>
        </is>
      </c>
      <c r="D144" s="332" t="inlineStr">
        <is>
          <t>212032687</t>
        </is>
      </c>
      <c r="E144" s="331" t="inlineStr"/>
      <c r="F144" s="331" t="inlineStr">
        <is>
          <t>0…10 МПа</t>
        </is>
      </c>
      <c r="G144" s="331" t="inlineStr">
        <is>
          <t>1</t>
        </is>
      </c>
      <c r="H144" s="329" t="inlineStr">
        <is>
          <t>Метрическая</t>
        </is>
      </c>
      <c r="I144" s="331" t="inlineStr">
        <is>
          <t>12</t>
        </is>
      </c>
      <c r="J144" s="331" t="inlineStr">
        <is>
          <t>24ДЯУ</t>
        </is>
      </c>
      <c r="K144" s="329" t="inlineStr">
        <is>
          <t>Радиальный</t>
        </is>
      </c>
    </row>
    <row r="145" ht="11.25" customHeight="1" s="236">
      <c r="A145" s="331" t="n">
        <v>144</v>
      </c>
      <c r="B145" s="331" t="inlineStr">
        <is>
          <t>Манометр технический</t>
        </is>
      </c>
      <c r="C145" s="331" t="inlineStr">
        <is>
          <t>МП4-УУ2</t>
        </is>
      </c>
      <c r="D145" s="332" t="inlineStr">
        <is>
          <t>14615</t>
        </is>
      </c>
      <c r="E145" s="331" t="inlineStr"/>
      <c r="F145" s="331" t="inlineStr">
        <is>
          <t>0…16 МПа</t>
        </is>
      </c>
      <c r="G145" s="331" t="inlineStr">
        <is>
          <t>1</t>
        </is>
      </c>
      <c r="H145" s="329" t="inlineStr">
        <is>
          <t>Метрическая</t>
        </is>
      </c>
      <c r="I145" s="331" t="inlineStr">
        <is>
          <t>12</t>
        </is>
      </c>
      <c r="J145" s="331" t="inlineStr">
        <is>
          <t>1К24</t>
        </is>
      </c>
      <c r="K145" s="329" t="inlineStr">
        <is>
          <t>Радиальный</t>
        </is>
      </c>
    </row>
    <row r="146" ht="11.25" customHeight="1" s="236">
      <c r="A146" s="331" t="n">
        <v>145</v>
      </c>
      <c r="B146" s="331" t="inlineStr">
        <is>
          <t>Манометр технический</t>
        </is>
      </c>
      <c r="C146" s="331" t="inlineStr">
        <is>
          <t>МП4-УУ2</t>
        </is>
      </c>
      <c r="D146" s="332" t="inlineStr">
        <is>
          <t>50502</t>
        </is>
      </c>
      <c r="E146" s="331" t="inlineStr">
        <is>
          <t>1996</t>
        </is>
      </c>
      <c r="F146" s="331" t="inlineStr">
        <is>
          <t>0…1,6 кгс/см2</t>
        </is>
      </c>
      <c r="G146" s="331" t="inlineStr">
        <is>
          <t>1.5</t>
        </is>
      </c>
      <c r="H146" s="329" t="inlineStr">
        <is>
          <t>Метрическая</t>
        </is>
      </c>
      <c r="I146" s="331" t="inlineStr">
        <is>
          <t>12</t>
        </is>
      </c>
      <c r="J146" s="331" t="inlineStr">
        <is>
          <t>2К24</t>
        </is>
      </c>
      <c r="K146" s="329" t="inlineStr">
        <is>
          <t>Радиальный</t>
        </is>
      </c>
    </row>
    <row r="147" ht="11.25" customHeight="1" s="236">
      <c r="A147" s="331" t="n">
        <v>146</v>
      </c>
      <c r="B147" s="331" t="inlineStr">
        <is>
          <t>Манометр технический</t>
        </is>
      </c>
      <c r="C147" s="331" t="inlineStr">
        <is>
          <t>МП4-УУ2</t>
        </is>
      </c>
      <c r="D147" s="332" t="inlineStr">
        <is>
          <t>700037</t>
        </is>
      </c>
      <c r="E147" s="331" t="inlineStr"/>
      <c r="F147" s="331" t="inlineStr">
        <is>
          <t>0…16 МПа</t>
        </is>
      </c>
      <c r="G147" s="331" t="inlineStr">
        <is>
          <t>1</t>
        </is>
      </c>
      <c r="H147" s="329" t="inlineStr">
        <is>
          <t>Метрическая</t>
        </is>
      </c>
      <c r="I147" s="331" t="inlineStr">
        <is>
          <t>12</t>
        </is>
      </c>
      <c r="J147" s="331" t="inlineStr">
        <is>
          <t>2К24</t>
        </is>
      </c>
      <c r="K147" s="329" t="inlineStr">
        <is>
          <t>Радиальный</t>
        </is>
      </c>
    </row>
    <row r="148" ht="11.25" customHeight="1" s="236">
      <c r="A148" s="331" t="n">
        <v>147</v>
      </c>
      <c r="B148" s="331" t="inlineStr">
        <is>
          <t>Манометр технический</t>
        </is>
      </c>
      <c r="C148" s="331" t="inlineStr">
        <is>
          <t>МП4-УУ2</t>
        </is>
      </c>
      <c r="D148" s="332" t="inlineStr">
        <is>
          <t>15376</t>
        </is>
      </c>
      <c r="E148" s="331" t="inlineStr"/>
      <c r="F148" s="331" t="inlineStr">
        <is>
          <t>0…160 кгс/см2</t>
        </is>
      </c>
      <c r="G148" s="331" t="inlineStr">
        <is>
          <t>1</t>
        </is>
      </c>
      <c r="H148" s="329" t="inlineStr">
        <is>
          <t>Метрическая</t>
        </is>
      </c>
      <c r="I148" s="331" t="inlineStr">
        <is>
          <t>12</t>
        </is>
      </c>
      <c r="J148" s="331" t="inlineStr">
        <is>
          <t>1К23</t>
        </is>
      </c>
      <c r="K148" s="329" t="inlineStr">
        <is>
          <t>Радиальный</t>
        </is>
      </c>
    </row>
    <row r="149" ht="11.25" customHeight="1" s="236">
      <c r="A149" s="331" t="n">
        <v>148</v>
      </c>
      <c r="B149" s="331" t="inlineStr">
        <is>
          <t>Манометр технический</t>
        </is>
      </c>
      <c r="C149" s="331" t="inlineStr">
        <is>
          <t>МП4-УУ2</t>
        </is>
      </c>
      <c r="D149" s="332" t="inlineStr">
        <is>
          <t>15380</t>
        </is>
      </c>
      <c r="E149" s="331" t="inlineStr"/>
      <c r="F149" s="331" t="inlineStr">
        <is>
          <t>0…160 кгс/см2</t>
        </is>
      </c>
      <c r="G149" s="331" t="inlineStr">
        <is>
          <t>1</t>
        </is>
      </c>
      <c r="H149" s="329" t="inlineStr">
        <is>
          <t>Метрическая</t>
        </is>
      </c>
      <c r="I149" s="331" t="inlineStr">
        <is>
          <t>12</t>
        </is>
      </c>
      <c r="J149" s="331" t="inlineStr">
        <is>
          <t>24ДЯУ</t>
        </is>
      </c>
      <c r="K149" s="329" t="inlineStr">
        <is>
          <t>Радиальный</t>
        </is>
      </c>
    </row>
    <row r="150" ht="11.25" customHeight="1" s="236">
      <c r="A150" s="331" t="n">
        <v>149</v>
      </c>
      <c r="B150" s="331" t="inlineStr">
        <is>
          <t>Манометр технический</t>
        </is>
      </c>
      <c r="C150" s="331" t="inlineStr">
        <is>
          <t>МП4-УУХЛ1</t>
        </is>
      </c>
      <c r="D150" s="332" t="inlineStr">
        <is>
          <t>211016823</t>
        </is>
      </c>
      <c r="E150" s="331" t="inlineStr"/>
      <c r="F150" s="331" t="inlineStr">
        <is>
          <t>0…600 кПа</t>
        </is>
      </c>
      <c r="G150" s="331" t="inlineStr">
        <is>
          <t>1</t>
        </is>
      </c>
      <c r="H150" s="329" t="inlineStr">
        <is>
          <t>Метрическая</t>
        </is>
      </c>
      <c r="I150" s="331" t="inlineStr">
        <is>
          <t>12</t>
        </is>
      </c>
      <c r="J150" s="331" t="inlineStr">
        <is>
          <t>2К24</t>
        </is>
      </c>
      <c r="K150" s="329" t="inlineStr">
        <is>
          <t>Радиальный</t>
        </is>
      </c>
    </row>
    <row r="151" ht="11.25" customHeight="1" s="236">
      <c r="A151" s="331" t="n">
        <v>150</v>
      </c>
      <c r="B151" s="331" t="inlineStr">
        <is>
          <t>Манометр технический</t>
        </is>
      </c>
      <c r="C151" s="331" t="inlineStr">
        <is>
          <t>МП4-УфБСУХЛ1</t>
        </is>
      </c>
      <c r="D151" s="332" t="inlineStr">
        <is>
          <t>311234</t>
        </is>
      </c>
      <c r="E151" s="331" t="inlineStr"/>
      <c r="F151" s="331" t="inlineStr">
        <is>
          <t>0…16 МПа</t>
        </is>
      </c>
      <c r="G151" s="331" t="inlineStr">
        <is>
          <t>1</t>
        </is>
      </c>
      <c r="H151" s="329" t="inlineStr">
        <is>
          <t>Метрическая</t>
        </is>
      </c>
      <c r="I151" s="331" t="inlineStr">
        <is>
          <t>12</t>
        </is>
      </c>
      <c r="J151" s="331" t="inlineStr">
        <is>
          <t>24ДЯУ</t>
        </is>
      </c>
      <c r="K151" s="329" t="inlineStr">
        <is>
          <t>Радиальный</t>
        </is>
      </c>
    </row>
    <row r="152" ht="11.25" customHeight="1" s="236">
      <c r="A152" s="331" t="n">
        <v>151</v>
      </c>
      <c r="B152" s="331" t="inlineStr">
        <is>
          <t>Манометр технический</t>
        </is>
      </c>
      <c r="C152" s="331" t="inlineStr">
        <is>
          <t>МП4-УУ2</t>
        </is>
      </c>
      <c r="D152" s="332" t="inlineStr">
        <is>
          <t>700025</t>
        </is>
      </c>
      <c r="E152" s="331" t="inlineStr"/>
      <c r="F152" s="331" t="inlineStr">
        <is>
          <t>0…16 МПа</t>
        </is>
      </c>
      <c r="G152" s="331" t="inlineStr">
        <is>
          <t>1</t>
        </is>
      </c>
      <c r="H152" s="329" t="inlineStr">
        <is>
          <t>Метрическая</t>
        </is>
      </c>
      <c r="I152" s="331" t="inlineStr">
        <is>
          <t>12</t>
        </is>
      </c>
      <c r="J152" s="331" t="inlineStr">
        <is>
          <t>2К24</t>
        </is>
      </c>
      <c r="K152" s="329" t="inlineStr">
        <is>
          <t>Радиальный</t>
        </is>
      </c>
    </row>
    <row r="153" ht="11.25" customHeight="1" s="236">
      <c r="A153" s="331" t="n">
        <v>152</v>
      </c>
      <c r="B153" s="331" t="inlineStr">
        <is>
          <t>Манометр технический</t>
        </is>
      </c>
      <c r="C153" s="331" t="inlineStr">
        <is>
          <t>МП4-УУХЛ1</t>
        </is>
      </c>
      <c r="D153" s="332" t="inlineStr">
        <is>
          <t>211016822</t>
        </is>
      </c>
      <c r="E153" s="331" t="inlineStr"/>
      <c r="F153" s="331" t="inlineStr">
        <is>
          <t>0…600 кПа</t>
        </is>
      </c>
      <c r="G153" s="331" t="inlineStr">
        <is>
          <t>1</t>
        </is>
      </c>
      <c r="H153" s="329" t="inlineStr">
        <is>
          <t>Метрическая</t>
        </is>
      </c>
      <c r="I153" s="331" t="inlineStr">
        <is>
          <t>12</t>
        </is>
      </c>
      <c r="J153" s="331" t="inlineStr">
        <is>
          <t>2К24</t>
        </is>
      </c>
      <c r="K153" s="329" t="inlineStr">
        <is>
          <t>Радиальный</t>
        </is>
      </c>
    </row>
    <row r="154" ht="11.25" customHeight="1" s="236">
      <c r="A154" s="331" t="n">
        <v>153</v>
      </c>
      <c r="B154" s="331" t="inlineStr">
        <is>
          <t>Манометр технический</t>
        </is>
      </c>
      <c r="C154" s="331" t="inlineStr">
        <is>
          <t>МП4-УУХЛ1</t>
        </is>
      </c>
      <c r="D154" s="332" t="inlineStr">
        <is>
          <t>700098</t>
        </is>
      </c>
      <c r="E154" s="331" t="inlineStr"/>
      <c r="F154" s="331" t="inlineStr">
        <is>
          <t>0…100 кПа</t>
        </is>
      </c>
      <c r="G154" s="331" t="inlineStr">
        <is>
          <t>1</t>
        </is>
      </c>
      <c r="H154" s="329" t="inlineStr">
        <is>
          <t>Метрическая</t>
        </is>
      </c>
      <c r="I154" s="331" t="inlineStr">
        <is>
          <t>12</t>
        </is>
      </c>
      <c r="J154" s="331" t="inlineStr">
        <is>
          <t>2К13</t>
        </is>
      </c>
      <c r="K154" s="329" t="inlineStr">
        <is>
          <t>Радиальный</t>
        </is>
      </c>
    </row>
    <row r="155" ht="11.25" customHeight="1" s="236">
      <c r="A155" s="331" t="n">
        <v>154</v>
      </c>
      <c r="B155" s="331" t="inlineStr">
        <is>
          <t>Манометр технический</t>
        </is>
      </c>
      <c r="C155" s="331" t="inlineStr">
        <is>
          <t>МП4-УУ2</t>
        </is>
      </c>
      <c r="D155" s="332" t="inlineStr">
        <is>
          <t>15404</t>
        </is>
      </c>
      <c r="E155" s="331" t="inlineStr"/>
      <c r="F155" s="331" t="inlineStr">
        <is>
          <t>0…160 кгс/см2</t>
        </is>
      </c>
      <c r="G155" s="331" t="inlineStr">
        <is>
          <t>1</t>
        </is>
      </c>
      <c r="H155" s="329" t="inlineStr">
        <is>
          <t>Метрическая</t>
        </is>
      </c>
      <c r="I155" s="331" t="inlineStr">
        <is>
          <t>12</t>
        </is>
      </c>
      <c r="J155" s="331" t="inlineStr">
        <is>
          <t>24ДЯУ</t>
        </is>
      </c>
      <c r="K155" s="329" t="inlineStr">
        <is>
          <t>Радиальный</t>
        </is>
      </c>
    </row>
    <row r="156" ht="11.25" customHeight="1" s="236">
      <c r="A156" s="331" t="n">
        <v>155</v>
      </c>
      <c r="B156" s="331" t="inlineStr">
        <is>
          <t>Манометр технический</t>
        </is>
      </c>
      <c r="C156" s="331" t="inlineStr">
        <is>
          <t>МП4-УУ2</t>
        </is>
      </c>
      <c r="D156" s="332" t="inlineStr">
        <is>
          <t>700030</t>
        </is>
      </c>
      <c r="E156" s="331" t="inlineStr"/>
      <c r="F156" s="331" t="inlineStr">
        <is>
          <t>0…16 МПа</t>
        </is>
      </c>
      <c r="G156" s="331" t="inlineStr">
        <is>
          <t>1</t>
        </is>
      </c>
      <c r="H156" s="329" t="inlineStr">
        <is>
          <t>Метрическая</t>
        </is>
      </c>
      <c r="I156" s="331" t="inlineStr">
        <is>
          <t>12</t>
        </is>
      </c>
      <c r="J156" s="331" t="inlineStr">
        <is>
          <t>2К24</t>
        </is>
      </c>
      <c r="K156" s="329" t="inlineStr">
        <is>
          <t>Радиальный</t>
        </is>
      </c>
    </row>
    <row r="157" ht="11.25" customHeight="1" s="236">
      <c r="A157" s="331" t="n">
        <v>156</v>
      </c>
      <c r="B157" s="331" t="inlineStr">
        <is>
          <t>Манометр технический</t>
        </is>
      </c>
      <c r="C157" s="331" t="inlineStr">
        <is>
          <t>МП4-УУ2</t>
        </is>
      </c>
      <c r="D157" s="332" t="inlineStr">
        <is>
          <t>15581</t>
        </is>
      </c>
      <c r="E157" s="331" t="inlineStr"/>
      <c r="F157" s="331" t="inlineStr">
        <is>
          <t>0…0,6 кгс/см2</t>
        </is>
      </c>
      <c r="G157" s="331" t="inlineStr">
        <is>
          <t>1.5</t>
        </is>
      </c>
      <c r="H157" s="329" t="inlineStr">
        <is>
          <t>Метрическая</t>
        </is>
      </c>
      <c r="I157" s="331" t="inlineStr">
        <is>
          <t>12</t>
        </is>
      </c>
      <c r="J157" s="331" t="inlineStr">
        <is>
          <t>отсутствует</t>
        </is>
      </c>
      <c r="K157" s="329" t="inlineStr">
        <is>
          <t>Радиальный</t>
        </is>
      </c>
    </row>
    <row r="158" ht="11.25" customHeight="1" s="236">
      <c r="A158" s="331" t="n">
        <v>157</v>
      </c>
      <c r="B158" s="331" t="inlineStr">
        <is>
          <t>Манометр технический</t>
        </is>
      </c>
      <c r="C158" s="331" t="inlineStr">
        <is>
          <t>МП4-УУ2</t>
        </is>
      </c>
      <c r="D158" s="332" t="inlineStr">
        <is>
          <t>212032706</t>
        </is>
      </c>
      <c r="E158" s="331" t="inlineStr"/>
      <c r="F158" s="331" t="inlineStr">
        <is>
          <t>0…10 МПа</t>
        </is>
      </c>
      <c r="G158" s="331" t="inlineStr">
        <is>
          <t>1</t>
        </is>
      </c>
      <c r="H158" s="329" t="inlineStr">
        <is>
          <t>Метрическая</t>
        </is>
      </c>
      <c r="I158" s="331" t="inlineStr">
        <is>
          <t>12</t>
        </is>
      </c>
      <c r="J158" s="331" t="inlineStr">
        <is>
          <t>24ДЯУ</t>
        </is>
      </c>
      <c r="K158" s="329" t="inlineStr">
        <is>
          <t>Радиальный</t>
        </is>
      </c>
    </row>
    <row r="159" ht="11.25" customHeight="1" s="236">
      <c r="A159" s="331" t="n">
        <v>158</v>
      </c>
      <c r="B159" s="331" t="inlineStr">
        <is>
          <t>Манометр технический</t>
        </is>
      </c>
      <c r="C159" s="331" t="inlineStr">
        <is>
          <t>ТМ6</t>
        </is>
      </c>
      <c r="D159" s="332" t="inlineStr">
        <is>
          <t>7000159</t>
        </is>
      </c>
      <c r="E159" s="331" t="inlineStr"/>
      <c r="F159" s="331" t="inlineStr">
        <is>
          <t>0…2,5 МПа</t>
        </is>
      </c>
      <c r="G159" s="331" t="inlineStr">
        <is>
          <t>1</t>
        </is>
      </c>
      <c r="H159" s="329" t="inlineStr">
        <is>
          <t>Метрическая</t>
        </is>
      </c>
      <c r="I159" s="331" t="inlineStr">
        <is>
          <t>12</t>
        </is>
      </c>
      <c r="J159" s="331" t="inlineStr">
        <is>
          <t>24ДЯУ</t>
        </is>
      </c>
      <c r="K159" s="329" t="inlineStr">
        <is>
          <t>Радиальный</t>
        </is>
      </c>
    </row>
    <row r="160" ht="11.25" customHeight="1" s="236">
      <c r="A160" s="331" t="n">
        <v>159</v>
      </c>
      <c r="B160" s="331" t="inlineStr">
        <is>
          <t>Манометр технический</t>
        </is>
      </c>
      <c r="C160" s="331" t="inlineStr">
        <is>
          <t>МП4-УфБСУХЛ1</t>
        </is>
      </c>
      <c r="D160" s="332" t="inlineStr">
        <is>
          <t>311121</t>
        </is>
      </c>
      <c r="E160" s="331" t="inlineStr"/>
      <c r="F160" s="331" t="inlineStr">
        <is>
          <t>0…16 МПа</t>
        </is>
      </c>
      <c r="G160" s="331" t="inlineStr">
        <is>
          <t>1</t>
        </is>
      </c>
      <c r="H160" s="329" t="inlineStr">
        <is>
          <t>Метрическая</t>
        </is>
      </c>
      <c r="I160" s="331" t="inlineStr">
        <is>
          <t>12</t>
        </is>
      </c>
      <c r="J160" s="331" t="inlineStr">
        <is>
          <t>25ДЯУ</t>
        </is>
      </c>
      <c r="K160" s="329" t="inlineStr">
        <is>
          <t>Радиальный</t>
        </is>
      </c>
    </row>
    <row r="161" ht="11.25" customHeight="1" s="236">
      <c r="A161" s="331" t="n">
        <v>160</v>
      </c>
      <c r="B161" s="331" t="inlineStr">
        <is>
          <t>Манометр технический</t>
        </is>
      </c>
      <c r="C161" s="331" t="inlineStr">
        <is>
          <t>МП4-УУ2</t>
        </is>
      </c>
      <c r="D161" s="332" t="inlineStr">
        <is>
          <t>15671</t>
        </is>
      </c>
      <c r="E161" s="331" t="inlineStr"/>
      <c r="F161" s="331" t="inlineStr">
        <is>
          <t>0…600 кПа</t>
        </is>
      </c>
      <c r="G161" s="331" t="inlineStr">
        <is>
          <t>1.5</t>
        </is>
      </c>
      <c r="H161" s="329" t="inlineStr">
        <is>
          <t>Метрическая</t>
        </is>
      </c>
      <c r="I161" s="331" t="inlineStr">
        <is>
          <t>12</t>
        </is>
      </c>
      <c r="J161" s="331" t="inlineStr">
        <is>
          <t>25ДЯУ</t>
        </is>
      </c>
      <c r="K161" s="329" t="inlineStr">
        <is>
          <t>Радиальный</t>
        </is>
      </c>
    </row>
    <row r="162" ht="11.25" customHeight="1" s="236">
      <c r="A162" s="331" t="n">
        <v>161</v>
      </c>
      <c r="B162" s="331" t="inlineStr">
        <is>
          <t>Манометр технический</t>
        </is>
      </c>
      <c r="C162" s="331" t="inlineStr">
        <is>
          <t>МП4-УУ2</t>
        </is>
      </c>
      <c r="D162" s="332" t="inlineStr">
        <is>
          <t>15439</t>
        </is>
      </c>
      <c r="E162" s="331" t="inlineStr">
        <is>
          <t>2005</t>
        </is>
      </c>
      <c r="F162" s="331" t="inlineStr">
        <is>
          <t>0…100 кгс/см2</t>
        </is>
      </c>
      <c r="G162" s="331" t="inlineStr">
        <is>
          <t>1.5</t>
        </is>
      </c>
      <c r="H162" s="329" t="inlineStr">
        <is>
          <t>Метрическая</t>
        </is>
      </c>
      <c r="I162" s="331" t="inlineStr">
        <is>
          <t>12</t>
        </is>
      </c>
      <c r="J162" s="331" t="inlineStr">
        <is>
          <t>25ДЯУ</t>
        </is>
      </c>
      <c r="K162" s="329" t="inlineStr">
        <is>
          <t>Радиальный</t>
        </is>
      </c>
    </row>
    <row r="163" ht="11.25" customHeight="1" s="236">
      <c r="A163" s="331" t="n">
        <v>162</v>
      </c>
      <c r="B163" s="331" t="inlineStr">
        <is>
          <t>Манометр технический</t>
        </is>
      </c>
      <c r="C163" s="331" t="inlineStr">
        <is>
          <t>МП4-УУ2</t>
        </is>
      </c>
      <c r="D163" s="332" t="inlineStr">
        <is>
          <t>80517</t>
        </is>
      </c>
      <c r="E163" s="331" t="inlineStr"/>
      <c r="F163" s="331" t="inlineStr">
        <is>
          <t>0…16 МПа</t>
        </is>
      </c>
      <c r="G163" s="331" t="inlineStr">
        <is>
          <t>1</t>
        </is>
      </c>
      <c r="H163" s="329" t="inlineStr">
        <is>
          <t>Метрическая</t>
        </is>
      </c>
      <c r="I163" s="331" t="inlineStr">
        <is>
          <t>12</t>
        </is>
      </c>
      <c r="J163" s="331" t="inlineStr">
        <is>
          <t>2К25</t>
        </is>
      </c>
      <c r="K163" s="329" t="inlineStr">
        <is>
          <t>Радиальный</t>
        </is>
      </c>
    </row>
    <row r="164" ht="11.25" customHeight="1" s="236">
      <c r="A164" s="331" t="n">
        <v>163</v>
      </c>
      <c r="B164" s="331" t="inlineStr">
        <is>
          <t>Манометр технический</t>
        </is>
      </c>
      <c r="C164" s="331" t="inlineStr">
        <is>
          <t>МП4-УУ2</t>
        </is>
      </c>
      <c r="D164" s="332" t="inlineStr">
        <is>
          <t>15513</t>
        </is>
      </c>
      <c r="E164" s="331" t="inlineStr"/>
      <c r="F164" s="331" t="inlineStr">
        <is>
          <t>0…60 кгс/см2</t>
        </is>
      </c>
      <c r="G164" s="331" t="inlineStr">
        <is>
          <t>1.5</t>
        </is>
      </c>
      <c r="H164" s="329" t="inlineStr">
        <is>
          <t>Метрическая</t>
        </is>
      </c>
      <c r="I164" s="331" t="inlineStr">
        <is>
          <t>12</t>
        </is>
      </c>
      <c r="J164" s="331" t="inlineStr">
        <is>
          <t>25ДЯУ</t>
        </is>
      </c>
      <c r="K164" s="329" t="inlineStr">
        <is>
          <t>Радиальный</t>
        </is>
      </c>
    </row>
    <row r="165" ht="11.25" customHeight="1" s="236">
      <c r="A165" s="331" t="n">
        <v>164</v>
      </c>
      <c r="B165" s="331" t="inlineStr">
        <is>
          <t>Манометр технический</t>
        </is>
      </c>
      <c r="C165" s="331" t="inlineStr">
        <is>
          <t>МП4-УУ2</t>
        </is>
      </c>
      <c r="D165" s="332" t="inlineStr">
        <is>
          <t>15512</t>
        </is>
      </c>
      <c r="E165" s="331" t="inlineStr"/>
      <c r="F165" s="331" t="inlineStr">
        <is>
          <t>0…100 кгс/см2</t>
        </is>
      </c>
      <c r="G165" s="331" t="inlineStr">
        <is>
          <t>1.5</t>
        </is>
      </c>
      <c r="H165" s="329" t="inlineStr">
        <is>
          <t>Метрическая</t>
        </is>
      </c>
      <c r="I165" s="331" t="inlineStr">
        <is>
          <t>12</t>
        </is>
      </c>
      <c r="J165" s="331" t="inlineStr">
        <is>
          <t>25ДЯУ</t>
        </is>
      </c>
      <c r="K165" s="329" t="inlineStr">
        <is>
          <t>Радиальный</t>
        </is>
      </c>
    </row>
    <row r="166" ht="11.25" customHeight="1" s="236">
      <c r="A166" s="331" t="n">
        <v>165</v>
      </c>
      <c r="B166" s="331" t="inlineStr">
        <is>
          <t>Манометр технический</t>
        </is>
      </c>
      <c r="C166" s="331" t="inlineStr">
        <is>
          <t>МП4-УУ2</t>
        </is>
      </c>
      <c r="D166" s="332" t="inlineStr">
        <is>
          <t>15174</t>
        </is>
      </c>
      <c r="E166" s="331" t="inlineStr"/>
      <c r="F166" s="331" t="inlineStr">
        <is>
          <t>0…160 кгс/см2</t>
        </is>
      </c>
      <c r="G166" s="331" t="inlineStr">
        <is>
          <t>1.5</t>
        </is>
      </c>
      <c r="H166" s="329" t="inlineStr">
        <is>
          <t>Метрическая</t>
        </is>
      </c>
      <c r="I166" s="331" t="inlineStr">
        <is>
          <t>12</t>
        </is>
      </c>
      <c r="J166" s="331" t="inlineStr">
        <is>
          <t>25ДЯУ</t>
        </is>
      </c>
      <c r="K166" s="329" t="inlineStr">
        <is>
          <t>Радиальный</t>
        </is>
      </c>
    </row>
    <row r="167" ht="11.25" customHeight="1" s="236">
      <c r="A167" s="331" t="n">
        <v>166</v>
      </c>
      <c r="B167" s="331" t="inlineStr">
        <is>
          <t>Манометр технический</t>
        </is>
      </c>
      <c r="C167" s="331" t="inlineStr">
        <is>
          <t>МП4-У</t>
        </is>
      </c>
      <c r="D167" s="332" t="inlineStr">
        <is>
          <t>325694</t>
        </is>
      </c>
      <c r="E167" s="331" t="inlineStr">
        <is>
          <t>1989</t>
        </is>
      </c>
      <c r="F167" s="331" t="inlineStr">
        <is>
          <t>0…6 кгс/см2</t>
        </is>
      </c>
      <c r="G167" s="331" t="inlineStr">
        <is>
          <t>1.5</t>
        </is>
      </c>
      <c r="H167" s="329" t="inlineStr">
        <is>
          <t>Метрическая</t>
        </is>
      </c>
      <c r="I167" s="331" t="inlineStr">
        <is>
          <t>12</t>
        </is>
      </c>
      <c r="J167" s="331" t="inlineStr">
        <is>
          <t>1К25</t>
        </is>
      </c>
      <c r="K167" s="329" t="inlineStr">
        <is>
          <t>Радиальный</t>
        </is>
      </c>
    </row>
    <row r="168" ht="11.25" customHeight="1" s="236">
      <c r="A168" s="331" t="n">
        <v>167</v>
      </c>
      <c r="B168" s="331" t="inlineStr">
        <is>
          <t>Манометр технический</t>
        </is>
      </c>
      <c r="C168" s="331" t="inlineStr">
        <is>
          <t>МП4-УфБСУХЛ1</t>
        </is>
      </c>
      <c r="D168" s="332" t="inlineStr">
        <is>
          <t>312492</t>
        </is>
      </c>
      <c r="E168" s="331" t="inlineStr"/>
      <c r="F168" s="331" t="inlineStr">
        <is>
          <t>0…16 МПа</t>
        </is>
      </c>
      <c r="G168" s="331" t="inlineStr">
        <is>
          <t>1</t>
        </is>
      </c>
      <c r="H168" s="329" t="inlineStr">
        <is>
          <t>Метрическая</t>
        </is>
      </c>
      <c r="I168" s="331" t="inlineStr">
        <is>
          <t>12</t>
        </is>
      </c>
      <c r="J168" s="331" t="inlineStr">
        <is>
          <t>25ДЯУ</t>
        </is>
      </c>
      <c r="K168" s="329" t="inlineStr">
        <is>
          <t>Радиальный</t>
        </is>
      </c>
    </row>
    <row r="169" ht="11.25" customHeight="1" s="236">
      <c r="A169" s="331" t="n">
        <v>168</v>
      </c>
      <c r="B169" s="331" t="inlineStr">
        <is>
          <t>Манометр технический</t>
        </is>
      </c>
      <c r="C169" s="331" t="inlineStr">
        <is>
          <t>МП4-УфБСУХЛ1</t>
        </is>
      </c>
      <c r="D169" s="332" t="inlineStr">
        <is>
          <t>312547</t>
        </is>
      </c>
      <c r="E169" s="331" t="inlineStr"/>
      <c r="F169" s="331" t="inlineStr">
        <is>
          <t>0…16 МПа</t>
        </is>
      </c>
      <c r="G169" s="331" t="inlineStr">
        <is>
          <t>1</t>
        </is>
      </c>
      <c r="H169" s="329" t="inlineStr">
        <is>
          <t>Метрическая</t>
        </is>
      </c>
      <c r="I169" s="331" t="inlineStr">
        <is>
          <t>12</t>
        </is>
      </c>
      <c r="J169" s="331" t="inlineStr">
        <is>
          <t>25ДЯУ</t>
        </is>
      </c>
      <c r="K169" s="329" t="inlineStr">
        <is>
          <t>Радиальный</t>
        </is>
      </c>
    </row>
    <row r="170" ht="11.25" customHeight="1" s="236">
      <c r="A170" s="331" t="n">
        <v>169</v>
      </c>
      <c r="B170" s="331" t="inlineStr">
        <is>
          <t>Манометр технический</t>
        </is>
      </c>
      <c r="C170" s="331" t="inlineStr">
        <is>
          <t>МП4-УфБСУХЛ1</t>
        </is>
      </c>
      <c r="D170" s="332" t="inlineStr">
        <is>
          <t>312447</t>
        </is>
      </c>
      <c r="E170" s="331" t="inlineStr"/>
      <c r="F170" s="331" t="inlineStr">
        <is>
          <t>0…16 МПа</t>
        </is>
      </c>
      <c r="G170" s="331" t="inlineStr">
        <is>
          <t>1</t>
        </is>
      </c>
      <c r="H170" s="329" t="inlineStr">
        <is>
          <t>Метрическая</t>
        </is>
      </c>
      <c r="I170" s="331" t="inlineStr">
        <is>
          <t>12</t>
        </is>
      </c>
      <c r="J170" s="331" t="inlineStr">
        <is>
          <t>25ДЯУ</t>
        </is>
      </c>
      <c r="K170" s="329" t="inlineStr">
        <is>
          <t>Радиальный</t>
        </is>
      </c>
    </row>
    <row r="171" ht="11.25" customHeight="1" s="236">
      <c r="A171" s="331" t="n">
        <v>170</v>
      </c>
      <c r="B171" s="331" t="inlineStr">
        <is>
          <t>Манометр технический</t>
        </is>
      </c>
      <c r="C171" s="331" t="inlineStr">
        <is>
          <t>МП4-УфБСУХЛ1</t>
        </is>
      </c>
      <c r="D171" s="332" t="inlineStr">
        <is>
          <t>311025</t>
        </is>
      </c>
      <c r="E171" s="331" t="inlineStr"/>
      <c r="F171" s="331" t="inlineStr">
        <is>
          <t>0…16 МПа</t>
        </is>
      </c>
      <c r="G171" s="331" t="inlineStr">
        <is>
          <t>1</t>
        </is>
      </c>
      <c r="H171" s="329" t="inlineStr">
        <is>
          <t>Метрическая</t>
        </is>
      </c>
      <c r="I171" s="331" t="inlineStr">
        <is>
          <t>12</t>
        </is>
      </c>
      <c r="J171" s="331" t="inlineStr">
        <is>
          <t>25ДЯУ</t>
        </is>
      </c>
      <c r="K171" s="329" t="inlineStr">
        <is>
          <t>Радиальный</t>
        </is>
      </c>
    </row>
    <row r="172" ht="11.25" customHeight="1" s="236">
      <c r="A172" s="331" t="n">
        <v>171</v>
      </c>
      <c r="B172" s="331" t="inlineStr">
        <is>
          <t>Манометр технический</t>
        </is>
      </c>
      <c r="C172" s="331" t="inlineStr">
        <is>
          <t>МП4-УфБСУХЛ1</t>
        </is>
      </c>
      <c r="D172" s="332" t="inlineStr">
        <is>
          <t>310066</t>
        </is>
      </c>
      <c r="E172" s="331" t="inlineStr"/>
      <c r="F172" s="331" t="inlineStr">
        <is>
          <t>0…16 МПа</t>
        </is>
      </c>
      <c r="G172" s="331" t="inlineStr">
        <is>
          <t>1</t>
        </is>
      </c>
      <c r="H172" s="329" t="inlineStr">
        <is>
          <t>Метрическая</t>
        </is>
      </c>
      <c r="I172" s="331" t="inlineStr">
        <is>
          <t>12</t>
        </is>
      </c>
      <c r="J172" s="331" t="inlineStr">
        <is>
          <t>25ДЯУ</t>
        </is>
      </c>
      <c r="K172" s="329" t="inlineStr">
        <is>
          <t>Радиальный</t>
        </is>
      </c>
    </row>
    <row r="173" ht="11.25" customHeight="1" s="236">
      <c r="A173" s="331" t="n">
        <v>172</v>
      </c>
      <c r="B173" s="331" t="inlineStr">
        <is>
          <t>Манометр технический</t>
        </is>
      </c>
      <c r="C173" s="331" t="inlineStr">
        <is>
          <t>МП4-УфБСУХЛ1</t>
        </is>
      </c>
      <c r="D173" s="332" t="inlineStr">
        <is>
          <t>312233</t>
        </is>
      </c>
      <c r="E173" s="331" t="inlineStr"/>
      <c r="F173" s="331" t="inlineStr">
        <is>
          <t>0…16 МПа</t>
        </is>
      </c>
      <c r="G173" s="331" t="inlineStr">
        <is>
          <t>1</t>
        </is>
      </c>
      <c r="H173" s="329" t="inlineStr">
        <is>
          <t>Метрическая</t>
        </is>
      </c>
      <c r="I173" s="331" t="inlineStr">
        <is>
          <t>12</t>
        </is>
      </c>
      <c r="J173" s="331" t="inlineStr">
        <is>
          <t>25ДЯУ</t>
        </is>
      </c>
      <c r="K173" s="329" t="inlineStr">
        <is>
          <t>Радиальный</t>
        </is>
      </c>
    </row>
    <row r="174" ht="11.25" customHeight="1" s="236">
      <c r="A174" s="331" t="n">
        <v>173</v>
      </c>
      <c r="B174" s="331" t="inlineStr">
        <is>
          <t>Манометр технический</t>
        </is>
      </c>
      <c r="C174" s="331" t="inlineStr">
        <is>
          <t>МП4-УУ2</t>
        </is>
      </c>
      <c r="D174" s="332" t="inlineStr">
        <is>
          <t>15167</t>
        </is>
      </c>
      <c r="E174" s="331" t="inlineStr"/>
      <c r="F174" s="331" t="inlineStr">
        <is>
          <t>0…0,6 кгс/см2</t>
        </is>
      </c>
      <c r="G174" s="331" t="inlineStr">
        <is>
          <t>1.5</t>
        </is>
      </c>
      <c r="H174" s="329" t="inlineStr">
        <is>
          <t>Метрическая</t>
        </is>
      </c>
      <c r="I174" s="331" t="inlineStr">
        <is>
          <t>12</t>
        </is>
      </c>
      <c r="J174" s="331" t="inlineStr">
        <is>
          <t>1К25</t>
        </is>
      </c>
      <c r="K174" s="329" t="inlineStr">
        <is>
          <t>Радиальный</t>
        </is>
      </c>
    </row>
    <row r="175" ht="11.25" customHeight="1" s="236">
      <c r="A175" s="331" t="n">
        <v>174</v>
      </c>
      <c r="B175" s="331" t="inlineStr">
        <is>
          <t>Манометр технический</t>
        </is>
      </c>
      <c r="C175" s="331" t="inlineStr">
        <is>
          <t>МП4-УУ2</t>
        </is>
      </c>
      <c r="D175" s="332" t="inlineStr">
        <is>
          <t>15001</t>
        </is>
      </c>
      <c r="E175" s="331" t="inlineStr"/>
      <c r="F175" s="331" t="inlineStr">
        <is>
          <t>0…160 кгс/см2</t>
        </is>
      </c>
      <c r="G175" s="331" t="inlineStr">
        <is>
          <t>1.5</t>
        </is>
      </c>
      <c r="H175" s="329" t="inlineStr">
        <is>
          <t>Метрическая</t>
        </is>
      </c>
      <c r="I175" s="331" t="inlineStr">
        <is>
          <t>12</t>
        </is>
      </c>
      <c r="J175" s="331" t="inlineStr">
        <is>
          <t>25ДЯУ</t>
        </is>
      </c>
      <c r="K175" s="329" t="inlineStr">
        <is>
          <t>Радиальный</t>
        </is>
      </c>
    </row>
    <row r="176" ht="11.25" customHeight="1" s="236">
      <c r="A176" s="331" t="n">
        <v>175</v>
      </c>
      <c r="B176" s="331" t="inlineStr">
        <is>
          <t>Манометр технический</t>
        </is>
      </c>
      <c r="C176" s="331" t="inlineStr">
        <is>
          <t>МП4-УУХЛ1</t>
        </is>
      </c>
      <c r="D176" s="332" t="inlineStr">
        <is>
          <t>700081</t>
        </is>
      </c>
      <c r="E176" s="331" t="inlineStr"/>
      <c r="F176" s="331" t="inlineStr">
        <is>
          <t>0…10 МПа</t>
        </is>
      </c>
      <c r="G176" s="331" t="inlineStr">
        <is>
          <t>1</t>
        </is>
      </c>
      <c r="H176" s="329" t="inlineStr">
        <is>
          <t>Метрическая</t>
        </is>
      </c>
      <c r="I176" s="331" t="inlineStr">
        <is>
          <t>12</t>
        </is>
      </c>
      <c r="J176" s="331" t="inlineStr">
        <is>
          <t>25ДЯУ</t>
        </is>
      </c>
      <c r="K176" s="329" t="inlineStr">
        <is>
          <t>Радиальный</t>
        </is>
      </c>
    </row>
    <row r="177" ht="11.25" customHeight="1" s="236">
      <c r="A177" s="331" t="n">
        <v>176</v>
      </c>
      <c r="B177" s="331" t="inlineStr">
        <is>
          <t>Манометр технический</t>
        </is>
      </c>
      <c r="C177" s="331" t="inlineStr">
        <is>
          <t>МП4-УУ2</t>
        </is>
      </c>
      <c r="D177" s="332" t="inlineStr">
        <is>
          <t>15135</t>
        </is>
      </c>
      <c r="E177" s="331" t="inlineStr"/>
      <c r="F177" s="331" t="inlineStr">
        <is>
          <t>0…160 кгс/см2</t>
        </is>
      </c>
      <c r="G177" s="331" t="inlineStr">
        <is>
          <t>1.5</t>
        </is>
      </c>
      <c r="H177" s="329" t="inlineStr">
        <is>
          <t>Метрическая</t>
        </is>
      </c>
      <c r="I177" s="331" t="inlineStr">
        <is>
          <t>12</t>
        </is>
      </c>
      <c r="J177" s="331" t="inlineStr">
        <is>
          <t>25ДЯУ</t>
        </is>
      </c>
      <c r="K177" s="329" t="inlineStr">
        <is>
          <t>Радиальный</t>
        </is>
      </c>
    </row>
    <row r="178" ht="11.25" customHeight="1" s="236">
      <c r="A178" s="331" t="n">
        <v>177</v>
      </c>
      <c r="B178" s="331" t="inlineStr">
        <is>
          <t>Манометр технический</t>
        </is>
      </c>
      <c r="C178" s="331" t="inlineStr">
        <is>
          <t>МП4-УУ2</t>
        </is>
      </c>
      <c r="D178" s="332" t="inlineStr">
        <is>
          <t>15386</t>
        </is>
      </c>
      <c r="E178" s="331" t="inlineStr"/>
      <c r="F178" s="331" t="inlineStr">
        <is>
          <t>0…160 кгс/см2</t>
        </is>
      </c>
      <c r="G178" s="331" t="inlineStr">
        <is>
          <t>1</t>
        </is>
      </c>
      <c r="H178" s="329" t="inlineStr">
        <is>
          <t>Метрическая</t>
        </is>
      </c>
      <c r="I178" s="331" t="inlineStr">
        <is>
          <t>12</t>
        </is>
      </c>
      <c r="J178" s="331" t="inlineStr">
        <is>
          <t>25ДЯУ</t>
        </is>
      </c>
      <c r="K178" s="329" t="inlineStr">
        <is>
          <t>Радиальный</t>
        </is>
      </c>
    </row>
    <row r="179" ht="11.25" customHeight="1" s="236">
      <c r="A179" s="331" t="n">
        <v>178</v>
      </c>
      <c r="B179" s="331" t="inlineStr">
        <is>
          <t>Манометр технический</t>
        </is>
      </c>
      <c r="C179" s="331" t="inlineStr">
        <is>
          <t>МП4-УУ2</t>
        </is>
      </c>
      <c r="D179" s="332" t="inlineStr">
        <is>
          <t>10121</t>
        </is>
      </c>
      <c r="E179" s="331" t="inlineStr"/>
      <c r="F179" s="331" t="inlineStr">
        <is>
          <t>0…6 кгс/см2</t>
        </is>
      </c>
      <c r="G179" s="331" t="inlineStr">
        <is>
          <t>1.5</t>
        </is>
      </c>
      <c r="H179" s="329" t="inlineStr">
        <is>
          <t>Метрическая</t>
        </is>
      </c>
      <c r="I179" s="331" t="inlineStr">
        <is>
          <t>12</t>
        </is>
      </c>
      <c r="J179" s="331" t="inlineStr">
        <is>
          <t>1К25</t>
        </is>
      </c>
      <c r="K179" s="329" t="inlineStr">
        <is>
          <t>Радиальный</t>
        </is>
      </c>
    </row>
    <row r="180" ht="11.25" customHeight="1" s="236">
      <c r="A180" s="331" t="n">
        <v>179</v>
      </c>
      <c r="B180" s="331" t="inlineStr">
        <is>
          <t>Манометр технический</t>
        </is>
      </c>
      <c r="C180" s="331" t="inlineStr">
        <is>
          <t>МП4-УфБСУХЛ1</t>
        </is>
      </c>
      <c r="D180" s="332" t="inlineStr">
        <is>
          <t>312221</t>
        </is>
      </c>
      <c r="E180" s="331" t="inlineStr"/>
      <c r="F180" s="331" t="inlineStr">
        <is>
          <t>0…16 МПа</t>
        </is>
      </c>
      <c r="G180" s="331" t="inlineStr">
        <is>
          <t>1</t>
        </is>
      </c>
      <c r="H180" s="329" t="inlineStr">
        <is>
          <t>Метрическая</t>
        </is>
      </c>
      <c r="I180" s="331" t="inlineStr">
        <is>
          <t>12</t>
        </is>
      </c>
      <c r="J180" s="331" t="inlineStr">
        <is>
          <t>25ДЯУ</t>
        </is>
      </c>
      <c r="K180" s="329" t="inlineStr">
        <is>
          <t>Радиальный</t>
        </is>
      </c>
    </row>
    <row r="181" ht="11.25" customHeight="1" s="236">
      <c r="A181" s="331" t="n">
        <v>180</v>
      </c>
      <c r="B181" s="331" t="inlineStr">
        <is>
          <t>Манометр технический</t>
        </is>
      </c>
      <c r="C181" s="331" t="inlineStr">
        <is>
          <t>МП4-УУ2</t>
        </is>
      </c>
      <c r="D181" s="332" t="inlineStr">
        <is>
          <t>700038</t>
        </is>
      </c>
      <c r="E181" s="331" t="inlineStr"/>
      <c r="F181" s="331" t="inlineStr">
        <is>
          <t>0…16 МПа</t>
        </is>
      </c>
      <c r="G181" s="331" t="inlineStr">
        <is>
          <t>1</t>
        </is>
      </c>
      <c r="H181" s="329" t="inlineStr">
        <is>
          <t>Метрическая</t>
        </is>
      </c>
      <c r="I181" s="331" t="inlineStr">
        <is>
          <t>12</t>
        </is>
      </c>
      <c r="J181" s="331" t="inlineStr">
        <is>
          <t>1К25</t>
        </is>
      </c>
      <c r="K181" s="329" t="inlineStr">
        <is>
          <t>Радиальный</t>
        </is>
      </c>
    </row>
    <row r="182" ht="11.25" customHeight="1" s="236">
      <c r="A182" s="331" t="n">
        <v>181</v>
      </c>
      <c r="B182" s="331" t="inlineStr">
        <is>
          <t>Манометр технический</t>
        </is>
      </c>
      <c r="C182" s="331" t="inlineStr">
        <is>
          <t>МП4-УУ2</t>
        </is>
      </c>
      <c r="D182" s="332" t="inlineStr">
        <is>
          <t>232015837</t>
        </is>
      </c>
      <c r="E182" s="331" t="inlineStr"/>
      <c r="F182" s="331" t="inlineStr">
        <is>
          <t>0…160 кгс/см2</t>
        </is>
      </c>
      <c r="G182" s="331" t="inlineStr">
        <is>
          <t>1</t>
        </is>
      </c>
      <c r="H182" s="329" t="inlineStr">
        <is>
          <t>Метрическая</t>
        </is>
      </c>
      <c r="I182" s="331" t="inlineStr">
        <is>
          <t>12</t>
        </is>
      </c>
      <c r="J182" s="331" t="inlineStr">
        <is>
          <t>25ДЯУ</t>
        </is>
      </c>
      <c r="K182" s="329" t="inlineStr">
        <is>
          <t>Радиальный</t>
        </is>
      </c>
    </row>
    <row r="183" ht="11.25" customHeight="1" s="236">
      <c r="A183" s="331" t="n">
        <v>182</v>
      </c>
      <c r="B183" s="331" t="inlineStr">
        <is>
          <t>Манометр технический</t>
        </is>
      </c>
      <c r="C183" s="331" t="inlineStr">
        <is>
          <t>МП4-УУХЛ1</t>
        </is>
      </c>
      <c r="D183" s="332" t="inlineStr">
        <is>
          <t>700074</t>
        </is>
      </c>
      <c r="E183" s="331" t="inlineStr"/>
      <c r="F183" s="331" t="inlineStr">
        <is>
          <t>0…10 МПа</t>
        </is>
      </c>
      <c r="G183" s="331" t="inlineStr">
        <is>
          <t>1</t>
        </is>
      </c>
      <c r="H183" s="329" t="inlineStr">
        <is>
          <t>Метрическая</t>
        </is>
      </c>
      <c r="I183" s="331" t="inlineStr">
        <is>
          <t>12</t>
        </is>
      </c>
      <c r="J183" s="331" t="inlineStr">
        <is>
          <t>2К24</t>
        </is>
      </c>
      <c r="K183" s="329" t="inlineStr">
        <is>
          <t>Радиальный</t>
        </is>
      </c>
    </row>
    <row r="184" ht="11.25" customHeight="1" s="236">
      <c r="A184" s="331" t="n">
        <v>183</v>
      </c>
      <c r="B184" s="331" t="inlineStr">
        <is>
          <t>Манометр технический</t>
        </is>
      </c>
      <c r="C184" s="331" t="inlineStr">
        <is>
          <t>МП4-УУ2</t>
        </is>
      </c>
      <c r="D184" s="332" t="inlineStr">
        <is>
          <t>15534</t>
        </is>
      </c>
      <c r="E184" s="331" t="inlineStr"/>
      <c r="F184" s="331" t="inlineStr">
        <is>
          <t>0…160 кгс/см2</t>
        </is>
      </c>
      <c r="G184" s="331" t="inlineStr">
        <is>
          <t>1.5</t>
        </is>
      </c>
      <c r="H184" s="329" t="inlineStr">
        <is>
          <t>Метрическая</t>
        </is>
      </c>
      <c r="I184" s="331" t="inlineStr">
        <is>
          <t>12</t>
        </is>
      </c>
      <c r="J184" s="331" t="inlineStr">
        <is>
          <t>25ДЯУ</t>
        </is>
      </c>
      <c r="K184" s="329" t="inlineStr">
        <is>
          <t>Радиальный</t>
        </is>
      </c>
      <c r="M184" s="281" t="inlineStr">
        <is>
          <t> </t>
        </is>
      </c>
    </row>
    <row r="185" ht="11.25" customHeight="1" s="236">
      <c r="A185" s="331" t="n">
        <v>184</v>
      </c>
      <c r="B185" s="331" t="inlineStr">
        <is>
          <t>Манометр технический</t>
        </is>
      </c>
      <c r="C185" s="331" t="inlineStr">
        <is>
          <t>МП4-УУ2</t>
        </is>
      </c>
      <c r="D185" s="332" t="inlineStr">
        <is>
          <t>15110</t>
        </is>
      </c>
      <c r="E185" s="331" t="inlineStr"/>
      <c r="F185" s="331" t="inlineStr">
        <is>
          <t>0…160 кгс/см2</t>
        </is>
      </c>
      <c r="G185" s="331" t="inlineStr">
        <is>
          <t>1</t>
        </is>
      </c>
      <c r="H185" s="329" t="inlineStr">
        <is>
          <t>Метрическая</t>
        </is>
      </c>
      <c r="I185" s="331" t="inlineStr">
        <is>
          <t>12</t>
        </is>
      </c>
      <c r="J185" s="331" t="inlineStr">
        <is>
          <t>25ДЯУ</t>
        </is>
      </c>
      <c r="K185" s="329" t="inlineStr">
        <is>
          <t>Радиальный</t>
        </is>
      </c>
    </row>
    <row r="186" ht="11.25" customHeight="1" s="236">
      <c r="A186" s="331" t="n">
        <v>185</v>
      </c>
      <c r="B186" s="331" t="inlineStr">
        <is>
          <t>Манометр технический</t>
        </is>
      </c>
      <c r="C186" s="331" t="inlineStr">
        <is>
          <t>МП4-УУХЛ1</t>
        </is>
      </c>
      <c r="D186" s="332" t="inlineStr">
        <is>
          <t>7000172</t>
        </is>
      </c>
      <c r="E186" s="331" t="inlineStr"/>
      <c r="F186" s="331" t="inlineStr">
        <is>
          <t>0…1,6 МПа</t>
        </is>
      </c>
      <c r="G186" s="331" t="inlineStr">
        <is>
          <t>1.5</t>
        </is>
      </c>
      <c r="H186" s="329" t="inlineStr">
        <is>
          <t>Метрическая</t>
        </is>
      </c>
      <c r="I186" s="331" t="inlineStr">
        <is>
          <t>12</t>
        </is>
      </c>
      <c r="J186" s="331" t="inlineStr">
        <is>
          <t>24ДЯУ</t>
        </is>
      </c>
      <c r="K186" s="329" t="inlineStr">
        <is>
          <t>Радиальный</t>
        </is>
      </c>
    </row>
    <row r="187" ht="11.25" customHeight="1" s="236">
      <c r="A187" s="331" t="n">
        <v>186</v>
      </c>
      <c r="B187" s="331" t="inlineStr">
        <is>
          <t>Манометр технический</t>
        </is>
      </c>
      <c r="C187" s="331" t="inlineStr">
        <is>
          <t>МП4-УУ2</t>
        </is>
      </c>
      <c r="D187" s="332" t="inlineStr">
        <is>
          <t>15675</t>
        </is>
      </c>
      <c r="E187" s="331" t="inlineStr"/>
      <c r="F187" s="331" t="inlineStr">
        <is>
          <t>0…0,6 кгс/см2</t>
        </is>
      </c>
      <c r="G187" s="331" t="inlineStr">
        <is>
          <t>1.5</t>
        </is>
      </c>
      <c r="H187" s="329" t="inlineStr">
        <is>
          <t>Метрическая</t>
        </is>
      </c>
      <c r="I187" s="331" t="inlineStr">
        <is>
          <t>12</t>
        </is>
      </c>
      <c r="J187" s="331" t="inlineStr">
        <is>
          <t>1К25</t>
        </is>
      </c>
      <c r="K187" s="329" t="inlineStr">
        <is>
          <t>Радиальный</t>
        </is>
      </c>
    </row>
    <row r="188" ht="11.25" customHeight="1" s="236">
      <c r="A188" s="331" t="n">
        <v>187</v>
      </c>
      <c r="B188" s="331" t="inlineStr">
        <is>
          <t>Манометр технический</t>
        </is>
      </c>
      <c r="C188" s="331" t="inlineStr">
        <is>
          <t>МП4-УУ2</t>
        </is>
      </c>
      <c r="D188" s="332" t="inlineStr">
        <is>
          <t>15517</t>
        </is>
      </c>
      <c r="E188" s="331" t="inlineStr"/>
      <c r="F188" s="331" t="inlineStr">
        <is>
          <t>0…160 кгс/см2</t>
        </is>
      </c>
      <c r="G188" s="331" t="inlineStr">
        <is>
          <t>1.5</t>
        </is>
      </c>
      <c r="H188" s="329" t="inlineStr">
        <is>
          <t>Метрическая</t>
        </is>
      </c>
      <c r="I188" s="331" t="inlineStr">
        <is>
          <t>12</t>
        </is>
      </c>
      <c r="J188" s="331" t="inlineStr">
        <is>
          <t>2К24</t>
        </is>
      </c>
      <c r="K188" s="329" t="inlineStr">
        <is>
          <t>Радиальный</t>
        </is>
      </c>
    </row>
    <row r="189" ht="11.25" customHeight="1" s="236">
      <c r="A189" s="331" t="n">
        <v>188</v>
      </c>
      <c r="B189" s="331" t="inlineStr">
        <is>
          <t>Манометр технический</t>
        </is>
      </c>
      <c r="C189" s="331" t="inlineStr">
        <is>
          <t>МП4-УУ2</t>
        </is>
      </c>
      <c r="D189" s="332" t="inlineStr">
        <is>
          <t>15579</t>
        </is>
      </c>
      <c r="E189" s="331" t="inlineStr"/>
      <c r="F189" s="331" t="inlineStr">
        <is>
          <t>0…0,6 кгс/см2</t>
        </is>
      </c>
      <c r="G189" s="331" t="inlineStr">
        <is>
          <t>1.5</t>
        </is>
      </c>
      <c r="H189" s="329" t="inlineStr">
        <is>
          <t>Метрическая</t>
        </is>
      </c>
      <c r="I189" s="331" t="inlineStr">
        <is>
          <t>12</t>
        </is>
      </c>
      <c r="J189" s="331" t="inlineStr">
        <is>
          <t>2К24</t>
        </is>
      </c>
      <c r="K189" s="329" t="inlineStr">
        <is>
          <t>Радиальный</t>
        </is>
      </c>
    </row>
    <row r="190" ht="11.25" customHeight="1" s="236">
      <c r="A190" s="331" t="n">
        <v>189</v>
      </c>
      <c r="B190" s="331" t="inlineStr">
        <is>
          <t>Манометр технический</t>
        </is>
      </c>
      <c r="C190" s="331" t="inlineStr">
        <is>
          <t>МП4-УУХЛ1</t>
        </is>
      </c>
      <c r="D190" s="332" t="inlineStr">
        <is>
          <t>700076</t>
        </is>
      </c>
      <c r="E190" s="331" t="inlineStr"/>
      <c r="F190" s="331" t="inlineStr">
        <is>
          <t>0…10 МПа</t>
        </is>
      </c>
      <c r="G190" s="331" t="inlineStr">
        <is>
          <t>1</t>
        </is>
      </c>
      <c r="H190" s="329" t="inlineStr">
        <is>
          <t>Метрическая</t>
        </is>
      </c>
      <c r="I190" s="331" t="inlineStr">
        <is>
          <t>12</t>
        </is>
      </c>
      <c r="J190" s="331" t="inlineStr">
        <is>
          <t>25ДЯУ</t>
        </is>
      </c>
      <c r="K190" s="329" t="inlineStr">
        <is>
          <t>Радиальный</t>
        </is>
      </c>
    </row>
    <row r="191" ht="11.25" customHeight="1" s="236">
      <c r="A191" s="331" t="n">
        <v>190</v>
      </c>
      <c r="B191" s="331" t="inlineStr">
        <is>
          <t>Манометр технический</t>
        </is>
      </c>
      <c r="C191" s="331" t="inlineStr">
        <is>
          <t>МП3-УУ2</t>
        </is>
      </c>
      <c r="D191" s="332" t="inlineStr">
        <is>
          <t>80529</t>
        </is>
      </c>
      <c r="E191" s="331" t="inlineStr"/>
      <c r="F191" s="331" t="inlineStr">
        <is>
          <t>0…16 МПа</t>
        </is>
      </c>
      <c r="G191" s="331" t="inlineStr">
        <is>
          <t>1.5</t>
        </is>
      </c>
      <c r="H191" s="329" t="inlineStr">
        <is>
          <t>Метрическая</t>
        </is>
      </c>
      <c r="I191" s="331" t="inlineStr">
        <is>
          <t>12</t>
        </is>
      </c>
      <c r="J191" s="331" t="inlineStr">
        <is>
          <t>25ДЯУ</t>
        </is>
      </c>
      <c r="K191" s="329" t="inlineStr">
        <is>
          <t>Радиальный</t>
        </is>
      </c>
    </row>
    <row r="192" ht="11.25" customHeight="1" s="236">
      <c r="A192" s="331" t="n">
        <v>191</v>
      </c>
      <c r="B192" s="331" t="inlineStr">
        <is>
          <t>Манометр технический</t>
        </is>
      </c>
      <c r="C192" s="331" t="inlineStr">
        <is>
          <t>МП3-УФ</t>
        </is>
      </c>
      <c r="D192" s="332" t="inlineStr">
        <is>
          <t>3591</t>
        </is>
      </c>
      <c r="E192" s="331" t="inlineStr"/>
      <c r="F192" s="331" t="inlineStr">
        <is>
          <t>0…16 МПа</t>
        </is>
      </c>
      <c r="G192" s="331" t="inlineStr">
        <is>
          <t>1.5</t>
        </is>
      </c>
      <c r="H192" s="329" t="inlineStr">
        <is>
          <t>Метрическая</t>
        </is>
      </c>
      <c r="I192" s="331" t="inlineStr">
        <is>
          <t>12</t>
        </is>
      </c>
      <c r="J192" s="331" t="inlineStr">
        <is>
          <t>1К23</t>
        </is>
      </c>
      <c r="K192" s="329" t="inlineStr">
        <is>
          <t>Радиальный</t>
        </is>
      </c>
    </row>
    <row r="193" ht="11.25" customHeight="1" s="236">
      <c r="A193" s="331" t="n">
        <v>192</v>
      </c>
      <c r="B193" s="331" t="inlineStr">
        <is>
          <t>Манометр технический</t>
        </is>
      </c>
      <c r="C193" s="331" t="inlineStr">
        <is>
          <t>МП3-УУ2</t>
        </is>
      </c>
      <c r="D193" s="332" t="inlineStr">
        <is>
          <t>20253</t>
        </is>
      </c>
      <c r="E193" s="331" t="inlineStr"/>
      <c r="F193" s="331" t="inlineStr">
        <is>
          <t>0…16 МПа</t>
        </is>
      </c>
      <c r="G193" s="331" t="inlineStr">
        <is>
          <t>1.5</t>
        </is>
      </c>
      <c r="H193" s="329" t="inlineStr">
        <is>
          <t>Метрическая</t>
        </is>
      </c>
      <c r="I193" s="331" t="inlineStr">
        <is>
          <t>12</t>
        </is>
      </c>
      <c r="J193" s="331" t="inlineStr">
        <is>
          <t>24ДЯУ</t>
        </is>
      </c>
      <c r="K193" s="329" t="inlineStr">
        <is>
          <t>Радиальный</t>
        </is>
      </c>
    </row>
    <row r="194" ht="11.25" customHeight="1" s="236">
      <c r="A194" s="331" t="n">
        <v>193</v>
      </c>
      <c r="B194" s="331" t="inlineStr">
        <is>
          <t>Манометр технический</t>
        </is>
      </c>
      <c r="C194" s="331" t="inlineStr">
        <is>
          <t>МП3-УФ</t>
        </is>
      </c>
      <c r="D194" s="332" t="inlineStr">
        <is>
          <t>4718</t>
        </is>
      </c>
      <c r="E194" s="331" t="inlineStr"/>
      <c r="F194" s="331" t="inlineStr">
        <is>
          <t>0…16 МПа</t>
        </is>
      </c>
      <c r="G194" s="331" t="inlineStr">
        <is>
          <t>1.5</t>
        </is>
      </c>
      <c r="H194" s="329" t="inlineStr">
        <is>
          <t>Метрическая</t>
        </is>
      </c>
      <c r="I194" s="331" t="inlineStr">
        <is>
          <t>12</t>
        </is>
      </c>
      <c r="J194" s="331" t="inlineStr">
        <is>
          <t>25ДЯУ</t>
        </is>
      </c>
      <c r="K194" s="329" t="inlineStr">
        <is>
          <t>Радиальный</t>
        </is>
      </c>
    </row>
    <row r="195" ht="11.25" customHeight="1" s="236">
      <c r="A195" s="331" t="n">
        <v>194</v>
      </c>
      <c r="B195" s="331" t="inlineStr">
        <is>
          <t>Манометр технический</t>
        </is>
      </c>
      <c r="C195" s="331" t="inlineStr">
        <is>
          <t>ДМ 8008-ВУ-У2</t>
        </is>
      </c>
      <c r="D195" s="332" t="inlineStr">
        <is>
          <t>15587</t>
        </is>
      </c>
      <c r="E195" s="331" t="inlineStr">
        <is>
          <t>2018</t>
        </is>
      </c>
      <c r="F195" s="331" t="inlineStr">
        <is>
          <t>0…6 кгс/см2</t>
        </is>
      </c>
      <c r="G195" s="331" t="inlineStr">
        <is>
          <t>1.5</t>
        </is>
      </c>
      <c r="H195" s="329" t="inlineStr">
        <is>
          <t>Метрическая</t>
        </is>
      </c>
      <c r="I195" s="331" t="inlineStr">
        <is>
          <t>12</t>
        </is>
      </c>
      <c r="J195" s="331" t="inlineStr">
        <is>
          <t>3К24</t>
        </is>
      </c>
      <c r="K195" s="329" t="inlineStr">
        <is>
          <t>Радиальный</t>
        </is>
      </c>
    </row>
    <row r="196" ht="11.25" customHeight="1" s="236">
      <c r="A196" s="331" t="n">
        <v>195</v>
      </c>
      <c r="B196" s="331" t="inlineStr">
        <is>
          <t>Манометр технический</t>
        </is>
      </c>
      <c r="C196" s="331" t="inlineStr">
        <is>
          <t>ТМ5</t>
        </is>
      </c>
      <c r="D196" s="332" t="inlineStr">
        <is>
          <t>70153</t>
        </is>
      </c>
      <c r="E196" s="331" t="inlineStr"/>
      <c r="F196" s="331" t="inlineStr">
        <is>
          <t>0…1,6 МПа</t>
        </is>
      </c>
      <c r="G196" s="331" t="inlineStr">
        <is>
          <t>1.5</t>
        </is>
      </c>
      <c r="H196" s="329" t="inlineStr">
        <is>
          <t>Трубная</t>
        </is>
      </c>
      <c r="I196" s="331" t="inlineStr">
        <is>
          <t>12</t>
        </is>
      </c>
      <c r="J196" s="331" t="inlineStr">
        <is>
          <t>25ДЯУ</t>
        </is>
      </c>
      <c r="K196" s="329" t="inlineStr">
        <is>
          <t>Радиальный</t>
        </is>
      </c>
    </row>
    <row r="197" ht="11.25" customHeight="1" s="236">
      <c r="A197" s="331" t="n">
        <v>196</v>
      </c>
      <c r="B197" s="331" t="inlineStr">
        <is>
          <t>Манометр технический</t>
        </is>
      </c>
      <c r="C197" s="331" t="inlineStr">
        <is>
          <t>ТМ5</t>
        </is>
      </c>
      <c r="D197" s="332" t="inlineStr">
        <is>
          <t>7000178</t>
        </is>
      </c>
      <c r="E197" s="331" t="inlineStr"/>
      <c r="F197" s="331" t="inlineStr">
        <is>
          <t>0…1,6 МПа</t>
        </is>
      </c>
      <c r="G197" s="331" t="inlineStr">
        <is>
          <t>1.5</t>
        </is>
      </c>
      <c r="H197" s="329" t="inlineStr">
        <is>
          <t>Трубная</t>
        </is>
      </c>
      <c r="I197" s="331" t="inlineStr">
        <is>
          <t>12</t>
        </is>
      </c>
      <c r="J197" s="331" t="inlineStr">
        <is>
          <t>25ДЯУ</t>
        </is>
      </c>
      <c r="K197" s="329" t="inlineStr">
        <is>
          <t>Радиальный</t>
        </is>
      </c>
    </row>
    <row r="198" ht="11.25" customHeight="1" s="236">
      <c r="A198" s="331" t="n">
        <v>197</v>
      </c>
      <c r="B198" s="331" t="inlineStr">
        <is>
          <t>Манометр технический</t>
        </is>
      </c>
      <c r="C198" s="331" t="inlineStr">
        <is>
          <t>МП3-УУХЛ1</t>
        </is>
      </c>
      <c r="D198" s="332" t="inlineStr">
        <is>
          <t>15213</t>
        </is>
      </c>
      <c r="E198" s="331" t="inlineStr"/>
      <c r="F198" s="331" t="inlineStr">
        <is>
          <t>0…160 кгс/см2</t>
        </is>
      </c>
      <c r="G198" s="331" t="inlineStr">
        <is>
          <t>1.5</t>
        </is>
      </c>
      <c r="H198" s="329" t="inlineStr">
        <is>
          <t>Метрическая</t>
        </is>
      </c>
      <c r="I198" s="331" t="inlineStr">
        <is>
          <t>12</t>
        </is>
      </c>
      <c r="J198" s="331" t="inlineStr">
        <is>
          <t>25ДЯУ</t>
        </is>
      </c>
      <c r="K198" s="329" t="inlineStr">
        <is>
          <t>Радиальный</t>
        </is>
      </c>
    </row>
    <row r="199" ht="11.25" customHeight="1" s="236">
      <c r="A199" s="331" t="n">
        <v>198</v>
      </c>
      <c r="B199" s="331" t="inlineStr">
        <is>
          <t>Манометр технический</t>
        </is>
      </c>
      <c r="C199" s="331" t="inlineStr">
        <is>
          <t>ТМ5</t>
        </is>
      </c>
      <c r="D199" s="332" t="inlineStr">
        <is>
          <t>80521</t>
        </is>
      </c>
      <c r="E199" s="331" t="inlineStr"/>
      <c r="F199" s="331" t="inlineStr">
        <is>
          <t>0…16 МПа</t>
        </is>
      </c>
      <c r="G199" s="331" t="inlineStr">
        <is>
          <t>1.5</t>
        </is>
      </c>
      <c r="H199" s="329" t="inlineStr">
        <is>
          <t>Трубная</t>
        </is>
      </c>
      <c r="I199" s="331" t="inlineStr">
        <is>
          <t>12</t>
        </is>
      </c>
      <c r="J199" s="331" t="inlineStr">
        <is>
          <t>25ДЯУ</t>
        </is>
      </c>
      <c r="K199" s="329" t="inlineStr">
        <is>
          <t>Радиальный</t>
        </is>
      </c>
    </row>
    <row r="200" ht="11.25" customHeight="1" s="236">
      <c r="A200" s="331" t="n">
        <v>199</v>
      </c>
      <c r="B200" s="331" t="inlineStr">
        <is>
          <t>Манометр технический</t>
        </is>
      </c>
      <c r="C200" s="331" t="inlineStr">
        <is>
          <t>МП4-УУ2</t>
        </is>
      </c>
      <c r="D200" s="332" t="inlineStr">
        <is>
          <t>20254</t>
        </is>
      </c>
      <c r="E200" s="331" t="inlineStr"/>
      <c r="F200" s="331" t="inlineStr">
        <is>
          <t>0…16 МПа</t>
        </is>
      </c>
      <c r="G200" s="331" t="inlineStr">
        <is>
          <t>1.5</t>
        </is>
      </c>
      <c r="H200" s="329" t="inlineStr">
        <is>
          <t>Метрическая</t>
        </is>
      </c>
      <c r="I200" s="331" t="inlineStr">
        <is>
          <t>12</t>
        </is>
      </c>
      <c r="J200" s="331" t="inlineStr">
        <is>
          <t>отсутствует</t>
        </is>
      </c>
      <c r="K200" s="329" t="inlineStr">
        <is>
          <t>Радиальный</t>
        </is>
      </c>
    </row>
    <row r="201" ht="11.25" customHeight="1" s="236">
      <c r="A201" s="331" t="n">
        <v>200</v>
      </c>
      <c r="B201" s="331" t="inlineStr">
        <is>
          <t>Манометр технический</t>
        </is>
      </c>
      <c r="C201" s="331" t="inlineStr">
        <is>
          <t>МП3-УУ2</t>
        </is>
      </c>
      <c r="D201" s="332" t="inlineStr">
        <is>
          <t>700004</t>
        </is>
      </c>
      <c r="E201" s="331" t="inlineStr"/>
      <c r="F201" s="331" t="inlineStr">
        <is>
          <t>0…16 МПа</t>
        </is>
      </c>
      <c r="G201" s="331" t="inlineStr">
        <is>
          <t>1.5</t>
        </is>
      </c>
      <c r="H201" s="329" t="inlineStr">
        <is>
          <t>Метрическая</t>
        </is>
      </c>
      <c r="I201" s="331" t="inlineStr">
        <is>
          <t>12</t>
        </is>
      </c>
      <c r="J201" s="331" t="inlineStr">
        <is>
          <t>24ДЯУ</t>
        </is>
      </c>
      <c r="K201" s="329" t="inlineStr">
        <is>
          <t>Радиальный</t>
        </is>
      </c>
    </row>
    <row r="202" ht="11.25" customHeight="1" s="236">
      <c r="A202" s="331" t="n">
        <v>201</v>
      </c>
      <c r="B202" s="331" t="inlineStr">
        <is>
          <t>Манометр технический</t>
        </is>
      </c>
      <c r="C202" s="331" t="inlineStr">
        <is>
          <t>МП3-УФ</t>
        </is>
      </c>
      <c r="D202" s="332" t="inlineStr">
        <is>
          <t>4721</t>
        </is>
      </c>
      <c r="E202" s="331" t="inlineStr"/>
      <c r="F202" s="331" t="inlineStr">
        <is>
          <t>0…16 МПа</t>
        </is>
      </c>
      <c r="G202" s="331" t="inlineStr">
        <is>
          <t>1.5</t>
        </is>
      </c>
      <c r="H202" s="329" t="inlineStr">
        <is>
          <t>Метрическая</t>
        </is>
      </c>
      <c r="I202" s="331" t="inlineStr">
        <is>
          <t>12</t>
        </is>
      </c>
      <c r="J202" s="331" t="inlineStr">
        <is>
          <t>25ДЯУ</t>
        </is>
      </c>
      <c r="K202" s="329" t="inlineStr">
        <is>
          <t>Радиальный</t>
        </is>
      </c>
    </row>
    <row r="203" ht="11.25" customHeight="1" s="236">
      <c r="A203" s="331" t="n">
        <v>202</v>
      </c>
      <c r="B203" s="331" t="inlineStr">
        <is>
          <t>Манометр технический</t>
        </is>
      </c>
      <c r="C203" s="331" t="inlineStr">
        <is>
          <t>МП3-УУ2</t>
        </is>
      </c>
      <c r="D203" s="332" t="inlineStr">
        <is>
          <t>700217</t>
        </is>
      </c>
      <c r="E203" s="331" t="inlineStr"/>
      <c r="F203" s="331" t="inlineStr">
        <is>
          <t>0…16 кгс/см2</t>
        </is>
      </c>
      <c r="G203" s="331" t="inlineStr">
        <is>
          <t>1.5</t>
        </is>
      </c>
      <c r="H203" s="329" t="inlineStr">
        <is>
          <t>Метрическая</t>
        </is>
      </c>
      <c r="I203" s="331" t="inlineStr">
        <is>
          <t>12</t>
        </is>
      </c>
      <c r="J203" s="331" t="inlineStr">
        <is>
          <t>25ДЯУ</t>
        </is>
      </c>
      <c r="K203" s="329" t="inlineStr">
        <is>
          <t>Радиальный</t>
        </is>
      </c>
    </row>
    <row r="204" ht="11.25" customHeight="1" s="236">
      <c r="A204" s="331" t="n">
        <v>203</v>
      </c>
      <c r="B204" s="331" t="inlineStr">
        <is>
          <t>Манометр технический</t>
        </is>
      </c>
      <c r="C204" s="331" t="inlineStr">
        <is>
          <t>МП3-УУХЛ1</t>
        </is>
      </c>
      <c r="D204" s="332" t="inlineStr">
        <is>
          <t>212035202</t>
        </is>
      </c>
      <c r="E204" s="331" t="inlineStr"/>
      <c r="F204" s="331" t="inlineStr">
        <is>
          <t>0…16 МПа</t>
        </is>
      </c>
      <c r="G204" s="331" t="inlineStr">
        <is>
          <t>1.5</t>
        </is>
      </c>
      <c r="H204" s="329" t="inlineStr">
        <is>
          <t>Метрическая</t>
        </is>
      </c>
      <c r="I204" s="331" t="inlineStr">
        <is>
          <t>12</t>
        </is>
      </c>
      <c r="J204" s="331" t="inlineStr">
        <is>
          <t>25ДЯУ</t>
        </is>
      </c>
      <c r="K204" s="329" t="inlineStr">
        <is>
          <t>Радиальный</t>
        </is>
      </c>
    </row>
    <row r="205" ht="11.25" customHeight="1" s="236">
      <c r="A205" s="331" t="n">
        <v>204</v>
      </c>
      <c r="B205" s="331" t="inlineStr">
        <is>
          <t>Манометр технический</t>
        </is>
      </c>
      <c r="C205" s="331" t="inlineStr">
        <is>
          <t>ТМ5</t>
        </is>
      </c>
      <c r="D205" s="332" t="inlineStr">
        <is>
          <t>15653</t>
        </is>
      </c>
      <c r="E205" s="331" t="inlineStr"/>
      <c r="F205" s="331" t="inlineStr">
        <is>
          <t>0…16 МПа</t>
        </is>
      </c>
      <c r="G205" s="331" t="inlineStr">
        <is>
          <t>1.5</t>
        </is>
      </c>
      <c r="H205" s="329" t="inlineStr">
        <is>
          <t>Метрическая</t>
        </is>
      </c>
      <c r="I205" s="331" t="inlineStr">
        <is>
          <t>12</t>
        </is>
      </c>
      <c r="J205" s="331" t="inlineStr">
        <is>
          <t>25ДЯУ</t>
        </is>
      </c>
      <c r="K205" s="329" t="inlineStr">
        <is>
          <t>Радиальный</t>
        </is>
      </c>
    </row>
    <row r="206" ht="11.25" customHeight="1" s="236">
      <c r="A206" s="331" t="n">
        <v>205</v>
      </c>
      <c r="B206" s="331" t="inlineStr">
        <is>
          <t>Манометр технический</t>
        </is>
      </c>
      <c r="C206" s="331" t="inlineStr">
        <is>
          <t>МП3-УУХЛ1</t>
        </is>
      </c>
      <c r="D206" s="332" t="inlineStr">
        <is>
          <t>212033562</t>
        </is>
      </c>
      <c r="E206" s="331" t="inlineStr"/>
      <c r="F206" s="331" t="inlineStr">
        <is>
          <t>0…16 МПа</t>
        </is>
      </c>
      <c r="G206" s="331" t="inlineStr">
        <is>
          <t>1.5</t>
        </is>
      </c>
      <c r="H206" s="329" t="inlineStr">
        <is>
          <t>Метрическая</t>
        </is>
      </c>
      <c r="I206" s="331" t="inlineStr">
        <is>
          <t>12</t>
        </is>
      </c>
      <c r="J206" s="331" t="inlineStr">
        <is>
          <t>25ДЯУ</t>
        </is>
      </c>
      <c r="K206" s="329" t="inlineStr">
        <is>
          <t>Радиальный</t>
        </is>
      </c>
    </row>
    <row r="207" ht="11.25" customHeight="1" s="236">
      <c r="A207" s="331" t="n">
        <v>206</v>
      </c>
      <c r="B207" s="331" t="inlineStr">
        <is>
          <t>Манометр технический</t>
        </is>
      </c>
      <c r="C207" s="331" t="inlineStr">
        <is>
          <t>МП3-УУХЛ1</t>
        </is>
      </c>
      <c r="D207" s="332" t="inlineStr">
        <is>
          <t>212034403</t>
        </is>
      </c>
      <c r="E207" s="331" t="inlineStr"/>
      <c r="F207" s="331" t="inlineStr">
        <is>
          <t>0…16 МПа</t>
        </is>
      </c>
      <c r="G207" s="331" t="inlineStr">
        <is>
          <t>1.5</t>
        </is>
      </c>
      <c r="H207" s="329" t="inlineStr">
        <is>
          <t>Метрическая</t>
        </is>
      </c>
      <c r="I207" s="331" t="inlineStr">
        <is>
          <t>12</t>
        </is>
      </c>
      <c r="J207" s="331" t="inlineStr">
        <is>
          <t>25ДЯУ</t>
        </is>
      </c>
      <c r="K207" s="329" t="inlineStr">
        <is>
          <t>Радиальный</t>
        </is>
      </c>
    </row>
    <row r="208" ht="11.25" customHeight="1" s="236">
      <c r="A208" s="331" t="n">
        <v>207</v>
      </c>
      <c r="B208" s="331" t="inlineStr">
        <is>
          <t>Манометр технический</t>
        </is>
      </c>
      <c r="C208" s="331" t="inlineStr">
        <is>
          <t>МП3-УФ</t>
        </is>
      </c>
      <c r="D208" s="332" t="inlineStr">
        <is>
          <t>004668</t>
        </is>
      </c>
      <c r="E208" s="331" t="inlineStr"/>
      <c r="F208" s="331" t="inlineStr">
        <is>
          <t>0…16 МПа</t>
        </is>
      </c>
      <c r="G208" s="331" t="inlineStr">
        <is>
          <t>1.5</t>
        </is>
      </c>
      <c r="H208" s="329" t="inlineStr">
        <is>
          <t>Метрическая</t>
        </is>
      </c>
      <c r="I208" s="331" t="inlineStr">
        <is>
          <t>12</t>
        </is>
      </c>
      <c r="J208" s="331" t="inlineStr">
        <is>
          <t>25ДЯУ</t>
        </is>
      </c>
      <c r="K208" s="329" t="inlineStr">
        <is>
          <t>Радиальный</t>
        </is>
      </c>
    </row>
    <row r="209" ht="11.25" customHeight="1" s="236">
      <c r="A209" s="331" t="n">
        <v>208</v>
      </c>
      <c r="B209" s="331" t="inlineStr">
        <is>
          <t>Манометр технический</t>
        </is>
      </c>
      <c r="C209" s="331" t="inlineStr">
        <is>
          <t>МП3-УУХЛ1</t>
        </is>
      </c>
      <c r="D209" s="332" t="inlineStr">
        <is>
          <t>212033580</t>
        </is>
      </c>
      <c r="E209" s="331" t="inlineStr"/>
      <c r="F209" s="331" t="inlineStr">
        <is>
          <t>0…16 МПа</t>
        </is>
      </c>
      <c r="G209" s="331" t="inlineStr">
        <is>
          <t>1.5</t>
        </is>
      </c>
      <c r="H209" s="329" t="inlineStr">
        <is>
          <t>Метрическая</t>
        </is>
      </c>
      <c r="I209" s="331" t="inlineStr">
        <is>
          <t>12</t>
        </is>
      </c>
      <c r="J209" s="331" t="inlineStr">
        <is>
          <t>25ДЯУ</t>
        </is>
      </c>
      <c r="K209" s="329" t="inlineStr">
        <is>
          <t>Радиальный</t>
        </is>
      </c>
    </row>
    <row r="210" ht="11.25" customHeight="1" s="236">
      <c r="A210" s="331" t="n">
        <v>209</v>
      </c>
      <c r="B210" s="331" t="inlineStr">
        <is>
          <t>Манометр технический</t>
        </is>
      </c>
      <c r="C210" s="331" t="inlineStr">
        <is>
          <t>ДМ 8008-ВУ-У2</t>
        </is>
      </c>
      <c r="D210" s="332" t="inlineStr">
        <is>
          <t>15588</t>
        </is>
      </c>
      <c r="E210" s="331" t="inlineStr">
        <is>
          <t>2017</t>
        </is>
      </c>
      <c r="F210" s="331" t="inlineStr">
        <is>
          <t>0…6 кгс/см2</t>
        </is>
      </c>
      <c r="G210" s="331" t="inlineStr">
        <is>
          <t>1.5</t>
        </is>
      </c>
      <c r="H210" s="329" t="inlineStr">
        <is>
          <t>Метрическая</t>
        </is>
      </c>
      <c r="I210" s="331" t="inlineStr">
        <is>
          <t>12</t>
        </is>
      </c>
      <c r="J210" s="331" t="inlineStr">
        <is>
          <t>3К24</t>
        </is>
      </c>
      <c r="K210" s="329" t="inlineStr">
        <is>
          <t>Радиальный</t>
        </is>
      </c>
    </row>
    <row r="211" ht="11.25" customHeight="1" s="236">
      <c r="A211" s="331" t="n">
        <v>210</v>
      </c>
      <c r="B211" s="331" t="inlineStr">
        <is>
          <t>Манометр технический</t>
        </is>
      </c>
      <c r="C211" s="331" t="inlineStr">
        <is>
          <t>ДМ 8008-ВУ-У2</t>
        </is>
      </c>
      <c r="D211" s="332" t="inlineStr">
        <is>
          <t>15164</t>
        </is>
      </c>
      <c r="E211" s="331" t="inlineStr">
        <is>
          <t>2012</t>
        </is>
      </c>
      <c r="F211" s="331" t="inlineStr">
        <is>
          <t>0…6 кгс/см2</t>
        </is>
      </c>
      <c r="G211" s="331" t="inlineStr">
        <is>
          <t>1.5</t>
        </is>
      </c>
      <c r="H211" s="329" t="inlineStr">
        <is>
          <t>Метрическая</t>
        </is>
      </c>
      <c r="I211" s="331" t="inlineStr">
        <is>
          <t>12</t>
        </is>
      </c>
      <c r="J211" s="331" t="inlineStr">
        <is>
          <t>отсутствует</t>
        </is>
      </c>
      <c r="K211" s="329" t="inlineStr">
        <is>
          <t>Радиальный</t>
        </is>
      </c>
    </row>
    <row r="212" ht="11.25" customHeight="1" s="236">
      <c r="A212" s="331" t="n">
        <v>211</v>
      </c>
      <c r="B212" s="331" t="inlineStr">
        <is>
          <t>Манометр технический</t>
        </is>
      </c>
      <c r="C212" s="331" t="inlineStr">
        <is>
          <t>ДМ 8008-ВУ-У2</t>
        </is>
      </c>
      <c r="D212" s="332" t="inlineStr">
        <is>
          <t>50251</t>
        </is>
      </c>
      <c r="E212" s="331" t="inlineStr">
        <is>
          <t>2010</t>
        </is>
      </c>
      <c r="F212" s="331" t="inlineStr">
        <is>
          <t>0…6 кгс/см2</t>
        </is>
      </c>
      <c r="G212" s="331" t="inlineStr">
        <is>
          <t>1.5</t>
        </is>
      </c>
      <c r="H212" s="329" t="inlineStr">
        <is>
          <t>Метрическая</t>
        </is>
      </c>
      <c r="I212" s="331" t="inlineStr">
        <is>
          <t>12</t>
        </is>
      </c>
      <c r="J212" s="331" t="inlineStr">
        <is>
          <t>отсутствует</t>
        </is>
      </c>
      <c r="K212" s="329" t="inlineStr">
        <is>
          <t>Радиальный</t>
        </is>
      </c>
    </row>
    <row r="213" ht="11.25" customHeight="1" s="236">
      <c r="A213" s="331" t="n">
        <v>212</v>
      </c>
      <c r="B213" s="331" t="inlineStr">
        <is>
          <t>Манометр технический</t>
        </is>
      </c>
      <c r="C213" s="331" t="inlineStr">
        <is>
          <t>ДМ 8008-ВУ-У2</t>
        </is>
      </c>
      <c r="D213" s="332" t="inlineStr">
        <is>
          <t>15166</t>
        </is>
      </c>
      <c r="E213" s="331" t="inlineStr">
        <is>
          <t>2012</t>
        </is>
      </c>
      <c r="F213" s="331" t="inlineStr">
        <is>
          <t>0…6 кгс/см2</t>
        </is>
      </c>
      <c r="G213" s="331" t="inlineStr">
        <is>
          <t>1.5</t>
        </is>
      </c>
      <c r="H213" s="329" t="inlineStr">
        <is>
          <t>Метрическая</t>
        </is>
      </c>
      <c r="I213" s="331" t="inlineStr">
        <is>
          <t>12</t>
        </is>
      </c>
      <c r="J213" s="331" t="inlineStr">
        <is>
          <t>отсутствует</t>
        </is>
      </c>
      <c r="K213" s="329" t="inlineStr">
        <is>
          <t>Радиальный</t>
        </is>
      </c>
    </row>
    <row r="214" ht="11.25" customHeight="1" s="236">
      <c r="A214" s="331" t="n">
        <v>213</v>
      </c>
      <c r="B214" s="331" t="inlineStr">
        <is>
          <t>Манометр технический</t>
        </is>
      </c>
      <c r="C214" s="331" t="inlineStr">
        <is>
          <t>ДМ 8008-ВУ-У2</t>
        </is>
      </c>
      <c r="D214" s="332" t="inlineStr">
        <is>
          <t>050924</t>
        </is>
      </c>
      <c r="E214" s="331" t="inlineStr">
        <is>
          <t>2010</t>
        </is>
      </c>
      <c r="F214" s="331" t="inlineStr">
        <is>
          <t>0…6 кгс/см2</t>
        </is>
      </c>
      <c r="G214" s="331" t="inlineStr">
        <is>
          <t>1.5</t>
        </is>
      </c>
      <c r="H214" s="329" t="inlineStr">
        <is>
          <t>Метрическая</t>
        </is>
      </c>
      <c r="I214" s="331" t="inlineStr">
        <is>
          <t>12</t>
        </is>
      </c>
      <c r="J214" s="331" t="inlineStr">
        <is>
          <t>2К24</t>
        </is>
      </c>
      <c r="K214" s="329" t="inlineStr">
        <is>
          <t>Радиальный</t>
        </is>
      </c>
    </row>
    <row r="215" ht="11.25" customHeight="1" s="236">
      <c r="A215" s="331" t="n">
        <v>214</v>
      </c>
      <c r="B215" s="331" t="inlineStr">
        <is>
          <t>Манометр технический</t>
        </is>
      </c>
      <c r="C215" s="331" t="inlineStr">
        <is>
          <t>ДМ 8008-ВУ-У2</t>
        </is>
      </c>
      <c r="D215" s="332" t="inlineStr">
        <is>
          <t>15673</t>
        </is>
      </c>
      <c r="E215" s="331" t="inlineStr">
        <is>
          <t>2018</t>
        </is>
      </c>
      <c r="F215" s="331" t="inlineStr">
        <is>
          <t>0…6 кгс/см2</t>
        </is>
      </c>
      <c r="G215" s="331" t="inlineStr">
        <is>
          <t>1.5</t>
        </is>
      </c>
      <c r="H215" s="329" t="inlineStr">
        <is>
          <t>Метрическая</t>
        </is>
      </c>
      <c r="I215" s="331" t="inlineStr">
        <is>
          <t>12</t>
        </is>
      </c>
      <c r="J215" s="331" t="inlineStr">
        <is>
          <t>24ДЯУ</t>
        </is>
      </c>
      <c r="K215" s="329" t="inlineStr">
        <is>
          <t>Радиальный</t>
        </is>
      </c>
    </row>
    <row r="216" ht="11.25" customHeight="1" s="236">
      <c r="A216" s="331" t="n">
        <v>215</v>
      </c>
      <c r="B216" s="331" t="inlineStr">
        <is>
          <t>Манометр технический</t>
        </is>
      </c>
      <c r="C216" s="331" t="inlineStr">
        <is>
          <t>МП3-УФ</t>
        </is>
      </c>
      <c r="D216" s="332" t="inlineStr">
        <is>
          <t>004498</t>
        </is>
      </c>
      <c r="E216" s="331" t="inlineStr"/>
      <c r="F216" s="331" t="inlineStr">
        <is>
          <t>0…16 МПа</t>
        </is>
      </c>
      <c r="G216" s="331" t="inlineStr">
        <is>
          <t>1.5</t>
        </is>
      </c>
      <c r="H216" s="329" t="inlineStr">
        <is>
          <t>Метрическая</t>
        </is>
      </c>
      <c r="I216" s="331" t="inlineStr">
        <is>
          <t>12</t>
        </is>
      </c>
      <c r="J216" s="331" t="inlineStr">
        <is>
          <t>1К23</t>
        </is>
      </c>
      <c r="K216" s="329" t="inlineStr">
        <is>
          <t>Радиальный</t>
        </is>
      </c>
    </row>
    <row r="217" ht="11.25" customHeight="1" s="236">
      <c r="A217" s="331" t="n">
        <v>216</v>
      </c>
      <c r="B217" s="331" t="inlineStr">
        <is>
          <t>Манометр технический</t>
        </is>
      </c>
      <c r="C217" s="331" t="inlineStr">
        <is>
          <t>ТМ5</t>
        </is>
      </c>
      <c r="D217" s="332" t="inlineStr">
        <is>
          <t>40241</t>
        </is>
      </c>
      <c r="E217" s="331" t="inlineStr"/>
      <c r="F217" s="331" t="inlineStr">
        <is>
          <t>0…1,6 МПа</t>
        </is>
      </c>
      <c r="G217" s="331" t="inlineStr">
        <is>
          <t>1.5</t>
        </is>
      </c>
      <c r="H217" s="329" t="inlineStr">
        <is>
          <t>Метрическая</t>
        </is>
      </c>
      <c r="I217" s="331" t="inlineStr">
        <is>
          <t>12</t>
        </is>
      </c>
      <c r="J217" s="331" t="inlineStr">
        <is>
          <t>23ДЯУ</t>
        </is>
      </c>
      <c r="K217" s="329" t="inlineStr">
        <is>
          <t>Радиальный</t>
        </is>
      </c>
    </row>
    <row r="218" ht="11.25" customHeight="1" s="236">
      <c r="A218" s="331" t="n">
        <v>217</v>
      </c>
      <c r="B218" s="331" t="inlineStr">
        <is>
          <t>Манометр технический</t>
        </is>
      </c>
      <c r="C218" s="331" t="inlineStr">
        <is>
          <t>МП3-УУ2</t>
        </is>
      </c>
      <c r="D218" s="332" t="inlineStr">
        <is>
          <t>20256</t>
        </is>
      </c>
      <c r="E218" s="331" t="inlineStr"/>
      <c r="F218" s="331" t="inlineStr">
        <is>
          <t>0…16 МПа</t>
        </is>
      </c>
      <c r="G218" s="331" t="inlineStr">
        <is>
          <t>1.5</t>
        </is>
      </c>
      <c r="H218" s="329" t="inlineStr">
        <is>
          <t>Метрическая</t>
        </is>
      </c>
      <c r="I218" s="331" t="inlineStr">
        <is>
          <t>12</t>
        </is>
      </c>
      <c r="J218" s="331" t="inlineStr">
        <is>
          <t>отсутствует</t>
        </is>
      </c>
      <c r="K218" s="329" t="inlineStr">
        <is>
          <t>Радиальный</t>
        </is>
      </c>
    </row>
    <row r="219" ht="11.25" customHeight="1" s="236">
      <c r="A219" s="331" t="n">
        <v>218</v>
      </c>
      <c r="B219" s="331" t="inlineStr">
        <is>
          <t>Манометр технический</t>
        </is>
      </c>
      <c r="C219" s="331" t="inlineStr">
        <is>
          <t>МП3-УУ2</t>
        </is>
      </c>
      <c r="D219" s="332" t="inlineStr">
        <is>
          <t>700003</t>
        </is>
      </c>
      <c r="E219" s="331" t="inlineStr"/>
      <c r="F219" s="331" t="inlineStr">
        <is>
          <t>0…16 МПа</t>
        </is>
      </c>
      <c r="G219" s="331" t="inlineStr">
        <is>
          <t>1.5</t>
        </is>
      </c>
      <c r="H219" s="329" t="inlineStr">
        <is>
          <t>Метрическая</t>
        </is>
      </c>
      <c r="I219" s="331" t="inlineStr">
        <is>
          <t>12</t>
        </is>
      </c>
      <c r="J219" s="331" t="inlineStr">
        <is>
          <t>24ДЯУ</t>
        </is>
      </c>
      <c r="K219" s="329" t="inlineStr">
        <is>
          <t>Радиальный</t>
        </is>
      </c>
    </row>
    <row r="220" ht="11.25" customHeight="1" s="236">
      <c r="A220" s="331" t="n">
        <v>219</v>
      </c>
      <c r="B220" s="331" t="inlineStr">
        <is>
          <t>Манометр технический</t>
        </is>
      </c>
      <c r="C220" s="331" t="inlineStr">
        <is>
          <t>ТМ5</t>
        </is>
      </c>
      <c r="D220" s="332" t="inlineStr">
        <is>
          <t>7000193</t>
        </is>
      </c>
      <c r="E220" s="331" t="inlineStr"/>
      <c r="F220" s="331" t="inlineStr">
        <is>
          <t>0…1,6 МПа</t>
        </is>
      </c>
      <c r="G220" s="331" t="inlineStr">
        <is>
          <t>1.5</t>
        </is>
      </c>
      <c r="H220" s="329" t="inlineStr">
        <is>
          <t>Метрическая</t>
        </is>
      </c>
      <c r="I220" s="331" t="inlineStr">
        <is>
          <t>12</t>
        </is>
      </c>
      <c r="J220" s="331" t="inlineStr">
        <is>
          <t>25ДЯУ</t>
        </is>
      </c>
      <c r="K220" s="329" t="inlineStr">
        <is>
          <t>Радиальный</t>
        </is>
      </c>
    </row>
    <row r="221" ht="11.25" customHeight="1" s="236">
      <c r="A221" s="331" t="n">
        <v>220</v>
      </c>
      <c r="B221" s="331" t="inlineStr">
        <is>
          <t>Манометр технический</t>
        </is>
      </c>
      <c r="C221" s="331" t="inlineStr">
        <is>
          <t>ТМ5</t>
        </is>
      </c>
      <c r="D221" s="332" t="inlineStr">
        <is>
          <t>700290</t>
        </is>
      </c>
      <c r="E221" s="331" t="inlineStr"/>
      <c r="F221" s="331" t="inlineStr">
        <is>
          <t>0…0,6 МПа</t>
        </is>
      </c>
      <c r="G221" s="331" t="inlineStr">
        <is>
          <t>1.5</t>
        </is>
      </c>
      <c r="H221" s="329" t="inlineStr">
        <is>
          <t>Метрическая</t>
        </is>
      </c>
      <c r="I221" s="331" t="inlineStr">
        <is>
          <t>12</t>
        </is>
      </c>
      <c r="J221" s="331" t="inlineStr">
        <is>
          <t>отсутствует</t>
        </is>
      </c>
      <c r="K221" s="329" t="inlineStr">
        <is>
          <t>Радиальный</t>
        </is>
      </c>
    </row>
    <row r="222" ht="11.25" customHeight="1" s="236">
      <c r="A222" s="331" t="n">
        <v>221</v>
      </c>
      <c r="B222" s="331" t="inlineStr">
        <is>
          <t>Манометр технический</t>
        </is>
      </c>
      <c r="C222" s="331" t="inlineStr">
        <is>
          <t>МП3-УУ2</t>
        </is>
      </c>
      <c r="D222" s="332" t="inlineStr">
        <is>
          <t>700017</t>
        </is>
      </c>
      <c r="E222" s="331" t="inlineStr"/>
      <c r="F222" s="331" t="inlineStr">
        <is>
          <t>0…16 МПа</t>
        </is>
      </c>
      <c r="G222" s="331" t="inlineStr">
        <is>
          <t>1.5</t>
        </is>
      </c>
      <c r="H222" s="329" t="inlineStr">
        <is>
          <t>Метрическая</t>
        </is>
      </c>
      <c r="I222" s="331" t="inlineStr">
        <is>
          <t>12</t>
        </is>
      </c>
      <c r="J222" s="331" t="inlineStr">
        <is>
          <t>1К25</t>
        </is>
      </c>
      <c r="K222" s="329" t="inlineStr">
        <is>
          <t>Радиальный</t>
        </is>
      </c>
    </row>
    <row r="223" ht="11.25" customHeight="1" s="236">
      <c r="A223" s="331" t="n">
        <v>222</v>
      </c>
      <c r="B223" s="331" t="inlineStr">
        <is>
          <t>Манометр технический</t>
        </is>
      </c>
      <c r="C223" s="331" t="inlineStr">
        <is>
          <t>МП3-УУ2</t>
        </is>
      </c>
      <c r="D223" s="332" t="inlineStr">
        <is>
          <t>700000</t>
        </is>
      </c>
      <c r="E223" s="331" t="inlineStr"/>
      <c r="F223" s="331" t="inlineStr">
        <is>
          <t>0…16 МПа</t>
        </is>
      </c>
      <c r="G223" s="331" t="inlineStr">
        <is>
          <t>1.5</t>
        </is>
      </c>
      <c r="H223" s="329" t="inlineStr">
        <is>
          <t>Метрическая</t>
        </is>
      </c>
      <c r="I223" s="331" t="inlineStr">
        <is>
          <t>12</t>
        </is>
      </c>
      <c r="J223" s="331" t="inlineStr">
        <is>
          <t>1К25</t>
        </is>
      </c>
      <c r="K223" s="329" t="inlineStr">
        <is>
          <t>Радиальный</t>
        </is>
      </c>
    </row>
    <row r="224" ht="11.25" customHeight="1" s="236">
      <c r="A224" s="331" t="n">
        <v>223</v>
      </c>
      <c r="B224" s="331" t="inlineStr">
        <is>
          <t>Манометр технический</t>
        </is>
      </c>
      <c r="C224" s="331" t="inlineStr">
        <is>
          <t>МП3-УУ2</t>
        </is>
      </c>
      <c r="D224" s="332" t="inlineStr">
        <is>
          <t>700016</t>
        </is>
      </c>
      <c r="E224" s="331" t="inlineStr"/>
      <c r="F224" s="331" t="inlineStr">
        <is>
          <t>0…16 МПа</t>
        </is>
      </c>
      <c r="G224" s="331" t="inlineStr">
        <is>
          <t>1.5</t>
        </is>
      </c>
      <c r="H224" s="329" t="inlineStr">
        <is>
          <t>Метрическая</t>
        </is>
      </c>
      <c r="I224" s="331" t="inlineStr">
        <is>
          <t>12</t>
        </is>
      </c>
      <c r="J224" s="331" t="inlineStr">
        <is>
          <t>1К25</t>
        </is>
      </c>
      <c r="K224" s="329" t="inlineStr">
        <is>
          <t>Радиальный</t>
        </is>
      </c>
    </row>
    <row r="225" ht="11.25" customHeight="1" s="236">
      <c r="A225" s="331" t="n">
        <v>224</v>
      </c>
      <c r="B225" s="331" t="inlineStr">
        <is>
          <t>Манометр технический</t>
        </is>
      </c>
      <c r="C225" s="331" t="inlineStr">
        <is>
          <t>МП3-УУ2</t>
        </is>
      </c>
      <c r="D225" s="332" t="inlineStr">
        <is>
          <t>700015</t>
        </is>
      </c>
      <c r="E225" s="331" t="inlineStr"/>
      <c r="F225" s="331" t="inlineStr">
        <is>
          <t>0…16 МПа</t>
        </is>
      </c>
      <c r="G225" s="331" t="inlineStr">
        <is>
          <t>1.5</t>
        </is>
      </c>
      <c r="H225" s="329" t="inlineStr">
        <is>
          <t>Метрическая</t>
        </is>
      </c>
      <c r="I225" s="331" t="inlineStr">
        <is>
          <t>12</t>
        </is>
      </c>
      <c r="J225" s="331" t="inlineStr">
        <is>
          <t>1К25</t>
        </is>
      </c>
      <c r="K225" s="329" t="inlineStr">
        <is>
          <t>Радиальный</t>
        </is>
      </c>
    </row>
    <row r="226" ht="11.25" customHeight="1" s="236">
      <c r="A226" s="331" t="n">
        <v>225</v>
      </c>
      <c r="B226" s="331" t="inlineStr">
        <is>
          <t>Манометр технический</t>
        </is>
      </c>
      <c r="C226" s="331" t="inlineStr">
        <is>
          <t>МП3-УУ2</t>
        </is>
      </c>
      <c r="D226" s="332" t="inlineStr">
        <is>
          <t>50178</t>
        </is>
      </c>
      <c r="E226" s="331" t="inlineStr">
        <is>
          <t>2005</t>
        </is>
      </c>
      <c r="F226" s="331" t="inlineStr">
        <is>
          <t>0…16 кгс/см2</t>
        </is>
      </c>
      <c r="G226" s="331" t="inlineStr">
        <is>
          <t>1.5</t>
        </is>
      </c>
      <c r="H226" s="329" t="inlineStr">
        <is>
          <t>Метрическая</t>
        </is>
      </c>
      <c r="I226" s="331" t="inlineStr">
        <is>
          <t>12</t>
        </is>
      </c>
      <c r="J226" s="331" t="inlineStr">
        <is>
          <t>3К23</t>
        </is>
      </c>
      <c r="K226" s="329" t="inlineStr">
        <is>
          <t>Радиальный</t>
        </is>
      </c>
    </row>
    <row r="227" ht="11.25" customHeight="1" s="236">
      <c r="A227" s="331" t="n">
        <v>226</v>
      </c>
      <c r="B227" s="331" t="inlineStr">
        <is>
          <t>Манометр технический</t>
        </is>
      </c>
      <c r="C227" s="331" t="inlineStr">
        <is>
          <t>МП3-УФ</t>
        </is>
      </c>
      <c r="D227" s="332" t="inlineStr">
        <is>
          <t>002232</t>
        </is>
      </c>
      <c r="E227" s="331" t="inlineStr"/>
      <c r="F227" s="331" t="inlineStr">
        <is>
          <t>0…16 МПа</t>
        </is>
      </c>
      <c r="G227" s="331" t="inlineStr">
        <is>
          <t>1.5</t>
        </is>
      </c>
      <c r="H227" s="329" t="inlineStr">
        <is>
          <t>Метрическая</t>
        </is>
      </c>
      <c r="I227" s="331" t="inlineStr">
        <is>
          <t>12</t>
        </is>
      </c>
      <c r="J227" s="331" t="inlineStr">
        <is>
          <t>1К23</t>
        </is>
      </c>
      <c r="K227" s="329" t="inlineStr">
        <is>
          <t>Радиальный</t>
        </is>
      </c>
    </row>
    <row r="228" ht="11.25" customHeight="1" s="236">
      <c r="A228" s="331" t="n">
        <v>227</v>
      </c>
      <c r="B228" s="331" t="inlineStr">
        <is>
          <t>Манометр технический</t>
        </is>
      </c>
      <c r="C228" s="331" t="inlineStr">
        <is>
          <t>МП3-УУ2</t>
        </is>
      </c>
      <c r="D228" s="332" t="inlineStr">
        <is>
          <t>700013</t>
        </is>
      </c>
      <c r="E228" s="331" t="inlineStr"/>
      <c r="F228" s="331" t="inlineStr">
        <is>
          <t>0…16 МПа</t>
        </is>
      </c>
      <c r="G228" s="331" t="inlineStr">
        <is>
          <t>1.5</t>
        </is>
      </c>
      <c r="H228" s="329" t="inlineStr">
        <is>
          <t>Метрическая</t>
        </is>
      </c>
      <c r="I228" s="331" t="inlineStr">
        <is>
          <t>12</t>
        </is>
      </c>
      <c r="J228" s="331" t="inlineStr">
        <is>
          <t>2К24</t>
        </is>
      </c>
      <c r="K228" s="329" t="inlineStr">
        <is>
          <t>Радиальный</t>
        </is>
      </c>
    </row>
    <row r="229" ht="11.25" customHeight="1" s="236">
      <c r="A229" s="331" t="n">
        <v>228</v>
      </c>
      <c r="B229" s="331" t="inlineStr">
        <is>
          <t>Манометр технический</t>
        </is>
      </c>
      <c r="C229" s="331" t="inlineStr">
        <is>
          <t>МП3-УУ2</t>
        </is>
      </c>
      <c r="D229" s="332" t="inlineStr">
        <is>
          <t>700005</t>
        </is>
      </c>
      <c r="E229" s="331" t="inlineStr"/>
      <c r="F229" s="331" t="inlineStr">
        <is>
          <t>0…16 МПа</t>
        </is>
      </c>
      <c r="G229" s="331" t="inlineStr">
        <is>
          <t>1.5</t>
        </is>
      </c>
      <c r="H229" s="329" t="inlineStr">
        <is>
          <t>Метрическая</t>
        </is>
      </c>
      <c r="I229" s="331" t="inlineStr">
        <is>
          <t>12</t>
        </is>
      </c>
      <c r="J229" s="331" t="inlineStr">
        <is>
          <t>1К25</t>
        </is>
      </c>
      <c r="K229" s="329" t="inlineStr">
        <is>
          <t>Радиальный</t>
        </is>
      </c>
    </row>
    <row r="230" ht="11.25" customHeight="1" s="236">
      <c r="A230" s="331" t="n">
        <v>229</v>
      </c>
      <c r="B230" s="331" t="inlineStr">
        <is>
          <t>Манометр технический</t>
        </is>
      </c>
      <c r="C230" s="331" t="inlineStr">
        <is>
          <t>МП3-УУХЛ1</t>
        </is>
      </c>
      <c r="D230" s="332" t="inlineStr">
        <is>
          <t>212033570</t>
        </is>
      </c>
      <c r="E230" s="331" t="inlineStr"/>
      <c r="F230" s="331" t="inlineStr">
        <is>
          <t>0…16 МПа</t>
        </is>
      </c>
      <c r="G230" s="331" t="inlineStr">
        <is>
          <t>1.5</t>
        </is>
      </c>
      <c r="H230" s="329" t="inlineStr">
        <is>
          <t>Метрическая</t>
        </is>
      </c>
      <c r="I230" s="331" t="inlineStr">
        <is>
          <t>12</t>
        </is>
      </c>
      <c r="J230" s="331" t="inlineStr">
        <is>
          <t>24ДЯУ</t>
        </is>
      </c>
      <c r="K230" s="329" t="inlineStr">
        <is>
          <t>Радиальный</t>
        </is>
      </c>
    </row>
    <row r="231" ht="11.25" customHeight="1" s="236">
      <c r="A231" s="331" t="n">
        <v>230</v>
      </c>
      <c r="B231" s="331" t="inlineStr">
        <is>
          <t>Манометр технический</t>
        </is>
      </c>
      <c r="C231" s="331" t="inlineStr">
        <is>
          <t>ДМ02-100-1-G</t>
        </is>
      </c>
      <c r="D231" s="332" t="inlineStr">
        <is>
          <t>15186</t>
        </is>
      </c>
      <c r="E231" s="331" t="inlineStr"/>
      <c r="F231" s="331" t="inlineStr">
        <is>
          <t>0…6 bar</t>
        </is>
      </c>
      <c r="G231" s="331" t="inlineStr">
        <is>
          <t>1.5</t>
        </is>
      </c>
      <c r="H231" s="329" t="inlineStr">
        <is>
          <t>Метрическая</t>
        </is>
      </c>
      <c r="I231" s="331" t="inlineStr">
        <is>
          <t>12</t>
        </is>
      </c>
      <c r="J231" s="331" t="inlineStr">
        <is>
          <t>отсутствует</t>
        </is>
      </c>
      <c r="K231" s="329" t="inlineStr">
        <is>
          <t>Радиальный</t>
        </is>
      </c>
    </row>
    <row r="232" ht="11.25" customHeight="1" s="236">
      <c r="A232" s="331" t="n">
        <v>231</v>
      </c>
      <c r="B232" s="331" t="inlineStr">
        <is>
          <t>Манометр технический</t>
        </is>
      </c>
      <c r="C232" s="331" t="inlineStr">
        <is>
          <t>ТМ5</t>
        </is>
      </c>
      <c r="D232" s="332" t="inlineStr">
        <is>
          <t>7000180</t>
        </is>
      </c>
      <c r="E232" s="331" t="inlineStr"/>
      <c r="F232" s="331" t="inlineStr">
        <is>
          <t>0…1,6 МПа</t>
        </is>
      </c>
      <c r="G232" s="331" t="inlineStr">
        <is>
          <t>1.5</t>
        </is>
      </c>
      <c r="H232" s="329" t="inlineStr">
        <is>
          <t>Метрическая</t>
        </is>
      </c>
      <c r="I232" s="331" t="inlineStr">
        <is>
          <t>12</t>
        </is>
      </c>
      <c r="J232" s="331" t="inlineStr">
        <is>
          <t>25ДЯУ</t>
        </is>
      </c>
      <c r="K232" s="329" t="inlineStr">
        <is>
          <t>Радиальный</t>
        </is>
      </c>
    </row>
    <row r="233" ht="11.25" customHeight="1" s="236">
      <c r="A233" s="331" t="n">
        <v>232</v>
      </c>
      <c r="B233" s="331" t="inlineStr">
        <is>
          <t>Манометр технический</t>
        </is>
      </c>
      <c r="C233" s="331" t="inlineStr">
        <is>
          <t>МП3-УУ2</t>
        </is>
      </c>
      <c r="D233" s="332" t="inlineStr">
        <is>
          <t>700018</t>
        </is>
      </c>
      <c r="E233" s="331" t="inlineStr"/>
      <c r="F233" s="331" t="inlineStr">
        <is>
          <t>0…16 МПа</t>
        </is>
      </c>
      <c r="G233" s="331" t="inlineStr">
        <is>
          <t>1.5</t>
        </is>
      </c>
      <c r="H233" s="329" t="inlineStr">
        <is>
          <t>Метрическая</t>
        </is>
      </c>
      <c r="I233" s="331" t="inlineStr">
        <is>
          <t>12</t>
        </is>
      </c>
      <c r="J233" s="331" t="inlineStr">
        <is>
          <t>23ДЯУ</t>
        </is>
      </c>
      <c r="K233" s="329" t="inlineStr">
        <is>
          <t>Радиальный</t>
        </is>
      </c>
    </row>
    <row r="234" ht="11.25" customHeight="1" s="236">
      <c r="A234" s="331" t="n">
        <v>233</v>
      </c>
      <c r="B234" s="331" t="inlineStr">
        <is>
          <t>Манометр технический</t>
        </is>
      </c>
      <c r="C234" s="331" t="inlineStr">
        <is>
          <t>МП3-УУ2</t>
        </is>
      </c>
      <c r="D234" s="332" t="inlineStr">
        <is>
          <t>700009</t>
        </is>
      </c>
      <c r="E234" s="331" t="inlineStr"/>
      <c r="F234" s="331" t="inlineStr">
        <is>
          <t>0…16 МПа</t>
        </is>
      </c>
      <c r="G234" s="331" t="inlineStr">
        <is>
          <t>1.5</t>
        </is>
      </c>
      <c r="H234" s="329" t="inlineStr">
        <is>
          <t>Метрическая</t>
        </is>
      </c>
      <c r="I234" s="331" t="inlineStr">
        <is>
          <t>12</t>
        </is>
      </c>
      <c r="J234" s="331" t="inlineStr">
        <is>
          <t>3К23</t>
        </is>
      </c>
      <c r="K234" s="329" t="inlineStr">
        <is>
          <t>Радиальный</t>
        </is>
      </c>
    </row>
    <row r="235" ht="11.25" customHeight="1" s="236">
      <c r="A235" s="331" t="n">
        <v>234</v>
      </c>
      <c r="B235" s="331" t="inlineStr">
        <is>
          <t>Манометр технический</t>
        </is>
      </c>
      <c r="C235" s="331" t="inlineStr">
        <is>
          <t>ТМ5</t>
        </is>
      </c>
      <c r="D235" s="332" t="inlineStr">
        <is>
          <t>10619</t>
        </is>
      </c>
      <c r="E235" s="331" t="inlineStr"/>
      <c r="F235" s="331" t="inlineStr">
        <is>
          <t>0…1,6 МПа</t>
        </is>
      </c>
      <c r="G235" s="331" t="inlineStr">
        <is>
          <t>1.5</t>
        </is>
      </c>
      <c r="H235" s="329" t="inlineStr">
        <is>
          <t>Метрическая</t>
        </is>
      </c>
      <c r="I235" s="331" t="inlineStr">
        <is>
          <t>12</t>
        </is>
      </c>
      <c r="J235" s="331" t="inlineStr">
        <is>
          <t>1К23</t>
        </is>
      </c>
      <c r="K235" s="329" t="inlineStr">
        <is>
          <t>Радиальный</t>
        </is>
      </c>
    </row>
    <row r="236" ht="11.25" customHeight="1" s="236">
      <c r="A236" s="331" t="n">
        <v>235</v>
      </c>
      <c r="B236" s="331" t="inlineStr">
        <is>
          <t>Манометр технический</t>
        </is>
      </c>
      <c r="C236" s="331" t="inlineStr">
        <is>
          <t>ТМ5</t>
        </is>
      </c>
      <c r="D236" s="332" t="inlineStr">
        <is>
          <t>15429</t>
        </is>
      </c>
      <c r="E236" s="331" t="inlineStr"/>
      <c r="F236" s="331" t="inlineStr">
        <is>
          <t>0…16 кгс/см2</t>
        </is>
      </c>
      <c r="G236" s="331" t="inlineStr">
        <is>
          <t>1.5</t>
        </is>
      </c>
      <c r="H236" s="329" t="inlineStr">
        <is>
          <t>Метрическая</t>
        </is>
      </c>
      <c r="I236" s="331" t="inlineStr">
        <is>
          <t>12</t>
        </is>
      </c>
      <c r="J236" s="331" t="inlineStr">
        <is>
          <t>1К23</t>
        </is>
      </c>
      <c r="K236" s="329" t="inlineStr">
        <is>
          <t>Радиальный</t>
        </is>
      </c>
    </row>
    <row r="237" ht="11.25" customHeight="1" s="236">
      <c r="A237" s="331" t="n">
        <v>236</v>
      </c>
      <c r="B237" s="331" t="inlineStr">
        <is>
          <t>Манометр технический</t>
        </is>
      </c>
      <c r="C237" s="331" t="inlineStr">
        <is>
          <t>ТМ5</t>
        </is>
      </c>
      <c r="D237" s="332" t="inlineStr">
        <is>
          <t>15419</t>
        </is>
      </c>
      <c r="E237" s="331" t="inlineStr"/>
      <c r="F237" s="331" t="inlineStr">
        <is>
          <t>0…10 кгс/см2</t>
        </is>
      </c>
      <c r="G237" s="331" t="inlineStr">
        <is>
          <t>1.5</t>
        </is>
      </c>
      <c r="H237" s="329" t="inlineStr">
        <is>
          <t>Метрическая</t>
        </is>
      </c>
      <c r="I237" s="331" t="inlineStr">
        <is>
          <t>12</t>
        </is>
      </c>
      <c r="J237" s="331" t="inlineStr">
        <is>
          <t>отсутствует</t>
        </is>
      </c>
      <c r="K237" s="329" t="inlineStr">
        <is>
          <t>Осевой</t>
        </is>
      </c>
    </row>
    <row r="238" ht="11.25" customHeight="1" s="236">
      <c r="A238" s="331" t="n">
        <v>237</v>
      </c>
      <c r="B238" s="331" t="inlineStr">
        <is>
          <t>Манометр технический</t>
        </is>
      </c>
      <c r="C238" s="331" t="inlineStr">
        <is>
          <t>МП4-УУ2</t>
        </is>
      </c>
      <c r="D238" s="332" t="inlineStr">
        <is>
          <t>15350</t>
        </is>
      </c>
      <c r="E238" s="331" t="inlineStr"/>
      <c r="F238" s="331" t="inlineStr">
        <is>
          <t>0…4 кгс/см2</t>
        </is>
      </c>
      <c r="G238" s="331" t="inlineStr">
        <is>
          <t>1.5</t>
        </is>
      </c>
      <c r="H238" s="329" t="inlineStr">
        <is>
          <t>Метрическая</t>
        </is>
      </c>
      <c r="I238" s="331" t="inlineStr">
        <is>
          <t>12</t>
        </is>
      </c>
      <c r="J238" s="331" t="inlineStr">
        <is>
          <t>1К22</t>
        </is>
      </c>
      <c r="K238" s="329" t="inlineStr">
        <is>
          <t>Радиальный</t>
        </is>
      </c>
    </row>
    <row r="239" ht="11.25" customHeight="1" s="236">
      <c r="A239" s="331" t="n">
        <v>238</v>
      </c>
      <c r="B239" s="331" t="inlineStr">
        <is>
          <t>Манометр технический</t>
        </is>
      </c>
      <c r="C239" s="331" t="inlineStr">
        <is>
          <t>ТМ3</t>
        </is>
      </c>
      <c r="D239" s="332" t="inlineStr">
        <is>
          <t>15444</t>
        </is>
      </c>
      <c r="E239" s="331" t="inlineStr"/>
      <c r="F239" s="331" t="inlineStr">
        <is>
          <t>0…60 bar</t>
        </is>
      </c>
      <c r="G239" s="331" t="inlineStr">
        <is>
          <t>1.5</t>
        </is>
      </c>
      <c r="H239" s="329" t="inlineStr">
        <is>
          <t>Трубная</t>
        </is>
      </c>
      <c r="I239" s="331" t="inlineStr">
        <is>
          <t>12</t>
        </is>
      </c>
      <c r="J239" s="331" t="inlineStr">
        <is>
          <t>4К12</t>
        </is>
      </c>
      <c r="K239" s="329" t="inlineStr">
        <is>
          <t>Радиальный</t>
        </is>
      </c>
    </row>
    <row r="240" ht="11.25" customHeight="1" s="236">
      <c r="A240" s="331" t="n">
        <v>239</v>
      </c>
      <c r="B240" s="331" t="inlineStr">
        <is>
          <t>Манометр технический</t>
        </is>
      </c>
      <c r="C240" s="331" t="inlineStr">
        <is>
          <t>ДМ</t>
        </is>
      </c>
      <c r="D240" s="332" t="inlineStr">
        <is>
          <t>15355</t>
        </is>
      </c>
      <c r="E240" s="331" t="inlineStr"/>
      <c r="F240" s="331" t="inlineStr">
        <is>
          <t>0…6 кгс/см2</t>
        </is>
      </c>
      <c r="G240" s="331" t="inlineStr">
        <is>
          <t>1</t>
        </is>
      </c>
      <c r="H240" s="329" t="inlineStr">
        <is>
          <t>Метрическая</t>
        </is>
      </c>
      <c r="I240" s="331" t="inlineStr">
        <is>
          <t>12</t>
        </is>
      </c>
      <c r="J240" s="331" t="inlineStr">
        <is>
          <t>1К25</t>
        </is>
      </c>
      <c r="K240" s="329" t="inlineStr">
        <is>
          <t>Радиальный</t>
        </is>
      </c>
    </row>
    <row r="241" ht="11.25" customHeight="1" s="236">
      <c r="A241" s="331" t="n">
        <v>240</v>
      </c>
      <c r="B241" s="331" t="inlineStr">
        <is>
          <t>Манометр технический</t>
        </is>
      </c>
      <c r="C241" s="331" t="inlineStr">
        <is>
          <t>МП4-УУ2</t>
        </is>
      </c>
      <c r="D241" s="332" t="inlineStr">
        <is>
          <t>6106</t>
        </is>
      </c>
      <c r="E241" s="331" t="inlineStr"/>
      <c r="F241" s="331" t="inlineStr">
        <is>
          <t>0…160 кгс/см2</t>
        </is>
      </c>
      <c r="G241" s="331" t="inlineStr">
        <is>
          <t>1.5</t>
        </is>
      </c>
      <c r="H241" s="329" t="inlineStr">
        <is>
          <t>Метрическая</t>
        </is>
      </c>
      <c r="I241" s="331" t="inlineStr">
        <is>
          <t>12</t>
        </is>
      </c>
      <c r="J241" s="331" t="inlineStr">
        <is>
          <t>1К25</t>
        </is>
      </c>
      <c r="K241" s="329" t="inlineStr">
        <is>
          <t>Радиальный Ушастый</t>
        </is>
      </c>
    </row>
    <row r="242" ht="11.25" customHeight="1" s="236">
      <c r="A242" s="331" t="n">
        <v>241</v>
      </c>
      <c r="B242" s="331" t="inlineStr">
        <is>
          <t>Манометр технический</t>
        </is>
      </c>
      <c r="C242" s="331" t="inlineStr">
        <is>
          <t>МП4-УУ2</t>
        </is>
      </c>
      <c r="D242" s="332" t="inlineStr">
        <is>
          <t>15107</t>
        </is>
      </c>
      <c r="E242" s="331" t="inlineStr"/>
      <c r="F242" s="331" t="inlineStr">
        <is>
          <t>0…160 кгс/см2</t>
        </is>
      </c>
      <c r="G242" s="331" t="inlineStr">
        <is>
          <t>1</t>
        </is>
      </c>
      <c r="H242" s="329" t="inlineStr">
        <is>
          <t>Метрическая</t>
        </is>
      </c>
      <c r="I242" s="331" t="inlineStr">
        <is>
          <t>12</t>
        </is>
      </c>
      <c r="J242" s="331" t="inlineStr">
        <is>
          <t>1К25</t>
        </is>
      </c>
      <c r="K242" s="329" t="inlineStr">
        <is>
          <t>Радиальный Ушастый</t>
        </is>
      </c>
    </row>
    <row r="243" ht="11.25" customHeight="1" s="236">
      <c r="A243" s="331" t="n">
        <v>242</v>
      </c>
      <c r="B243" s="331" t="inlineStr">
        <is>
          <t>Манометр технический</t>
        </is>
      </c>
      <c r="C243" s="331" t="inlineStr">
        <is>
          <t>МП4-УУ2</t>
        </is>
      </c>
      <c r="D243" s="332" t="inlineStr">
        <is>
          <t>15181</t>
        </is>
      </c>
      <c r="E243" s="331" t="inlineStr"/>
      <c r="F243" s="331" t="inlineStr">
        <is>
          <t>0…16 кгс/см2</t>
        </is>
      </c>
      <c r="G243" s="331" t="inlineStr">
        <is>
          <t>1.5</t>
        </is>
      </c>
      <c r="H243" s="329" t="inlineStr">
        <is>
          <t>Метрическая</t>
        </is>
      </c>
      <c r="I243" s="331" t="inlineStr">
        <is>
          <t>12</t>
        </is>
      </c>
      <c r="J243" s="331" t="inlineStr">
        <is>
          <t>1К25</t>
        </is>
      </c>
      <c r="K243" s="329" t="inlineStr">
        <is>
          <t>Радиальный Ушастый</t>
        </is>
      </c>
    </row>
    <row r="244" ht="11.25" customHeight="1" s="236">
      <c r="A244" s="331" t="n">
        <v>243</v>
      </c>
      <c r="B244" s="331" t="inlineStr">
        <is>
          <t>Манометр технический</t>
        </is>
      </c>
      <c r="C244" s="331" t="inlineStr">
        <is>
          <t>МП4-УУ2</t>
        </is>
      </c>
      <c r="D244" s="332" t="inlineStr">
        <is>
          <t>15343</t>
        </is>
      </c>
      <c r="E244" s="331" t="inlineStr"/>
      <c r="F244" s="331" t="inlineStr">
        <is>
          <t>0…160 кгс/см2</t>
        </is>
      </c>
      <c r="G244" s="331" t="inlineStr">
        <is>
          <t>1.5</t>
        </is>
      </c>
      <c r="H244" s="329" t="inlineStr">
        <is>
          <t>Метрическая</t>
        </is>
      </c>
      <c r="I244" s="331" t="inlineStr">
        <is>
          <t>12</t>
        </is>
      </c>
      <c r="J244" s="331" t="inlineStr">
        <is>
          <t>отсутствует</t>
        </is>
      </c>
      <c r="K244" s="329" t="inlineStr">
        <is>
          <t>Осевой</t>
        </is>
      </c>
    </row>
    <row r="245" ht="11.25" customHeight="1" s="236">
      <c r="A245" s="331" t="n">
        <v>244</v>
      </c>
      <c r="B245" s="331" t="inlineStr">
        <is>
          <t>Манометр технический</t>
        </is>
      </c>
      <c r="C245" s="331" t="inlineStr">
        <is>
          <t>МП4-УУ2</t>
        </is>
      </c>
      <c r="D245" s="332" t="inlineStr">
        <is>
          <t>15353</t>
        </is>
      </c>
      <c r="E245" s="331" t="inlineStr"/>
      <c r="F245" s="331" t="inlineStr">
        <is>
          <t>0…160 кгс/см2</t>
        </is>
      </c>
      <c r="G245" s="331" t="inlineStr">
        <is>
          <t>1.5</t>
        </is>
      </c>
      <c r="H245" s="329" t="inlineStr">
        <is>
          <t>Метрическая</t>
        </is>
      </c>
      <c r="I245" s="331" t="inlineStr">
        <is>
          <t>12</t>
        </is>
      </c>
      <c r="J245" s="331" t="inlineStr">
        <is>
          <t>25ДЯУ</t>
        </is>
      </c>
      <c r="K245" s="329" t="inlineStr">
        <is>
          <t>Осевой</t>
        </is>
      </c>
    </row>
    <row r="246" ht="11.25" customHeight="1" s="236">
      <c r="A246" s="331" t="n">
        <v>245</v>
      </c>
      <c r="B246" s="331" t="inlineStr">
        <is>
          <t>Манометр технический</t>
        </is>
      </c>
      <c r="C246" s="331" t="inlineStr">
        <is>
          <t>МП4-УУ2</t>
        </is>
      </c>
      <c r="D246" s="332" t="inlineStr">
        <is>
          <t>436</t>
        </is>
      </c>
      <c r="E246" s="331" t="inlineStr"/>
      <c r="F246" s="331" t="inlineStr">
        <is>
          <t>0…160 кгс/см2</t>
        </is>
      </c>
      <c r="G246" s="331" t="inlineStr">
        <is>
          <t>1.5</t>
        </is>
      </c>
      <c r="H246" s="329" t="inlineStr">
        <is>
          <t>Метрическая</t>
        </is>
      </c>
      <c r="I246" s="331" t="inlineStr">
        <is>
          <t>12</t>
        </is>
      </c>
      <c r="J246" s="331" t="inlineStr">
        <is>
          <t>25ДЯУ</t>
        </is>
      </c>
      <c r="K246" s="329" t="inlineStr">
        <is>
          <t>Осевой</t>
        </is>
      </c>
    </row>
    <row r="247" ht="11.25" customHeight="1" s="236">
      <c r="A247" s="331" t="n">
        <v>246</v>
      </c>
      <c r="B247" s="331" t="inlineStr">
        <is>
          <t>Манометр технический</t>
        </is>
      </c>
      <c r="C247" s="331" t="inlineStr">
        <is>
          <t>МП4-УУ2</t>
        </is>
      </c>
      <c r="D247" s="332" t="inlineStr">
        <is>
          <t>15340</t>
        </is>
      </c>
      <c r="E247" s="331" t="inlineStr"/>
      <c r="F247" s="331" t="inlineStr">
        <is>
          <t>0…160 кгс/см2</t>
        </is>
      </c>
      <c r="G247" s="331" t="inlineStr">
        <is>
          <t>1.5</t>
        </is>
      </c>
      <c r="H247" s="329" t="inlineStr">
        <is>
          <t>Метрическая</t>
        </is>
      </c>
      <c r="I247" s="331" t="inlineStr">
        <is>
          <t>12</t>
        </is>
      </c>
      <c r="J247" s="331" t="inlineStr">
        <is>
          <t>25ДЯУ</t>
        </is>
      </c>
      <c r="K247" s="329" t="inlineStr">
        <is>
          <t>Осевой</t>
        </is>
      </c>
    </row>
    <row r="248" ht="11.25" customHeight="1" s="236">
      <c r="A248" s="331" t="n">
        <v>247</v>
      </c>
      <c r="B248" s="331" t="inlineStr">
        <is>
          <t>Манометр технический</t>
        </is>
      </c>
      <c r="C248" s="331" t="inlineStr">
        <is>
          <t>МП4-УУ2</t>
        </is>
      </c>
      <c r="D248" s="332" t="inlineStr">
        <is>
          <t>15077</t>
        </is>
      </c>
      <c r="E248" s="331" t="inlineStr"/>
      <c r="F248" s="331" t="inlineStr">
        <is>
          <t>0…160 кгс/см2</t>
        </is>
      </c>
      <c r="G248" s="331" t="inlineStr">
        <is>
          <t>1.5</t>
        </is>
      </c>
      <c r="H248" s="329" t="inlineStr">
        <is>
          <t>Метрическая</t>
        </is>
      </c>
      <c r="I248" s="331" t="inlineStr">
        <is>
          <t>12</t>
        </is>
      </c>
      <c r="J248" s="331" t="inlineStr">
        <is>
          <t>25ДЯУ</t>
        </is>
      </c>
      <c r="K248" s="329" t="inlineStr">
        <is>
          <t>Осевой</t>
        </is>
      </c>
    </row>
    <row r="249" ht="11.25" customHeight="1" s="236">
      <c r="A249" s="331" t="n">
        <v>248</v>
      </c>
      <c r="B249" s="331" t="inlineStr">
        <is>
          <t>Манометр технический</t>
        </is>
      </c>
      <c r="C249" s="331" t="inlineStr">
        <is>
          <t>МП4-УУ2</t>
        </is>
      </c>
      <c r="D249" s="332" t="inlineStr">
        <is>
          <t>15329</t>
        </is>
      </c>
      <c r="E249" s="331" t="inlineStr"/>
      <c r="F249" s="331" t="inlineStr">
        <is>
          <t>0…160 кгс/см2</t>
        </is>
      </c>
      <c r="G249" s="331" t="inlineStr">
        <is>
          <t>1.5</t>
        </is>
      </c>
      <c r="H249" s="329" t="inlineStr">
        <is>
          <t>Метрическая</t>
        </is>
      </c>
      <c r="I249" s="331" t="inlineStr">
        <is>
          <t>12</t>
        </is>
      </c>
      <c r="J249" s="331" t="inlineStr">
        <is>
          <t>25ДЯУ</t>
        </is>
      </c>
      <c r="K249" s="329" t="inlineStr">
        <is>
          <t>Осевой</t>
        </is>
      </c>
    </row>
    <row r="250" ht="11.25" customHeight="1" s="236">
      <c r="A250" s="331" t="n">
        <v>249</v>
      </c>
      <c r="B250" s="331" t="inlineStr">
        <is>
          <t>Манометр технический</t>
        </is>
      </c>
      <c r="C250" s="331" t="inlineStr">
        <is>
          <t>МП4-УУ2</t>
        </is>
      </c>
      <c r="D250" s="332" t="inlineStr">
        <is>
          <t>15347</t>
        </is>
      </c>
      <c r="E250" s="331" t="inlineStr"/>
      <c r="F250" s="331" t="inlineStr">
        <is>
          <t>0…160 кгс/см2</t>
        </is>
      </c>
      <c r="G250" s="331" t="inlineStr">
        <is>
          <t>1.5</t>
        </is>
      </c>
      <c r="H250" s="329" t="inlineStr">
        <is>
          <t>Метрическая</t>
        </is>
      </c>
      <c r="I250" s="331" t="inlineStr">
        <is>
          <t>12</t>
        </is>
      </c>
      <c r="J250" s="331" t="inlineStr">
        <is>
          <t>25ДЯУ</t>
        </is>
      </c>
      <c r="K250" s="329" t="inlineStr">
        <is>
          <t>Осевой</t>
        </is>
      </c>
    </row>
    <row r="251" ht="11.25" customHeight="1" s="236">
      <c r="A251" s="331" t="n">
        <v>250</v>
      </c>
      <c r="B251" s="331" t="inlineStr">
        <is>
          <t>Манометр технический</t>
        </is>
      </c>
      <c r="C251" s="331" t="inlineStr">
        <is>
          <t>МП4-УУ2</t>
        </is>
      </c>
      <c r="D251" s="332" t="inlineStr">
        <is>
          <t>15073</t>
        </is>
      </c>
      <c r="E251" s="331" t="inlineStr"/>
      <c r="F251" s="331" t="inlineStr">
        <is>
          <t>0…160 кгс/см2</t>
        </is>
      </c>
      <c r="G251" s="331" t="inlineStr">
        <is>
          <t>1.5</t>
        </is>
      </c>
      <c r="H251" s="329" t="inlineStr">
        <is>
          <t>Метрическая</t>
        </is>
      </c>
      <c r="I251" s="331" t="inlineStr">
        <is>
          <t>12</t>
        </is>
      </c>
      <c r="J251" s="331" t="inlineStr">
        <is>
          <t>25ДЯУ</t>
        </is>
      </c>
      <c r="K251" s="329" t="inlineStr">
        <is>
          <t>Осевой</t>
        </is>
      </c>
    </row>
    <row r="252" ht="11.25" customHeight="1" s="236">
      <c r="A252" s="331" t="n">
        <v>251</v>
      </c>
      <c r="B252" s="331" t="inlineStr">
        <is>
          <t>Манометр технический</t>
        </is>
      </c>
      <c r="C252" s="331" t="inlineStr">
        <is>
          <t>МП4-УУ2</t>
        </is>
      </c>
      <c r="D252" s="332" t="inlineStr">
        <is>
          <t>15647</t>
        </is>
      </c>
      <c r="E252" s="331" t="inlineStr"/>
      <c r="F252" s="331" t="inlineStr">
        <is>
          <t>0…160 кгс/см2</t>
        </is>
      </c>
      <c r="G252" s="331" t="inlineStr">
        <is>
          <t>1.5</t>
        </is>
      </c>
      <c r="H252" s="329" t="inlineStr">
        <is>
          <t>Метрическая</t>
        </is>
      </c>
      <c r="I252" s="331" t="inlineStr">
        <is>
          <t>12</t>
        </is>
      </c>
      <c r="J252" s="331" t="inlineStr">
        <is>
          <t>25ДЯУ</t>
        </is>
      </c>
      <c r="K252" s="329" t="inlineStr">
        <is>
          <t>Осевой</t>
        </is>
      </c>
    </row>
    <row r="253" ht="11.25" customHeight="1" s="236">
      <c r="A253" s="331" t="n">
        <v>252</v>
      </c>
      <c r="B253" s="331" t="inlineStr">
        <is>
          <t>Манометр технический</t>
        </is>
      </c>
      <c r="C253" s="331" t="inlineStr">
        <is>
          <t>МП4-УУ2</t>
        </is>
      </c>
      <c r="D253" s="332" t="inlineStr">
        <is>
          <t>15341</t>
        </is>
      </c>
      <c r="E253" s="331" t="inlineStr"/>
      <c r="F253" s="331" t="inlineStr">
        <is>
          <t>0…160 кгс/см2</t>
        </is>
      </c>
      <c r="G253" s="331" t="inlineStr">
        <is>
          <t>1.5</t>
        </is>
      </c>
      <c r="H253" s="329" t="inlineStr">
        <is>
          <t>Метрическая</t>
        </is>
      </c>
      <c r="I253" s="331" t="inlineStr">
        <is>
          <t>12</t>
        </is>
      </c>
      <c r="J253" s="331" t="inlineStr">
        <is>
          <t>25ДЯУ</t>
        </is>
      </c>
      <c r="K253" s="329" t="inlineStr">
        <is>
          <t>Осевой</t>
        </is>
      </c>
    </row>
    <row r="254" ht="11.25" customHeight="1" s="236">
      <c r="A254" s="331" t="n">
        <v>253</v>
      </c>
      <c r="B254" s="331" t="inlineStr">
        <is>
          <t>Манометр технический</t>
        </is>
      </c>
      <c r="C254" s="331" t="inlineStr">
        <is>
          <t>МП4-УУ2</t>
        </is>
      </c>
      <c r="D254" s="332" t="inlineStr">
        <is>
          <t>15687</t>
        </is>
      </c>
      <c r="E254" s="331" t="inlineStr"/>
      <c r="F254" s="331" t="inlineStr">
        <is>
          <t>0…160 кгс/см2</t>
        </is>
      </c>
      <c r="G254" s="331" t="inlineStr">
        <is>
          <t>1.5</t>
        </is>
      </c>
      <c r="H254" s="329" t="inlineStr">
        <is>
          <t>Метрическая</t>
        </is>
      </c>
      <c r="I254" s="331" t="inlineStr">
        <is>
          <t>12</t>
        </is>
      </c>
      <c r="J254" s="331" t="inlineStr">
        <is>
          <t>25ДЯУ</t>
        </is>
      </c>
      <c r="K254" s="329" t="inlineStr">
        <is>
          <t>Осевой</t>
        </is>
      </c>
    </row>
    <row r="255" ht="11.25" customFormat="1" customHeight="1" s="335">
      <c r="A255" s="331" t="n">
        <v>254</v>
      </c>
      <c r="B255" s="331" t="inlineStr">
        <is>
          <t>Манометр технический</t>
        </is>
      </c>
      <c r="C255" s="331" t="inlineStr">
        <is>
          <t>МП3-УУ2</t>
        </is>
      </c>
      <c r="D255" s="332" t="inlineStr">
        <is>
          <t>600273</t>
        </is>
      </c>
      <c r="E255" s="331" t="inlineStr">
        <is>
          <t>1999</t>
        </is>
      </c>
      <c r="F255" s="331" t="inlineStr">
        <is>
          <t>0…6 кгс/см2</t>
        </is>
      </c>
      <c r="G255" s="331" t="inlineStr">
        <is>
          <t>1.5</t>
        </is>
      </c>
      <c r="H255" s="336" t="inlineStr">
        <is>
          <t>Метрическая</t>
        </is>
      </c>
      <c r="I255" s="331" t="inlineStr">
        <is>
          <t>12</t>
        </is>
      </c>
      <c r="J255" s="331" t="inlineStr">
        <is>
          <t>1К25</t>
        </is>
      </c>
      <c r="K255" s="336" t="inlineStr">
        <is>
          <t>Радиальный</t>
        </is>
      </c>
    </row>
    <row r="256" ht="11.25" customFormat="1" customHeight="1" s="335">
      <c r="A256" s="331" t="n">
        <v>255</v>
      </c>
      <c r="B256" s="331" t="inlineStr">
        <is>
          <t>Манометр технический</t>
        </is>
      </c>
      <c r="C256" s="331" t="inlineStr">
        <is>
          <t>МП3-УУ2</t>
        </is>
      </c>
      <c r="D256" s="332" t="inlineStr">
        <is>
          <t>051744</t>
        </is>
      </c>
      <c r="E256" s="331" t="inlineStr"/>
      <c r="F256" s="331" t="inlineStr">
        <is>
          <t>0…600 кПа</t>
        </is>
      </c>
      <c r="G256" s="331" t="inlineStr">
        <is>
          <t>1.5</t>
        </is>
      </c>
      <c r="H256" s="336" t="inlineStr">
        <is>
          <t>Метрическая</t>
        </is>
      </c>
      <c r="I256" s="331" t="inlineStr">
        <is>
          <t>12</t>
        </is>
      </c>
      <c r="J256" s="331" t="inlineStr">
        <is>
          <t>1К25</t>
        </is>
      </c>
      <c r="K256" s="336" t="inlineStr">
        <is>
          <t>Радиальный</t>
        </is>
      </c>
    </row>
    <row r="257" ht="11.25" customFormat="1" customHeight="1" s="335">
      <c r="A257" s="331" t="n">
        <v>256</v>
      </c>
      <c r="B257" s="331" t="inlineStr">
        <is>
          <t>Манометр технический</t>
        </is>
      </c>
      <c r="C257" s="331" t="inlineStr">
        <is>
          <t>МП3-УТ2</t>
        </is>
      </c>
      <c r="D257" s="332" t="inlineStr">
        <is>
          <t>1322108</t>
        </is>
      </c>
      <c r="E257" s="331" t="inlineStr"/>
      <c r="F257" s="331" t="inlineStr">
        <is>
          <t>0…6 кгс/см2</t>
        </is>
      </c>
      <c r="G257" s="331" t="inlineStr">
        <is>
          <t>1.5</t>
        </is>
      </c>
      <c r="H257" s="336" t="inlineStr">
        <is>
          <t>Метрическая</t>
        </is>
      </c>
      <c r="I257" s="331" t="inlineStr">
        <is>
          <t>12</t>
        </is>
      </c>
      <c r="J257" s="331" t="inlineStr">
        <is>
          <t>1К25</t>
        </is>
      </c>
      <c r="K257" s="336" t="inlineStr">
        <is>
          <t>Радиальный</t>
        </is>
      </c>
    </row>
    <row r="258" ht="11.25" customHeight="1" s="236">
      <c r="A258" s="331" t="n">
        <v>257</v>
      </c>
      <c r="B258" s="331" t="inlineStr">
        <is>
          <t>Манометр технический</t>
        </is>
      </c>
      <c r="C258" s="331" t="inlineStr">
        <is>
          <t>МП4-УУ2</t>
        </is>
      </c>
      <c r="D258" s="332" t="inlineStr">
        <is>
          <t>15344</t>
        </is>
      </c>
      <c r="E258" s="331" t="inlineStr"/>
      <c r="F258" s="331" t="inlineStr">
        <is>
          <t>0…160 кгс/см2</t>
        </is>
      </c>
      <c r="G258" s="331" t="inlineStr">
        <is>
          <t>1.5</t>
        </is>
      </c>
      <c r="H258" s="329" t="inlineStr">
        <is>
          <t>Метрическая</t>
        </is>
      </c>
      <c r="I258" s="331" t="inlineStr">
        <is>
          <t>12</t>
        </is>
      </c>
      <c r="J258" s="331" t="inlineStr">
        <is>
          <t>25ДЯУ</t>
        </is>
      </c>
      <c r="K258" s="329" t="inlineStr">
        <is>
          <t>Осевой</t>
        </is>
      </c>
    </row>
    <row r="259" ht="11.25" customHeight="1" s="236">
      <c r="A259" s="331" t="n">
        <v>258</v>
      </c>
      <c r="B259" s="331" t="inlineStr">
        <is>
          <t>Термометр биметаллический</t>
        </is>
      </c>
      <c r="C259" s="331" t="inlineStr">
        <is>
          <t>ТБ-2УХЛ2</t>
        </is>
      </c>
      <c r="D259" s="332" t="inlineStr">
        <is>
          <t>3744</t>
        </is>
      </c>
      <c r="E259" s="331" t="inlineStr"/>
      <c r="F259" s="331" t="inlineStr">
        <is>
          <t>0...150°С</t>
        </is>
      </c>
      <c r="G259" s="331" t="inlineStr">
        <is>
          <t>1.5</t>
        </is>
      </c>
      <c r="H259" s="329" t="inlineStr">
        <is>
          <t>Метрическая</t>
        </is>
      </c>
      <c r="I259" s="331" t="inlineStr">
        <is>
          <t>24</t>
        </is>
      </c>
      <c r="J259" s="331" t="inlineStr">
        <is>
          <t>1К24</t>
        </is>
      </c>
      <c r="K259" s="329" t="inlineStr">
        <is>
          <t>Осевой L=80мм</t>
        </is>
      </c>
    </row>
    <row r="260" ht="11.25" customHeight="1" s="236">
      <c r="A260" s="331" t="n">
        <v>259</v>
      </c>
      <c r="B260" s="331" t="inlineStr">
        <is>
          <t>Термометр биметаллический</t>
        </is>
      </c>
      <c r="C260" s="331" t="inlineStr">
        <is>
          <t>ТБ-2УХЛ2</t>
        </is>
      </c>
      <c r="D260" s="332" t="inlineStr">
        <is>
          <t>3748</t>
        </is>
      </c>
      <c r="E260" s="331" t="inlineStr"/>
      <c r="F260" s="331" t="inlineStr">
        <is>
          <t>0...150°С</t>
        </is>
      </c>
      <c r="G260" s="331" t="inlineStr">
        <is>
          <t>1.5</t>
        </is>
      </c>
      <c r="H260" s="329" t="inlineStr">
        <is>
          <t>Метрическая</t>
        </is>
      </c>
      <c r="I260" s="331" t="inlineStr">
        <is>
          <t>24</t>
        </is>
      </c>
      <c r="J260" s="331" t="inlineStr">
        <is>
          <t>2К24</t>
        </is>
      </c>
      <c r="K260" s="329" t="inlineStr">
        <is>
          <t>Осевой L=80мм</t>
        </is>
      </c>
    </row>
    <row r="261" ht="11.25" customHeight="1" s="236">
      <c r="A261" s="331" t="n">
        <v>260</v>
      </c>
      <c r="B261" s="331" t="inlineStr">
        <is>
          <t>Термометр биметаллический</t>
        </is>
      </c>
      <c r="C261" s="331" t="inlineStr">
        <is>
          <t>ТБ-2</t>
        </is>
      </c>
      <c r="D261" s="332" t="inlineStr">
        <is>
          <t>2989</t>
        </is>
      </c>
      <c r="E261" s="331" t="inlineStr">
        <is>
          <t>2012</t>
        </is>
      </c>
      <c r="F261" s="331" t="inlineStr">
        <is>
          <t>0...120°С</t>
        </is>
      </c>
      <c r="G261" s="331" t="inlineStr">
        <is>
          <t>1</t>
        </is>
      </c>
      <c r="H261" s="329" t="inlineStr">
        <is>
          <t>Метрическая</t>
        </is>
      </c>
      <c r="I261" s="331" t="inlineStr">
        <is>
          <t>24</t>
        </is>
      </c>
      <c r="J261" s="331" t="inlineStr">
        <is>
          <t>1К24</t>
        </is>
      </c>
      <c r="K261" s="329" t="inlineStr">
        <is>
          <t>Осевой L=80мм</t>
        </is>
      </c>
    </row>
    <row r="262" ht="11.25" customHeight="1" s="236">
      <c r="A262" s="331" t="n">
        <v>261</v>
      </c>
      <c r="B262" s="331" t="inlineStr">
        <is>
          <t>Термометр биметаллический</t>
        </is>
      </c>
      <c r="C262" s="331" t="inlineStr">
        <is>
          <t>ТБ-1</t>
        </is>
      </c>
      <c r="D262" s="332" t="inlineStr">
        <is>
          <t>2118</t>
        </is>
      </c>
      <c r="E262" s="331" t="inlineStr"/>
      <c r="F262" s="331" t="inlineStr">
        <is>
          <t>-50...50°С</t>
        </is>
      </c>
      <c r="G262" s="331" t="inlineStr">
        <is>
          <t>1.5</t>
        </is>
      </c>
      <c r="H262" s="329" t="inlineStr">
        <is>
          <t>Метрическая</t>
        </is>
      </c>
      <c r="I262" s="331" t="inlineStr">
        <is>
          <t>24</t>
        </is>
      </c>
      <c r="J262" s="331" t="inlineStr">
        <is>
          <t>2К24</t>
        </is>
      </c>
      <c r="K262" s="329" t="inlineStr">
        <is>
          <t>Осевой L=125мм</t>
        </is>
      </c>
    </row>
    <row r="263" ht="11.25" customHeight="1" s="236">
      <c r="A263" s="331" t="n">
        <v>262</v>
      </c>
      <c r="B263" s="331" t="inlineStr">
        <is>
          <t>Термометр биметаллический</t>
        </is>
      </c>
      <c r="C263" s="331" t="inlineStr">
        <is>
          <t>Manotherm</t>
        </is>
      </c>
      <c r="D263" s="332" t="inlineStr">
        <is>
          <t>112001890</t>
        </is>
      </c>
      <c r="E263" s="331" t="inlineStr"/>
      <c r="F263" s="331" t="inlineStr">
        <is>
          <t>0...200°С</t>
        </is>
      </c>
      <c r="G263" s="331" t="inlineStr">
        <is>
          <t>1</t>
        </is>
      </c>
      <c r="H263" s="329" t="inlineStr">
        <is>
          <t>Метрическая</t>
        </is>
      </c>
      <c r="I263" s="331" t="inlineStr">
        <is>
          <t>24</t>
        </is>
      </c>
      <c r="J263" s="331" t="inlineStr">
        <is>
          <t>2К24</t>
        </is>
      </c>
      <c r="K263" s="329" t="inlineStr">
        <is>
          <t>Радиальный L=70мм</t>
        </is>
      </c>
    </row>
    <row r="264" ht="11.25" customHeight="1" s="236">
      <c r="A264" s="331" t="n">
        <v>263</v>
      </c>
      <c r="B264" s="331" t="inlineStr">
        <is>
          <t>Термометр биметаллический</t>
        </is>
      </c>
      <c r="C264" s="331" t="inlineStr">
        <is>
          <t>Manotherm</t>
        </is>
      </c>
      <c r="D264" s="332" t="inlineStr">
        <is>
          <t>112001889</t>
        </is>
      </c>
      <c r="E264" s="331" t="inlineStr"/>
      <c r="F264" s="331" t="inlineStr">
        <is>
          <t>0...200°С</t>
        </is>
      </c>
      <c r="G264" s="331" t="inlineStr">
        <is>
          <t>1</t>
        </is>
      </c>
      <c r="H264" s="329" t="inlineStr">
        <is>
          <t>Метрическая</t>
        </is>
      </c>
      <c r="I264" s="331" t="inlineStr">
        <is>
          <t>24</t>
        </is>
      </c>
      <c r="J264" s="331" t="inlineStr">
        <is>
          <t>2К24</t>
        </is>
      </c>
      <c r="K264" s="329" t="inlineStr">
        <is>
          <t>Радиальный L=70мм</t>
        </is>
      </c>
    </row>
    <row r="265" ht="11.25" customHeight="1" s="236">
      <c r="A265" s="331" t="n">
        <v>264</v>
      </c>
      <c r="B265" s="331" t="inlineStr">
        <is>
          <t>Термометр биметаллический</t>
        </is>
      </c>
      <c r="C265" s="331" t="inlineStr">
        <is>
          <t>Manotherm</t>
        </is>
      </c>
      <c r="D265" s="332" t="inlineStr">
        <is>
          <t>112001894</t>
        </is>
      </c>
      <c r="E265" s="331" t="inlineStr"/>
      <c r="F265" s="331" t="inlineStr">
        <is>
          <t>0...200°С</t>
        </is>
      </c>
      <c r="G265" s="331" t="inlineStr">
        <is>
          <t>1</t>
        </is>
      </c>
      <c r="H265" s="329" t="inlineStr">
        <is>
          <t>Метрическая</t>
        </is>
      </c>
      <c r="I265" s="331" t="inlineStr">
        <is>
          <t>24</t>
        </is>
      </c>
      <c r="J265" s="331" t="inlineStr">
        <is>
          <t>2К24</t>
        </is>
      </c>
      <c r="K265" s="329" t="inlineStr">
        <is>
          <t>Радиальный L=70мм</t>
        </is>
      </c>
    </row>
    <row r="266" ht="11.25" customHeight="1" s="236">
      <c r="A266" s="331" t="n">
        <v>265</v>
      </c>
      <c r="B266" s="331" t="inlineStr">
        <is>
          <t>Термометр биметаллический</t>
        </is>
      </c>
      <c r="C266" s="331" t="inlineStr">
        <is>
          <t>ТБ-2Р</t>
        </is>
      </c>
      <c r="D266" s="332" t="inlineStr">
        <is>
          <t>6557</t>
        </is>
      </c>
      <c r="E266" s="331" t="inlineStr"/>
      <c r="F266" s="331" t="inlineStr">
        <is>
          <t>0...120°С</t>
        </is>
      </c>
      <c r="G266" s="331" t="inlineStr">
        <is>
          <t>1</t>
        </is>
      </c>
      <c r="H266" s="329" t="inlineStr">
        <is>
          <t>Метрическая</t>
        </is>
      </c>
      <c r="I266" s="331" t="inlineStr">
        <is>
          <t>24</t>
        </is>
      </c>
      <c r="J266" s="331" t="inlineStr">
        <is>
          <t>2К24</t>
        </is>
      </c>
      <c r="K266" s="329" t="inlineStr">
        <is>
          <t>Радиальный L=100мм</t>
        </is>
      </c>
    </row>
    <row r="267" ht="11.25" customHeight="1" s="236">
      <c r="A267" s="331" t="n">
        <v>266</v>
      </c>
      <c r="B267" s="331" t="inlineStr">
        <is>
          <t>Термометр биметаллический</t>
        </is>
      </c>
      <c r="C267" s="331" t="inlineStr">
        <is>
          <t>ТБ-2Р</t>
        </is>
      </c>
      <c r="D267" s="332" t="inlineStr">
        <is>
          <t>9450</t>
        </is>
      </c>
      <c r="E267" s="331" t="inlineStr"/>
      <c r="F267" s="331" t="inlineStr">
        <is>
          <t>0...150°С</t>
        </is>
      </c>
      <c r="G267" s="331" t="inlineStr">
        <is>
          <t>1</t>
        </is>
      </c>
      <c r="H267" s="329" t="inlineStr">
        <is>
          <t>Метрическая</t>
        </is>
      </c>
      <c r="I267" s="331" t="inlineStr">
        <is>
          <t>24</t>
        </is>
      </c>
      <c r="J267" s="331" t="inlineStr">
        <is>
          <t>2К24</t>
        </is>
      </c>
      <c r="K267" s="329" t="inlineStr">
        <is>
          <t>Радиальный L=125мм</t>
        </is>
      </c>
    </row>
    <row r="268" ht="11.25" customHeight="1" s="236">
      <c r="A268" s="331" t="n">
        <v>267</v>
      </c>
      <c r="B268" s="331" t="inlineStr">
        <is>
          <t>Термометр биметаллический</t>
        </is>
      </c>
      <c r="C268" s="331" t="inlineStr">
        <is>
          <t>ТБ-2Р</t>
        </is>
      </c>
      <c r="D268" s="332" t="inlineStr">
        <is>
          <t>725</t>
        </is>
      </c>
      <c r="E268" s="331" t="inlineStr"/>
      <c r="F268" s="331" t="inlineStr">
        <is>
          <t>-20...40°С</t>
        </is>
      </c>
      <c r="G268" s="331" t="inlineStr">
        <is>
          <t>1</t>
        </is>
      </c>
      <c r="H268" s="329" t="inlineStr">
        <is>
          <t>Метрическая</t>
        </is>
      </c>
      <c r="I268" s="331" t="inlineStr">
        <is>
          <t>24</t>
        </is>
      </c>
      <c r="J268" s="331" t="inlineStr">
        <is>
          <t>2К24</t>
        </is>
      </c>
      <c r="K268" s="329" t="inlineStr">
        <is>
          <t>Радиальный L=125мм</t>
        </is>
      </c>
    </row>
    <row r="269" ht="11.25" customHeight="1" s="236">
      <c r="A269" s="331" t="n">
        <v>268</v>
      </c>
      <c r="B269" s="331" t="inlineStr">
        <is>
          <t>Термометр биметаллический</t>
        </is>
      </c>
      <c r="C269" s="331" t="inlineStr">
        <is>
          <t>ТБ-2Р</t>
        </is>
      </c>
      <c r="D269" s="332" t="inlineStr">
        <is>
          <t>6593</t>
        </is>
      </c>
      <c r="E269" s="331" t="inlineStr"/>
      <c r="F269" s="331" t="inlineStr">
        <is>
          <t>0...120°С</t>
        </is>
      </c>
      <c r="G269" s="331" t="inlineStr">
        <is>
          <t>1</t>
        </is>
      </c>
      <c r="H269" s="329" t="inlineStr">
        <is>
          <t>Метрическая</t>
        </is>
      </c>
      <c r="I269" s="331" t="inlineStr">
        <is>
          <t>24</t>
        </is>
      </c>
      <c r="J269" s="331" t="inlineStr">
        <is>
          <t>2К24</t>
        </is>
      </c>
      <c r="K269" s="329" t="inlineStr">
        <is>
          <t>Радиальный L=80мм</t>
        </is>
      </c>
    </row>
    <row r="270" ht="11.25" customHeight="1" s="236">
      <c r="A270" s="331" t="n">
        <v>269</v>
      </c>
      <c r="B270" s="331" t="inlineStr">
        <is>
          <t>Термометр биметаллический</t>
        </is>
      </c>
      <c r="C270" s="331" t="inlineStr">
        <is>
          <t>ТБ-2</t>
        </is>
      </c>
      <c r="D270" s="332" t="inlineStr">
        <is>
          <t>5797</t>
        </is>
      </c>
      <c r="E270" s="331" t="inlineStr"/>
      <c r="F270" s="331" t="inlineStr">
        <is>
          <t>0...150°С</t>
        </is>
      </c>
      <c r="G270" s="331" t="inlineStr">
        <is>
          <t>1</t>
        </is>
      </c>
      <c r="H270" s="329" t="inlineStr">
        <is>
          <t>Метрическая</t>
        </is>
      </c>
      <c r="I270" s="331" t="inlineStr">
        <is>
          <t>24</t>
        </is>
      </c>
      <c r="J270" s="331" t="inlineStr">
        <is>
          <t>2К24</t>
        </is>
      </c>
      <c r="K270" s="329" t="inlineStr">
        <is>
          <t>Радиальный L=80мм</t>
        </is>
      </c>
    </row>
    <row r="271" ht="11.25" customHeight="1" s="236">
      <c r="A271" s="331" t="n">
        <v>270</v>
      </c>
      <c r="B271" s="331" t="inlineStr">
        <is>
          <t>Термометр биметаллический</t>
        </is>
      </c>
      <c r="C271" s="331" t="inlineStr">
        <is>
          <t>ТБ-2УХЛ2</t>
        </is>
      </c>
      <c r="D271" s="332" t="inlineStr">
        <is>
          <t>7598</t>
        </is>
      </c>
      <c r="E271" s="331" t="inlineStr"/>
      <c r="F271" s="331" t="inlineStr">
        <is>
          <t>-50...150°С</t>
        </is>
      </c>
      <c r="G271" s="331" t="inlineStr">
        <is>
          <t>1.5</t>
        </is>
      </c>
      <c r="H271" s="329" t="inlineStr">
        <is>
          <t>Метрическая</t>
        </is>
      </c>
      <c r="I271" s="331" t="inlineStr">
        <is>
          <t>24</t>
        </is>
      </c>
      <c r="J271" s="331" t="inlineStr">
        <is>
          <t>2К24</t>
        </is>
      </c>
      <c r="K271" s="329" t="inlineStr">
        <is>
          <t>Осевой L=80мм</t>
        </is>
      </c>
    </row>
    <row r="272" ht="11.25" customHeight="1" s="236">
      <c r="A272" s="331" t="n">
        <v>271</v>
      </c>
      <c r="B272" s="331" t="inlineStr">
        <is>
          <t>Термометр биметаллический</t>
        </is>
      </c>
      <c r="C272" s="331" t="inlineStr">
        <is>
          <t>ТБ-2</t>
        </is>
      </c>
      <c r="D272" s="332" t="inlineStr">
        <is>
          <t>9645</t>
        </is>
      </c>
      <c r="E272" s="331" t="inlineStr"/>
      <c r="F272" s="331" t="inlineStr">
        <is>
          <t>0...150°С</t>
        </is>
      </c>
      <c r="G272" s="331" t="inlineStr">
        <is>
          <t>1</t>
        </is>
      </c>
      <c r="H272" s="329" t="inlineStr">
        <is>
          <t>Метрическая</t>
        </is>
      </c>
      <c r="I272" s="331" t="inlineStr">
        <is>
          <t>24</t>
        </is>
      </c>
      <c r="J272" s="331" t="inlineStr">
        <is>
          <t>2К24</t>
        </is>
      </c>
      <c r="K272" s="329" t="inlineStr">
        <is>
          <t>Осевой L=250мм</t>
        </is>
      </c>
    </row>
    <row r="273" ht="11.25" customHeight="1" s="236">
      <c r="A273" s="331" t="n">
        <v>272</v>
      </c>
      <c r="B273" s="331" t="inlineStr">
        <is>
          <t>Термометр биметаллический</t>
        </is>
      </c>
      <c r="C273" s="331" t="inlineStr">
        <is>
          <t>ТБ-2</t>
        </is>
      </c>
      <c r="D273" s="332" t="inlineStr">
        <is>
          <t>8960</t>
        </is>
      </c>
      <c r="E273" s="331" t="inlineStr"/>
      <c r="F273" s="331" t="inlineStr">
        <is>
          <t>0...100°С</t>
        </is>
      </c>
      <c r="G273" s="331" t="inlineStr">
        <is>
          <t>1.5</t>
        </is>
      </c>
      <c r="H273" s="329" t="inlineStr">
        <is>
          <t>Метрическая</t>
        </is>
      </c>
      <c r="I273" s="331" t="inlineStr">
        <is>
          <t>24</t>
        </is>
      </c>
      <c r="J273" s="331" t="inlineStr">
        <is>
          <t>2К24</t>
        </is>
      </c>
      <c r="K273" s="329" t="inlineStr">
        <is>
          <t>Радиальный L=80мм</t>
        </is>
      </c>
    </row>
    <row r="274" ht="11.25" customHeight="1" s="236">
      <c r="A274" s="331" t="n">
        <v>273</v>
      </c>
      <c r="B274" s="331" t="inlineStr">
        <is>
          <t>Термометр биметаллический</t>
        </is>
      </c>
      <c r="C274" s="331" t="inlineStr">
        <is>
          <t>ТБ-2Р</t>
        </is>
      </c>
      <c r="D274" s="332" t="inlineStr">
        <is>
          <t>6553</t>
        </is>
      </c>
      <c r="E274" s="331" t="inlineStr"/>
      <c r="F274" s="331" t="inlineStr">
        <is>
          <t>0...120°С</t>
        </is>
      </c>
      <c r="G274" s="331" t="inlineStr">
        <is>
          <t>1</t>
        </is>
      </c>
      <c r="H274" s="329" t="inlineStr">
        <is>
          <t>Метрическая</t>
        </is>
      </c>
      <c r="I274" s="331" t="inlineStr">
        <is>
          <t>24</t>
        </is>
      </c>
      <c r="J274" s="331" t="inlineStr">
        <is>
          <t>2К24</t>
        </is>
      </c>
      <c r="K274" s="329" t="inlineStr">
        <is>
          <t>Радиальный L=100мм</t>
        </is>
      </c>
    </row>
    <row r="275" ht="11.25" customHeight="1" s="236">
      <c r="A275" s="331" t="n">
        <v>274</v>
      </c>
      <c r="B275" s="331" t="inlineStr">
        <is>
          <t>Термометр биметаллический</t>
        </is>
      </c>
      <c r="C275" s="331" t="inlineStr">
        <is>
          <t>ТБ-2РУХЛ2</t>
        </is>
      </c>
      <c r="D275" s="332" t="inlineStr">
        <is>
          <t>7315</t>
        </is>
      </c>
      <c r="E275" s="331" t="inlineStr"/>
      <c r="F275" s="331" t="inlineStr">
        <is>
          <t>0...100°С</t>
        </is>
      </c>
      <c r="G275" s="331" t="inlineStr">
        <is>
          <t>1.5</t>
        </is>
      </c>
      <c r="H275" s="329" t="inlineStr">
        <is>
          <t>Метрическая</t>
        </is>
      </c>
      <c r="I275" s="331" t="inlineStr">
        <is>
          <t>24</t>
        </is>
      </c>
      <c r="J275" s="331" t="inlineStr">
        <is>
          <t>2К24</t>
        </is>
      </c>
      <c r="K275" s="329" t="inlineStr">
        <is>
          <t>Радиальный L=100мм</t>
        </is>
      </c>
    </row>
    <row r="276" ht="11.25" customHeight="1" s="236">
      <c r="A276" s="331" t="n">
        <v>275</v>
      </c>
      <c r="B276" s="331" t="inlineStr">
        <is>
          <t>Термометр биметаллический</t>
        </is>
      </c>
      <c r="C276" s="331" t="inlineStr">
        <is>
          <t>ТБ-1Р</t>
        </is>
      </c>
      <c r="D276" s="332" t="inlineStr">
        <is>
          <t>1289</t>
        </is>
      </c>
      <c r="E276" s="331" t="inlineStr"/>
      <c r="F276" s="331" t="inlineStr">
        <is>
          <t>0...150°С</t>
        </is>
      </c>
      <c r="G276" s="331" t="inlineStr">
        <is>
          <t>1.5</t>
        </is>
      </c>
      <c r="H276" s="329" t="inlineStr">
        <is>
          <t>Метрическая</t>
        </is>
      </c>
      <c r="I276" s="331" t="inlineStr">
        <is>
          <t>24</t>
        </is>
      </c>
      <c r="J276" s="331" t="inlineStr">
        <is>
          <t>2К24</t>
        </is>
      </c>
      <c r="K276" s="329" t="inlineStr">
        <is>
          <t>Радиальный L=125мм</t>
        </is>
      </c>
    </row>
    <row r="277" ht="11.25" customHeight="1" s="236">
      <c r="A277" s="331" t="n">
        <v>276</v>
      </c>
      <c r="B277" s="331" t="inlineStr">
        <is>
          <t>Термометр биметаллический</t>
        </is>
      </c>
      <c r="C277" s="331" t="inlineStr">
        <is>
          <t>ТБ-2</t>
        </is>
      </c>
      <c r="D277" s="332" t="inlineStr">
        <is>
          <t>5212</t>
        </is>
      </c>
      <c r="E277" s="331" t="inlineStr"/>
      <c r="F277" s="331" t="inlineStr">
        <is>
          <t>0...150°С</t>
        </is>
      </c>
      <c r="G277" s="331" t="inlineStr">
        <is>
          <t>1</t>
        </is>
      </c>
      <c r="H277" s="329" t="inlineStr">
        <is>
          <t>Метрическая</t>
        </is>
      </c>
      <c r="I277" s="331" t="inlineStr">
        <is>
          <t>24</t>
        </is>
      </c>
      <c r="J277" s="331" t="inlineStr">
        <is>
          <t>2К24</t>
        </is>
      </c>
      <c r="K277" s="329" t="inlineStr">
        <is>
          <t>Осевой L=250мм</t>
        </is>
      </c>
    </row>
    <row r="278" ht="11.25" customHeight="1" s="236">
      <c r="A278" s="331" t="n">
        <v>277</v>
      </c>
      <c r="B278" s="331" t="inlineStr">
        <is>
          <t>Термометр биметаллический</t>
        </is>
      </c>
      <c r="C278" s="331" t="inlineStr">
        <is>
          <t>ТБ-2</t>
        </is>
      </c>
      <c r="D278" s="332" t="inlineStr">
        <is>
          <t>3783</t>
        </is>
      </c>
      <c r="E278" s="331" t="inlineStr"/>
      <c r="F278" s="331" t="inlineStr">
        <is>
          <t>0...200°С</t>
        </is>
      </c>
      <c r="G278" s="331" t="inlineStr">
        <is>
          <t>1</t>
        </is>
      </c>
      <c r="H278" s="329" t="inlineStr">
        <is>
          <t>Метрическая</t>
        </is>
      </c>
      <c r="I278" s="331" t="inlineStr">
        <is>
          <t>24</t>
        </is>
      </c>
      <c r="J278" s="331" t="inlineStr">
        <is>
          <t>2К24</t>
        </is>
      </c>
      <c r="K278" s="329" t="inlineStr">
        <is>
          <t>Радиальный L=100мм</t>
        </is>
      </c>
    </row>
    <row r="279" ht="11.25" customHeight="1" s="236">
      <c r="A279" s="331" t="n">
        <v>278</v>
      </c>
      <c r="B279" s="331" t="inlineStr">
        <is>
          <t>Термометр биметаллический</t>
        </is>
      </c>
      <c r="C279" s="331" t="inlineStr">
        <is>
          <t>ТБ-2УХЛ2</t>
        </is>
      </c>
      <c r="D279" s="332" t="inlineStr">
        <is>
          <t>737</t>
        </is>
      </c>
      <c r="E279" s="331" t="inlineStr"/>
      <c r="F279" s="331" t="inlineStr">
        <is>
          <t>-50...150°С</t>
        </is>
      </c>
      <c r="G279" s="331" t="inlineStr">
        <is>
          <t>1.5</t>
        </is>
      </c>
      <c r="H279" s="329" t="inlineStr">
        <is>
          <t>Метрическая</t>
        </is>
      </c>
      <c r="I279" s="331" t="inlineStr">
        <is>
          <t>24</t>
        </is>
      </c>
      <c r="J279" s="331" t="inlineStr">
        <is>
          <t>2К24</t>
        </is>
      </c>
      <c r="K279" s="329" t="inlineStr">
        <is>
          <t>Осевой L=80мм</t>
        </is>
      </c>
    </row>
    <row r="280" ht="11.25" customHeight="1" s="236">
      <c r="A280" s="331" t="n">
        <v>279</v>
      </c>
      <c r="B280" s="331" t="inlineStr">
        <is>
          <t>Термометр биметаллический</t>
        </is>
      </c>
      <c r="C280" s="331" t="inlineStr">
        <is>
          <t>ТБ-2УХЛ2</t>
        </is>
      </c>
      <c r="D280" s="332" t="inlineStr">
        <is>
          <t>7575</t>
        </is>
      </c>
      <c r="E280" s="331" t="inlineStr"/>
      <c r="F280" s="331" t="inlineStr">
        <is>
          <t>-50...150°С</t>
        </is>
      </c>
      <c r="G280" s="331" t="inlineStr">
        <is>
          <t>1.5</t>
        </is>
      </c>
      <c r="H280" s="329" t="inlineStr">
        <is>
          <t>Метрическая</t>
        </is>
      </c>
      <c r="I280" s="331" t="inlineStr">
        <is>
          <t>24</t>
        </is>
      </c>
      <c r="J280" s="331" t="inlineStr">
        <is>
          <t>2К24</t>
        </is>
      </c>
      <c r="K280" s="329" t="inlineStr">
        <is>
          <t>Осевой L=80мм</t>
        </is>
      </c>
    </row>
    <row r="281" ht="11.25" customHeight="1" s="236">
      <c r="A281" s="331" t="n">
        <v>280</v>
      </c>
      <c r="B281" s="331" t="inlineStr">
        <is>
          <t>Термометр биметаллический</t>
        </is>
      </c>
      <c r="C281" s="331" t="inlineStr">
        <is>
          <t>ТБ-2УХЛ2</t>
        </is>
      </c>
      <c r="D281" s="332" t="inlineStr">
        <is>
          <t>7468</t>
        </is>
      </c>
      <c r="E281" s="331" t="inlineStr"/>
      <c r="F281" s="331" t="inlineStr">
        <is>
          <t>0...120°С</t>
        </is>
      </c>
      <c r="G281" s="331" t="inlineStr">
        <is>
          <t>1.5</t>
        </is>
      </c>
      <c r="H281" s="329" t="inlineStr">
        <is>
          <t>Метрическая</t>
        </is>
      </c>
      <c r="I281" s="331" t="inlineStr">
        <is>
          <t>24</t>
        </is>
      </c>
      <c r="J281" s="331" t="inlineStr">
        <is>
          <t>2К24</t>
        </is>
      </c>
      <c r="K281" s="329" t="inlineStr">
        <is>
          <t>Осевой L=80мм</t>
        </is>
      </c>
    </row>
    <row r="282" ht="11.25" customHeight="1" s="236">
      <c r="A282" s="331" t="n">
        <v>281</v>
      </c>
      <c r="B282" s="331" t="inlineStr">
        <is>
          <t>Термометр биметаллический</t>
        </is>
      </c>
      <c r="C282" s="331" t="inlineStr">
        <is>
          <t>ТБ-1Р</t>
        </is>
      </c>
      <c r="D282" s="332" t="inlineStr">
        <is>
          <t>684</t>
        </is>
      </c>
      <c r="E282" s="331" t="inlineStr">
        <is>
          <t>2018</t>
        </is>
      </c>
      <c r="F282" s="331" t="inlineStr">
        <is>
          <t>0...150°С</t>
        </is>
      </c>
      <c r="G282" s="331" t="inlineStr">
        <is>
          <t>1.5</t>
        </is>
      </c>
      <c r="H282" s="329" t="inlineStr">
        <is>
          <t>Метрическая</t>
        </is>
      </c>
      <c r="I282" s="331" t="inlineStr">
        <is>
          <t>24</t>
        </is>
      </c>
      <c r="J282" s="331" t="inlineStr">
        <is>
          <t>2К24</t>
        </is>
      </c>
      <c r="K282" s="329" t="inlineStr">
        <is>
          <t>Радиальный L=125мм</t>
        </is>
      </c>
    </row>
    <row r="283" ht="11.25" customHeight="1" s="236">
      <c r="A283" s="331" t="n">
        <v>282</v>
      </c>
      <c r="B283" s="331" t="inlineStr">
        <is>
          <t>Термометр биметаллический</t>
        </is>
      </c>
      <c r="C283" s="331" t="inlineStr">
        <is>
          <t>ТБ-2</t>
        </is>
      </c>
      <c r="D283" s="332" t="inlineStr">
        <is>
          <t>5971</t>
        </is>
      </c>
      <c r="E283" s="331" t="inlineStr"/>
      <c r="F283" s="331" t="inlineStr">
        <is>
          <t>0...120°С</t>
        </is>
      </c>
      <c r="G283" s="331" t="inlineStr">
        <is>
          <t>1</t>
        </is>
      </c>
      <c r="H283" s="329" t="inlineStr">
        <is>
          <t>Метрическая</t>
        </is>
      </c>
      <c r="I283" s="331" t="inlineStr">
        <is>
          <t>24</t>
        </is>
      </c>
      <c r="J283" s="331" t="inlineStr">
        <is>
          <t>1К24</t>
        </is>
      </c>
      <c r="K283" s="329" t="inlineStr">
        <is>
          <t>Осевой L=80мм</t>
        </is>
      </c>
    </row>
    <row r="284" ht="11.25" customHeight="1" s="236">
      <c r="A284" s="331" t="n">
        <v>283</v>
      </c>
      <c r="B284" s="331" t="inlineStr">
        <is>
          <t>Термометр биметаллический</t>
        </is>
      </c>
      <c r="C284" s="331" t="inlineStr">
        <is>
          <t>ТБ-2УХЛ2</t>
        </is>
      </c>
      <c r="D284" s="332" t="inlineStr">
        <is>
          <t>704</t>
        </is>
      </c>
      <c r="E284" s="331" t="inlineStr"/>
      <c r="F284" s="331" t="inlineStr">
        <is>
          <t>-50...150°С</t>
        </is>
      </c>
      <c r="G284" s="331" t="inlineStr">
        <is>
          <t>1.5</t>
        </is>
      </c>
      <c r="H284" s="329" t="inlineStr">
        <is>
          <t>Метрическая</t>
        </is>
      </c>
      <c r="I284" s="331" t="inlineStr">
        <is>
          <t>24</t>
        </is>
      </c>
      <c r="J284" s="331" t="inlineStr">
        <is>
          <t>2К24</t>
        </is>
      </c>
      <c r="K284" s="329" t="inlineStr">
        <is>
          <t>Осевой L=80мм</t>
        </is>
      </c>
    </row>
    <row r="285" ht="11.25" customHeight="1" s="236">
      <c r="A285" s="331" t="n">
        <v>284</v>
      </c>
      <c r="B285" s="331" t="inlineStr">
        <is>
          <t>Термометр биметаллический</t>
        </is>
      </c>
      <c r="C285" s="331" t="inlineStr">
        <is>
          <t>ТБ-2УХЛ2</t>
        </is>
      </c>
      <c r="D285" s="332" t="inlineStr">
        <is>
          <t>1635</t>
        </is>
      </c>
      <c r="E285" s="331" t="inlineStr"/>
      <c r="F285" s="331" t="inlineStr">
        <is>
          <t>-30…60°С</t>
        </is>
      </c>
      <c r="G285" s="331" t="inlineStr">
        <is>
          <t>1</t>
        </is>
      </c>
      <c r="H285" s="329" t="inlineStr">
        <is>
          <t>Метрическая</t>
        </is>
      </c>
      <c r="I285" s="331" t="inlineStr">
        <is>
          <t>24</t>
        </is>
      </c>
      <c r="J285" s="331" t="inlineStr">
        <is>
          <t>1К24</t>
        </is>
      </c>
      <c r="K285" s="329" t="inlineStr">
        <is>
          <t>Осевой L=80мм</t>
        </is>
      </c>
    </row>
    <row r="286" ht="11.25" customHeight="1" s="236">
      <c r="A286" s="331" t="n">
        <v>285</v>
      </c>
      <c r="B286" s="331" t="inlineStr">
        <is>
          <t>Термометр биметаллический</t>
        </is>
      </c>
      <c r="C286" s="331" t="inlineStr">
        <is>
          <t>ТБ-2УХЛ2</t>
        </is>
      </c>
      <c r="D286" s="332" t="inlineStr">
        <is>
          <t>3432</t>
        </is>
      </c>
      <c r="E286" s="331" t="inlineStr"/>
      <c r="F286" s="331" t="inlineStr">
        <is>
          <t>-30…60°С</t>
        </is>
      </c>
      <c r="G286" s="331" t="inlineStr">
        <is>
          <t>1</t>
        </is>
      </c>
      <c r="H286" s="329" t="inlineStr">
        <is>
          <t>Метрическая</t>
        </is>
      </c>
      <c r="I286" s="331" t="inlineStr">
        <is>
          <t>24</t>
        </is>
      </c>
      <c r="J286" s="331" t="inlineStr">
        <is>
          <t>1К24</t>
        </is>
      </c>
      <c r="K286" s="329" t="inlineStr">
        <is>
          <t>Осевой L=80мм</t>
        </is>
      </c>
    </row>
    <row r="287" ht="11.25" customHeight="1" s="236">
      <c r="A287" s="331" t="n">
        <v>286</v>
      </c>
      <c r="B287" s="331" t="inlineStr">
        <is>
          <t>Термометр биметаллический</t>
        </is>
      </c>
      <c r="C287" s="331" t="inlineStr">
        <is>
          <t>ТБ-2</t>
        </is>
      </c>
      <c r="D287" s="332" t="inlineStr">
        <is>
          <t>3047</t>
        </is>
      </c>
      <c r="E287" s="331" t="inlineStr"/>
      <c r="F287" s="331" t="inlineStr">
        <is>
          <t>0...120°С</t>
        </is>
      </c>
      <c r="G287" s="331" t="inlineStr">
        <is>
          <t>1</t>
        </is>
      </c>
      <c r="H287" s="329" t="inlineStr">
        <is>
          <t>Метрическая</t>
        </is>
      </c>
      <c r="I287" s="331" t="inlineStr">
        <is>
          <t>24</t>
        </is>
      </c>
      <c r="J287" s="331" t="inlineStr">
        <is>
          <t>1К24</t>
        </is>
      </c>
      <c r="K287" s="329" t="inlineStr">
        <is>
          <t>Осевой L=80мм</t>
        </is>
      </c>
    </row>
    <row r="288" ht="11.25" customHeight="1" s="236">
      <c r="A288" s="331" t="n">
        <v>287</v>
      </c>
      <c r="B288" s="331" t="inlineStr">
        <is>
          <t>Термометр биметаллический</t>
        </is>
      </c>
      <c r="C288" s="331" t="inlineStr">
        <is>
          <t>ТБ-2УХЛ2</t>
        </is>
      </c>
      <c r="D288" s="332" t="inlineStr">
        <is>
          <t>7574</t>
        </is>
      </c>
      <c r="E288" s="331" t="inlineStr"/>
      <c r="F288" s="331" t="inlineStr">
        <is>
          <t>-50...150°С</t>
        </is>
      </c>
      <c r="G288" s="331" t="inlineStr">
        <is>
          <t>1.5</t>
        </is>
      </c>
      <c r="H288" s="329" t="inlineStr">
        <is>
          <t>Метрическая</t>
        </is>
      </c>
      <c r="I288" s="331" t="inlineStr">
        <is>
          <t>24</t>
        </is>
      </c>
      <c r="J288" s="331" t="inlineStr">
        <is>
          <t>2К24</t>
        </is>
      </c>
      <c r="K288" s="329" t="inlineStr">
        <is>
          <t>Осевой L=80мм</t>
        </is>
      </c>
    </row>
    <row r="289" ht="11.25" customHeight="1" s="236">
      <c r="A289" s="331" t="n">
        <v>288</v>
      </c>
      <c r="B289" s="331" t="inlineStr">
        <is>
          <t>Термометр биметаллический</t>
        </is>
      </c>
      <c r="C289" s="331" t="inlineStr">
        <is>
          <t>ТБ-2</t>
        </is>
      </c>
      <c r="D289" s="332" t="inlineStr">
        <is>
          <t>5974</t>
        </is>
      </c>
      <c r="E289" s="331" t="inlineStr"/>
      <c r="F289" s="331" t="inlineStr">
        <is>
          <t>0...120°С</t>
        </is>
      </c>
      <c r="G289" s="331" t="inlineStr">
        <is>
          <t>1</t>
        </is>
      </c>
      <c r="H289" s="329" t="inlineStr">
        <is>
          <t>Метрическая</t>
        </is>
      </c>
      <c r="I289" s="331" t="inlineStr">
        <is>
          <t>24</t>
        </is>
      </c>
      <c r="J289" s="331" t="inlineStr">
        <is>
          <t>1К24</t>
        </is>
      </c>
      <c r="K289" s="329" t="inlineStr">
        <is>
          <t>Осевой L=80мм</t>
        </is>
      </c>
    </row>
    <row r="290" ht="11.25" customHeight="1" s="236">
      <c r="A290" s="331" t="n">
        <v>289</v>
      </c>
      <c r="B290" s="331" t="inlineStr">
        <is>
          <t>Термометр биметаллический</t>
        </is>
      </c>
      <c r="C290" s="331" t="inlineStr">
        <is>
          <t>ТБ-2УХЛ2</t>
        </is>
      </c>
      <c r="D290" s="332" t="inlineStr">
        <is>
          <t>7576</t>
        </is>
      </c>
      <c r="E290" s="331" t="inlineStr"/>
      <c r="F290" s="331" t="inlineStr">
        <is>
          <t>-50...150°С</t>
        </is>
      </c>
      <c r="G290" s="331" t="inlineStr">
        <is>
          <t>1.5</t>
        </is>
      </c>
      <c r="H290" s="329" t="inlineStr">
        <is>
          <t>Метрическая</t>
        </is>
      </c>
      <c r="I290" s="331" t="inlineStr">
        <is>
          <t>24</t>
        </is>
      </c>
      <c r="J290" s="331" t="inlineStr">
        <is>
          <t>2К24</t>
        </is>
      </c>
      <c r="K290" s="329" t="inlineStr">
        <is>
          <t>Осевой L=80мм</t>
        </is>
      </c>
    </row>
    <row r="291"/>
    <row r="292"/>
    <row r="293"/>
    <row r="294"/>
    <row r="295"/>
    <row r="296"/>
    <row r="297"/>
    <row r="298" ht="11.25" customHeight="1" s="236">
      <c r="F298" s="327" t="inlineStr">
        <is>
          <t> </t>
        </is>
      </c>
    </row>
    <row r="299">
      <c r="A299" t="n">
        <v>87</v>
      </c>
      <c r="B299" t="inlineStr">
        <is>
          <t>Манометр технический</t>
        </is>
      </c>
      <c r="C299" t="inlineStr">
        <is>
          <t>МП4-УУ2</t>
        </is>
      </c>
      <c r="D299" t="inlineStr"/>
      <c r="E299" t="inlineStr"/>
      <c r="F299" s="337" t="inlineStr">
        <is>
          <t>0…160 кгс/см2</t>
        </is>
      </c>
      <c r="G299" t="inlineStr">
        <is>
          <t>1.5</t>
        </is>
      </c>
      <c r="I299" t="inlineStr">
        <is>
          <t>12</t>
        </is>
      </c>
      <c r="J299" t="inlineStr">
        <is>
          <t>25ДЯУ</t>
        </is>
      </c>
    </row>
  </sheetData>
  <conditionalFormatting sqref="J1">
    <cfRule type="expression" rank="0" priority="2" equalAverage="0" aboveAverage="0" dxfId="1" text="" percent="0" bottom="0">
      <formula>OR(AND(IF(VALUE(LEFT(TEXT($J1,"0"),1))&lt;=INT((MONTH(TODAY())+2)/3),1),IF(VALUE(RIGHT(TEXT($J1,"0"),2))+($I1/12)&lt;=VALUE(TEXT(TODAY(),"ГГ")),1),OR($K1="К",$K1="K", ,$K1="П")),IFERROR(AND(IF(INT((MONTH($J1)+2)/3)&lt;=INT((MONTH(TODAY())+2)/3),1),IF(VALUE(TEXT($J1,"ГГ"))+($I1/12)&lt;=VALUE(TEXT(TODAY(),"ГГ")),1),OR($K1="К",$K1="K",$K1="П")),0))</formula>
    </cfRule>
  </conditionalFormatting>
  <conditionalFormatting sqref="M84">
    <cfRule type="expression" rank="0" priority="3" equalAverage="0" aboveAverage="0" dxfId="1" text="" percent="0" bottom="0">
      <formula>OR(AND(IF(VALUE(LEFT(TEXT($M84,"0"),1))&lt;=INT((MONTH(TODAY())+2)/3),1),IF(VALUE(RIGHT(TEXT($M84,"0"),2))+($L84/12)&lt;=VALUE(TEXT(TODAY(),"ГГ")),1),OR($N84="К",$N84="K", ,$N84="П")),IFERROR(AND(IF(INT((MONTH($M84)+2)/3)&lt;=INT((MONTH(TODAY())+2)/3),1),IF(VALUE(TEXT($M84,"ГГ"))+($L84/12)&lt;=VALUE(TEXT(TODAY(),"ГГ")),1),OR($N84="К",$N84="K",$N84="П")),0))</formula>
    </cfRule>
  </conditionalFormatting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O39"/>
  <sheetViews>
    <sheetView showFormulas="0" showGridLines="1" showRowColHeaders="1" showZeros="1" rightToLeft="0" tabSelected="0" showOutlineSymbols="1" defaultGridColor="1" view="normal" topLeftCell="A1" colorId="64" zoomScale="115" zoomScaleNormal="115" zoomScalePageLayoutView="100" workbookViewId="0">
      <pane xSplit="0" ySplit="1" topLeftCell="A26" activePane="bottomLeft" state="frozen"/>
      <selection pane="topLeft" activeCell="A1" activeCellId="0" sqref="A1"/>
      <selection pane="bottomLeft" activeCell="B44" activeCellId="0" sqref="B44"/>
    </sheetView>
  </sheetViews>
  <sheetFormatPr baseColWidth="8" defaultColWidth="9.15625" defaultRowHeight="11.25" zeroHeight="0" outlineLevelRow="0"/>
  <cols>
    <col width="3.14" customWidth="1" style="327" min="1" max="1"/>
    <col width="21.86" customWidth="1" style="327" min="2" max="2"/>
    <col width="10.42" customWidth="1" style="327" min="3" max="3"/>
    <col width="8" customWidth="1" style="327" min="4" max="4"/>
    <col width="6.57" customWidth="1" style="327" min="5" max="5"/>
    <col width="11.42" customWidth="1" style="327" min="6" max="6"/>
    <col width="7.42" customWidth="1" style="327" min="7" max="7"/>
    <col width="10" customWidth="1" style="327" min="8" max="8"/>
    <col width="9" customWidth="1" style="327" min="9" max="9"/>
    <col width="8.859999999999999" customWidth="1" style="327" min="10" max="10"/>
    <col width="9.289999999999999" customWidth="1" style="327" min="11" max="11"/>
    <col width="9.140000000000001" customWidth="1" style="281" min="12" max="1024"/>
  </cols>
  <sheetData>
    <row r="1" ht="45" customHeight="1" s="236">
      <c r="A1" s="239" t="inlineStr">
        <is>
          <t>№ п/п</t>
        </is>
      </c>
      <c r="B1" s="239" t="inlineStr">
        <is>
          <t>Наименование</t>
        </is>
      </c>
      <c r="C1" s="239" t="inlineStr">
        <is>
          <t>Тип</t>
        </is>
      </c>
      <c r="D1" s="239" t="inlineStr">
        <is>
          <t>Заводской номер</t>
        </is>
      </c>
      <c r="E1" s="240" t="inlineStr">
        <is>
          <t>Год выпуска</t>
        </is>
      </c>
      <c r="F1" s="239" t="inlineStr">
        <is>
          <t>Диапазон измерений</t>
        </is>
      </c>
      <c r="G1" s="239" t="inlineStr">
        <is>
          <t>Класс точности</t>
        </is>
      </c>
      <c r="H1" s="239" t="inlineStr">
        <is>
          <t>Тип резьбы</t>
        </is>
      </c>
      <c r="I1" s="239" t="inlineStr">
        <is>
          <t>Межповерочный интервал, мес.</t>
        </is>
      </c>
      <c r="J1" s="239" t="inlineStr">
        <is>
          <t>Дата последней поверки / калибровки</t>
        </is>
      </c>
      <c r="K1" s="239" t="inlineStr">
        <is>
          <t>Ориентация штуцера</t>
        </is>
      </c>
    </row>
    <row r="2" ht="11.25" customHeight="1" s="236">
      <c r="A2" s="329">
        <f>IF(B2&lt;&gt;"", COUNTA($B$2:B2), "")</f>
        <v/>
      </c>
      <c r="B2" s="329" t="inlineStr">
        <is>
          <t>Манометр технический</t>
        </is>
      </c>
      <c r="C2" s="329" t="inlineStr">
        <is>
          <t>КМ2</t>
        </is>
      </c>
      <c r="D2" s="329" t="inlineStr">
        <is>
          <t>б/н</t>
        </is>
      </c>
      <c r="E2" s="329" t="n"/>
      <c r="F2" s="329" t="inlineStr">
        <is>
          <t>0…2,5 кПа</t>
        </is>
      </c>
      <c r="G2" s="329" t="n">
        <v>1.5</v>
      </c>
      <c r="H2" s="329" t="inlineStr">
        <is>
          <t>Метрическая</t>
        </is>
      </c>
      <c r="I2" s="329" t="n">
        <v>12</v>
      </c>
      <c r="J2" s="330" t="n"/>
      <c r="K2" s="329" t="inlineStr">
        <is>
          <t>Радиальный</t>
        </is>
      </c>
      <c r="M2" s="338" t="n"/>
    </row>
    <row r="3" ht="11.25" customHeight="1" s="236">
      <c r="A3" s="329">
        <f>IF(B3&lt;&gt;"", COUNTA($B$2:B3), "")</f>
        <v/>
      </c>
      <c r="B3" s="329" t="inlineStr">
        <is>
          <t>Манометр технический</t>
        </is>
      </c>
      <c r="C3" s="329" t="inlineStr">
        <is>
          <t>КМ2</t>
        </is>
      </c>
      <c r="D3" s="329" t="inlineStr">
        <is>
          <t>б/н</t>
        </is>
      </c>
      <c r="E3" s="329" t="n"/>
      <c r="F3" s="329" t="inlineStr">
        <is>
          <t>0…2,5 кПа</t>
        </is>
      </c>
      <c r="G3" s="329" t="n">
        <v>1.5</v>
      </c>
      <c r="H3" s="329" t="inlineStr">
        <is>
          <t>Метрическая</t>
        </is>
      </c>
      <c r="I3" s="329" t="n">
        <v>12</v>
      </c>
      <c r="J3" s="330" t="n"/>
      <c r="K3" s="329" t="inlineStr">
        <is>
          <t>Радиальный</t>
        </is>
      </c>
    </row>
    <row r="4" ht="11.25" customHeight="1" s="236">
      <c r="A4" s="329">
        <f>IF(B4&lt;&gt;"", COUNTA($B$2:B4), "")</f>
        <v/>
      </c>
      <c r="B4" s="329" t="inlineStr">
        <is>
          <t>Манометр технический</t>
        </is>
      </c>
      <c r="C4" s="329" t="inlineStr">
        <is>
          <t>КМ2</t>
        </is>
      </c>
      <c r="D4" s="329" t="inlineStr">
        <is>
          <t>б/н</t>
        </is>
      </c>
      <c r="E4" s="329" t="n"/>
      <c r="F4" s="329" t="inlineStr">
        <is>
          <t>0…2,5 кПа</t>
        </is>
      </c>
      <c r="G4" s="329" t="n">
        <v>1.5</v>
      </c>
      <c r="H4" s="329" t="inlineStr">
        <is>
          <t>Метрическая</t>
        </is>
      </c>
      <c r="I4" s="329" t="n">
        <v>12</v>
      </c>
      <c r="J4" s="330" t="n"/>
      <c r="K4" s="329" t="inlineStr">
        <is>
          <t>Радиальный</t>
        </is>
      </c>
    </row>
    <row r="5" ht="11.25" customHeight="1" s="236">
      <c r="A5" s="329">
        <f>IF(B5&lt;&gt;"", COUNTA($B$2:B5), "")</f>
        <v/>
      </c>
      <c r="B5" s="329" t="inlineStr">
        <is>
          <t>Манометр технический</t>
        </is>
      </c>
      <c r="C5" s="329" t="inlineStr">
        <is>
          <t>КМ2</t>
        </is>
      </c>
      <c r="D5" s="329" t="inlineStr">
        <is>
          <t>б/н</t>
        </is>
      </c>
      <c r="E5" s="329" t="n"/>
      <c r="F5" s="329" t="inlineStr">
        <is>
          <t>0…25 кПа</t>
        </is>
      </c>
      <c r="G5" s="329" t="n">
        <v>1.5</v>
      </c>
      <c r="H5" s="329" t="inlineStr">
        <is>
          <t>Метрическая</t>
        </is>
      </c>
      <c r="I5" s="329" t="n">
        <v>12</v>
      </c>
      <c r="J5" s="330" t="n"/>
      <c r="K5" s="329" t="inlineStr">
        <is>
          <t>Радиальный</t>
        </is>
      </c>
    </row>
    <row r="6" ht="11.25" customHeight="1" s="236">
      <c r="A6" s="329">
        <f>IF(B6&lt;&gt;"", COUNTA($B$2:B6), "")</f>
        <v/>
      </c>
      <c r="B6" s="329" t="inlineStr">
        <is>
          <t>Манометр технический</t>
        </is>
      </c>
      <c r="C6" s="329" t="inlineStr">
        <is>
          <t>КМ2</t>
        </is>
      </c>
      <c r="D6" s="329" t="inlineStr">
        <is>
          <t>б/н</t>
        </is>
      </c>
      <c r="E6" s="329" t="n"/>
      <c r="F6" s="329" t="inlineStr">
        <is>
          <t>0…25 кПа</t>
        </is>
      </c>
      <c r="G6" s="329" t="n">
        <v>1.5</v>
      </c>
      <c r="H6" s="329" t="inlineStr">
        <is>
          <t>Метрическая</t>
        </is>
      </c>
      <c r="I6" s="329" t="n">
        <v>12</v>
      </c>
      <c r="J6" s="330" t="n"/>
      <c r="K6" s="329" t="inlineStr">
        <is>
          <t>Радиальный</t>
        </is>
      </c>
    </row>
    <row r="7" ht="11.25" customHeight="1" s="236">
      <c r="A7" s="331" t="n">
        <v>6</v>
      </c>
      <c r="B7" s="331" t="inlineStr">
        <is>
          <t>Манометр технический</t>
        </is>
      </c>
      <c r="C7" s="331" t="inlineStr">
        <is>
          <t>КМ2</t>
        </is>
      </c>
      <c r="D7" s="331" t="inlineStr">
        <is>
          <t>б/н</t>
        </is>
      </c>
      <c r="E7" s="331" t="inlineStr"/>
      <c r="F7" s="331" t="inlineStr">
        <is>
          <t>0…25 кПа</t>
        </is>
      </c>
      <c r="G7" s="331" t="inlineStr">
        <is>
          <t>1.5</t>
        </is>
      </c>
      <c r="H7" s="329" t="inlineStr">
        <is>
          <t>Метрическая</t>
        </is>
      </c>
      <c r="I7" s="331" t="inlineStr">
        <is>
          <t>12</t>
        </is>
      </c>
      <c r="J7" s="332" t="inlineStr"/>
      <c r="K7" s="329" t="inlineStr">
        <is>
          <t>Радиальный</t>
        </is>
      </c>
    </row>
    <row r="8" ht="11.25" customHeight="1" s="236">
      <c r="A8" s="331" t="n">
        <v>7</v>
      </c>
      <c r="B8" s="331" t="inlineStr">
        <is>
          <t>Манометр технический</t>
        </is>
      </c>
      <c r="C8" s="331" t="inlineStr">
        <is>
          <t>ДМ8008-Вуф</t>
        </is>
      </c>
      <c r="D8" s="331" t="inlineStr">
        <is>
          <t>012869</t>
        </is>
      </c>
      <c r="E8" s="331" t="inlineStr"/>
      <c r="F8" s="331" t="inlineStr">
        <is>
          <t>0…600 кПа</t>
        </is>
      </c>
      <c r="G8" s="331" t="inlineStr">
        <is>
          <t>1</t>
        </is>
      </c>
      <c r="H8" s="329" t="inlineStr">
        <is>
          <t>Метрическая</t>
        </is>
      </c>
      <c r="I8" s="331" t="inlineStr">
        <is>
          <t>12</t>
        </is>
      </c>
      <c r="J8" s="332" t="inlineStr">
        <is>
          <t>01.2020</t>
        </is>
      </c>
      <c r="K8" s="329" t="inlineStr">
        <is>
          <t>Радиальный</t>
        </is>
      </c>
    </row>
    <row r="9" ht="11.25" customHeight="1" s="236">
      <c r="A9" s="331" t="n">
        <v>8</v>
      </c>
      <c r="B9" s="331" t="inlineStr">
        <is>
          <t>Манометр технический</t>
        </is>
      </c>
      <c r="C9" s="331" t="inlineStr">
        <is>
          <t>ДМ8008-Вуф</t>
        </is>
      </c>
      <c r="D9" s="331" t="inlineStr">
        <is>
          <t>012849</t>
        </is>
      </c>
      <c r="E9" s="331" t="inlineStr"/>
      <c r="F9" s="331" t="inlineStr">
        <is>
          <t>0…600 кПа</t>
        </is>
      </c>
      <c r="G9" s="331" t="inlineStr">
        <is>
          <t>1</t>
        </is>
      </c>
      <c r="H9" s="329" t="inlineStr">
        <is>
          <t>Метрическая</t>
        </is>
      </c>
      <c r="I9" s="331" t="inlineStr">
        <is>
          <t>12</t>
        </is>
      </c>
      <c r="J9" s="332" t="inlineStr">
        <is>
          <t>01.2020</t>
        </is>
      </c>
      <c r="K9" s="329" t="inlineStr">
        <is>
          <t>Радиальный</t>
        </is>
      </c>
    </row>
    <row r="10" ht="11.25" customHeight="1" s="236">
      <c r="A10" s="331" t="n">
        <v>9</v>
      </c>
      <c r="B10" s="331" t="inlineStr">
        <is>
          <t>Манометр технический</t>
        </is>
      </c>
      <c r="C10" s="331" t="inlineStr">
        <is>
          <t>ДМ8008-Вуф</t>
        </is>
      </c>
      <c r="D10" s="331" t="inlineStr">
        <is>
          <t>004887</t>
        </is>
      </c>
      <c r="E10" s="331" t="inlineStr"/>
      <c r="F10" s="331" t="inlineStr">
        <is>
          <t>0…600 кПа</t>
        </is>
      </c>
      <c r="G10" s="331" t="inlineStr">
        <is>
          <t>1</t>
        </is>
      </c>
      <c r="H10" s="329" t="inlineStr">
        <is>
          <t>Метрическая</t>
        </is>
      </c>
      <c r="I10" s="331" t="inlineStr">
        <is>
          <t>12</t>
        </is>
      </c>
      <c r="J10" s="332" t="inlineStr">
        <is>
          <t>01.2020</t>
        </is>
      </c>
      <c r="K10" s="329" t="inlineStr">
        <is>
          <t>Радиальный</t>
        </is>
      </c>
      <c r="O10" s="338" t="n"/>
    </row>
    <row r="11" ht="11.25" customHeight="1" s="236">
      <c r="A11" s="331" t="n">
        <v>10</v>
      </c>
      <c r="B11" s="331" t="inlineStr">
        <is>
          <t>Манометр технический</t>
        </is>
      </c>
      <c r="C11" s="331" t="inlineStr">
        <is>
          <t>ДМ8008-Вуф</t>
        </is>
      </c>
      <c r="D11" s="331" t="inlineStr">
        <is>
          <t>012783</t>
        </is>
      </c>
      <c r="E11" s="331" t="inlineStr"/>
      <c r="F11" s="331" t="inlineStr">
        <is>
          <t>0…600 кПа</t>
        </is>
      </c>
      <c r="G11" s="331" t="inlineStr">
        <is>
          <t>1</t>
        </is>
      </c>
      <c r="H11" s="329" t="inlineStr">
        <is>
          <t>Метрическая</t>
        </is>
      </c>
      <c r="I11" s="331" t="inlineStr">
        <is>
          <t>12</t>
        </is>
      </c>
      <c r="J11" s="332" t="inlineStr">
        <is>
          <t>01.2020</t>
        </is>
      </c>
      <c r="K11" s="329" t="inlineStr">
        <is>
          <t>Радиальный</t>
        </is>
      </c>
    </row>
    <row r="12" ht="11.25" customHeight="1" s="236">
      <c r="A12" s="331" t="n">
        <v>11</v>
      </c>
      <c r="B12" s="331" t="inlineStr">
        <is>
          <t>Манометр технический</t>
        </is>
      </c>
      <c r="C12" s="331" t="inlineStr">
        <is>
          <t>ДМ8008-Вуф</t>
        </is>
      </c>
      <c r="D12" s="331" t="inlineStr">
        <is>
          <t>012980</t>
        </is>
      </c>
      <c r="E12" s="331" t="inlineStr"/>
      <c r="F12" s="331" t="inlineStr">
        <is>
          <t>0…600 кПа</t>
        </is>
      </c>
      <c r="G12" s="331" t="inlineStr">
        <is>
          <t>1</t>
        </is>
      </c>
      <c r="H12" s="329" t="inlineStr">
        <is>
          <t>Метрическая</t>
        </is>
      </c>
      <c r="I12" s="331" t="inlineStr">
        <is>
          <t>12</t>
        </is>
      </c>
      <c r="J12" s="332" t="inlineStr">
        <is>
          <t>01.2020</t>
        </is>
      </c>
      <c r="K12" s="329" t="inlineStr">
        <is>
          <t>Радиальный</t>
        </is>
      </c>
    </row>
    <row r="13" ht="11.25" customHeight="1" s="236">
      <c r="A13" s="331" t="n">
        <v>12</v>
      </c>
      <c r="B13" s="331" t="inlineStr">
        <is>
          <t>Манометр технический</t>
        </is>
      </c>
      <c r="C13" s="331" t="inlineStr">
        <is>
          <t>ДМ8008-Вуф</t>
        </is>
      </c>
      <c r="D13" s="331" t="inlineStr">
        <is>
          <t>012994</t>
        </is>
      </c>
      <c r="E13" s="331" t="inlineStr"/>
      <c r="F13" s="331" t="inlineStr">
        <is>
          <t>0…600 кПа</t>
        </is>
      </c>
      <c r="G13" s="331" t="inlineStr">
        <is>
          <t>1</t>
        </is>
      </c>
      <c r="H13" s="329" t="inlineStr">
        <is>
          <t>Метрическая</t>
        </is>
      </c>
      <c r="I13" s="331" t="inlineStr">
        <is>
          <t>12</t>
        </is>
      </c>
      <c r="J13" s="332" t="inlineStr">
        <is>
          <t>01.2020</t>
        </is>
      </c>
      <c r="K13" s="329" t="inlineStr">
        <is>
          <t>Радиальный</t>
        </is>
      </c>
    </row>
    <row r="14" ht="11.25" customHeight="1" s="236">
      <c r="A14" s="331" t="n">
        <v>13</v>
      </c>
      <c r="B14" s="331" t="inlineStr">
        <is>
          <t>Манометр технический</t>
        </is>
      </c>
      <c r="C14" s="331" t="inlineStr">
        <is>
          <t>ДМ8008-Вуф</t>
        </is>
      </c>
      <c r="D14" s="331" t="inlineStr">
        <is>
          <t>004898</t>
        </is>
      </c>
      <c r="E14" s="331" t="inlineStr"/>
      <c r="F14" s="331" t="inlineStr">
        <is>
          <t>0…600 кПа</t>
        </is>
      </c>
      <c r="G14" s="331" t="inlineStr">
        <is>
          <t>1</t>
        </is>
      </c>
      <c r="H14" s="329" t="inlineStr">
        <is>
          <t>Метрическая</t>
        </is>
      </c>
      <c r="I14" s="331" t="inlineStr">
        <is>
          <t>12</t>
        </is>
      </c>
      <c r="J14" s="332" t="inlineStr">
        <is>
          <t>01.2020</t>
        </is>
      </c>
      <c r="K14" s="329" t="inlineStr">
        <is>
          <t>Радиальный</t>
        </is>
      </c>
    </row>
    <row r="15" ht="11.25" customHeight="1" s="236">
      <c r="A15" s="331" t="n">
        <v>14</v>
      </c>
      <c r="B15" s="331" t="inlineStr">
        <is>
          <t>Манометр технический</t>
        </is>
      </c>
      <c r="C15" s="331" t="inlineStr">
        <is>
          <t>ДМ8008-Вуф</t>
        </is>
      </c>
      <c r="D15" s="331" t="inlineStr">
        <is>
          <t>005050</t>
        </is>
      </c>
      <c r="E15" s="331" t="inlineStr"/>
      <c r="F15" s="331" t="inlineStr">
        <is>
          <t>0…600 кПа</t>
        </is>
      </c>
      <c r="G15" s="331" t="inlineStr">
        <is>
          <t>1</t>
        </is>
      </c>
      <c r="H15" s="329" t="inlineStr">
        <is>
          <t>Метрическая</t>
        </is>
      </c>
      <c r="I15" s="331" t="inlineStr">
        <is>
          <t>12</t>
        </is>
      </c>
      <c r="J15" s="332" t="inlineStr">
        <is>
          <t>01.2020</t>
        </is>
      </c>
      <c r="K15" s="329" t="inlineStr">
        <is>
          <t>Радиальный</t>
        </is>
      </c>
    </row>
    <row r="16" ht="11.25" customHeight="1" s="236">
      <c r="A16" s="331" t="n">
        <v>15</v>
      </c>
      <c r="B16" s="331" t="inlineStr">
        <is>
          <t>Манометр технический</t>
        </is>
      </c>
      <c r="C16" s="331" t="inlineStr">
        <is>
          <t>ДМ8008-Вуф</t>
        </is>
      </c>
      <c r="D16" s="331" t="inlineStr">
        <is>
          <t>012860</t>
        </is>
      </c>
      <c r="E16" s="331" t="inlineStr"/>
      <c r="F16" s="331" t="inlineStr">
        <is>
          <t>0…600 кПа</t>
        </is>
      </c>
      <c r="G16" s="331" t="inlineStr">
        <is>
          <t>1</t>
        </is>
      </c>
      <c r="H16" s="329" t="inlineStr">
        <is>
          <t>Метрическая</t>
        </is>
      </c>
      <c r="I16" s="331" t="inlineStr">
        <is>
          <t>12</t>
        </is>
      </c>
      <c r="J16" s="332" t="inlineStr">
        <is>
          <t>01.2020</t>
        </is>
      </c>
      <c r="K16" s="329" t="inlineStr">
        <is>
          <t>Радиальный</t>
        </is>
      </c>
    </row>
    <row r="17" ht="11.25" customHeight="1" s="236">
      <c r="A17" s="331" t="n">
        <v>16</v>
      </c>
      <c r="B17" s="331" t="inlineStr">
        <is>
          <t>Манометр технический</t>
        </is>
      </c>
      <c r="C17" s="331" t="inlineStr">
        <is>
          <t>ДМ8008-Вуф</t>
        </is>
      </c>
      <c r="D17" s="331" t="inlineStr">
        <is>
          <t>005055</t>
        </is>
      </c>
      <c r="E17" s="331" t="inlineStr"/>
      <c r="F17" s="331" t="inlineStr">
        <is>
          <t>0…600 кПа</t>
        </is>
      </c>
      <c r="G17" s="331" t="inlineStr">
        <is>
          <t>1</t>
        </is>
      </c>
      <c r="H17" s="329" t="inlineStr">
        <is>
          <t>Метрическая</t>
        </is>
      </c>
      <c r="I17" s="331" t="inlineStr">
        <is>
          <t>12</t>
        </is>
      </c>
      <c r="J17" s="332" t="inlineStr">
        <is>
          <t>01.2020</t>
        </is>
      </c>
      <c r="K17" s="329" t="inlineStr">
        <is>
          <t>Радиальный</t>
        </is>
      </c>
    </row>
    <row r="18" ht="11.25" customHeight="1" s="236">
      <c r="A18" s="331" t="n">
        <v>17</v>
      </c>
      <c r="B18" s="331" t="inlineStr">
        <is>
          <t>Манометр технический</t>
        </is>
      </c>
      <c r="C18" s="331" t="inlineStr">
        <is>
          <t>ДМ8008-Вуф</t>
        </is>
      </c>
      <c r="D18" s="331" t="inlineStr">
        <is>
          <t>004998</t>
        </is>
      </c>
      <c r="E18" s="331" t="inlineStr"/>
      <c r="F18" s="331" t="inlineStr">
        <is>
          <t>0…600 кПа</t>
        </is>
      </c>
      <c r="G18" s="331" t="inlineStr">
        <is>
          <t>1</t>
        </is>
      </c>
      <c r="H18" s="329" t="inlineStr">
        <is>
          <t>Метрическая</t>
        </is>
      </c>
      <c r="I18" s="331" t="inlineStr">
        <is>
          <t>12</t>
        </is>
      </c>
      <c r="J18" s="332" t="inlineStr">
        <is>
          <t>01.2020</t>
        </is>
      </c>
      <c r="K18" s="329" t="inlineStr">
        <is>
          <t>Радиальный</t>
        </is>
      </c>
    </row>
    <row r="19" ht="11.25" customHeight="1" s="236">
      <c r="A19" s="331" t="n">
        <v>18</v>
      </c>
      <c r="B19" s="331" t="inlineStr">
        <is>
          <t>Манометр технический</t>
        </is>
      </c>
      <c r="C19" s="331" t="inlineStr">
        <is>
          <t>ДМ8008-Вуф</t>
        </is>
      </c>
      <c r="D19" s="331" t="inlineStr">
        <is>
          <t>013815</t>
        </is>
      </c>
      <c r="E19" s="331" t="inlineStr"/>
      <c r="F19" s="331" t="inlineStr">
        <is>
          <t>0…600 кПа</t>
        </is>
      </c>
      <c r="G19" s="331" t="inlineStr">
        <is>
          <t>1</t>
        </is>
      </c>
      <c r="H19" s="329" t="inlineStr">
        <is>
          <t>Метрическая</t>
        </is>
      </c>
      <c r="I19" s="331" t="inlineStr">
        <is>
          <t>12</t>
        </is>
      </c>
      <c r="J19" s="332" t="inlineStr">
        <is>
          <t>01.2020</t>
        </is>
      </c>
      <c r="K19" s="329" t="inlineStr">
        <is>
          <t>Радиальный</t>
        </is>
      </c>
    </row>
    <row r="20" ht="11.25" customHeight="1" s="236">
      <c r="A20" s="331" t="n">
        <v>19</v>
      </c>
      <c r="B20" s="331" t="inlineStr">
        <is>
          <t>Манометр технический</t>
        </is>
      </c>
      <c r="C20" s="331" t="inlineStr">
        <is>
          <t>ДМ8008-Вуф</t>
        </is>
      </c>
      <c r="D20" s="331" t="inlineStr">
        <is>
          <t>005008</t>
        </is>
      </c>
      <c r="E20" s="331" t="inlineStr"/>
      <c r="F20" s="331" t="inlineStr">
        <is>
          <t>0…600 кПа</t>
        </is>
      </c>
      <c r="G20" s="331" t="inlineStr">
        <is>
          <t>1</t>
        </is>
      </c>
      <c r="H20" s="329" t="inlineStr">
        <is>
          <t>Метрическая</t>
        </is>
      </c>
      <c r="I20" s="331" t="inlineStr">
        <is>
          <t>12</t>
        </is>
      </c>
      <c r="J20" s="332" t="inlineStr">
        <is>
          <t>01.2020</t>
        </is>
      </c>
      <c r="K20" s="329" t="inlineStr">
        <is>
          <t>Радиальный</t>
        </is>
      </c>
    </row>
    <row r="21" ht="11.25" customHeight="1" s="236">
      <c r="A21" s="331" t="n">
        <v>20</v>
      </c>
      <c r="B21" s="331" t="inlineStr">
        <is>
          <t>Манометр технический</t>
        </is>
      </c>
      <c r="C21" s="331" t="inlineStr">
        <is>
          <t>ДМ8008-Вуф</t>
        </is>
      </c>
      <c r="D21" s="331" t="inlineStr">
        <is>
          <t>004848</t>
        </is>
      </c>
      <c r="E21" s="331" t="inlineStr"/>
      <c r="F21" s="331" t="inlineStr">
        <is>
          <t>0…600 кПа</t>
        </is>
      </c>
      <c r="G21" s="331" t="inlineStr">
        <is>
          <t>1</t>
        </is>
      </c>
      <c r="H21" s="329" t="inlineStr">
        <is>
          <t>Метрическая</t>
        </is>
      </c>
      <c r="I21" s="331" t="inlineStr">
        <is>
          <t>12</t>
        </is>
      </c>
      <c r="J21" s="332" t="inlineStr">
        <is>
          <t>01.2020</t>
        </is>
      </c>
      <c r="K21" s="329" t="inlineStr">
        <is>
          <t>Радиальный</t>
        </is>
      </c>
    </row>
    <row r="22" ht="11.25" customHeight="1" s="236">
      <c r="A22" s="331" t="n">
        <v>21</v>
      </c>
      <c r="B22" s="331" t="inlineStr">
        <is>
          <t>Манометр технический</t>
        </is>
      </c>
      <c r="C22" s="331" t="inlineStr">
        <is>
          <t>ДМ8008-Вуф</t>
        </is>
      </c>
      <c r="D22" s="331" t="inlineStr">
        <is>
          <t>012875</t>
        </is>
      </c>
      <c r="E22" s="331" t="inlineStr"/>
      <c r="F22" s="331" t="inlineStr">
        <is>
          <t>0…600 кПа</t>
        </is>
      </c>
      <c r="G22" s="331" t="inlineStr">
        <is>
          <t>1</t>
        </is>
      </c>
      <c r="H22" s="329" t="inlineStr">
        <is>
          <t>Метрическая</t>
        </is>
      </c>
      <c r="I22" s="331" t="inlineStr">
        <is>
          <t>12</t>
        </is>
      </c>
      <c r="J22" s="332" t="inlineStr">
        <is>
          <t>01.2020</t>
        </is>
      </c>
      <c r="K22" s="329" t="inlineStr">
        <is>
          <t>Радиальный</t>
        </is>
      </c>
    </row>
    <row r="23" ht="11.25" customHeight="1" s="236">
      <c r="A23" s="331" t="n">
        <v>22</v>
      </c>
      <c r="B23" s="331" t="inlineStr">
        <is>
          <t>Манометр технический</t>
        </is>
      </c>
      <c r="C23" s="331" t="inlineStr">
        <is>
          <t>ДМ8008-Вуф</t>
        </is>
      </c>
      <c r="D23" s="331" t="inlineStr">
        <is>
          <t>012880</t>
        </is>
      </c>
      <c r="E23" s="331" t="inlineStr"/>
      <c r="F23" s="331" t="inlineStr">
        <is>
          <t>0…600 кПа</t>
        </is>
      </c>
      <c r="G23" s="331" t="inlineStr">
        <is>
          <t>1</t>
        </is>
      </c>
      <c r="H23" s="329" t="inlineStr">
        <is>
          <t>Метрическая</t>
        </is>
      </c>
      <c r="I23" s="331" t="inlineStr">
        <is>
          <t>12</t>
        </is>
      </c>
      <c r="J23" s="332" t="inlineStr">
        <is>
          <t>01.2020</t>
        </is>
      </c>
      <c r="K23" s="329" t="inlineStr">
        <is>
          <t>Радиальный</t>
        </is>
      </c>
    </row>
    <row r="24" ht="11.25" customHeight="1" s="236">
      <c r="A24" s="331" t="n">
        <v>23</v>
      </c>
      <c r="B24" s="331" t="inlineStr">
        <is>
          <t>Манометр технический</t>
        </is>
      </c>
      <c r="C24" s="331" t="inlineStr">
        <is>
          <t>ДМ8008-Вуф</t>
        </is>
      </c>
      <c r="D24" s="331" t="inlineStr">
        <is>
          <t>013398</t>
        </is>
      </c>
      <c r="E24" s="331" t="inlineStr"/>
      <c r="F24" s="331" t="inlineStr">
        <is>
          <t>0…600 кПа</t>
        </is>
      </c>
      <c r="G24" s="331" t="inlineStr">
        <is>
          <t>1</t>
        </is>
      </c>
      <c r="H24" s="329" t="inlineStr">
        <is>
          <t>Метрическая</t>
        </is>
      </c>
      <c r="I24" s="331" t="inlineStr">
        <is>
          <t>12</t>
        </is>
      </c>
      <c r="J24" s="332" t="inlineStr">
        <is>
          <t>01.2020</t>
        </is>
      </c>
      <c r="K24" s="329" t="inlineStr">
        <is>
          <t>Радиальный</t>
        </is>
      </c>
    </row>
    <row r="25" ht="11.25" customHeight="1" s="236">
      <c r="A25" s="331" t="n">
        <v>24</v>
      </c>
      <c r="B25" s="331" t="inlineStr">
        <is>
          <t>Манометр технический</t>
        </is>
      </c>
      <c r="C25" s="331" t="inlineStr">
        <is>
          <t>ДМ8008-Вуф</t>
        </is>
      </c>
      <c r="D25" s="331" t="inlineStr">
        <is>
          <t>012757</t>
        </is>
      </c>
      <c r="E25" s="331" t="inlineStr"/>
      <c r="F25" s="331" t="inlineStr">
        <is>
          <t>0…600 Кпа</t>
        </is>
      </c>
      <c r="G25" s="331" t="inlineStr">
        <is>
          <t>1</t>
        </is>
      </c>
      <c r="H25" s="329" t="inlineStr">
        <is>
          <t>Метрическая</t>
        </is>
      </c>
      <c r="I25" s="331" t="inlineStr">
        <is>
          <t>12</t>
        </is>
      </c>
      <c r="J25" s="332" t="inlineStr">
        <is>
          <t>01.2020</t>
        </is>
      </c>
      <c r="K25" s="329" t="inlineStr">
        <is>
          <t>Радиальный</t>
        </is>
      </c>
    </row>
    <row r="26" ht="11.25" customHeight="1" s="236">
      <c r="A26" s="331" t="n">
        <v>25</v>
      </c>
      <c r="B26" s="331" t="inlineStr">
        <is>
          <t>Манометр технический</t>
        </is>
      </c>
      <c r="C26" s="331" t="inlineStr">
        <is>
          <t>ДМ8008-Вуф</t>
        </is>
      </c>
      <c r="D26" s="331" t="inlineStr">
        <is>
          <t>005029</t>
        </is>
      </c>
      <c r="E26" s="331" t="inlineStr"/>
      <c r="F26" s="331" t="inlineStr">
        <is>
          <t>0…600 кПа</t>
        </is>
      </c>
      <c r="G26" s="331" t="inlineStr">
        <is>
          <t>1</t>
        </is>
      </c>
      <c r="H26" s="329" t="inlineStr">
        <is>
          <t>Метрическая</t>
        </is>
      </c>
      <c r="I26" s="331" t="inlineStr">
        <is>
          <t>12</t>
        </is>
      </c>
      <c r="J26" s="332" t="inlineStr">
        <is>
          <t>01.2020</t>
        </is>
      </c>
      <c r="K26" s="329" t="inlineStr">
        <is>
          <t>Радиальный</t>
        </is>
      </c>
    </row>
    <row r="27" ht="11.25" customHeight="1" s="236">
      <c r="A27" s="331" t="n">
        <v>26</v>
      </c>
      <c r="B27" s="331" t="inlineStr">
        <is>
          <t>Манометр технический</t>
        </is>
      </c>
      <c r="C27" s="331" t="inlineStr">
        <is>
          <t>ДМ8008-Вуф</t>
        </is>
      </c>
      <c r="D27" s="331" t="inlineStr">
        <is>
          <t>012854</t>
        </is>
      </c>
      <c r="E27" s="331" t="inlineStr"/>
      <c r="F27" s="331" t="inlineStr">
        <is>
          <t>0…600 кПа</t>
        </is>
      </c>
      <c r="G27" s="331" t="inlineStr">
        <is>
          <t>1</t>
        </is>
      </c>
      <c r="H27" s="329" t="inlineStr">
        <is>
          <t>Метрическая</t>
        </is>
      </c>
      <c r="I27" s="331" t="inlineStr">
        <is>
          <t>12</t>
        </is>
      </c>
      <c r="J27" s="332" t="inlineStr">
        <is>
          <t>01.2020</t>
        </is>
      </c>
      <c r="K27" s="329" t="inlineStr">
        <is>
          <t>Радиальный</t>
        </is>
      </c>
    </row>
    <row r="28" ht="11.25" customHeight="1" s="236">
      <c r="A28" s="331" t="n">
        <v>27</v>
      </c>
      <c r="B28" s="331" t="inlineStr">
        <is>
          <t>Манометр технический</t>
        </is>
      </c>
      <c r="C28" s="331" t="inlineStr">
        <is>
          <t>МП3-Уф</t>
        </is>
      </c>
      <c r="D28" s="331" t="inlineStr">
        <is>
          <t>960288</t>
        </is>
      </c>
      <c r="E28" s="331" t="inlineStr"/>
      <c r="F28" s="331" t="inlineStr">
        <is>
          <t>0…250 кгс/см2</t>
        </is>
      </c>
      <c r="G28" s="331" t="inlineStr">
        <is>
          <t>1.5</t>
        </is>
      </c>
      <c r="H28" s="329" t="inlineStr">
        <is>
          <t>Метрическая</t>
        </is>
      </c>
      <c r="I28" s="331" t="inlineStr">
        <is>
          <t>12</t>
        </is>
      </c>
      <c r="J28" s="332" t="inlineStr">
        <is>
          <t>08.2018</t>
        </is>
      </c>
      <c r="K28" s="329" t="inlineStr">
        <is>
          <t>Радиальный</t>
        </is>
      </c>
    </row>
    <row r="29" ht="11.25" customHeight="1" s="236">
      <c r="A29" s="331" t="n">
        <v>28</v>
      </c>
      <c r="B29" s="331" t="inlineStr">
        <is>
          <t>Манометр технический</t>
        </is>
      </c>
      <c r="C29" s="331" t="inlineStr">
        <is>
          <t>МП3-Уф</t>
        </is>
      </c>
      <c r="D29" s="331" t="inlineStr">
        <is>
          <t>014533</t>
        </is>
      </c>
      <c r="E29" s="331" t="inlineStr"/>
      <c r="F29" s="331" t="inlineStr">
        <is>
          <t>0…400 кПа</t>
        </is>
      </c>
      <c r="G29" s="331" t="inlineStr">
        <is>
          <t>1.5</t>
        </is>
      </c>
      <c r="H29" s="329" t="inlineStr">
        <is>
          <t>Метрическая</t>
        </is>
      </c>
      <c r="I29" s="331" t="inlineStr">
        <is>
          <t>12</t>
        </is>
      </c>
      <c r="J29" s="332" t="inlineStr"/>
      <c r="K29" s="329" t="inlineStr">
        <is>
          <t>Радиальный</t>
        </is>
      </c>
    </row>
    <row r="30" ht="11.25" customHeight="1" s="236">
      <c r="A30" s="331" t="n">
        <v>29</v>
      </c>
      <c r="B30" s="331" t="inlineStr">
        <is>
          <t>Манометр технический</t>
        </is>
      </c>
      <c r="C30" s="331" t="inlineStr">
        <is>
          <t>МП3-Уф</t>
        </is>
      </c>
      <c r="D30" s="331" t="inlineStr">
        <is>
          <t>010746</t>
        </is>
      </c>
      <c r="E30" s="331" t="inlineStr"/>
      <c r="F30" s="331" t="inlineStr">
        <is>
          <t>0…400 кПа</t>
        </is>
      </c>
      <c r="G30" s="331" t="inlineStr">
        <is>
          <t>1.5</t>
        </is>
      </c>
      <c r="H30" s="329" t="inlineStr">
        <is>
          <t>Метрическая</t>
        </is>
      </c>
      <c r="I30" s="331" t="inlineStr">
        <is>
          <t>12</t>
        </is>
      </c>
      <c r="J30" s="332" t="inlineStr"/>
      <c r="K30" s="329" t="inlineStr">
        <is>
          <t>Радиальный</t>
        </is>
      </c>
    </row>
    <row r="31" ht="11.25" customHeight="1" s="236">
      <c r="A31" s="331" t="n">
        <v>30</v>
      </c>
      <c r="B31" s="331" t="inlineStr">
        <is>
          <t>Манометр технический</t>
        </is>
      </c>
      <c r="C31" s="331" t="inlineStr">
        <is>
          <t>МП3-Уф</t>
        </is>
      </c>
      <c r="D31" s="331" t="inlineStr">
        <is>
          <t>005994</t>
        </is>
      </c>
      <c r="E31" s="331" t="inlineStr"/>
      <c r="F31" s="331" t="inlineStr">
        <is>
          <t>0…600 кПа</t>
        </is>
      </c>
      <c r="G31" s="331" t="inlineStr">
        <is>
          <t>1.5</t>
        </is>
      </c>
      <c r="H31" s="329" t="inlineStr">
        <is>
          <t>Метрическая</t>
        </is>
      </c>
      <c r="I31" s="331" t="inlineStr">
        <is>
          <t>12</t>
        </is>
      </c>
      <c r="J31" s="332" t="inlineStr"/>
      <c r="K31" s="329" t="inlineStr">
        <is>
          <t>Радиальный</t>
        </is>
      </c>
    </row>
    <row r="32" ht="11.25" customHeight="1" s="236">
      <c r="A32" s="331" t="n">
        <v>31</v>
      </c>
      <c r="B32" s="331" t="inlineStr">
        <is>
          <t>Манометр технический</t>
        </is>
      </c>
      <c r="C32" s="331" t="inlineStr">
        <is>
          <t>МП3-Уф</t>
        </is>
      </c>
      <c r="D32" s="331" t="inlineStr">
        <is>
          <t>005903</t>
        </is>
      </c>
      <c r="E32" s="331" t="inlineStr"/>
      <c r="F32" s="331" t="inlineStr">
        <is>
          <t>0…600 кПа</t>
        </is>
      </c>
      <c r="G32" s="331" t="inlineStr">
        <is>
          <t>1.5</t>
        </is>
      </c>
      <c r="H32" s="329" t="inlineStr">
        <is>
          <t>Метрическая</t>
        </is>
      </c>
      <c r="I32" s="331" t="inlineStr">
        <is>
          <t>12</t>
        </is>
      </c>
      <c r="J32" s="332" t="inlineStr">
        <is>
          <t>01.2020</t>
        </is>
      </c>
      <c r="K32" s="329" t="inlineStr">
        <is>
          <t>Радиальный</t>
        </is>
      </c>
    </row>
    <row r="33" ht="11.25" customHeight="1" s="236">
      <c r="A33" s="331" t="n">
        <v>32</v>
      </c>
      <c r="B33" s="331" t="inlineStr">
        <is>
          <t>Манометр технический</t>
        </is>
      </c>
      <c r="C33" s="331" t="inlineStr">
        <is>
          <t>МП3-Уф</t>
        </is>
      </c>
      <c r="D33" s="331" t="inlineStr">
        <is>
          <t>005414</t>
        </is>
      </c>
      <c r="E33" s="331" t="inlineStr"/>
      <c r="F33" s="331" t="inlineStr">
        <is>
          <t>0…600 кПа</t>
        </is>
      </c>
      <c r="G33" s="331" t="inlineStr">
        <is>
          <t>1.5</t>
        </is>
      </c>
      <c r="H33" s="329" t="inlineStr">
        <is>
          <t>Метрическая</t>
        </is>
      </c>
      <c r="I33" s="331" t="inlineStr">
        <is>
          <t>12</t>
        </is>
      </c>
      <c r="J33" s="332" t="inlineStr">
        <is>
          <t>01.2020</t>
        </is>
      </c>
      <c r="K33" s="329" t="inlineStr">
        <is>
          <t>Радиальный</t>
        </is>
      </c>
    </row>
    <row r="34" ht="22.5" customFormat="1" customHeight="1" s="339">
      <c r="A34" s="331" t="n">
        <v>33</v>
      </c>
      <c r="B34" s="331" t="inlineStr">
        <is>
          <t>Термоманометр технический</t>
        </is>
      </c>
      <c r="C34" s="331" t="inlineStr">
        <is>
          <t>ТМТБ-3</t>
        </is>
      </c>
      <c r="D34" s="331" t="inlineStr">
        <is>
          <t>В1852413</t>
        </is>
      </c>
      <c r="E34" s="331" t="inlineStr"/>
      <c r="F34" s="331" t="inlineStr">
        <is>
          <t>0..1,0 МРа 0..150 °С</t>
        </is>
      </c>
      <c r="G34" s="331" t="inlineStr">
        <is>
          <t>2.5</t>
        </is>
      </c>
      <c r="H34" s="242" t="inlineStr">
        <is>
          <t>Метрическая</t>
        </is>
      </c>
      <c r="I34" s="331" t="inlineStr">
        <is>
          <t>12</t>
        </is>
      </c>
      <c r="J34" s="332" t="inlineStr">
        <is>
          <t>08.2025</t>
        </is>
      </c>
      <c r="K34" s="242" t="inlineStr">
        <is>
          <t>Осевой</t>
        </is>
      </c>
    </row>
    <row r="35" ht="22.5" customFormat="1" customHeight="1" s="339">
      <c r="A35" s="331" t="n">
        <v>34</v>
      </c>
      <c r="B35" s="331" t="inlineStr">
        <is>
          <t>Термоманометр технический</t>
        </is>
      </c>
      <c r="C35" s="331" t="inlineStr">
        <is>
          <t>ТМТБ-3</t>
        </is>
      </c>
      <c r="D35" s="331" t="inlineStr">
        <is>
          <t>В1854246</t>
        </is>
      </c>
      <c r="E35" s="331" t="inlineStr"/>
      <c r="F35" s="331" t="inlineStr">
        <is>
          <t>0..1,0 МРа 0..150 °С</t>
        </is>
      </c>
      <c r="G35" s="331" t="inlineStr">
        <is>
          <t>2.5</t>
        </is>
      </c>
      <c r="H35" s="242" t="inlineStr">
        <is>
          <t>Метрическая</t>
        </is>
      </c>
      <c r="I35" s="331" t="inlineStr">
        <is>
          <t>12</t>
        </is>
      </c>
      <c r="J35" s="332" t="inlineStr">
        <is>
          <t>08.2025</t>
        </is>
      </c>
      <c r="K35" s="242" t="inlineStr">
        <is>
          <t>Осевой</t>
        </is>
      </c>
    </row>
    <row r="36" ht="22.5" customFormat="1" customHeight="1" s="339">
      <c r="A36" s="331" t="n">
        <v>35</v>
      </c>
      <c r="B36" s="331" t="inlineStr">
        <is>
          <t>Термоманометр технический</t>
        </is>
      </c>
      <c r="C36" s="331" t="inlineStr">
        <is>
          <t>ТМТБ-3</t>
        </is>
      </c>
      <c r="D36" s="331" t="inlineStr">
        <is>
          <t>В1852307</t>
        </is>
      </c>
      <c r="E36" s="331" t="inlineStr"/>
      <c r="F36" s="331" t="inlineStr">
        <is>
          <t>0..1,0 МРа 0..150 °С</t>
        </is>
      </c>
      <c r="G36" s="331" t="inlineStr">
        <is>
          <t>2.5</t>
        </is>
      </c>
      <c r="H36" s="242" t="inlineStr">
        <is>
          <t>Метрическая</t>
        </is>
      </c>
      <c r="I36" s="331" t="inlineStr">
        <is>
          <t>12</t>
        </is>
      </c>
      <c r="J36" s="332" t="inlineStr">
        <is>
          <t>08.2025</t>
        </is>
      </c>
      <c r="K36" s="242" t="inlineStr">
        <is>
          <t>Осевой</t>
        </is>
      </c>
    </row>
    <row r="37" ht="22.5" customFormat="1" customHeight="1" s="339">
      <c r="A37" s="331" t="n">
        <v>36</v>
      </c>
      <c r="B37" s="331" t="inlineStr">
        <is>
          <t>Термоманометр технический</t>
        </is>
      </c>
      <c r="C37" s="331" t="inlineStr">
        <is>
          <t>ТМТБ-3</t>
        </is>
      </c>
      <c r="D37" s="331" t="inlineStr">
        <is>
          <t>В1854248</t>
        </is>
      </c>
      <c r="E37" s="331" t="inlineStr"/>
      <c r="F37" s="331" t="inlineStr">
        <is>
          <t>0..1,0 МРа 0..150 °С</t>
        </is>
      </c>
      <c r="G37" s="331" t="inlineStr">
        <is>
          <t>2.5</t>
        </is>
      </c>
      <c r="H37" s="242" t="inlineStr">
        <is>
          <t>Метрическая</t>
        </is>
      </c>
      <c r="I37" s="331" t="inlineStr">
        <is>
          <t>12</t>
        </is>
      </c>
      <c r="J37" s="332" t="inlineStr">
        <is>
          <t>08.2025</t>
        </is>
      </c>
      <c r="K37" s="242" t="inlineStr">
        <is>
          <t>Осевой</t>
        </is>
      </c>
    </row>
    <row r="38" ht="22.5" customFormat="1" customHeight="1" s="339">
      <c r="A38" s="331" t="n">
        <v>37</v>
      </c>
      <c r="B38" s="331" t="inlineStr">
        <is>
          <t>Термоманометр технический</t>
        </is>
      </c>
      <c r="C38" s="331" t="inlineStr">
        <is>
          <t>ТМТБ-3</t>
        </is>
      </c>
      <c r="D38" s="331" t="inlineStr">
        <is>
          <t>В1851887</t>
        </is>
      </c>
      <c r="E38" s="331" t="inlineStr"/>
      <c r="F38" s="331" t="inlineStr">
        <is>
          <t>0..1,0 МРа 0..150 °С</t>
        </is>
      </c>
      <c r="G38" s="331" t="inlineStr">
        <is>
          <t>2.5</t>
        </is>
      </c>
      <c r="H38" s="242" t="inlineStr">
        <is>
          <t>Метрическая</t>
        </is>
      </c>
      <c r="I38" s="331" t="inlineStr">
        <is>
          <t>12</t>
        </is>
      </c>
      <c r="J38" s="332" t="inlineStr">
        <is>
          <t>08.2025</t>
        </is>
      </c>
      <c r="K38" s="242" t="inlineStr">
        <is>
          <t>Осевой</t>
        </is>
      </c>
    </row>
    <row r="39" ht="22.5" customFormat="1" customHeight="1" s="339">
      <c r="A39" s="331" t="n">
        <v>38</v>
      </c>
      <c r="B39" s="331" t="inlineStr">
        <is>
          <t>Термоманометр технический</t>
        </is>
      </c>
      <c r="C39" s="331" t="inlineStr">
        <is>
          <t>ТМТБ-3</t>
        </is>
      </c>
      <c r="D39" s="331" t="inlineStr">
        <is>
          <t>В1853131</t>
        </is>
      </c>
      <c r="E39" s="331" t="inlineStr"/>
      <c r="F39" s="331" t="inlineStr">
        <is>
          <t>0..1,0 МРа 0..150 °С</t>
        </is>
      </c>
      <c r="G39" s="331" t="inlineStr">
        <is>
          <t>2.5</t>
        </is>
      </c>
      <c r="H39" s="242" t="inlineStr">
        <is>
          <t>Метрическая</t>
        </is>
      </c>
      <c r="I39" s="331" t="inlineStr">
        <is>
          <t>12</t>
        </is>
      </c>
      <c r="J39" s="332" t="inlineStr">
        <is>
          <t>08.2025</t>
        </is>
      </c>
      <c r="K39" s="242" t="inlineStr">
        <is>
          <t>Осевой</t>
        </is>
      </c>
    </row>
  </sheetData>
  <conditionalFormatting sqref="J1">
    <cfRule type="expression" rank="0" priority="2" equalAverage="0" aboveAverage="0" dxfId="1" text="" percent="0" bottom="0">
      <formula>OR(AND(IF(VALUE(LEFT(TEXT($J1,"0"),1))&lt;=INT((MONTH(TODAY())+2)/3),1),IF(VALUE(RIGHT(TEXT($J1,"0"),2))+($I1/12)&lt;=VALUE(TEXT(TODAY(),"ГГ")),1),OR($K1="К",$K1="K", ,$K1="П")),IFERROR(AND(IF(INT((MONTH($J1)+2)/3)&lt;=INT((MONTH(TODAY())+2)/3),1),IF(VALUE(TEXT($J1,"ГГ"))+($I1/12)&lt;=VALUE(TEXT(TODAY(),"ГГ")),1),OR($K1="К",$K1="K",$K1="П")),0))</formula>
    </cfRule>
  </conditionalFormatting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P229"/>
  <sheetViews>
    <sheetView showFormulas="0" showGridLines="1" showRowColHeaders="1" showZeros="1" rightToLeft="0" tabSelected="0" showOutlineSymbols="1" defaultGridColor="1" view="normal" topLeftCell="A1" colorId="64" zoomScale="112" zoomScaleNormal="112" zoomScalePageLayoutView="100" workbookViewId="0">
      <pane xSplit="0" ySplit="1" topLeftCell="A26" activePane="bottomLeft" state="frozen"/>
      <selection pane="topLeft" activeCell="A1" activeCellId="0" sqref="A1"/>
      <selection pane="bottomLeft" activeCell="A84" activeCellId="0" sqref="A84"/>
    </sheetView>
  </sheetViews>
  <sheetFormatPr baseColWidth="8" defaultColWidth="10.01171875" defaultRowHeight="15" zeroHeight="0" outlineLevelRow="0"/>
  <cols>
    <col width="3.57" customWidth="1" style="340" min="1" max="1"/>
    <col width="18" customWidth="1" style="340" min="2" max="2"/>
    <col width="20.86" customWidth="1" style="340" min="3" max="3"/>
    <col width="18.14" customWidth="1" style="340" min="4" max="4"/>
    <col width="6.57" customWidth="1" style="340" min="5" max="5"/>
    <col width="12.71" customWidth="1" style="340" min="6" max="6"/>
    <col width="7.42" customWidth="1" style="340" min="7" max="7"/>
    <col width="31.7" customWidth="1" style="340" min="8" max="8"/>
    <col width="14.01" customWidth="1" style="340" min="9" max="9"/>
    <col width="11.14" customWidth="1" style="340" min="10" max="10"/>
    <col width="8" customWidth="1" style="340" min="11" max="11"/>
    <col width="9.85" customWidth="1" style="340" min="12" max="12"/>
    <col width="8.859999999999999" customWidth="1" style="340" min="13" max="13"/>
    <col width="9.85" customWidth="1" style="340" min="14" max="14"/>
    <col width="10" customWidth="1" style="340" min="15" max="1024"/>
  </cols>
  <sheetData>
    <row r="1" ht="45" customHeight="1" s="236">
      <c r="A1" s="239" t="inlineStr">
        <is>
          <t>№ п/п</t>
        </is>
      </c>
      <c r="B1" s="239" t="inlineStr">
        <is>
          <t>Наименование</t>
        </is>
      </c>
      <c r="C1" s="239" t="inlineStr">
        <is>
          <t>Тип</t>
        </is>
      </c>
      <c r="D1" s="239" t="inlineStr">
        <is>
          <t>Заводской номер</t>
        </is>
      </c>
      <c r="E1" s="240" t="inlineStr">
        <is>
          <t>Год выпуска</t>
        </is>
      </c>
      <c r="F1" s="239" t="inlineStr">
        <is>
          <t>Диапазон измерений</t>
        </is>
      </c>
      <c r="G1" s="239" t="inlineStr">
        <is>
          <t>Класс точности</t>
        </is>
      </c>
      <c r="H1" s="239" t="inlineStr">
        <is>
          <t>Место установки СИ</t>
        </is>
      </c>
      <c r="I1" s="239" t="inlineStr">
        <is>
          <t>Объект 
установки</t>
        </is>
      </c>
      <c r="J1" s="239" t="inlineStr">
        <is>
          <t>Подразделение</t>
        </is>
      </c>
      <c r="K1" s="239" t="inlineStr">
        <is>
          <t>Дата установки</t>
        </is>
      </c>
      <c r="L1" s="239" t="inlineStr">
        <is>
          <t>Межповерочный интервал, мес.</t>
        </is>
      </c>
      <c r="M1" s="240" t="inlineStr">
        <is>
          <t>Дата последней поверки / калибровки</t>
        </is>
      </c>
      <c r="N1" s="239" t="inlineStr">
        <is>
          <t>Поверка (П)/ Калибровка (К)</t>
        </is>
      </c>
    </row>
    <row r="2" ht="22.5" customHeight="1" s="236">
      <c r="A2" s="239" t="n">
        <v>1</v>
      </c>
      <c r="B2" s="241" t="inlineStr">
        <is>
          <t>Манометр технический</t>
        </is>
      </c>
      <c r="C2" s="242" t="inlineStr">
        <is>
          <t>МП4-УУ2</t>
        </is>
      </c>
      <c r="D2" s="242" t="inlineStr">
        <is>
          <t>7000303</t>
        </is>
      </c>
      <c r="E2" s="242" t="inlineStr">
        <is>
          <t>2018</t>
        </is>
      </c>
      <c r="F2" s="242" t="inlineStr">
        <is>
          <t>0…16 МПа</t>
        </is>
      </c>
      <c r="G2" s="242" t="inlineStr">
        <is>
          <t>1</t>
        </is>
      </c>
      <c r="H2" s="239" t="inlineStr">
        <is>
          <t>P газа на выходе нагнетателя</t>
        </is>
      </c>
      <c r="I2" s="242" t="inlineStr">
        <is>
          <t>ГПА 71</t>
        </is>
      </c>
      <c r="J2" s="239" t="inlineStr">
        <is>
          <t>АСУ,А и ТМ (КЦ № 7)</t>
        </is>
      </c>
      <c r="K2" s="239" t="inlineStr">
        <is>
          <t>2020г.</t>
        </is>
      </c>
      <c r="L2" s="239" t="inlineStr">
        <is>
          <t>12</t>
        </is>
      </c>
      <c r="M2" s="240" t="inlineStr">
        <is>
          <t>2К26</t>
        </is>
      </c>
      <c r="N2" s="242" t="inlineStr">
        <is>
          <t>К</t>
        </is>
      </c>
    </row>
    <row r="3" ht="22.5" customHeight="1" s="236">
      <c r="A3" s="243" t="n">
        <v>2</v>
      </c>
      <c r="B3" s="244" t="inlineStr">
        <is>
          <t>Манометр технический</t>
        </is>
      </c>
      <c r="C3" s="245" t="inlineStr">
        <is>
          <t>МП4-УУХЛ1</t>
        </is>
      </c>
      <c r="D3" s="245" t="inlineStr">
        <is>
          <t>700099</t>
        </is>
      </c>
      <c r="E3" s="245" t="inlineStr">
        <is>
          <t>2018</t>
        </is>
      </c>
      <c r="F3" s="245" t="inlineStr">
        <is>
          <t>0…6 МПа</t>
        </is>
      </c>
      <c r="G3" s="245" t="inlineStr">
        <is>
          <t>1</t>
        </is>
      </c>
      <c r="H3" s="243" t="inlineStr">
        <is>
          <t>P т.г. после РД5101</t>
        </is>
      </c>
      <c r="I3" s="245" t="inlineStr">
        <is>
          <t>ГПА 71</t>
        </is>
      </c>
      <c r="J3" s="243" t="inlineStr">
        <is>
          <t>АСУ,А и ТМ (КЦ № 7)</t>
        </is>
      </c>
      <c r="K3" s="243" t="inlineStr">
        <is>
          <t>2020г.</t>
        </is>
      </c>
      <c r="L3" s="243" t="inlineStr">
        <is>
          <t>12</t>
        </is>
      </c>
      <c r="M3" s="246" t="inlineStr">
        <is>
          <t>2К26</t>
        </is>
      </c>
      <c r="N3" s="245" t="inlineStr">
        <is>
          <t>К</t>
        </is>
      </c>
    </row>
    <row r="4" ht="22.5" customHeight="1" s="236">
      <c r="A4" s="243" t="n">
        <v>3</v>
      </c>
      <c r="B4" s="244" t="inlineStr">
        <is>
          <t>Манометр технический</t>
        </is>
      </c>
      <c r="C4" s="245" t="inlineStr">
        <is>
          <t>МП4-УУХЛ1</t>
        </is>
      </c>
      <c r="D4" s="245" t="inlineStr">
        <is>
          <t>700093</t>
        </is>
      </c>
      <c r="E4" s="245" t="inlineStr">
        <is>
          <t>2018</t>
        </is>
      </c>
      <c r="F4" s="245" t="inlineStr">
        <is>
          <t>0…6 МПа</t>
        </is>
      </c>
      <c r="G4" s="245" t="inlineStr">
        <is>
          <t>1</t>
        </is>
      </c>
      <c r="H4" s="243" t="inlineStr">
        <is>
          <t>P т.г. после РД5102</t>
        </is>
      </c>
      <c r="I4" s="245" t="inlineStr">
        <is>
          <t>ГПА 71</t>
        </is>
      </c>
      <c r="J4" s="243" t="inlineStr">
        <is>
          <t>АСУ,А и ТМ (КЦ № 7)</t>
        </is>
      </c>
      <c r="K4" s="243" t="inlineStr">
        <is>
          <t>2020г.</t>
        </is>
      </c>
      <c r="L4" s="243" t="inlineStr">
        <is>
          <t>12</t>
        </is>
      </c>
      <c r="M4" s="246" t="inlineStr">
        <is>
          <t>2К26</t>
        </is>
      </c>
      <c r="N4" s="245" t="inlineStr">
        <is>
          <t>К</t>
        </is>
      </c>
    </row>
    <row r="5" ht="22.5" customHeight="1" s="236">
      <c r="A5" s="243" t="n">
        <v>4</v>
      </c>
      <c r="B5" s="244" t="inlineStr">
        <is>
          <t>Манометр технический</t>
        </is>
      </c>
      <c r="C5" s="245" t="inlineStr">
        <is>
          <t>МП4-УУХЛ1</t>
        </is>
      </c>
      <c r="D5" s="245" t="inlineStr">
        <is>
          <t>7000100</t>
        </is>
      </c>
      <c r="E5" s="245" t="inlineStr">
        <is>
          <t>2018</t>
        </is>
      </c>
      <c r="F5" s="245" t="inlineStr">
        <is>
          <t>0…10 МПа</t>
        </is>
      </c>
      <c r="G5" s="245" t="inlineStr">
        <is>
          <t>1</t>
        </is>
      </c>
      <c r="H5" s="243" t="inlineStr">
        <is>
          <t>P т.г. после фильтра-сепаратора</t>
        </is>
      </c>
      <c r="I5" s="245" t="inlineStr">
        <is>
          <t>ГПА 71</t>
        </is>
      </c>
      <c r="J5" s="243" t="inlineStr">
        <is>
          <t>АСУ,А и ТМ (КЦ № 7)</t>
        </is>
      </c>
      <c r="K5" s="243" t="inlineStr">
        <is>
          <t>2020г.</t>
        </is>
      </c>
      <c r="L5" s="243" t="inlineStr">
        <is>
          <t>12</t>
        </is>
      </c>
      <c r="M5" s="246" t="inlineStr">
        <is>
          <t>2К26</t>
        </is>
      </c>
      <c r="N5" s="245" t="inlineStr">
        <is>
          <t>К</t>
        </is>
      </c>
    </row>
    <row r="6" ht="22.5" customHeight="1" s="236">
      <c r="A6" s="243" t="n">
        <v>5</v>
      </c>
      <c r="B6" s="244" t="inlineStr">
        <is>
          <t>Манометр технический</t>
        </is>
      </c>
      <c r="C6" s="245" t="inlineStr">
        <is>
          <t>МП4-УУ2</t>
        </is>
      </c>
      <c r="D6" s="245" t="inlineStr">
        <is>
          <t>15655</t>
        </is>
      </c>
      <c r="E6" s="245" t="inlineStr">
        <is>
          <t>2018</t>
        </is>
      </c>
      <c r="F6" s="245" t="inlineStr">
        <is>
          <t>0…160 кПа</t>
        </is>
      </c>
      <c r="G6" s="245" t="inlineStr">
        <is>
          <t>1.5</t>
        </is>
      </c>
      <c r="H6" s="243" t="inlineStr">
        <is>
          <t>P з.в. после РД5303</t>
        </is>
      </c>
      <c r="I6" s="245" t="inlineStr">
        <is>
          <t>ГПА 71</t>
        </is>
      </c>
      <c r="J6" s="243" t="inlineStr">
        <is>
          <t>АСУ,А и ТМ (КЦ № 7)</t>
        </is>
      </c>
      <c r="K6" s="243" t="inlineStr">
        <is>
          <t>2020г.</t>
        </is>
      </c>
      <c r="L6" s="243" t="inlineStr">
        <is>
          <t>12</t>
        </is>
      </c>
      <c r="M6" s="246" t="inlineStr">
        <is>
          <t>2К26</t>
        </is>
      </c>
      <c r="N6" s="245" t="inlineStr">
        <is>
          <t>К</t>
        </is>
      </c>
    </row>
    <row r="7" ht="22.5" customHeight="1" s="236">
      <c r="A7" s="243" t="n">
        <v>6</v>
      </c>
      <c r="B7" s="244" t="inlineStr">
        <is>
          <t>Манометр технический</t>
        </is>
      </c>
      <c r="C7" s="245" t="inlineStr">
        <is>
          <t>МП4-УУХЛ1</t>
        </is>
      </c>
      <c r="D7" s="245" t="inlineStr">
        <is>
          <t>700088</t>
        </is>
      </c>
      <c r="E7" s="245" t="inlineStr">
        <is>
          <t>2018</t>
        </is>
      </c>
      <c r="F7" s="245" t="inlineStr">
        <is>
          <t>0…100 кПа</t>
        </is>
      </c>
      <c r="G7" s="245" t="inlineStr">
        <is>
          <t>1</t>
        </is>
      </c>
      <c r="H7" s="243" t="inlineStr">
        <is>
          <t>P з.в. после ФВ-100</t>
        </is>
      </c>
      <c r="I7" s="245" t="inlineStr">
        <is>
          <t>ГПА 71</t>
        </is>
      </c>
      <c r="J7" s="243" t="inlineStr">
        <is>
          <t>АСУ,А и ТМ (КЦ № 7)</t>
        </is>
      </c>
      <c r="K7" s="243" t="inlineStr">
        <is>
          <t>2020г.</t>
        </is>
      </c>
      <c r="L7" s="243" t="inlineStr">
        <is>
          <t>12</t>
        </is>
      </c>
      <c r="M7" s="246" t="inlineStr">
        <is>
          <t>2К26</t>
        </is>
      </c>
      <c r="N7" s="245" t="inlineStr">
        <is>
          <t>К</t>
        </is>
      </c>
      <c r="O7" s="247" t="n"/>
    </row>
    <row r="8" ht="22.5" customHeight="1" s="236">
      <c r="A8" s="243" t="n">
        <v>7</v>
      </c>
      <c r="B8" s="244" t="inlineStr">
        <is>
          <t>Манометр технический</t>
        </is>
      </c>
      <c r="C8" s="245" t="inlineStr">
        <is>
          <t>МП4-УУ2</t>
        </is>
      </c>
      <c r="D8" s="245" t="inlineStr">
        <is>
          <t>15660</t>
        </is>
      </c>
      <c r="E8" s="245" t="inlineStr">
        <is>
          <t>2018</t>
        </is>
      </c>
      <c r="F8" s="245" t="inlineStr">
        <is>
          <t>0…160 кПа</t>
        </is>
      </c>
      <c r="G8" s="245" t="inlineStr">
        <is>
          <t>1.5</t>
        </is>
      </c>
      <c r="H8" s="243" t="inlineStr">
        <is>
          <t>P з.в. после РД5301</t>
        </is>
      </c>
      <c r="I8" s="245" t="inlineStr">
        <is>
          <t>ГПА 71</t>
        </is>
      </c>
      <c r="J8" s="243" t="inlineStr">
        <is>
          <t>АСУ,А и ТМ (КЦ № 7)</t>
        </is>
      </c>
      <c r="K8" s="243" t="inlineStr">
        <is>
          <t>2020г.</t>
        </is>
      </c>
      <c r="L8" s="243" t="inlineStr">
        <is>
          <t>12</t>
        </is>
      </c>
      <c r="M8" s="246" t="inlineStr">
        <is>
          <t>2К26</t>
        </is>
      </c>
      <c r="N8" s="245" t="inlineStr">
        <is>
          <t>К</t>
        </is>
      </c>
    </row>
    <row r="9" ht="22.5" customHeight="1" s="236">
      <c r="A9" s="243" t="n">
        <v>8</v>
      </c>
      <c r="B9" s="244" t="inlineStr">
        <is>
          <t>Манометр технический</t>
        </is>
      </c>
      <c r="C9" s="245" t="inlineStr">
        <is>
          <t>МП4-УУХЛ1</t>
        </is>
      </c>
      <c r="D9" s="245" t="inlineStr">
        <is>
          <t>212032150</t>
        </is>
      </c>
      <c r="E9" s="245" t="inlineStr">
        <is>
          <t>2018</t>
        </is>
      </c>
      <c r="F9" s="245" t="inlineStr">
        <is>
          <t>0…16 МПа</t>
        </is>
      </c>
      <c r="G9" s="245" t="inlineStr">
        <is>
          <t>1.5</t>
        </is>
      </c>
      <c r="H9" s="243" t="inlineStr">
        <is>
          <t>P б.г. в фильтре-сепараторе</t>
        </is>
      </c>
      <c r="I9" s="245" t="inlineStr">
        <is>
          <t>ГПА 71</t>
        </is>
      </c>
      <c r="J9" s="243" t="inlineStr">
        <is>
          <t>АСУ,А и ТМ (КЦ № 7)</t>
        </is>
      </c>
      <c r="K9" s="243" t="inlineStr">
        <is>
          <t>2020г.</t>
        </is>
      </c>
      <c r="L9" s="243" t="inlineStr">
        <is>
          <t>12</t>
        </is>
      </c>
      <c r="M9" s="246" t="inlineStr">
        <is>
          <t>26ДЯУ</t>
        </is>
      </c>
      <c r="N9" s="245" t="inlineStr">
        <is>
          <t>П</t>
        </is>
      </c>
    </row>
    <row r="10" ht="22.5" customHeight="1" s="236">
      <c r="A10" s="243" t="n">
        <v>9</v>
      </c>
      <c r="B10" s="244" t="inlineStr">
        <is>
          <t>Манометр технический</t>
        </is>
      </c>
      <c r="C10" s="245" t="inlineStr">
        <is>
          <t>EN 837-1</t>
        </is>
      </c>
      <c r="D10" s="245" t="inlineStr">
        <is>
          <t>860008BK</t>
        </is>
      </c>
      <c r="E10" s="245" t="inlineStr">
        <is>
          <t>2018</t>
        </is>
      </c>
      <c r="F10" s="245" t="inlineStr">
        <is>
          <t>0…160 кгс/см2</t>
        </is>
      </c>
      <c r="G10" s="245" t="inlineStr">
        <is>
          <t>1</t>
        </is>
      </c>
      <c r="H10" s="243" t="inlineStr">
        <is>
          <t>P б.г. после фильтра PI1</t>
        </is>
      </c>
      <c r="I10" s="245" t="inlineStr">
        <is>
          <t>ГПА 71</t>
        </is>
      </c>
      <c r="J10" s="243" t="inlineStr">
        <is>
          <t>АСУ,А и ТМ (КЦ № 7)</t>
        </is>
      </c>
      <c r="K10" s="243" t="inlineStr">
        <is>
          <t>2020г.</t>
        </is>
      </c>
      <c r="L10" s="243" t="inlineStr">
        <is>
          <t>12</t>
        </is>
      </c>
      <c r="M10" s="246" t="inlineStr">
        <is>
          <t>2К26</t>
        </is>
      </c>
      <c r="N10" s="245" t="inlineStr">
        <is>
          <t>К</t>
        </is>
      </c>
      <c r="O10" s="341" t="n"/>
    </row>
    <row r="11" ht="22.5" customHeight="1" s="236">
      <c r="A11" s="243" t="n">
        <v>10</v>
      </c>
      <c r="B11" s="244" t="inlineStr">
        <is>
          <t>Манометр технический</t>
        </is>
      </c>
      <c r="C11" s="245" t="inlineStr">
        <is>
          <t>EN 837-1</t>
        </is>
      </c>
      <c r="D11" s="245" t="inlineStr">
        <is>
          <t>860008BC</t>
        </is>
      </c>
      <c r="E11" s="245" t="inlineStr">
        <is>
          <t>2018</t>
        </is>
      </c>
      <c r="F11" s="245" t="inlineStr">
        <is>
          <t>0…160 кгс/см2</t>
        </is>
      </c>
      <c r="G11" s="245" t="inlineStr">
        <is>
          <t>1</t>
        </is>
      </c>
      <c r="H11" s="243" t="inlineStr">
        <is>
          <t>P б.г. после фильтра PI2</t>
        </is>
      </c>
      <c r="I11" s="245" t="inlineStr">
        <is>
          <t>ГПА 71</t>
        </is>
      </c>
      <c r="J11" s="243" t="inlineStr">
        <is>
          <t>АСУ,А и ТМ (КЦ № 7)</t>
        </is>
      </c>
      <c r="K11" s="243" t="inlineStr">
        <is>
          <t>2020г.</t>
        </is>
      </c>
      <c r="L11" s="243" t="inlineStr">
        <is>
          <t>12</t>
        </is>
      </c>
      <c r="M11" s="246" t="inlineStr">
        <is>
          <t>2К26</t>
        </is>
      </c>
      <c r="N11" s="245" t="inlineStr">
        <is>
          <t>К</t>
        </is>
      </c>
      <c r="O11" s="341" t="n"/>
    </row>
    <row r="12" ht="22.5" customHeight="1" s="236">
      <c r="A12" s="243" t="n">
        <v>11</v>
      </c>
      <c r="B12" s="244" t="inlineStr">
        <is>
          <t>Манометр технический</t>
        </is>
      </c>
      <c r="C12" s="245" t="inlineStr">
        <is>
          <t>EN 837-1</t>
        </is>
      </c>
      <c r="D12" s="245" t="inlineStr">
        <is>
          <t>860008BN</t>
        </is>
      </c>
      <c r="E12" s="245" t="inlineStr">
        <is>
          <t>2018</t>
        </is>
      </c>
      <c r="F12" s="245" t="inlineStr">
        <is>
          <t>0…160 кгс/см2</t>
        </is>
      </c>
      <c r="G12" s="245" t="inlineStr">
        <is>
          <t>1</t>
        </is>
      </c>
      <c r="H12" s="243" t="inlineStr">
        <is>
          <t>P б.г. после фильтра PI3</t>
        </is>
      </c>
      <c r="I12" s="245" t="inlineStr">
        <is>
          <t>ГПА 71</t>
        </is>
      </c>
      <c r="J12" s="243" t="inlineStr">
        <is>
          <t>АСУ,А и ТМ (КЦ № 7)</t>
        </is>
      </c>
      <c r="K12" s="243" t="inlineStr">
        <is>
          <t>2020г.</t>
        </is>
      </c>
      <c r="L12" s="243" t="inlineStr">
        <is>
          <t>12</t>
        </is>
      </c>
      <c r="M12" s="246" t="inlineStr">
        <is>
          <t>2К26</t>
        </is>
      </c>
      <c r="N12" s="245" t="inlineStr">
        <is>
          <t>К</t>
        </is>
      </c>
      <c r="O12" s="341" t="n"/>
    </row>
    <row r="13" ht="22.5" customHeight="1" s="236">
      <c r="A13" s="243" t="n">
        <v>12</v>
      </c>
      <c r="B13" s="244" t="inlineStr">
        <is>
          <t>Манометр технический</t>
        </is>
      </c>
      <c r="C13" s="245" t="inlineStr">
        <is>
          <t>EN 837-1</t>
        </is>
      </c>
      <c r="D13" s="245" t="inlineStr">
        <is>
          <t>860008BQ</t>
        </is>
      </c>
      <c r="E13" s="245" t="inlineStr">
        <is>
          <t>2018</t>
        </is>
      </c>
      <c r="F13" s="245" t="inlineStr">
        <is>
          <t>0…160 кгс/см2</t>
        </is>
      </c>
      <c r="G13" s="245" t="inlineStr">
        <is>
          <t>1</t>
        </is>
      </c>
      <c r="H13" s="243" t="inlineStr">
        <is>
          <t>P б.г. после фильтра PI4</t>
        </is>
      </c>
      <c r="I13" s="245" t="inlineStr">
        <is>
          <t>ГПА 71</t>
        </is>
      </c>
      <c r="J13" s="243" t="inlineStr">
        <is>
          <t>АСУ,А и ТМ (КЦ № 7)</t>
        </is>
      </c>
      <c r="K13" s="243" t="inlineStr">
        <is>
          <t>2020г.</t>
        </is>
      </c>
      <c r="L13" s="243" t="inlineStr">
        <is>
          <t>12</t>
        </is>
      </c>
      <c r="M13" s="246" t="inlineStr">
        <is>
          <t>2К26</t>
        </is>
      </c>
      <c r="N13" s="245" t="inlineStr">
        <is>
          <t>К</t>
        </is>
      </c>
      <c r="O13" s="341" t="n"/>
    </row>
    <row r="14" ht="22.5" customHeight="1" s="236">
      <c r="A14" s="243" t="n">
        <v>13</v>
      </c>
      <c r="B14" s="244" t="inlineStr">
        <is>
          <t>Манометр технический</t>
        </is>
      </c>
      <c r="C14" s="245" t="inlineStr">
        <is>
          <t>МП4-УУ2</t>
        </is>
      </c>
      <c r="D14" s="245" t="inlineStr">
        <is>
          <t>2236038</t>
        </is>
      </c>
      <c r="E14" s="245" t="inlineStr">
        <is>
          <t>2018</t>
        </is>
      </c>
      <c r="F14" s="245" t="inlineStr">
        <is>
          <t>0…16 МПа</t>
        </is>
      </c>
      <c r="G14" s="245" t="inlineStr">
        <is>
          <t>1</t>
        </is>
      </c>
      <c r="H14" s="243" t="inlineStr">
        <is>
          <t>P газа на входе в нагнетатель</t>
        </is>
      </c>
      <c r="I14" s="245" t="inlineStr">
        <is>
          <t>ГПА 71</t>
        </is>
      </c>
      <c r="J14" s="243" t="inlineStr">
        <is>
          <t>АСУ,А и ТМ (КЦ № 7)</t>
        </is>
      </c>
      <c r="K14" s="243" t="inlineStr">
        <is>
          <t>2020г.</t>
        </is>
      </c>
      <c r="L14" s="243" t="inlineStr">
        <is>
          <t>12</t>
        </is>
      </c>
      <c r="M14" s="246" t="inlineStr">
        <is>
          <t>2К26</t>
        </is>
      </c>
      <c r="N14" s="245" t="inlineStr">
        <is>
          <t>К</t>
        </is>
      </c>
    </row>
    <row r="15" ht="22.5" customHeight="1" s="236">
      <c r="A15" s="243" t="n">
        <v>14</v>
      </c>
      <c r="B15" s="244" t="inlineStr">
        <is>
          <t>Манометр технический</t>
        </is>
      </c>
      <c r="C15" s="245" t="inlineStr">
        <is>
          <t>МП4-УУ2</t>
        </is>
      </c>
      <c r="D15" s="245" t="inlineStr">
        <is>
          <t>15243</t>
        </is>
      </c>
      <c r="E15" s="245" t="inlineStr">
        <is>
          <t>2018</t>
        </is>
      </c>
      <c r="F15" s="245" t="inlineStr">
        <is>
          <t>0…100 кгс/см2</t>
        </is>
      </c>
      <c r="G15" s="245" t="inlineStr">
        <is>
          <t>1.5</t>
        </is>
      </c>
      <c r="H15" s="243" t="inlineStr">
        <is>
          <t>P т.г. в фильтре ФГ-80 №1-2</t>
        </is>
      </c>
      <c r="I15" s="245" t="inlineStr">
        <is>
          <t>ГПА 71</t>
        </is>
      </c>
      <c r="J15" s="243" t="inlineStr">
        <is>
          <t>АСУ,А и ТМ (КЦ № 7)</t>
        </is>
      </c>
      <c r="K15" s="243" t="inlineStr">
        <is>
          <t>2020г.</t>
        </is>
      </c>
      <c r="L15" s="243" t="inlineStr">
        <is>
          <t>12</t>
        </is>
      </c>
      <c r="M15" s="246" t="inlineStr">
        <is>
          <t>26ДЯУ</t>
        </is>
      </c>
      <c r="N15" s="245" t="inlineStr">
        <is>
          <t>П</t>
        </is>
      </c>
    </row>
    <row r="16" ht="22.5" customHeight="1" s="236">
      <c r="A16" s="243" t="n">
        <v>15</v>
      </c>
      <c r="B16" s="244" t="inlineStr">
        <is>
          <t>Манометр технический</t>
        </is>
      </c>
      <c r="C16" s="245" t="inlineStr">
        <is>
          <t>МП4-УУ2</t>
        </is>
      </c>
      <c r="D16" s="245" t="inlineStr">
        <is>
          <t>15485</t>
        </is>
      </c>
      <c r="E16" s="245" t="inlineStr">
        <is>
          <t>2018</t>
        </is>
      </c>
      <c r="F16" s="245" t="inlineStr">
        <is>
          <t>0…100 кгс/см2</t>
        </is>
      </c>
      <c r="G16" s="245" t="inlineStr">
        <is>
          <t>1.5</t>
        </is>
      </c>
      <c r="H16" s="243" t="inlineStr">
        <is>
          <t>P т.г. в фильтре ФГ-80 №1-1</t>
        </is>
      </c>
      <c r="I16" s="245" t="inlineStr">
        <is>
          <t>ГПА 71</t>
        </is>
      </c>
      <c r="J16" s="243" t="inlineStr">
        <is>
          <t>АСУ,А и ТМ (КЦ № 7)</t>
        </is>
      </c>
      <c r="K16" s="243" t="inlineStr">
        <is>
          <t>2020г.</t>
        </is>
      </c>
      <c r="L16" s="243" t="inlineStr">
        <is>
          <t>12</t>
        </is>
      </c>
      <c r="M16" s="246" t="inlineStr">
        <is>
          <t>26ДЯУ</t>
        </is>
      </c>
      <c r="N16" s="245" t="inlineStr">
        <is>
          <t>П</t>
        </is>
      </c>
    </row>
    <row r="17" ht="22.5" customHeight="1" s="236">
      <c r="A17" s="243" t="n">
        <v>16</v>
      </c>
      <c r="B17" s="244" t="inlineStr">
        <is>
          <t>Манометр технический</t>
        </is>
      </c>
      <c r="C17" s="245" t="inlineStr">
        <is>
          <t>МП4-УУХЛ1</t>
        </is>
      </c>
      <c r="D17" s="245" t="inlineStr">
        <is>
          <t>700286</t>
        </is>
      </c>
      <c r="E17" s="245" t="inlineStr">
        <is>
          <t>2018</t>
        </is>
      </c>
      <c r="F17" s="245" t="inlineStr">
        <is>
          <t>0…160 кПа</t>
        </is>
      </c>
      <c r="G17" s="245" t="inlineStr">
        <is>
          <t>1</t>
        </is>
      </c>
      <c r="H17" s="243" t="inlineStr">
        <is>
          <t>Pм для настройки перепускного клапана</t>
        </is>
      </c>
      <c r="I17" s="245" t="inlineStr">
        <is>
          <t>ГПА 71</t>
        </is>
      </c>
      <c r="J17" s="243" t="inlineStr">
        <is>
          <t>АСУ,А и ТМ (КЦ № 7)</t>
        </is>
      </c>
      <c r="K17" s="243" t="inlineStr">
        <is>
          <t>2020г.</t>
        </is>
      </c>
      <c r="L17" s="243" t="inlineStr">
        <is>
          <t>12</t>
        </is>
      </c>
      <c r="M17" s="246" t="inlineStr">
        <is>
          <t>2К26</t>
        </is>
      </c>
      <c r="N17" s="245" t="inlineStr">
        <is>
          <t>К</t>
        </is>
      </c>
    </row>
    <row r="18" ht="22.5" customHeight="1" s="236">
      <c r="A18" s="243" t="n">
        <v>17</v>
      </c>
      <c r="B18" s="244" t="inlineStr">
        <is>
          <t>Манометр технический</t>
        </is>
      </c>
      <c r="C18" s="245" t="inlineStr">
        <is>
          <t>МП4-УУХЛ1</t>
        </is>
      </c>
      <c r="D18" s="245" t="inlineStr">
        <is>
          <t>15661</t>
        </is>
      </c>
      <c r="E18" s="245" t="inlineStr">
        <is>
          <t>1987</t>
        </is>
      </c>
      <c r="F18" s="245" t="inlineStr">
        <is>
          <t>0…160 кПа</t>
        </is>
      </c>
      <c r="G18" s="245" t="inlineStr">
        <is>
          <t>1.5</t>
        </is>
      </c>
      <c r="H18" s="243" t="inlineStr">
        <is>
          <t>P м на входе в фильтры БВМФ 6002</t>
        </is>
      </c>
      <c r="I18" s="245" t="inlineStr">
        <is>
          <t>ГПА 71</t>
        </is>
      </c>
      <c r="J18" s="243" t="inlineStr">
        <is>
          <t>АСУ,А и ТМ (КЦ № 7)</t>
        </is>
      </c>
      <c r="K18" s="243" t="inlineStr">
        <is>
          <t>2020г.</t>
        </is>
      </c>
      <c r="L18" s="243" t="inlineStr">
        <is>
          <t>12</t>
        </is>
      </c>
      <c r="M18" s="246" t="inlineStr">
        <is>
          <t>2К26</t>
        </is>
      </c>
      <c r="N18" s="245" t="inlineStr">
        <is>
          <t>К</t>
        </is>
      </c>
      <c r="O18" s="247" t="n"/>
    </row>
    <row r="19" ht="22.5" customHeight="1" s="236">
      <c r="A19" s="243" t="n">
        <v>18</v>
      </c>
      <c r="B19" s="244" t="inlineStr">
        <is>
          <t>Манометр технический</t>
        </is>
      </c>
      <c r="C19" s="245" t="inlineStr">
        <is>
          <t>МП4-УУ2</t>
        </is>
      </c>
      <c r="D19" s="245" t="inlineStr">
        <is>
          <t>10232</t>
        </is>
      </c>
      <c r="E19" s="245" t="inlineStr">
        <is>
          <t>2018</t>
        </is>
      </c>
      <c r="F19" s="245" t="inlineStr">
        <is>
          <t>0…16 кгс/см2</t>
        </is>
      </c>
      <c r="G19" s="245" t="inlineStr">
        <is>
          <t>1.5</t>
        </is>
      </c>
      <c r="H19" s="243" t="inlineStr">
        <is>
          <t>P м на входе в фильтры БВМФ 6001</t>
        </is>
      </c>
      <c r="I19" s="245" t="inlineStr">
        <is>
          <t>ГПА 71</t>
        </is>
      </c>
      <c r="J19" s="243" t="inlineStr">
        <is>
          <t>АСУ,А и ТМ (КЦ № 7)</t>
        </is>
      </c>
      <c r="K19" s="243" t="inlineStr">
        <is>
          <t>2020г.</t>
        </is>
      </c>
      <c r="L19" s="243" t="inlineStr">
        <is>
          <t>12</t>
        </is>
      </c>
      <c r="M19" s="246" t="inlineStr">
        <is>
          <t>2К26</t>
        </is>
      </c>
      <c r="N19" s="245" t="inlineStr">
        <is>
          <t>К</t>
        </is>
      </c>
    </row>
    <row r="20" ht="22.5" customHeight="1" s="236">
      <c r="A20" s="243" t="n">
        <v>19</v>
      </c>
      <c r="B20" s="244" t="inlineStr">
        <is>
          <t>Манометр технический</t>
        </is>
      </c>
      <c r="C20" s="245" t="inlineStr">
        <is>
          <t>МП4-УУХЛ1</t>
        </is>
      </c>
      <c r="D20" s="245" t="inlineStr">
        <is>
          <t>15600</t>
        </is>
      </c>
      <c r="E20" s="245" t="inlineStr">
        <is>
          <t>2018</t>
        </is>
      </c>
      <c r="F20" s="245" t="inlineStr">
        <is>
          <t>0…6 кгс/см2</t>
        </is>
      </c>
      <c r="G20" s="245" t="inlineStr">
        <is>
          <t>1</t>
        </is>
      </c>
      <c r="H20" s="243" t="inlineStr">
        <is>
          <t>P м на выходе из фильтров БВМФ 6001</t>
        </is>
      </c>
      <c r="I20" s="245" t="inlineStr">
        <is>
          <t>ГПА 71</t>
        </is>
      </c>
      <c r="J20" s="243" t="inlineStr">
        <is>
          <t>АСУ,А и ТМ (КЦ № 7)</t>
        </is>
      </c>
      <c r="K20" s="243" t="inlineStr">
        <is>
          <t>2020г.</t>
        </is>
      </c>
      <c r="L20" s="243" t="inlineStr">
        <is>
          <t>12</t>
        </is>
      </c>
      <c r="M20" s="246" t="inlineStr">
        <is>
          <t>2К26</t>
        </is>
      </c>
      <c r="N20" s="245" t="inlineStr">
        <is>
          <t>К</t>
        </is>
      </c>
    </row>
    <row r="21" ht="22.5" customHeight="1" s="236">
      <c r="A21" s="243" t="n">
        <v>20</v>
      </c>
      <c r="B21" s="244" t="inlineStr">
        <is>
          <t>Манометр технический</t>
        </is>
      </c>
      <c r="C21" s="245" t="inlineStr">
        <is>
          <t>МП4-УФ БС УФЛ1</t>
        </is>
      </c>
      <c r="D21" s="245" t="inlineStr">
        <is>
          <t>2468</t>
        </is>
      </c>
      <c r="E21" s="245" t="inlineStr">
        <is>
          <t>2018</t>
        </is>
      </c>
      <c r="F21" s="245" t="inlineStr">
        <is>
          <t>0…100 кПа</t>
        </is>
      </c>
      <c r="G21" s="245" t="inlineStr">
        <is>
          <t>1</t>
        </is>
      </c>
      <c r="H21" s="243" t="inlineStr">
        <is>
          <t>P м суфлирования полостей двигателя</t>
        </is>
      </c>
      <c r="I21" s="245" t="inlineStr">
        <is>
          <t>ГПА 71</t>
        </is>
      </c>
      <c r="J21" s="243" t="inlineStr">
        <is>
          <t>АСУ,А и ТМ (КЦ № 7)</t>
        </is>
      </c>
      <c r="K21" s="243" t="inlineStr">
        <is>
          <t>2020г.</t>
        </is>
      </c>
      <c r="L21" s="243" t="inlineStr">
        <is>
          <t>12</t>
        </is>
      </c>
      <c r="M21" s="246" t="inlineStr">
        <is>
          <t>2К26</t>
        </is>
      </c>
      <c r="N21" s="245" t="inlineStr">
        <is>
          <t>К</t>
        </is>
      </c>
    </row>
    <row r="22" ht="22.5" customHeight="1" s="236">
      <c r="A22" s="243" t="n">
        <v>21</v>
      </c>
      <c r="B22" s="244" t="inlineStr">
        <is>
          <t>Манометр технический</t>
        </is>
      </c>
      <c r="C22" s="245" t="inlineStr">
        <is>
          <t>МП4-УУ2</t>
        </is>
      </c>
      <c r="D22" s="245" t="inlineStr">
        <is>
          <t>13928</t>
        </is>
      </c>
      <c r="E22" s="245" t="inlineStr">
        <is>
          <t>2018</t>
        </is>
      </c>
      <c r="F22" s="245" t="inlineStr">
        <is>
          <t>0…6 кгс/см2</t>
        </is>
      </c>
      <c r="G22" s="245" t="inlineStr">
        <is>
          <t>1</t>
        </is>
      </c>
      <c r="H22" s="243" t="inlineStr">
        <is>
          <t>P м при пополнении бака маслом</t>
        </is>
      </c>
      <c r="I22" s="245" t="inlineStr">
        <is>
          <t>ГПА 71</t>
        </is>
      </c>
      <c r="J22" s="243" t="inlineStr">
        <is>
          <t>АСУ,А и ТМ (КЦ № 7)</t>
        </is>
      </c>
      <c r="K22" s="243" t="inlineStr">
        <is>
          <t>2020г.</t>
        </is>
      </c>
      <c r="L22" s="243" t="inlineStr">
        <is>
          <t>12</t>
        </is>
      </c>
      <c r="M22" s="246" t="inlineStr">
        <is>
          <t>2К26</t>
        </is>
      </c>
      <c r="N22" s="245" t="inlineStr">
        <is>
          <t>К</t>
        </is>
      </c>
    </row>
    <row r="23" ht="22.5" customHeight="1" s="236">
      <c r="A23" s="243" t="n">
        <v>22</v>
      </c>
      <c r="B23" s="244" t="inlineStr">
        <is>
          <t>Манометр технический</t>
        </is>
      </c>
      <c r="C23" s="245" t="inlineStr">
        <is>
          <t>ТМ5</t>
        </is>
      </c>
      <c r="D23" s="245" t="inlineStr">
        <is>
          <t>7000177</t>
        </is>
      </c>
      <c r="E23" s="245" t="inlineStr">
        <is>
          <t>2018</t>
        </is>
      </c>
      <c r="F23" s="245" t="inlineStr">
        <is>
          <t>0…0,06 МПа</t>
        </is>
      </c>
      <c r="G23" s="245" t="inlineStr">
        <is>
          <t>1.5</t>
        </is>
      </c>
      <c r="H23" s="243" t="inlineStr">
        <is>
          <t>P в на выходе воздуходувок PI5322</t>
        </is>
      </c>
      <c r="I23" s="245" t="inlineStr">
        <is>
          <t>БКК 71</t>
        </is>
      </c>
      <c r="J23" s="243" t="inlineStr">
        <is>
          <t>АСУ,А и ТМ (КЦ № 7)</t>
        </is>
      </c>
      <c r="K23" s="243" t="inlineStr">
        <is>
          <t>2020г.</t>
        </is>
      </c>
      <c r="L23" s="243" t="inlineStr">
        <is>
          <t>12</t>
        </is>
      </c>
      <c r="M23" s="246" t="inlineStr">
        <is>
          <t>2К26</t>
        </is>
      </c>
      <c r="N23" s="245" t="inlineStr">
        <is>
          <t>К</t>
        </is>
      </c>
    </row>
    <row r="24" ht="22.5" customHeight="1" s="236">
      <c r="A24" s="243" t="n">
        <v>23</v>
      </c>
      <c r="B24" s="244" t="inlineStr">
        <is>
          <t>Манометр технический</t>
        </is>
      </c>
      <c r="C24" s="245" t="inlineStr">
        <is>
          <t>МП3-УУ2</t>
        </is>
      </c>
      <c r="D24" s="245" t="inlineStr">
        <is>
          <t>211222848</t>
        </is>
      </c>
      <c r="E24" s="245" t="inlineStr">
        <is>
          <t>2018</t>
        </is>
      </c>
      <c r="F24" s="245" t="inlineStr">
        <is>
          <t>0…1,6 МПа</t>
        </is>
      </c>
      <c r="G24" s="245" t="inlineStr">
        <is>
          <t>1.5</t>
        </is>
      </c>
      <c r="H24" s="243" t="inlineStr">
        <is>
          <t>P в в 1 адсорбере PI5314</t>
        </is>
      </c>
      <c r="I24" s="245" t="inlineStr">
        <is>
          <t>БКК 71</t>
        </is>
      </c>
      <c r="J24" s="243" t="inlineStr">
        <is>
          <t>АСУ,А и ТМ (КЦ № 7)</t>
        </is>
      </c>
      <c r="K24" s="243" t="inlineStr">
        <is>
          <t>2020г.</t>
        </is>
      </c>
      <c r="L24" s="243" t="inlineStr">
        <is>
          <t>12</t>
        </is>
      </c>
      <c r="M24" s="246" t="inlineStr">
        <is>
          <t>26ДЯУ</t>
        </is>
      </c>
      <c r="N24" s="245" t="inlineStr">
        <is>
          <t>П</t>
        </is>
      </c>
    </row>
    <row r="25" ht="22.5" customHeight="1" s="236">
      <c r="A25" s="243" t="n">
        <v>24</v>
      </c>
      <c r="B25" s="244" t="inlineStr">
        <is>
          <t>Манометр технический</t>
        </is>
      </c>
      <c r="C25" s="245" t="inlineStr">
        <is>
          <t>МП3-УУ2</t>
        </is>
      </c>
      <c r="D25" s="245" t="inlineStr">
        <is>
          <t>211222302</t>
        </is>
      </c>
      <c r="E25" s="245" t="inlineStr">
        <is>
          <t>2018</t>
        </is>
      </c>
      <c r="F25" s="245" t="inlineStr">
        <is>
          <t>0…1,6 МПа</t>
        </is>
      </c>
      <c r="G25" s="245" t="inlineStr">
        <is>
          <t>1.5</t>
        </is>
      </c>
      <c r="H25" s="243" t="inlineStr">
        <is>
          <t>P в во 2 адсорбере PI5315</t>
        </is>
      </c>
      <c r="I25" s="245" t="inlineStr">
        <is>
          <t>БКК 71</t>
        </is>
      </c>
      <c r="J25" s="243" t="inlineStr">
        <is>
          <t>АСУ,А и ТМ (КЦ № 7)</t>
        </is>
      </c>
      <c r="K25" s="243" t="inlineStr">
        <is>
          <t>2020г.</t>
        </is>
      </c>
      <c r="L25" s="243" t="inlineStr">
        <is>
          <t>12</t>
        </is>
      </c>
      <c r="M25" s="246" t="inlineStr">
        <is>
          <t>26ДЯУ</t>
        </is>
      </c>
      <c r="N25" s="245" t="inlineStr">
        <is>
          <t>П</t>
        </is>
      </c>
      <c r="O25" s="341" t="n"/>
    </row>
    <row r="26" ht="22.5" customHeight="1" s="236">
      <c r="A26" s="243" t="n">
        <v>25</v>
      </c>
      <c r="B26" s="244" t="inlineStr">
        <is>
          <t>Манометр технический</t>
        </is>
      </c>
      <c r="C26" s="245" t="inlineStr">
        <is>
          <t>МП3-УУ2</t>
        </is>
      </c>
      <c r="D26" s="245" t="inlineStr">
        <is>
          <t>211222570</t>
        </is>
      </c>
      <c r="E26" s="245" t="inlineStr">
        <is>
          <t>2018</t>
        </is>
      </c>
      <c r="F26" s="245" t="inlineStr">
        <is>
          <t>0…1,6 МПа</t>
        </is>
      </c>
      <c r="G26" s="245" t="inlineStr">
        <is>
          <t>1.5</t>
        </is>
      </c>
      <c r="H26" s="243" t="inlineStr">
        <is>
          <t>P в в 3 адсорбере PI5313</t>
        </is>
      </c>
      <c r="I26" s="245" t="inlineStr">
        <is>
          <t>БКК 71</t>
        </is>
      </c>
      <c r="J26" s="243" t="inlineStr">
        <is>
          <t>АСУ,А и ТМ (КЦ № 7)</t>
        </is>
      </c>
      <c r="K26" s="243" t="inlineStr">
        <is>
          <t>2020г.</t>
        </is>
      </c>
      <c r="L26" s="243" t="inlineStr">
        <is>
          <t>12</t>
        </is>
      </c>
      <c r="M26" s="246" t="inlineStr">
        <is>
          <t>26ДЯУ</t>
        </is>
      </c>
      <c r="N26" s="245" t="inlineStr">
        <is>
          <t>П</t>
        </is>
      </c>
    </row>
    <row r="27" ht="22.5" customHeight="1" s="236">
      <c r="A27" s="243" t="n">
        <v>26</v>
      </c>
      <c r="B27" s="244" t="inlineStr">
        <is>
          <t>Манометр технический</t>
        </is>
      </c>
      <c r="C27" s="245" t="inlineStr">
        <is>
          <t>МП3-УУ2</t>
        </is>
      </c>
      <c r="D27" s="245" t="inlineStr">
        <is>
          <t>211222312</t>
        </is>
      </c>
      <c r="E27" s="245" t="inlineStr">
        <is>
          <t>2018</t>
        </is>
      </c>
      <c r="F27" s="245" t="inlineStr">
        <is>
          <t>0…1,6 МПа</t>
        </is>
      </c>
      <c r="G27" s="245" t="inlineStr">
        <is>
          <t>1.5</t>
        </is>
      </c>
      <c r="H27" s="243" t="inlineStr">
        <is>
          <t>P в в 4 адсорбере PI5312</t>
        </is>
      </c>
      <c r="I27" s="245" t="inlineStr">
        <is>
          <t>БКК 71</t>
        </is>
      </c>
      <c r="J27" s="243" t="inlineStr">
        <is>
          <t>АСУ,А и ТМ (КЦ № 7)</t>
        </is>
      </c>
      <c r="K27" s="243" t="inlineStr">
        <is>
          <t>2020г.</t>
        </is>
      </c>
      <c r="L27" s="243" t="inlineStr">
        <is>
          <t>12</t>
        </is>
      </c>
      <c r="M27" s="246" t="inlineStr">
        <is>
          <t>26ДЯУ</t>
        </is>
      </c>
      <c r="N27" s="245" t="inlineStr">
        <is>
          <t>П</t>
        </is>
      </c>
    </row>
    <row r="28" ht="22.5" customHeight="1" s="236">
      <c r="A28" s="243" t="n">
        <v>27</v>
      </c>
      <c r="B28" s="244" t="inlineStr">
        <is>
          <t>Перепад давления ДМ 5301</t>
        </is>
      </c>
      <c r="C28" s="245" t="inlineStr">
        <is>
          <t>Wika</t>
        </is>
      </c>
      <c r="D28" s="245" t="inlineStr">
        <is>
          <t>110BGBZ5</t>
        </is>
      </c>
      <c r="E28" s="245" t="inlineStr">
        <is>
          <t>2018</t>
        </is>
      </c>
      <c r="F28" s="245" t="inlineStr">
        <is>
          <t>0…0,6 бар</t>
        </is>
      </c>
      <c r="G28" s="245" t="inlineStr"/>
      <c r="H28" s="243" t="inlineStr">
        <is>
          <t>∆P в на фильтре</t>
        </is>
      </c>
      <c r="I28" s="245" t="inlineStr">
        <is>
          <t>БКК 71</t>
        </is>
      </c>
      <c r="J28" s="243" t="inlineStr">
        <is>
          <t>АСУ,А и ТМ (КЦ № 7)</t>
        </is>
      </c>
      <c r="K28" s="243" t="inlineStr">
        <is>
          <t>2020г.</t>
        </is>
      </c>
      <c r="L28" s="243" t="inlineStr">
        <is>
          <t>12</t>
        </is>
      </c>
      <c r="M28" s="246" t="inlineStr">
        <is>
          <t>1к26</t>
        </is>
      </c>
      <c r="N28" s="245" t="inlineStr">
        <is>
          <t>К</t>
        </is>
      </c>
    </row>
    <row r="29" ht="22.5" customHeight="1" s="236">
      <c r="A29" s="243" t="n">
        <v>28</v>
      </c>
      <c r="B29" s="244" t="inlineStr">
        <is>
          <t>Перепад давления ДМ 5302</t>
        </is>
      </c>
      <c r="C29" s="245" t="inlineStr">
        <is>
          <t>Wika</t>
        </is>
      </c>
      <c r="D29" s="245" t="inlineStr">
        <is>
          <t>110BGBZR</t>
        </is>
      </c>
      <c r="E29" s="245" t="inlineStr">
        <is>
          <t>2018</t>
        </is>
      </c>
      <c r="F29" s="245" t="inlineStr">
        <is>
          <t>0…0,6 бар</t>
        </is>
      </c>
      <c r="G29" s="245" t="inlineStr"/>
      <c r="H29" s="243" t="inlineStr">
        <is>
          <t>∆P в на фильтре</t>
        </is>
      </c>
      <c r="I29" s="245" t="inlineStr">
        <is>
          <t>БКК 71</t>
        </is>
      </c>
      <c r="J29" s="243" t="inlineStr">
        <is>
          <t>АСУ,А и ТМ (КЦ № 7)</t>
        </is>
      </c>
      <c r="K29" s="243" t="inlineStr">
        <is>
          <t>2020г.</t>
        </is>
      </c>
      <c r="L29" s="243" t="inlineStr">
        <is>
          <t>12</t>
        </is>
      </c>
      <c r="M29" s="246" t="inlineStr">
        <is>
          <t>1к26</t>
        </is>
      </c>
      <c r="N29" s="245" t="inlineStr">
        <is>
          <t>К</t>
        </is>
      </c>
    </row>
    <row r="30" ht="22.5" customHeight="1" s="236">
      <c r="A30" s="243" t="n">
        <v>29</v>
      </c>
      <c r="B30" s="244" t="inlineStr">
        <is>
          <t>Перепад давления ДМ 5303</t>
        </is>
      </c>
      <c r="C30" s="245" t="inlineStr">
        <is>
          <t>Wika</t>
        </is>
      </c>
      <c r="D30" s="245" t="inlineStr">
        <is>
          <t>110BGBZM</t>
        </is>
      </c>
      <c r="E30" s="245" t="inlineStr">
        <is>
          <t>2018</t>
        </is>
      </c>
      <c r="F30" s="245" t="inlineStr">
        <is>
          <t>0…0,6 бар</t>
        </is>
      </c>
      <c r="G30" s="245" t="inlineStr"/>
      <c r="H30" s="243" t="inlineStr">
        <is>
          <t>∆P в на фильтре</t>
        </is>
      </c>
      <c r="I30" s="245" t="inlineStr">
        <is>
          <t>БКК 71</t>
        </is>
      </c>
      <c r="J30" s="243" t="inlineStr">
        <is>
          <t>АСУ,А и ТМ (КЦ № 7)</t>
        </is>
      </c>
      <c r="K30" s="243" t="inlineStr">
        <is>
          <t>2020г.</t>
        </is>
      </c>
      <c r="L30" s="243" t="inlineStr">
        <is>
          <t>12</t>
        </is>
      </c>
      <c r="M30" s="246" t="inlineStr">
        <is>
          <t>1к26</t>
        </is>
      </c>
      <c r="N30" s="245" t="inlineStr">
        <is>
          <t>К</t>
        </is>
      </c>
    </row>
    <row r="31" ht="22.5" customHeight="1" s="236">
      <c r="A31" s="243" t="n">
        <v>30</v>
      </c>
      <c r="B31" s="244" t="inlineStr">
        <is>
          <t>Перепад давления ДМ 5304</t>
        </is>
      </c>
      <c r="C31" s="245" t="inlineStr">
        <is>
          <t>Wika</t>
        </is>
      </c>
      <c r="D31" s="245" t="inlineStr">
        <is>
          <t>110BGBZN</t>
        </is>
      </c>
      <c r="E31" s="245" t="inlineStr">
        <is>
          <t>2018</t>
        </is>
      </c>
      <c r="F31" s="245" t="inlineStr">
        <is>
          <t>0…0,6 бар</t>
        </is>
      </c>
      <c r="G31" s="245" t="inlineStr"/>
      <c r="H31" s="243" t="inlineStr">
        <is>
          <t>∆P в на фильтре</t>
        </is>
      </c>
      <c r="I31" s="245" t="inlineStr">
        <is>
          <t>БКК 71</t>
        </is>
      </c>
      <c r="J31" s="243" t="inlineStr">
        <is>
          <t>АСУ,А и ТМ (КЦ № 7)</t>
        </is>
      </c>
      <c r="K31" s="243" t="inlineStr">
        <is>
          <t>2020г.</t>
        </is>
      </c>
      <c r="L31" s="243" t="inlineStr">
        <is>
          <t>12</t>
        </is>
      </c>
      <c r="M31" s="246" t="inlineStr">
        <is>
          <t>1к26</t>
        </is>
      </c>
      <c r="N31" s="245" t="inlineStr">
        <is>
          <t>К</t>
        </is>
      </c>
    </row>
    <row r="32" ht="22.5" customHeight="1" s="236">
      <c r="A32" s="243" t="n">
        <v>31</v>
      </c>
      <c r="B32" s="244" t="inlineStr">
        <is>
          <t>Перепад давления ДМ 5305</t>
        </is>
      </c>
      <c r="C32" s="245" t="inlineStr">
        <is>
          <t>Wika</t>
        </is>
      </c>
      <c r="D32" s="245" t="inlineStr">
        <is>
          <t>110BGBZT</t>
        </is>
      </c>
      <c r="E32" s="245" t="inlineStr">
        <is>
          <t>2018</t>
        </is>
      </c>
      <c r="F32" s="245" t="inlineStr">
        <is>
          <t>0…0,6 бар</t>
        </is>
      </c>
      <c r="G32" s="245" t="inlineStr"/>
      <c r="H32" s="243" t="inlineStr">
        <is>
          <t>∆P в на фильтре</t>
        </is>
      </c>
      <c r="I32" s="245" t="inlineStr">
        <is>
          <t>БКК 71</t>
        </is>
      </c>
      <c r="J32" s="243" t="inlineStr">
        <is>
          <t>АСУ,А и ТМ (КЦ № 7)</t>
        </is>
      </c>
      <c r="K32" s="243" t="inlineStr">
        <is>
          <t>2020г.</t>
        </is>
      </c>
      <c r="L32" s="243" t="inlineStr">
        <is>
          <t>12</t>
        </is>
      </c>
      <c r="M32" s="246" t="inlineStr">
        <is>
          <t>1к26</t>
        </is>
      </c>
      <c r="N32" s="245" t="inlineStr">
        <is>
          <t>К</t>
        </is>
      </c>
    </row>
    <row r="33" ht="22.5" customHeight="1" s="236">
      <c r="A33" s="243" t="n">
        <v>32</v>
      </c>
      <c r="B33" s="244" t="inlineStr">
        <is>
          <t>Манометр технический</t>
        </is>
      </c>
      <c r="C33" s="245" t="inlineStr">
        <is>
          <t>ТМ3</t>
        </is>
      </c>
      <c r="D33" s="245" t="inlineStr">
        <is>
          <t>7000203</t>
        </is>
      </c>
      <c r="E33" s="245" t="inlineStr">
        <is>
          <t>2018</t>
        </is>
      </c>
      <c r="F33" s="245" t="inlineStr">
        <is>
          <t>0…0,1 МПа</t>
        </is>
      </c>
      <c r="G33" s="245" t="inlineStr">
        <is>
          <t>1.5</t>
        </is>
      </c>
      <c r="H33" s="243" t="inlineStr">
        <is>
          <t>P в в ГШ 5301</t>
        </is>
      </c>
      <c r="I33" s="245" t="inlineStr">
        <is>
          <t>БКК 71</t>
        </is>
      </c>
      <c r="J33" s="243" t="inlineStr">
        <is>
          <t>АСУ,А и ТМ (КЦ № 7)</t>
        </is>
      </c>
      <c r="K33" s="243" t="inlineStr">
        <is>
          <t>2020г.</t>
        </is>
      </c>
      <c r="L33" s="243" t="inlineStr">
        <is>
          <t>12</t>
        </is>
      </c>
      <c r="M33" s="246" t="inlineStr">
        <is>
          <t>1к26</t>
        </is>
      </c>
      <c r="N33" s="245" t="inlineStr">
        <is>
          <t>К</t>
        </is>
      </c>
    </row>
    <row r="34" ht="22.5" customHeight="1" s="236">
      <c r="A34" s="243" t="n">
        <v>33</v>
      </c>
      <c r="B34" s="244" t="inlineStr">
        <is>
          <t>Манометр технический</t>
        </is>
      </c>
      <c r="C34" s="245" t="inlineStr">
        <is>
          <t>ТМ3</t>
        </is>
      </c>
      <c r="D34" s="245" t="inlineStr">
        <is>
          <t>7000204</t>
        </is>
      </c>
      <c r="E34" s="245" t="inlineStr">
        <is>
          <t>2018</t>
        </is>
      </c>
      <c r="F34" s="245" t="inlineStr">
        <is>
          <t>0…0,1 МПа</t>
        </is>
      </c>
      <c r="G34" s="245" t="inlineStr">
        <is>
          <t>1.5</t>
        </is>
      </c>
      <c r="H34" s="243" t="inlineStr">
        <is>
          <t>P в в ГШ 5302</t>
        </is>
      </c>
      <c r="I34" s="245" t="inlineStr">
        <is>
          <t>БКК 71</t>
        </is>
      </c>
      <c r="J34" s="243" t="inlineStr">
        <is>
          <t>АСУ,А и ТМ (КЦ № 7)</t>
        </is>
      </c>
      <c r="K34" s="243" t="inlineStr">
        <is>
          <t>2020г.</t>
        </is>
      </c>
      <c r="L34" s="243" t="inlineStr">
        <is>
          <t>12</t>
        </is>
      </c>
      <c r="M34" s="246" t="inlineStr">
        <is>
          <t>1к26</t>
        </is>
      </c>
      <c r="N34" s="245" t="inlineStr">
        <is>
          <t>К</t>
        </is>
      </c>
    </row>
    <row r="35" ht="22.5" customHeight="1" s="236">
      <c r="A35" s="243" t="n">
        <v>34</v>
      </c>
      <c r="B35" s="244" t="inlineStr">
        <is>
          <t>Манометр технический</t>
        </is>
      </c>
      <c r="C35" s="245" t="inlineStr">
        <is>
          <t>МП3-УУ2</t>
        </is>
      </c>
      <c r="D35" s="245" t="inlineStr">
        <is>
          <t>211211876</t>
        </is>
      </c>
      <c r="E35" s="245" t="inlineStr">
        <is>
          <t>2018</t>
        </is>
      </c>
      <c r="F35" s="245" t="inlineStr">
        <is>
          <t>0…1,6 МПа</t>
        </is>
      </c>
      <c r="G35" s="245" t="inlineStr">
        <is>
          <t>1.5</t>
        </is>
      </c>
      <c r="H35" s="243" t="inlineStr">
        <is>
          <t>P в в ресивере</t>
        </is>
      </c>
      <c r="I35" s="245" t="inlineStr">
        <is>
          <t>ГПА 71</t>
        </is>
      </c>
      <c r="J35" s="243" t="inlineStr">
        <is>
          <t>АСУ,А и ТМ (КЦ № 7)</t>
        </is>
      </c>
      <c r="K35" s="243" t="inlineStr">
        <is>
          <t>2020г.</t>
        </is>
      </c>
      <c r="L35" s="243" t="inlineStr">
        <is>
          <t>12</t>
        </is>
      </c>
      <c r="M35" s="246" t="inlineStr">
        <is>
          <t>26ДЯУ</t>
        </is>
      </c>
      <c r="N35" s="245" t="inlineStr">
        <is>
          <t>П</t>
        </is>
      </c>
    </row>
    <row r="36" ht="22.5" customHeight="1" s="236">
      <c r="A36" s="243" t="n">
        <v>35</v>
      </c>
      <c r="B36" s="244" t="inlineStr">
        <is>
          <t>Манометр технический</t>
        </is>
      </c>
      <c r="C36" s="245" t="inlineStr">
        <is>
          <t>МП4-УУ2</t>
        </is>
      </c>
      <c r="D36" s="245" t="inlineStr">
        <is>
          <t>15141</t>
        </is>
      </c>
      <c r="E36" s="245" t="inlineStr">
        <is>
          <t>2018</t>
        </is>
      </c>
      <c r="F36" s="245" t="inlineStr">
        <is>
          <t>0…160 кгс/см2</t>
        </is>
      </c>
      <c r="G36" s="245" t="inlineStr">
        <is>
          <t>1.5</t>
        </is>
      </c>
      <c r="H36" s="243" t="inlineStr">
        <is>
          <t>P г во 2 фильтроэлементе БФБГ №1</t>
        </is>
      </c>
      <c r="I36" s="245" t="inlineStr">
        <is>
          <t>ГПА 71</t>
        </is>
      </c>
      <c r="J36" s="243" t="inlineStr">
        <is>
          <t>АСУ,А и ТМ (КЦ № 7)</t>
        </is>
      </c>
      <c r="K36" s="243" t="inlineStr">
        <is>
          <t>2020г.</t>
        </is>
      </c>
      <c r="L36" s="243" t="inlineStr">
        <is>
          <t>12</t>
        </is>
      </c>
      <c r="M36" s="246" t="inlineStr">
        <is>
          <t>26ДЯУ</t>
        </is>
      </c>
      <c r="N36" s="245" t="inlineStr">
        <is>
          <t>П</t>
        </is>
      </c>
    </row>
    <row r="37" ht="22.5" customHeight="1" s="236">
      <c r="A37" s="243" t="n">
        <v>36</v>
      </c>
      <c r="B37" s="244" t="inlineStr">
        <is>
          <t>Манометр технический</t>
        </is>
      </c>
      <c r="C37" s="245" t="inlineStr">
        <is>
          <t>МП4-УУ2</t>
        </is>
      </c>
      <c r="D37" s="245" t="inlineStr">
        <is>
          <t>212032971</t>
        </is>
      </c>
      <c r="E37" s="245" t="inlineStr">
        <is>
          <t>2018</t>
        </is>
      </c>
      <c r="F37" s="245" t="inlineStr">
        <is>
          <t>0…16 МПа</t>
        </is>
      </c>
      <c r="G37" s="245" t="inlineStr">
        <is>
          <t>1.5</t>
        </is>
      </c>
      <c r="H37" s="243" t="inlineStr">
        <is>
          <t>P г в 1 фильтроэлементе БФБГ №1</t>
        </is>
      </c>
      <c r="I37" s="245" t="inlineStr">
        <is>
          <t>ГПА 71</t>
        </is>
      </c>
      <c r="J37" s="243" t="inlineStr">
        <is>
          <t>АСУ,А и ТМ (КЦ № 7)</t>
        </is>
      </c>
      <c r="K37" s="243" t="inlineStr">
        <is>
          <t>2020г.</t>
        </is>
      </c>
      <c r="L37" s="243" t="inlineStr">
        <is>
          <t>12</t>
        </is>
      </c>
      <c r="M37" s="246" t="inlineStr">
        <is>
          <t>26ДЯУ</t>
        </is>
      </c>
      <c r="N37" s="245" t="inlineStr">
        <is>
          <t>П</t>
        </is>
      </c>
    </row>
    <row r="38" ht="22.5" customHeight="1" s="236">
      <c r="A38" s="243" t="n">
        <v>37</v>
      </c>
      <c r="B38" s="244" t="inlineStr">
        <is>
          <t>Манометр технический</t>
        </is>
      </c>
      <c r="C38" s="245" t="inlineStr">
        <is>
          <t>МП4-УУ2</t>
        </is>
      </c>
      <c r="D38" s="245" t="inlineStr">
        <is>
          <t>15403</t>
        </is>
      </c>
      <c r="E38" s="245" t="inlineStr">
        <is>
          <t>2018</t>
        </is>
      </c>
      <c r="F38" s="245" t="inlineStr">
        <is>
          <t>0…160 кгс/см2</t>
        </is>
      </c>
      <c r="G38" s="245" t="inlineStr">
        <is>
          <t>1</t>
        </is>
      </c>
      <c r="H38" s="243" t="inlineStr">
        <is>
          <t>P г во 2 фильтроэлементе БФБГ №2</t>
        </is>
      </c>
      <c r="I38" s="245" t="inlineStr">
        <is>
          <t>ГПА 71</t>
        </is>
      </c>
      <c r="J38" s="243" t="inlineStr">
        <is>
          <t>АСУ,А и ТМ (КЦ № 7)</t>
        </is>
      </c>
      <c r="K38" s="243" t="inlineStr">
        <is>
          <t>2020г.</t>
        </is>
      </c>
      <c r="L38" s="243" t="inlineStr">
        <is>
          <t>12</t>
        </is>
      </c>
      <c r="M38" s="246" t="inlineStr">
        <is>
          <t>26ДЯУ</t>
        </is>
      </c>
      <c r="N38" s="245" t="inlineStr">
        <is>
          <t>П</t>
        </is>
      </c>
    </row>
    <row r="39" ht="22.5" customHeight="1" s="236">
      <c r="A39" s="243" t="n">
        <v>38</v>
      </c>
      <c r="B39" s="244" t="inlineStr">
        <is>
          <t>Манометр технический</t>
        </is>
      </c>
      <c r="C39" s="245" t="inlineStr">
        <is>
          <t>МП4-УУ2</t>
        </is>
      </c>
      <c r="D39" s="245" t="inlineStr">
        <is>
          <t>212032109</t>
        </is>
      </c>
      <c r="E39" s="245" t="inlineStr">
        <is>
          <t>2018</t>
        </is>
      </c>
      <c r="F39" s="245" t="inlineStr">
        <is>
          <t>0…16 МПа</t>
        </is>
      </c>
      <c r="G39" s="245" t="inlineStr">
        <is>
          <t>1.5</t>
        </is>
      </c>
      <c r="H39" s="243" t="inlineStr">
        <is>
          <t>P г в 1 фильтроэлементе БФБГ №2</t>
        </is>
      </c>
      <c r="I39" s="245" t="inlineStr">
        <is>
          <t>ГПА 71</t>
        </is>
      </c>
      <c r="J39" s="243" t="inlineStr">
        <is>
          <t>АСУ,А и ТМ (КЦ № 7)</t>
        </is>
      </c>
      <c r="K39" s="243" t="inlineStr">
        <is>
          <t>2020г.</t>
        </is>
      </c>
      <c r="L39" s="243" t="inlineStr">
        <is>
          <t>12</t>
        </is>
      </c>
      <c r="M39" s="246" t="inlineStr">
        <is>
          <t>26ДЯУ</t>
        </is>
      </c>
      <c r="N39" s="245" t="inlineStr">
        <is>
          <t>П</t>
        </is>
      </c>
    </row>
    <row r="40" ht="22.5" customHeight="1" s="236">
      <c r="A40" s="243" t="n">
        <v>39</v>
      </c>
      <c r="B40" s="244" t="inlineStr">
        <is>
          <t>Манометр технический</t>
        </is>
      </c>
      <c r="C40" s="245" t="inlineStr">
        <is>
          <t>МП4-УУ2</t>
        </is>
      </c>
      <c r="D40" s="245" t="inlineStr">
        <is>
          <t>80334</t>
        </is>
      </c>
      <c r="E40" s="245" t="inlineStr">
        <is>
          <t>2018</t>
        </is>
      </c>
      <c r="F40" s="245" t="inlineStr">
        <is>
          <t>0…160 кгс/см2</t>
        </is>
      </c>
      <c r="G40" s="245" t="inlineStr">
        <is>
          <t>1.5</t>
        </is>
      </c>
      <c r="H40" s="243" t="inlineStr">
        <is>
          <t>P г во 2 фильтроэлементе БФТГ №1</t>
        </is>
      </c>
      <c r="I40" s="245" t="inlineStr">
        <is>
          <t>ГПА 71</t>
        </is>
      </c>
      <c r="J40" s="243" t="inlineStr">
        <is>
          <t>АСУ,А и ТМ (КЦ № 7)</t>
        </is>
      </c>
      <c r="K40" s="243" t="inlineStr">
        <is>
          <t>2020г.</t>
        </is>
      </c>
      <c r="L40" s="243" t="inlineStr">
        <is>
          <t>12</t>
        </is>
      </c>
      <c r="M40" s="246" t="inlineStr">
        <is>
          <t>26ДЯУ</t>
        </is>
      </c>
      <c r="N40" s="245" t="inlineStr">
        <is>
          <t>П</t>
        </is>
      </c>
    </row>
    <row r="41" ht="22.5" customHeight="1" s="236">
      <c r="A41" s="243" t="n">
        <v>40</v>
      </c>
      <c r="B41" s="244" t="inlineStr">
        <is>
          <t>Манометр технический</t>
        </is>
      </c>
      <c r="C41" s="245" t="inlineStr">
        <is>
          <t>МП4-УУ2</t>
        </is>
      </c>
      <c r="D41" s="245" t="inlineStr">
        <is>
          <t>212032418</t>
        </is>
      </c>
      <c r="E41" s="245" t="inlineStr">
        <is>
          <t>2018</t>
        </is>
      </c>
      <c r="F41" s="245" t="inlineStr">
        <is>
          <t>0…16 МПа</t>
        </is>
      </c>
      <c r="G41" s="245" t="inlineStr">
        <is>
          <t>1.5</t>
        </is>
      </c>
      <c r="H41" s="243" t="inlineStr">
        <is>
          <t>P г в 1 фильтроэлементе БФТГ №1</t>
        </is>
      </c>
      <c r="I41" s="245" t="inlineStr">
        <is>
          <t>ГПА 71</t>
        </is>
      </c>
      <c r="J41" s="243" t="inlineStr">
        <is>
          <t>АСУ,А и ТМ (КЦ № 7)</t>
        </is>
      </c>
      <c r="K41" s="243" t="inlineStr">
        <is>
          <t>2020г.</t>
        </is>
      </c>
      <c r="L41" s="243" t="inlineStr">
        <is>
          <t>12</t>
        </is>
      </c>
      <c r="M41" s="246" t="inlineStr">
        <is>
          <t>26ДЯУ</t>
        </is>
      </c>
      <c r="N41" s="245" t="inlineStr">
        <is>
          <t>П</t>
        </is>
      </c>
    </row>
    <row r="42" ht="22.5" customHeight="1" s="236">
      <c r="A42" s="243" t="n">
        <v>41</v>
      </c>
      <c r="B42" s="244" t="inlineStr">
        <is>
          <t>Манометр технический</t>
        </is>
      </c>
      <c r="C42" s="245" t="inlineStr">
        <is>
          <t>МП4-УУ2</t>
        </is>
      </c>
      <c r="D42" s="245" t="inlineStr">
        <is>
          <t>212032078</t>
        </is>
      </c>
      <c r="E42" s="245" t="inlineStr">
        <is>
          <t>2018</t>
        </is>
      </c>
      <c r="F42" s="245" t="inlineStr">
        <is>
          <t>0…16 МПа</t>
        </is>
      </c>
      <c r="G42" s="245" t="inlineStr">
        <is>
          <t>1.5</t>
        </is>
      </c>
      <c r="H42" s="243" t="inlineStr">
        <is>
          <t>P г в 1 фильтроэлементе БФТГ №2</t>
        </is>
      </c>
      <c r="I42" s="245" t="inlineStr">
        <is>
          <t>ГПА 71</t>
        </is>
      </c>
      <c r="J42" s="243" t="inlineStr">
        <is>
          <t>АСУ,А и ТМ (КЦ № 7)</t>
        </is>
      </c>
      <c r="K42" s="243" t="inlineStr">
        <is>
          <t>2020г.</t>
        </is>
      </c>
      <c r="L42" s="243" t="inlineStr">
        <is>
          <t>12</t>
        </is>
      </c>
      <c r="M42" s="246" t="inlineStr">
        <is>
          <t>26ДЯУ</t>
        </is>
      </c>
      <c r="N42" s="245" t="inlineStr">
        <is>
          <t>П</t>
        </is>
      </c>
    </row>
    <row r="43" ht="22.5" customHeight="1" s="236">
      <c r="A43" s="243" t="n">
        <v>42</v>
      </c>
      <c r="B43" s="244" t="inlineStr">
        <is>
          <t>Манометр технический</t>
        </is>
      </c>
      <c r="C43" s="245" t="inlineStr">
        <is>
          <t>МП4-УУ2</t>
        </is>
      </c>
      <c r="D43" s="245" t="inlineStr">
        <is>
          <t>212032143</t>
        </is>
      </c>
      <c r="E43" s="245" t="inlineStr">
        <is>
          <t>2018</t>
        </is>
      </c>
      <c r="F43" s="245" t="inlineStr">
        <is>
          <t>0…16 МПа</t>
        </is>
      </c>
      <c r="G43" s="245" t="inlineStr">
        <is>
          <t>1.5</t>
        </is>
      </c>
      <c r="H43" s="243" t="inlineStr">
        <is>
          <t>P г во 2 фильтроэлементе БФТГ №2</t>
        </is>
      </c>
      <c r="I43" s="245" t="inlineStr">
        <is>
          <t>ГПА 71</t>
        </is>
      </c>
      <c r="J43" s="243" t="inlineStr">
        <is>
          <t>АСУ,А и ТМ (КЦ № 7)</t>
        </is>
      </c>
      <c r="K43" s="243" t="inlineStr">
        <is>
          <t>2020г.</t>
        </is>
      </c>
      <c r="L43" s="243" t="inlineStr">
        <is>
          <t>12</t>
        </is>
      </c>
      <c r="M43" s="246" t="inlineStr">
        <is>
          <t>26ДЯУ</t>
        </is>
      </c>
      <c r="N43" s="245" t="inlineStr">
        <is>
          <t>П</t>
        </is>
      </c>
    </row>
    <row r="44" ht="22.5" customHeight="1" s="236">
      <c r="A44" s="243" t="n">
        <v>43</v>
      </c>
      <c r="B44" s="244" t="inlineStr">
        <is>
          <t>Манометр технический</t>
        </is>
      </c>
      <c r="C44" s="245" t="inlineStr">
        <is>
          <t>МП4-УУ2</t>
        </is>
      </c>
      <c r="D44" s="245" t="inlineStr">
        <is>
          <t>700039</t>
        </is>
      </c>
      <c r="E44" s="245" t="inlineStr">
        <is>
          <t>2018</t>
        </is>
      </c>
      <c r="F44" s="245" t="inlineStr">
        <is>
          <t>0…16 МПа</t>
        </is>
      </c>
      <c r="G44" s="245" t="inlineStr">
        <is>
          <t>1</t>
        </is>
      </c>
      <c r="H44" s="243" t="inlineStr">
        <is>
          <t>P имп г крана 3бис</t>
        </is>
      </c>
      <c r="I44" s="245" t="inlineStr">
        <is>
          <t>ГПА 71</t>
        </is>
      </c>
      <c r="J44" s="243" t="inlineStr">
        <is>
          <t>АСУ,А и ТМ (КЦ № 7)</t>
        </is>
      </c>
      <c r="K44" s="243" t="inlineStr">
        <is>
          <t>2020г.</t>
        </is>
      </c>
      <c r="L44" s="243" t="inlineStr">
        <is>
          <t>12</t>
        </is>
      </c>
      <c r="M44" s="246" t="inlineStr">
        <is>
          <t>2К26</t>
        </is>
      </c>
      <c r="N44" s="245" t="inlineStr">
        <is>
          <t>К</t>
        </is>
      </c>
    </row>
    <row r="45" ht="22.5" customHeight="1" s="236">
      <c r="A45" s="243" t="n">
        <v>44</v>
      </c>
      <c r="B45" s="244" t="inlineStr">
        <is>
          <t>Манометр технический</t>
        </is>
      </c>
      <c r="C45" s="245" t="inlineStr">
        <is>
          <t>КМ2</t>
        </is>
      </c>
      <c r="D45" s="245" t="inlineStr">
        <is>
          <t>700283</t>
        </is>
      </c>
      <c r="E45" s="245" t="inlineStr">
        <is>
          <t>2018</t>
        </is>
      </c>
      <c r="F45" s="245" t="inlineStr">
        <is>
          <t>0…25 кПа</t>
        </is>
      </c>
      <c r="G45" s="245" t="inlineStr">
        <is>
          <t>1.5</t>
        </is>
      </c>
      <c r="H45" s="243" t="inlineStr">
        <is>
          <t>P г после счётчика MH2</t>
        </is>
      </c>
      <c r="I45" s="245" t="inlineStr">
        <is>
          <t>АВГМ 71</t>
        </is>
      </c>
      <c r="J45" s="243" t="inlineStr">
        <is>
          <t>АСУ,А и ТМ (КЦ № 7)</t>
        </is>
      </c>
      <c r="K45" s="243" t="inlineStr">
        <is>
          <t>2020г.</t>
        </is>
      </c>
      <c r="L45" s="243" t="inlineStr">
        <is>
          <t>12</t>
        </is>
      </c>
      <c r="M45" s="246" t="inlineStr">
        <is>
          <t>2К26</t>
        </is>
      </c>
      <c r="N45" s="245" t="inlineStr">
        <is>
          <t>К</t>
        </is>
      </c>
    </row>
    <row r="46" ht="22.5" customHeight="1" s="236">
      <c r="A46" s="243" t="n">
        <v>45</v>
      </c>
      <c r="B46" s="244" t="inlineStr">
        <is>
          <t>Манометр технический</t>
        </is>
      </c>
      <c r="C46" s="245" t="inlineStr">
        <is>
          <t>ТМ5</t>
        </is>
      </c>
      <c r="D46" s="245" t="inlineStr">
        <is>
          <t>15421</t>
        </is>
      </c>
      <c r="E46" s="245" t="inlineStr">
        <is>
          <t>2018</t>
        </is>
      </c>
      <c r="F46" s="245" t="inlineStr">
        <is>
          <t>0…10 кгс/см2</t>
        </is>
      </c>
      <c r="G46" s="245" t="inlineStr">
        <is>
          <t>1.5</t>
        </is>
      </c>
      <c r="H46" s="243" t="inlineStr">
        <is>
          <t>P г на входе MH1</t>
        </is>
      </c>
      <c r="I46" s="245" t="inlineStr">
        <is>
          <t>АВГМ 71</t>
        </is>
      </c>
      <c r="J46" s="243" t="inlineStr">
        <is>
          <t>АСУ,А и ТМ (КЦ № 7)</t>
        </is>
      </c>
      <c r="K46" s="243" t="inlineStr">
        <is>
          <t>2020г.</t>
        </is>
      </c>
      <c r="L46" s="243" t="inlineStr">
        <is>
          <t>12</t>
        </is>
      </c>
      <c r="M46" s="246" t="inlineStr">
        <is>
          <t>2К26</t>
        </is>
      </c>
      <c r="N46" s="245" t="inlineStr">
        <is>
          <t>К</t>
        </is>
      </c>
    </row>
    <row r="47" ht="22.5" customHeight="1" s="236">
      <c r="A47" s="243" t="n">
        <v>46</v>
      </c>
      <c r="B47" s="244" t="inlineStr">
        <is>
          <t>Манометр технический</t>
        </is>
      </c>
      <c r="C47" s="245" t="inlineStr">
        <is>
          <t>МП4-УУ2</t>
        </is>
      </c>
      <c r="D47" s="245" t="inlineStr">
        <is>
          <t>7000105</t>
        </is>
      </c>
      <c r="E47" s="245" t="inlineStr">
        <is>
          <t>2018</t>
        </is>
      </c>
      <c r="F47" s="245" t="inlineStr">
        <is>
          <t>0…16 МПа</t>
        </is>
      </c>
      <c r="G47" s="245" t="inlineStr">
        <is>
          <t>1</t>
        </is>
      </c>
      <c r="H47" s="243" t="inlineStr">
        <is>
          <t>P г после защитной решётки</t>
        </is>
      </c>
      <c r="I47" s="245" t="inlineStr">
        <is>
          <t>ГПА 71</t>
        </is>
      </c>
      <c r="J47" s="243" t="inlineStr">
        <is>
          <t>АСУ,А и ТМ (КЦ № 7)</t>
        </is>
      </c>
      <c r="K47" s="243" t="inlineStr">
        <is>
          <t>2020г.</t>
        </is>
      </c>
      <c r="L47" s="243" t="inlineStr">
        <is>
          <t>12</t>
        </is>
      </c>
      <c r="M47" s="246" t="inlineStr">
        <is>
          <t>2К26</t>
        </is>
      </c>
      <c r="N47" s="245" t="inlineStr">
        <is>
          <t>К</t>
        </is>
      </c>
    </row>
    <row r="48" ht="22.5" customHeight="1" s="236">
      <c r="A48" s="243" t="n">
        <v>47</v>
      </c>
      <c r="B48" s="244" t="inlineStr">
        <is>
          <t>Манометр технический</t>
        </is>
      </c>
      <c r="C48" s="245" t="inlineStr">
        <is>
          <t>МП4-УУ2</t>
        </is>
      </c>
      <c r="D48" s="245" t="inlineStr">
        <is>
          <t>7000102</t>
        </is>
      </c>
      <c r="E48" s="245" t="inlineStr">
        <is>
          <t>2018</t>
        </is>
      </c>
      <c r="F48" s="245" t="inlineStr">
        <is>
          <t>0…16 МПа</t>
        </is>
      </c>
      <c r="G48" s="245" t="inlineStr">
        <is>
          <t>1</t>
        </is>
      </c>
      <c r="H48" s="243" t="inlineStr">
        <is>
          <t>P г до защитной решётки</t>
        </is>
      </c>
      <c r="I48" s="245" t="inlineStr">
        <is>
          <t>ГПА 71</t>
        </is>
      </c>
      <c r="J48" s="243" t="inlineStr">
        <is>
          <t>АСУ,А и ТМ (КЦ № 7)</t>
        </is>
      </c>
      <c r="K48" s="243" t="inlineStr">
        <is>
          <t>2020г.</t>
        </is>
      </c>
      <c r="L48" s="243" t="inlineStr">
        <is>
          <t>12</t>
        </is>
      </c>
      <c r="M48" s="246" t="inlineStr">
        <is>
          <t>2К26</t>
        </is>
      </c>
      <c r="N48" s="245" t="inlineStr">
        <is>
          <t>К</t>
        </is>
      </c>
    </row>
    <row r="49" ht="22.5" customHeight="1" s="236">
      <c r="A49" s="243" t="n">
        <v>48</v>
      </c>
      <c r="B49" s="244" t="inlineStr">
        <is>
          <t>Манометр технический</t>
        </is>
      </c>
      <c r="C49" s="245" t="inlineStr">
        <is>
          <t>МП4-УФ БС УФЛ1</t>
        </is>
      </c>
      <c r="D49" s="245" t="inlineStr">
        <is>
          <t>311558</t>
        </is>
      </c>
      <c r="E49" s="245" t="inlineStr">
        <is>
          <t>2018</t>
        </is>
      </c>
      <c r="F49" s="245" t="inlineStr">
        <is>
          <t>0…16 МПа</t>
        </is>
      </c>
      <c r="G49" s="245" t="inlineStr">
        <is>
          <t>1</t>
        </is>
      </c>
      <c r="H49" s="243" t="inlineStr">
        <is>
          <t>P г до крана №1-1</t>
        </is>
      </c>
      <c r="I49" s="245" t="inlineStr">
        <is>
          <t>ГПА 71</t>
        </is>
      </c>
      <c r="J49" s="243" t="inlineStr">
        <is>
          <t>АСУ,А и ТМ (КЦ № 7)</t>
        </is>
      </c>
      <c r="K49" s="243" t="inlineStr">
        <is>
          <t>2020г.</t>
        </is>
      </c>
      <c r="L49" s="243" t="inlineStr">
        <is>
          <t>12</t>
        </is>
      </c>
      <c r="M49" s="246" t="inlineStr">
        <is>
          <t>2К26</t>
        </is>
      </c>
      <c r="N49" s="245" t="inlineStr">
        <is>
          <t>К</t>
        </is>
      </c>
    </row>
    <row r="50" ht="22.5" customHeight="1" s="236">
      <c r="A50" s="243" t="n">
        <v>49</v>
      </c>
      <c r="B50" s="244" t="inlineStr">
        <is>
          <t>Манометр технический</t>
        </is>
      </c>
      <c r="C50" s="245" t="inlineStr">
        <is>
          <t>МП4-УУ2</t>
        </is>
      </c>
      <c r="D50" s="245" t="inlineStr">
        <is>
          <t>7000104</t>
        </is>
      </c>
      <c r="E50" s="245" t="inlineStr">
        <is>
          <t>2018</t>
        </is>
      </c>
      <c r="F50" s="245" t="inlineStr">
        <is>
          <t>0…16 МПа</t>
        </is>
      </c>
      <c r="G50" s="245" t="inlineStr">
        <is>
          <t>1</t>
        </is>
      </c>
      <c r="H50" s="243" t="inlineStr">
        <is>
          <t>P г после крана №1-1</t>
        </is>
      </c>
      <c r="I50" s="245" t="inlineStr">
        <is>
          <t>ГПА 71</t>
        </is>
      </c>
      <c r="J50" s="243" t="inlineStr">
        <is>
          <t>АСУ,А и ТМ (КЦ № 7)</t>
        </is>
      </c>
      <c r="K50" s="243" t="inlineStr">
        <is>
          <t>2020г.</t>
        </is>
      </c>
      <c r="L50" s="243" t="inlineStr">
        <is>
          <t>12</t>
        </is>
      </c>
      <c r="M50" s="246" t="inlineStr">
        <is>
          <t>2К26</t>
        </is>
      </c>
      <c r="N50" s="245" t="inlineStr">
        <is>
          <t>К</t>
        </is>
      </c>
    </row>
    <row r="51" ht="22.5" customHeight="1" s="236">
      <c r="A51" s="243" t="n">
        <v>50</v>
      </c>
      <c r="B51" s="244" t="inlineStr">
        <is>
          <t>Манометр технический</t>
        </is>
      </c>
      <c r="C51" s="245" t="inlineStr">
        <is>
          <t>МП3-УУХЛ1</t>
        </is>
      </c>
      <c r="D51" s="245" t="inlineStr">
        <is>
          <t>212033565</t>
        </is>
      </c>
      <c r="E51" s="245" t="inlineStr">
        <is>
          <t>2018</t>
        </is>
      </c>
      <c r="F51" s="245" t="inlineStr">
        <is>
          <t>0…16 МПа</t>
        </is>
      </c>
      <c r="G51" s="245" t="inlineStr">
        <is>
          <t>1</t>
        </is>
      </c>
      <c r="H51" s="243" t="inlineStr">
        <is>
          <t>P г в ёмкости Е-1</t>
        </is>
      </c>
      <c r="I51" s="245" t="inlineStr">
        <is>
          <t>ГПА 71</t>
        </is>
      </c>
      <c r="J51" s="243" t="inlineStr">
        <is>
          <t>АСУ,А и ТМ (КЦ № 7)</t>
        </is>
      </c>
      <c r="K51" s="243" t="inlineStr">
        <is>
          <t>2020г.</t>
        </is>
      </c>
      <c r="L51" s="243" t="inlineStr">
        <is>
          <t>12</t>
        </is>
      </c>
      <c r="M51" s="246" t="inlineStr">
        <is>
          <t>26ДЯУ</t>
        </is>
      </c>
      <c r="N51" s="245" t="inlineStr">
        <is>
          <t>П</t>
        </is>
      </c>
    </row>
    <row r="52" ht="22.5" customHeight="1" s="236">
      <c r="A52" s="243" t="n">
        <v>51</v>
      </c>
      <c r="B52" s="244" t="inlineStr">
        <is>
          <t>Манометр технический</t>
        </is>
      </c>
      <c r="C52" s="245" t="inlineStr">
        <is>
          <t>МП4-УУ2</t>
        </is>
      </c>
      <c r="D52" s="245" t="inlineStr">
        <is>
          <t>7000111</t>
        </is>
      </c>
      <c r="E52" s="245" t="inlineStr">
        <is>
          <t>2018</t>
        </is>
      </c>
      <c r="F52" s="245" t="inlineStr">
        <is>
          <t>0…16 МПа</t>
        </is>
      </c>
      <c r="G52" s="245" t="inlineStr">
        <is>
          <t>1.5</t>
        </is>
      </c>
      <c r="H52" s="243" t="inlineStr">
        <is>
          <t>P г до крана №1</t>
        </is>
      </c>
      <c r="I52" s="245" t="inlineStr">
        <is>
          <t>ГПА 71</t>
        </is>
      </c>
      <c r="J52" s="243" t="inlineStr">
        <is>
          <t>АСУ,А и ТМ (КЦ № 7)</t>
        </is>
      </c>
      <c r="K52" s="243" t="inlineStr">
        <is>
          <t>2020г.</t>
        </is>
      </c>
      <c r="L52" s="243" t="inlineStr">
        <is>
          <t>12</t>
        </is>
      </c>
      <c r="M52" s="246" t="inlineStr">
        <is>
          <t>2К26</t>
        </is>
      </c>
      <c r="N52" s="245" t="inlineStr">
        <is>
          <t>К</t>
        </is>
      </c>
    </row>
    <row r="53" ht="22.5" customHeight="1" s="236">
      <c r="A53" s="243" t="n">
        <v>52</v>
      </c>
      <c r="B53" s="244" t="inlineStr">
        <is>
          <t>Манометр технический</t>
        </is>
      </c>
      <c r="C53" s="245" t="inlineStr">
        <is>
          <t>МП4-УУ2</t>
        </is>
      </c>
      <c r="D53" s="245" t="inlineStr">
        <is>
          <t>7000113</t>
        </is>
      </c>
      <c r="E53" s="245" t="inlineStr">
        <is>
          <t>2018</t>
        </is>
      </c>
      <c r="F53" s="245" t="inlineStr">
        <is>
          <t>0…16 МПа</t>
        </is>
      </c>
      <c r="G53" s="245" t="inlineStr">
        <is>
          <t>1.5</t>
        </is>
      </c>
      <c r="H53" s="243" t="inlineStr">
        <is>
          <t>P г после крана №1</t>
        </is>
      </c>
      <c r="I53" s="245" t="inlineStr">
        <is>
          <t>ГПА 71</t>
        </is>
      </c>
      <c r="J53" s="243" t="inlineStr">
        <is>
          <t>АСУ,А и ТМ (КЦ № 7)</t>
        </is>
      </c>
      <c r="K53" s="243" t="inlineStr">
        <is>
          <t>2020г.</t>
        </is>
      </c>
      <c r="L53" s="243" t="inlineStr">
        <is>
          <t>12</t>
        </is>
      </c>
      <c r="M53" s="246" t="inlineStr">
        <is>
          <t>2К26</t>
        </is>
      </c>
      <c r="N53" s="245" t="inlineStr">
        <is>
          <t>К</t>
        </is>
      </c>
    </row>
    <row r="54" ht="22.5" customHeight="1" s="236">
      <c r="A54" s="243" t="n">
        <v>53</v>
      </c>
      <c r="B54" s="244" t="inlineStr">
        <is>
          <t>Манометр технический</t>
        </is>
      </c>
      <c r="C54" s="245" t="inlineStr">
        <is>
          <t>МП4-УУ2</t>
        </is>
      </c>
      <c r="D54" s="245" t="inlineStr">
        <is>
          <t>7000127</t>
        </is>
      </c>
      <c r="E54" s="245" t="inlineStr">
        <is>
          <t>2018</t>
        </is>
      </c>
      <c r="F54" s="245" t="inlineStr">
        <is>
          <t>0…16 МПа</t>
        </is>
      </c>
      <c r="G54" s="245" t="inlineStr">
        <is>
          <t>1.5</t>
        </is>
      </c>
      <c r="H54" s="243" t="inlineStr">
        <is>
          <t>P г на входе в АВОГ</t>
        </is>
      </c>
      <c r="I54" s="245" t="inlineStr">
        <is>
          <t>ГПА 71</t>
        </is>
      </c>
      <c r="J54" s="243" t="inlineStr">
        <is>
          <t>АСУ,А и ТМ (КЦ № 7)</t>
        </is>
      </c>
      <c r="K54" s="243" t="inlineStr">
        <is>
          <t>2020г.</t>
        </is>
      </c>
      <c r="L54" s="243" t="inlineStr">
        <is>
          <t>12</t>
        </is>
      </c>
      <c r="M54" s="246" t="inlineStr">
        <is>
          <t>2К26</t>
        </is>
      </c>
      <c r="N54" s="245" t="inlineStr">
        <is>
          <t>К</t>
        </is>
      </c>
    </row>
    <row r="55" ht="22.5" customHeight="1" s="236">
      <c r="A55" s="243" t="n">
        <v>54</v>
      </c>
      <c r="B55" s="244" t="inlineStr">
        <is>
          <t>Манометр технический</t>
        </is>
      </c>
      <c r="C55" s="245" t="inlineStr">
        <is>
          <t>МП4-УУ2</t>
        </is>
      </c>
      <c r="D55" s="245" t="inlineStr">
        <is>
          <t>7000304</t>
        </is>
      </c>
      <c r="E55" s="245" t="inlineStr">
        <is>
          <t>2018</t>
        </is>
      </c>
      <c r="F55" s="245" t="inlineStr">
        <is>
          <t>0…16 МПа</t>
        </is>
      </c>
      <c r="G55" s="245" t="inlineStr">
        <is>
          <t>1</t>
        </is>
      </c>
      <c r="H55" s="243" t="inlineStr">
        <is>
          <t>P г на выходе из АВОГ</t>
        </is>
      </c>
      <c r="I55" s="245" t="inlineStr">
        <is>
          <t>ГПА 71</t>
        </is>
      </c>
      <c r="J55" s="243" t="inlineStr">
        <is>
          <t>АСУ,А и ТМ (КЦ № 7)</t>
        </is>
      </c>
      <c r="K55" s="243" t="inlineStr">
        <is>
          <t>2020г.</t>
        </is>
      </c>
      <c r="L55" s="243" t="inlineStr">
        <is>
          <t>12</t>
        </is>
      </c>
      <c r="M55" s="246" t="inlineStr">
        <is>
          <t>2К26</t>
        </is>
      </c>
      <c r="N55" s="245" t="inlineStr">
        <is>
          <t>К</t>
        </is>
      </c>
    </row>
    <row r="56" ht="22.5" customHeight="1" s="236">
      <c r="A56" s="243" t="n">
        <v>55</v>
      </c>
      <c r="B56" s="244" t="inlineStr">
        <is>
          <t>Манометр технический</t>
        </is>
      </c>
      <c r="C56" s="245" t="inlineStr">
        <is>
          <t>МП4-УУ2</t>
        </is>
      </c>
      <c r="D56" s="245" t="inlineStr">
        <is>
          <t>7000107</t>
        </is>
      </c>
      <c r="E56" s="245" t="inlineStr">
        <is>
          <t>2018</t>
        </is>
      </c>
      <c r="F56" s="245" t="inlineStr">
        <is>
          <t>0…16 МПа</t>
        </is>
      </c>
      <c r="G56" s="245" t="inlineStr">
        <is>
          <t>1.5</t>
        </is>
      </c>
      <c r="H56" s="243" t="inlineStr">
        <is>
          <t>P г перед краном №2</t>
        </is>
      </c>
      <c r="I56" s="245" t="inlineStr">
        <is>
          <t>ГПА 71</t>
        </is>
      </c>
      <c r="J56" s="243" t="inlineStr">
        <is>
          <t>АСУ,А и ТМ (КЦ № 7)</t>
        </is>
      </c>
      <c r="K56" s="243" t="inlineStr">
        <is>
          <t>2020г.</t>
        </is>
      </c>
      <c r="L56" s="243" t="inlineStr">
        <is>
          <t>12</t>
        </is>
      </c>
      <c r="M56" s="246" t="inlineStr">
        <is>
          <t>2К26</t>
        </is>
      </c>
      <c r="N56" s="245" t="inlineStr">
        <is>
          <t>К</t>
        </is>
      </c>
    </row>
    <row r="57" ht="22.5" customHeight="1" s="236">
      <c r="A57" s="243" t="n">
        <v>56</v>
      </c>
      <c r="B57" s="244" t="inlineStr">
        <is>
          <t>Манометр технический</t>
        </is>
      </c>
      <c r="C57" s="245" t="inlineStr">
        <is>
          <t>МП4-УУ2</t>
        </is>
      </c>
      <c r="D57" s="245" t="inlineStr">
        <is>
          <t>7000101</t>
        </is>
      </c>
      <c r="E57" s="245" t="inlineStr">
        <is>
          <t>2018</t>
        </is>
      </c>
      <c r="F57" s="245" t="inlineStr">
        <is>
          <t>0…16 МПа</t>
        </is>
      </c>
      <c r="G57" s="245" t="inlineStr">
        <is>
          <t>1.5</t>
        </is>
      </c>
      <c r="H57" s="243" t="inlineStr">
        <is>
          <t>P г после крана №2</t>
        </is>
      </c>
      <c r="I57" s="245" t="inlineStr">
        <is>
          <t>ГПА 71</t>
        </is>
      </c>
      <c r="J57" s="243" t="inlineStr">
        <is>
          <t>АСУ,А и ТМ (КЦ № 7)</t>
        </is>
      </c>
      <c r="K57" s="243" t="inlineStr">
        <is>
          <t>2020г.</t>
        </is>
      </c>
      <c r="L57" s="243" t="inlineStr">
        <is>
          <t>12</t>
        </is>
      </c>
      <c r="M57" s="246" t="inlineStr">
        <is>
          <t>2К26</t>
        </is>
      </c>
      <c r="N57" s="245" t="inlineStr">
        <is>
          <t>К</t>
        </is>
      </c>
    </row>
    <row r="58" ht="22.5" customHeight="1" s="236">
      <c r="A58" s="243" t="n">
        <v>57</v>
      </c>
      <c r="B58" s="244" t="inlineStr">
        <is>
          <t>Манометр технический</t>
        </is>
      </c>
      <c r="C58" s="245" t="inlineStr">
        <is>
          <t>МП3-УУ2</t>
        </is>
      </c>
      <c r="D58" s="245" t="inlineStr">
        <is>
          <t>212027990</t>
        </is>
      </c>
      <c r="E58" s="245" t="inlineStr">
        <is>
          <t>2018</t>
        </is>
      </c>
      <c r="F58" s="245" t="inlineStr">
        <is>
          <t>0…16 МПа</t>
        </is>
      </c>
      <c r="G58" s="245" t="inlineStr">
        <is>
          <t>1</t>
        </is>
      </c>
      <c r="H58" s="243" t="inlineStr">
        <is>
          <t>P г на входе установки</t>
        </is>
      </c>
      <c r="I58" s="245" t="inlineStr">
        <is>
          <t>АВОГ 71</t>
        </is>
      </c>
      <c r="J58" s="243" t="inlineStr">
        <is>
          <t>АСУ,А и ТМ (КЦ № 7)</t>
        </is>
      </c>
      <c r="K58" s="243" t="inlineStr">
        <is>
          <t>2020г.</t>
        </is>
      </c>
      <c r="L58" s="243" t="inlineStr">
        <is>
          <t>12</t>
        </is>
      </c>
      <c r="M58" s="246" t="inlineStr">
        <is>
          <t>2К26</t>
        </is>
      </c>
      <c r="N58" s="245" t="inlineStr">
        <is>
          <t>К</t>
        </is>
      </c>
    </row>
    <row r="59" ht="22.5" customHeight="1" s="236">
      <c r="A59" s="243" t="n">
        <v>58</v>
      </c>
      <c r="B59" s="244" t="inlineStr">
        <is>
          <t>Манометр технический</t>
        </is>
      </c>
      <c r="C59" s="245" t="inlineStr">
        <is>
          <t>МП3-УУ2</t>
        </is>
      </c>
      <c r="D59" s="245" t="inlineStr">
        <is>
          <t>212027926</t>
        </is>
      </c>
      <c r="E59" s="245" t="inlineStr">
        <is>
          <t>2018</t>
        </is>
      </c>
      <c r="F59" s="245" t="inlineStr">
        <is>
          <t>0…16 МПа</t>
        </is>
      </c>
      <c r="G59" s="245" t="inlineStr">
        <is>
          <t>1</t>
        </is>
      </c>
      <c r="H59" s="243" t="inlineStr">
        <is>
          <t>P г на входе установки</t>
        </is>
      </c>
      <c r="I59" s="245" t="inlineStr">
        <is>
          <t>АВОГ 71</t>
        </is>
      </c>
      <c r="J59" s="243" t="inlineStr">
        <is>
          <t>АСУ,А и ТМ (КЦ № 7)</t>
        </is>
      </c>
      <c r="K59" s="243" t="inlineStr">
        <is>
          <t>2020г.</t>
        </is>
      </c>
      <c r="L59" s="243" t="inlineStr">
        <is>
          <t>12</t>
        </is>
      </c>
      <c r="M59" s="246" t="inlineStr">
        <is>
          <t>2К26</t>
        </is>
      </c>
      <c r="N59" s="245" t="inlineStr">
        <is>
          <t>К</t>
        </is>
      </c>
    </row>
    <row r="60" ht="22.5" customHeight="1" s="236">
      <c r="A60" s="243" t="n">
        <v>59</v>
      </c>
      <c r="B60" s="244" t="inlineStr">
        <is>
          <t>Манометр технический</t>
        </is>
      </c>
      <c r="C60" s="245" t="inlineStr">
        <is>
          <t>МП3-УУ2</t>
        </is>
      </c>
      <c r="D60" s="245" t="inlineStr">
        <is>
          <t>212027275</t>
        </is>
      </c>
      <c r="E60" s="245" t="inlineStr">
        <is>
          <t>2018</t>
        </is>
      </c>
      <c r="F60" s="245" t="inlineStr">
        <is>
          <t>0…16 МПа</t>
        </is>
      </c>
      <c r="G60" s="245" t="inlineStr">
        <is>
          <t>1</t>
        </is>
      </c>
      <c r="H60" s="243" t="inlineStr">
        <is>
          <t>P г на входе установки</t>
        </is>
      </c>
      <c r="I60" s="245" t="inlineStr">
        <is>
          <t>АВОГ 71</t>
        </is>
      </c>
      <c r="J60" s="243" t="inlineStr">
        <is>
          <t>АСУ,А и ТМ (КЦ № 7)</t>
        </is>
      </c>
      <c r="K60" s="243" t="inlineStr">
        <is>
          <t>2020г.</t>
        </is>
      </c>
      <c r="L60" s="243" t="inlineStr">
        <is>
          <t>12</t>
        </is>
      </c>
      <c r="M60" s="246" t="inlineStr">
        <is>
          <t>2К26</t>
        </is>
      </c>
      <c r="N60" s="245" t="inlineStr">
        <is>
          <t>К</t>
        </is>
      </c>
    </row>
    <row r="61" ht="22.5" customHeight="1" s="236">
      <c r="A61" s="243" t="n">
        <v>60</v>
      </c>
      <c r="B61" s="244" t="inlineStr">
        <is>
          <t>Манометр технический</t>
        </is>
      </c>
      <c r="C61" s="245" t="inlineStr">
        <is>
          <t>МП3-УУ2</t>
        </is>
      </c>
      <c r="D61" s="245" t="inlineStr">
        <is>
          <t>212028009</t>
        </is>
      </c>
      <c r="E61" s="245" t="inlineStr">
        <is>
          <t>2018</t>
        </is>
      </c>
      <c r="F61" s="245" t="inlineStr">
        <is>
          <t>0…16 МПа</t>
        </is>
      </c>
      <c r="G61" s="245" t="inlineStr">
        <is>
          <t>1</t>
        </is>
      </c>
      <c r="H61" s="243" t="inlineStr">
        <is>
          <t>P г на входе установки</t>
        </is>
      </c>
      <c r="I61" s="245" t="inlineStr">
        <is>
          <t>АВОГ 71</t>
        </is>
      </c>
      <c r="J61" s="243" t="inlineStr">
        <is>
          <t>АСУ,А и ТМ (КЦ № 7)</t>
        </is>
      </c>
      <c r="K61" s="243" t="inlineStr">
        <is>
          <t>2020г.</t>
        </is>
      </c>
      <c r="L61" s="243" t="inlineStr">
        <is>
          <t>12</t>
        </is>
      </c>
      <c r="M61" s="246" t="inlineStr">
        <is>
          <t>2К26</t>
        </is>
      </c>
      <c r="N61" s="245" t="inlineStr">
        <is>
          <t>К</t>
        </is>
      </c>
    </row>
    <row r="62" ht="22.5" customHeight="1" s="236">
      <c r="A62" s="243" t="n">
        <v>61</v>
      </c>
      <c r="B62" s="244" t="inlineStr">
        <is>
          <t>Манометр технический</t>
        </is>
      </c>
      <c r="C62" s="245" t="inlineStr">
        <is>
          <t>МП3-УУ2</t>
        </is>
      </c>
      <c r="D62" s="245" t="inlineStr">
        <is>
          <t>212027928</t>
        </is>
      </c>
      <c r="E62" s="245" t="inlineStr">
        <is>
          <t>2018</t>
        </is>
      </c>
      <c r="F62" s="245" t="inlineStr">
        <is>
          <t>0…16 МПа</t>
        </is>
      </c>
      <c r="G62" s="245" t="inlineStr">
        <is>
          <t>1</t>
        </is>
      </c>
      <c r="H62" s="243" t="inlineStr">
        <is>
          <t>P г на входе установки</t>
        </is>
      </c>
      <c r="I62" s="245" t="inlineStr">
        <is>
          <t>АВОГ 71</t>
        </is>
      </c>
      <c r="J62" s="243" t="inlineStr">
        <is>
          <t>АСУ,А и ТМ (КЦ № 7)</t>
        </is>
      </c>
      <c r="K62" s="243" t="inlineStr">
        <is>
          <t>2020г.</t>
        </is>
      </c>
      <c r="L62" s="243" t="inlineStr">
        <is>
          <t>12</t>
        </is>
      </c>
      <c r="M62" s="246" t="inlineStr">
        <is>
          <t>2К26</t>
        </is>
      </c>
      <c r="N62" s="245" t="inlineStr">
        <is>
          <t>К</t>
        </is>
      </c>
    </row>
    <row r="63" ht="22.5" customHeight="1" s="236">
      <c r="A63" s="243" t="n">
        <v>62</v>
      </c>
      <c r="B63" s="244" t="inlineStr">
        <is>
          <t>Манометр технический</t>
        </is>
      </c>
      <c r="C63" s="245" t="inlineStr">
        <is>
          <t>МП3-УУ2</t>
        </is>
      </c>
      <c r="D63" s="245" t="inlineStr">
        <is>
          <t>212028008</t>
        </is>
      </c>
      <c r="E63" s="245" t="inlineStr">
        <is>
          <t>2018</t>
        </is>
      </c>
      <c r="F63" s="245" t="inlineStr">
        <is>
          <t>0…16 МПа</t>
        </is>
      </c>
      <c r="G63" s="245" t="inlineStr">
        <is>
          <t>1</t>
        </is>
      </c>
      <c r="H63" s="243" t="inlineStr">
        <is>
          <t>P г на входе установки</t>
        </is>
      </c>
      <c r="I63" s="245" t="inlineStr">
        <is>
          <t>АВОГ 71</t>
        </is>
      </c>
      <c r="J63" s="243" t="inlineStr">
        <is>
          <t>АСУ,А и ТМ (КЦ № 7)</t>
        </is>
      </c>
      <c r="K63" s="243" t="inlineStr">
        <is>
          <t>2020г.</t>
        </is>
      </c>
      <c r="L63" s="243" t="inlineStr">
        <is>
          <t>12</t>
        </is>
      </c>
      <c r="M63" s="246" t="inlineStr">
        <is>
          <t>2К26</t>
        </is>
      </c>
      <c r="N63" s="245" t="inlineStr">
        <is>
          <t>К</t>
        </is>
      </c>
    </row>
    <row r="64" ht="22.5" customHeight="1" s="236">
      <c r="A64" s="243" t="n">
        <v>63</v>
      </c>
      <c r="B64" s="244" t="inlineStr">
        <is>
          <t>Манометр технический</t>
        </is>
      </c>
      <c r="C64" s="245" t="inlineStr">
        <is>
          <t>МП3-УУ2</t>
        </is>
      </c>
      <c r="D64" s="245" t="inlineStr">
        <is>
          <t>212027274</t>
        </is>
      </c>
      <c r="E64" s="245" t="inlineStr">
        <is>
          <t>2018</t>
        </is>
      </c>
      <c r="F64" s="245" t="inlineStr">
        <is>
          <t>0…16 МПа</t>
        </is>
      </c>
      <c r="G64" s="245" t="inlineStr">
        <is>
          <t>1</t>
        </is>
      </c>
      <c r="H64" s="243" t="inlineStr">
        <is>
          <t>P г на входе установки</t>
        </is>
      </c>
      <c r="I64" s="245" t="inlineStr">
        <is>
          <t>АВОГ 71</t>
        </is>
      </c>
      <c r="J64" s="243" t="inlineStr">
        <is>
          <t>АСУ,А и ТМ (КЦ № 7)</t>
        </is>
      </c>
      <c r="K64" s="243" t="inlineStr">
        <is>
          <t>2020г.</t>
        </is>
      </c>
      <c r="L64" s="243" t="inlineStr">
        <is>
          <t>12</t>
        </is>
      </c>
      <c r="M64" s="246" t="inlineStr">
        <is>
          <t>2К26</t>
        </is>
      </c>
      <c r="N64" s="245" t="inlineStr">
        <is>
          <t>К</t>
        </is>
      </c>
    </row>
    <row r="65" ht="22.5" customHeight="1" s="236">
      <c r="A65" s="243" t="n">
        <v>64</v>
      </c>
      <c r="B65" s="244" t="inlineStr">
        <is>
          <t>Манометр технический</t>
        </is>
      </c>
      <c r="C65" s="245" t="inlineStr">
        <is>
          <t>МП3-УУ2</t>
        </is>
      </c>
      <c r="D65" s="245" t="inlineStr">
        <is>
          <t>212027270</t>
        </is>
      </c>
      <c r="E65" s="245" t="inlineStr">
        <is>
          <t>2018</t>
        </is>
      </c>
      <c r="F65" s="245" t="inlineStr">
        <is>
          <t>0…16 МПа</t>
        </is>
      </c>
      <c r="G65" s="245" t="inlineStr">
        <is>
          <t>1</t>
        </is>
      </c>
      <c r="H65" s="243" t="inlineStr">
        <is>
          <t>P г на входе установки</t>
        </is>
      </c>
      <c r="I65" s="245" t="inlineStr">
        <is>
          <t>АВОГ 71</t>
        </is>
      </c>
      <c r="J65" s="243" t="inlineStr">
        <is>
          <t>АСУ,А и ТМ (КЦ № 7)</t>
        </is>
      </c>
      <c r="K65" s="243" t="inlineStr">
        <is>
          <t>2020г.</t>
        </is>
      </c>
      <c r="L65" s="243" t="inlineStr">
        <is>
          <t>12</t>
        </is>
      </c>
      <c r="M65" s="246" t="inlineStr">
        <is>
          <t>2К26</t>
        </is>
      </c>
      <c r="N65" s="245" t="inlineStr">
        <is>
          <t>К</t>
        </is>
      </c>
    </row>
    <row r="66" ht="22.5" customHeight="1" s="236">
      <c r="A66" s="243" t="n">
        <v>65</v>
      </c>
      <c r="B66" s="244" t="inlineStr">
        <is>
          <t>Манометр технический</t>
        </is>
      </c>
      <c r="C66" s="245" t="inlineStr">
        <is>
          <t>МП4-УУ2</t>
        </is>
      </c>
      <c r="D66" s="245" t="inlineStr">
        <is>
          <t>7000109</t>
        </is>
      </c>
      <c r="E66" s="245" t="inlineStr">
        <is>
          <t>2018</t>
        </is>
      </c>
      <c r="F66" s="245" t="inlineStr">
        <is>
          <t>0…16 МПа</t>
        </is>
      </c>
      <c r="G66" s="245" t="inlineStr">
        <is>
          <t>1.5</t>
        </is>
      </c>
      <c r="H66" s="243" t="inlineStr">
        <is>
          <t>P имп г крана 6к</t>
        </is>
      </c>
      <c r="I66" s="245" t="inlineStr">
        <is>
          <t>ГПА 71</t>
        </is>
      </c>
      <c r="J66" s="243" t="inlineStr">
        <is>
          <t>АСУ,А и ТМ (КЦ № 7)</t>
        </is>
      </c>
      <c r="K66" s="243" t="inlineStr">
        <is>
          <t>2020г.</t>
        </is>
      </c>
      <c r="L66" s="243" t="inlineStr">
        <is>
          <t>12</t>
        </is>
      </c>
      <c r="M66" s="246" t="inlineStr">
        <is>
          <t>2К26</t>
        </is>
      </c>
      <c r="N66" s="245" t="inlineStr">
        <is>
          <t>К</t>
        </is>
      </c>
    </row>
    <row r="67" ht="22.5" customHeight="1" s="236">
      <c r="A67" s="243" t="n">
        <v>66</v>
      </c>
      <c r="B67" s="249" t="inlineStr">
        <is>
          <t>Термометр биметаллический</t>
        </is>
      </c>
      <c r="C67" s="245" t="inlineStr">
        <is>
          <t>ТБ-2р ухл2</t>
        </is>
      </c>
      <c r="D67" s="245" t="inlineStr">
        <is>
          <t>7328</t>
        </is>
      </c>
      <c r="E67" s="245" t="inlineStr">
        <is>
          <t>2018</t>
        </is>
      </c>
      <c r="F67" s="245" t="inlineStr">
        <is>
          <t>0…100 °С</t>
        </is>
      </c>
      <c r="G67" s="245" t="inlineStr">
        <is>
          <t>1.5</t>
        </is>
      </c>
      <c r="H67" s="243" t="inlineStr">
        <is>
          <t>T в до фильтра</t>
        </is>
      </c>
      <c r="I67" s="245" t="inlineStr">
        <is>
          <t>ГПА 71</t>
        </is>
      </c>
      <c r="J67" s="243" t="inlineStr">
        <is>
          <t>АСУ,А и ТМ (КЦ № 7)</t>
        </is>
      </c>
      <c r="K67" s="243" t="inlineStr">
        <is>
          <t>2020г.</t>
        </is>
      </c>
      <c r="L67" s="243" t="inlineStr">
        <is>
          <t>24</t>
        </is>
      </c>
      <c r="M67" s="246" t="inlineStr">
        <is>
          <t>2К26</t>
        </is>
      </c>
      <c r="N67" s="245" t="inlineStr">
        <is>
          <t>К</t>
        </is>
      </c>
    </row>
    <row r="68" ht="22.5" customHeight="1" s="236">
      <c r="A68" s="243" t="n">
        <v>67</v>
      </c>
      <c r="B68" s="249" t="inlineStr">
        <is>
          <t>Термометр биметаллический</t>
        </is>
      </c>
      <c r="C68" s="245" t="inlineStr">
        <is>
          <t>ТБ-2</t>
        </is>
      </c>
      <c r="D68" s="245" t="inlineStr">
        <is>
          <t>8563</t>
        </is>
      </c>
      <c r="E68" s="245" t="inlineStr">
        <is>
          <t>2018</t>
        </is>
      </c>
      <c r="F68" s="245" t="inlineStr">
        <is>
          <t>-50…100 °С</t>
        </is>
      </c>
      <c r="G68" s="245" t="inlineStr">
        <is>
          <t>1</t>
        </is>
      </c>
      <c r="H68" s="243" t="inlineStr">
        <is>
          <t>T г на выходе установки</t>
        </is>
      </c>
      <c r="I68" s="245" t="inlineStr">
        <is>
          <t>АВОГ 71</t>
        </is>
      </c>
      <c r="J68" s="243" t="inlineStr">
        <is>
          <t>АСУ,А и ТМ (КЦ № 7)</t>
        </is>
      </c>
      <c r="K68" s="243" t="inlineStr">
        <is>
          <t>2020г.</t>
        </is>
      </c>
      <c r="L68" s="243" t="inlineStr">
        <is>
          <t>24</t>
        </is>
      </c>
      <c r="M68" s="246" t="inlineStr">
        <is>
          <t>2к26</t>
        </is>
      </c>
      <c r="N68" s="245" t="inlineStr">
        <is>
          <t>К</t>
        </is>
      </c>
      <c r="O68" s="341" t="n"/>
    </row>
    <row r="69" ht="22.5" customHeight="1" s="236">
      <c r="A69" s="243" t="n">
        <v>68</v>
      </c>
      <c r="B69" s="249" t="inlineStr">
        <is>
          <t>Термометр биметаллический</t>
        </is>
      </c>
      <c r="C69" s="245" t="inlineStr">
        <is>
          <t>ТБ-2</t>
        </is>
      </c>
      <c r="D69" s="245" t="inlineStr">
        <is>
          <t>8571</t>
        </is>
      </c>
      <c r="E69" s="245" t="inlineStr">
        <is>
          <t>2018</t>
        </is>
      </c>
      <c r="F69" s="245" t="inlineStr">
        <is>
          <t>-50…100 °С</t>
        </is>
      </c>
      <c r="G69" s="245" t="inlineStr">
        <is>
          <t>1</t>
        </is>
      </c>
      <c r="H69" s="243" t="inlineStr">
        <is>
          <t>T г на выходе установки</t>
        </is>
      </c>
      <c r="I69" s="245" t="inlineStr">
        <is>
          <t>АВОГ 71</t>
        </is>
      </c>
      <c r="J69" s="243" t="inlineStr">
        <is>
          <t>АСУ,А и ТМ (КЦ № 7)</t>
        </is>
      </c>
      <c r="K69" s="243" t="inlineStr">
        <is>
          <t>2020г.</t>
        </is>
      </c>
      <c r="L69" s="243" t="inlineStr">
        <is>
          <t>24</t>
        </is>
      </c>
      <c r="M69" s="246" t="inlineStr">
        <is>
          <t>2к26</t>
        </is>
      </c>
      <c r="N69" s="245" t="inlineStr">
        <is>
          <t>К</t>
        </is>
      </c>
      <c r="O69" s="341" t="n"/>
    </row>
    <row r="70" ht="22.5" customHeight="1" s="236">
      <c r="A70" s="243" t="n">
        <v>69</v>
      </c>
      <c r="B70" s="249" t="inlineStr">
        <is>
          <t>Термометр биметаллический</t>
        </is>
      </c>
      <c r="C70" s="245" t="inlineStr">
        <is>
          <t>ТБ-2</t>
        </is>
      </c>
      <c r="D70" s="245" t="inlineStr">
        <is>
          <t>8536</t>
        </is>
      </c>
      <c r="E70" s="245" t="inlineStr">
        <is>
          <t>2018</t>
        </is>
      </c>
      <c r="F70" s="245" t="inlineStr">
        <is>
          <t>-50…100 °С</t>
        </is>
      </c>
      <c r="G70" s="245" t="inlineStr">
        <is>
          <t>1</t>
        </is>
      </c>
      <c r="H70" s="243" t="inlineStr">
        <is>
          <t>T г на выходе установки</t>
        </is>
      </c>
      <c r="I70" s="245" t="inlineStr">
        <is>
          <t>АВОГ 71</t>
        </is>
      </c>
      <c r="J70" s="243" t="inlineStr">
        <is>
          <t>АСУ,А и ТМ (КЦ № 7)</t>
        </is>
      </c>
      <c r="K70" s="243" t="inlineStr">
        <is>
          <t>2020г.</t>
        </is>
      </c>
      <c r="L70" s="243" t="inlineStr">
        <is>
          <t>24</t>
        </is>
      </c>
      <c r="M70" s="246" t="inlineStr">
        <is>
          <t>2к26</t>
        </is>
      </c>
      <c r="N70" s="245" t="inlineStr">
        <is>
          <t>К</t>
        </is>
      </c>
      <c r="O70" s="341" t="n"/>
    </row>
    <row r="71" ht="22.5" customHeight="1" s="236">
      <c r="A71" s="243" t="n">
        <v>70</v>
      </c>
      <c r="B71" s="249" t="inlineStr">
        <is>
          <t>Термометр биметаллический</t>
        </is>
      </c>
      <c r="C71" s="245" t="inlineStr">
        <is>
          <t>ТБ-2</t>
        </is>
      </c>
      <c r="D71" s="245" t="inlineStr">
        <is>
          <t>8532</t>
        </is>
      </c>
      <c r="E71" s="245" t="inlineStr">
        <is>
          <t>2018</t>
        </is>
      </c>
      <c r="F71" s="245" t="inlineStr">
        <is>
          <t>-50…100 °С</t>
        </is>
      </c>
      <c r="G71" s="245" t="inlineStr">
        <is>
          <t>1</t>
        </is>
      </c>
      <c r="H71" s="243" t="inlineStr">
        <is>
          <t>T г на выходе установки</t>
        </is>
      </c>
      <c r="I71" s="245" t="inlineStr">
        <is>
          <t>АВОГ 71</t>
        </is>
      </c>
      <c r="J71" s="243" t="inlineStr">
        <is>
          <t>АСУ,А и ТМ (КЦ № 7)</t>
        </is>
      </c>
      <c r="K71" s="243" t="inlineStr">
        <is>
          <t>2020г.</t>
        </is>
      </c>
      <c r="L71" s="243" t="inlineStr">
        <is>
          <t>24</t>
        </is>
      </c>
      <c r="M71" s="246" t="inlineStr">
        <is>
          <t>2к26</t>
        </is>
      </c>
      <c r="N71" s="245" t="inlineStr">
        <is>
          <t>К</t>
        </is>
      </c>
      <c r="O71" s="341" t="n"/>
    </row>
    <row r="72" ht="22.5" customHeight="1" s="236">
      <c r="A72" s="243" t="n">
        <v>71</v>
      </c>
      <c r="B72" s="249" t="inlineStr">
        <is>
          <t>Термометр биметаллический</t>
        </is>
      </c>
      <c r="C72" s="245" t="inlineStr">
        <is>
          <t>ТБ-2</t>
        </is>
      </c>
      <c r="D72" s="245" t="inlineStr">
        <is>
          <t>8560</t>
        </is>
      </c>
      <c r="E72" s="245" t="inlineStr">
        <is>
          <t>2018</t>
        </is>
      </c>
      <c r="F72" s="245" t="inlineStr">
        <is>
          <t>-50…100 °С</t>
        </is>
      </c>
      <c r="G72" s="245" t="inlineStr">
        <is>
          <t>1</t>
        </is>
      </c>
      <c r="H72" s="243" t="inlineStr">
        <is>
          <t>T г на выходе установки</t>
        </is>
      </c>
      <c r="I72" s="245" t="inlineStr">
        <is>
          <t>АВОГ 71</t>
        </is>
      </c>
      <c r="J72" s="243" t="inlineStr">
        <is>
          <t>АСУ,А и ТМ (КЦ № 7)</t>
        </is>
      </c>
      <c r="K72" s="243" t="inlineStr">
        <is>
          <t>2020г.</t>
        </is>
      </c>
      <c r="L72" s="243" t="inlineStr">
        <is>
          <t>24</t>
        </is>
      </c>
      <c r="M72" s="246" t="inlineStr">
        <is>
          <t>2к26</t>
        </is>
      </c>
      <c r="N72" s="245" t="inlineStr">
        <is>
          <t>К</t>
        </is>
      </c>
      <c r="O72" s="341" t="n"/>
    </row>
    <row r="73" ht="22.5" customHeight="1" s="236">
      <c r="A73" s="243" t="n">
        <v>72</v>
      </c>
      <c r="B73" s="249" t="inlineStr">
        <is>
          <t>Термометр биметаллический</t>
        </is>
      </c>
      <c r="C73" s="245" t="inlineStr">
        <is>
          <t>ТБ-2</t>
        </is>
      </c>
      <c r="D73" s="245" t="inlineStr">
        <is>
          <t>8568</t>
        </is>
      </c>
      <c r="E73" s="245" t="inlineStr">
        <is>
          <t>2018</t>
        </is>
      </c>
      <c r="F73" s="245" t="inlineStr">
        <is>
          <t>-50…100 °С</t>
        </is>
      </c>
      <c r="G73" s="245" t="inlineStr">
        <is>
          <t>1</t>
        </is>
      </c>
      <c r="H73" s="243" t="inlineStr">
        <is>
          <t>T г на выходе установки</t>
        </is>
      </c>
      <c r="I73" s="245" t="inlineStr">
        <is>
          <t>АВОГ 71</t>
        </is>
      </c>
      <c r="J73" s="243" t="inlineStr">
        <is>
          <t>АСУ,А и ТМ (КЦ № 7)</t>
        </is>
      </c>
      <c r="K73" s="243" t="inlineStr">
        <is>
          <t>2020г.</t>
        </is>
      </c>
      <c r="L73" s="243" t="inlineStr">
        <is>
          <t>24</t>
        </is>
      </c>
      <c r="M73" s="246" t="inlineStr">
        <is>
          <t>2к26</t>
        </is>
      </c>
      <c r="N73" s="245" t="inlineStr">
        <is>
          <t>К</t>
        </is>
      </c>
      <c r="O73" s="341" t="n"/>
    </row>
    <row r="74" ht="22.5" customHeight="1" s="236">
      <c r="A74" s="243" t="n">
        <v>73</v>
      </c>
      <c r="B74" s="249" t="inlineStr">
        <is>
          <t>Термометр биметаллический</t>
        </is>
      </c>
      <c r="C74" s="245" t="inlineStr">
        <is>
          <t>ТБ-2</t>
        </is>
      </c>
      <c r="D74" s="245" t="inlineStr">
        <is>
          <t>8564</t>
        </is>
      </c>
      <c r="E74" s="245" t="inlineStr">
        <is>
          <t>2018</t>
        </is>
      </c>
      <c r="F74" s="245" t="inlineStr">
        <is>
          <t>-50…100 °С</t>
        </is>
      </c>
      <c r="G74" s="245" t="inlineStr">
        <is>
          <t>1</t>
        </is>
      </c>
      <c r="H74" s="243" t="inlineStr">
        <is>
          <t>T г на выходе установки</t>
        </is>
      </c>
      <c r="I74" s="245" t="inlineStr">
        <is>
          <t>АВОГ 71</t>
        </is>
      </c>
      <c r="J74" s="243" t="inlineStr">
        <is>
          <t>АСУ,А и ТМ (КЦ № 7)</t>
        </is>
      </c>
      <c r="K74" s="243" t="inlineStr">
        <is>
          <t>2020г.</t>
        </is>
      </c>
      <c r="L74" s="243" t="inlineStr">
        <is>
          <t>24</t>
        </is>
      </c>
      <c r="M74" s="246" t="inlineStr">
        <is>
          <t>2к26</t>
        </is>
      </c>
      <c r="N74" s="245" t="inlineStr">
        <is>
          <t>К</t>
        </is>
      </c>
      <c r="O74" s="341" t="n"/>
    </row>
    <row r="75" ht="22.5" customHeight="1" s="236">
      <c r="A75" s="243" t="n">
        <v>74</v>
      </c>
      <c r="B75" s="249" t="inlineStr">
        <is>
          <t>Термометр биметаллический</t>
        </is>
      </c>
      <c r="C75" s="245" t="inlineStr">
        <is>
          <t>ТБ-2</t>
        </is>
      </c>
      <c r="D75" s="245" t="inlineStr">
        <is>
          <t>8566</t>
        </is>
      </c>
      <c r="E75" s="245" t="inlineStr">
        <is>
          <t>2018</t>
        </is>
      </c>
      <c r="F75" s="245" t="inlineStr">
        <is>
          <t>-50…100 °С</t>
        </is>
      </c>
      <c r="G75" s="245" t="inlineStr">
        <is>
          <t>1</t>
        </is>
      </c>
      <c r="H75" s="243" t="inlineStr">
        <is>
          <t>T г на выходе установки</t>
        </is>
      </c>
      <c r="I75" s="245" t="inlineStr">
        <is>
          <t>АВОГ 71</t>
        </is>
      </c>
      <c r="J75" s="243" t="inlineStr">
        <is>
          <t>АСУ,А и ТМ (КЦ № 7)</t>
        </is>
      </c>
      <c r="K75" s="243" t="inlineStr">
        <is>
          <t>2020г.</t>
        </is>
      </c>
      <c r="L75" s="243" t="inlineStr">
        <is>
          <t>24</t>
        </is>
      </c>
      <c r="M75" s="246" t="inlineStr">
        <is>
          <t>2к26</t>
        </is>
      </c>
      <c r="N75" s="245" t="inlineStr">
        <is>
          <t>К</t>
        </is>
      </c>
      <c r="O75" s="341" t="n"/>
    </row>
    <row r="76" ht="22.5" customHeight="1" s="236">
      <c r="A76" s="243" t="n">
        <v>75</v>
      </c>
      <c r="B76" s="249" t="inlineStr">
        <is>
          <t>Расходомер</t>
        </is>
      </c>
      <c r="C76" s="245" t="inlineStr">
        <is>
          <t>Yokogawa D-79664</t>
        </is>
      </c>
      <c r="D76" s="245" t="inlineStr">
        <is>
          <t>D1U302281</t>
        </is>
      </c>
      <c r="E76" s="245" t="inlineStr">
        <is>
          <t>2018</t>
        </is>
      </c>
      <c r="F76" s="245" t="inlineStr">
        <is>
          <t>1200 м3/ч</t>
        </is>
      </c>
      <c r="G76" s="245" t="inlineStr"/>
      <c r="H76" s="243" t="inlineStr">
        <is>
          <t>Qбг на входе в ГДУ ПКВ</t>
        </is>
      </c>
      <c r="I76" s="245" t="inlineStr">
        <is>
          <t>ГПА 71</t>
        </is>
      </c>
      <c r="J76" s="243" t="inlineStr">
        <is>
          <t>АСУ,А и ТМ (КЦ № 7)</t>
        </is>
      </c>
      <c r="K76" s="243" t="inlineStr"/>
      <c r="L76" s="243" t="inlineStr">
        <is>
          <t>60</t>
        </is>
      </c>
      <c r="M76" s="246" t="inlineStr"/>
      <c r="N76" s="245" t="inlineStr"/>
    </row>
    <row r="77" ht="22.5" customHeight="1" s="236">
      <c r="A77" s="243" t="n">
        <v>76</v>
      </c>
      <c r="B77" s="249" t="inlineStr">
        <is>
          <t>Расходомер</t>
        </is>
      </c>
      <c r="C77" s="245" t="inlineStr">
        <is>
          <t>Yokogawa D-79664</t>
        </is>
      </c>
      <c r="D77" s="245" t="inlineStr">
        <is>
          <t>D1U302286</t>
        </is>
      </c>
      <c r="E77" s="245" t="inlineStr">
        <is>
          <t>2018</t>
        </is>
      </c>
      <c r="F77" s="245" t="inlineStr">
        <is>
          <t>1200 м3/ч</t>
        </is>
      </c>
      <c r="G77" s="245" t="inlineStr"/>
      <c r="H77" s="243" t="inlineStr">
        <is>
          <t>Qбг на входе в ГДУ ЗКВ</t>
        </is>
      </c>
      <c r="I77" s="245" t="inlineStr">
        <is>
          <t>ГПА 71</t>
        </is>
      </c>
      <c r="J77" s="243" t="inlineStr">
        <is>
          <t>АСУ,А и ТМ (КЦ № 7)</t>
        </is>
      </c>
      <c r="K77" s="243" t="inlineStr"/>
      <c r="L77" s="243" t="inlineStr">
        <is>
          <t>60</t>
        </is>
      </c>
      <c r="M77" s="246" t="inlineStr"/>
      <c r="N77" s="245" t="inlineStr"/>
    </row>
    <row r="78" ht="22.5" customHeight="1" s="236">
      <c r="A78" s="243" t="n">
        <v>77</v>
      </c>
      <c r="B78" s="249" t="inlineStr">
        <is>
          <t>Расходомер</t>
        </is>
      </c>
      <c r="C78" s="245" t="inlineStr">
        <is>
          <t>Yokogawa D-79664</t>
        </is>
      </c>
      <c r="D78" s="245" t="inlineStr">
        <is>
          <t>D1U42350</t>
        </is>
      </c>
      <c r="E78" s="245" t="inlineStr">
        <is>
          <t>2018</t>
        </is>
      </c>
      <c r="F78" s="245" t="inlineStr">
        <is>
          <t>20 м3/ч</t>
        </is>
      </c>
      <c r="G78" s="245" t="inlineStr"/>
      <c r="H78" s="243" t="inlineStr">
        <is>
          <t>Qбг в линии утечек 1-ой ступени ГДУ ПКВ</t>
        </is>
      </c>
      <c r="I78" s="245" t="inlineStr">
        <is>
          <t>ГПА 71</t>
        </is>
      </c>
      <c r="J78" s="243" t="inlineStr">
        <is>
          <t>АСУ,А и ТМ (КЦ № 7)</t>
        </is>
      </c>
      <c r="K78" s="243" t="inlineStr"/>
      <c r="L78" s="243" t="inlineStr">
        <is>
          <t>60</t>
        </is>
      </c>
      <c r="M78" s="246" t="inlineStr"/>
      <c r="N78" s="245" t="inlineStr"/>
    </row>
    <row r="79" ht="22.5" customHeight="1" s="236">
      <c r="A79" s="243" t="n">
        <v>78</v>
      </c>
      <c r="B79" s="249" t="inlineStr">
        <is>
          <t>Расходомер</t>
        </is>
      </c>
      <c r="C79" s="245" t="inlineStr">
        <is>
          <t>Yokogawa D-79664</t>
        </is>
      </c>
      <c r="D79" s="245" t="inlineStr">
        <is>
          <t>D1U42346</t>
        </is>
      </c>
      <c r="E79" s="245" t="inlineStr">
        <is>
          <t>2018</t>
        </is>
      </c>
      <c r="F79" s="245" t="inlineStr">
        <is>
          <t>20 м3/ч</t>
        </is>
      </c>
      <c r="G79" s="245" t="inlineStr"/>
      <c r="H79" s="243" t="inlineStr">
        <is>
          <t>Qбг в линии утечек 1-ой ступени ГДУ ЗКВ</t>
        </is>
      </c>
      <c r="I79" s="245" t="inlineStr">
        <is>
          <t>ГПА 71</t>
        </is>
      </c>
      <c r="J79" s="243" t="inlineStr">
        <is>
          <t>АСУ,А и ТМ (КЦ № 7)</t>
        </is>
      </c>
      <c r="K79" s="243" t="inlineStr"/>
      <c r="L79" s="243" t="inlineStr">
        <is>
          <t>60</t>
        </is>
      </c>
      <c r="M79" s="246" t="inlineStr"/>
      <c r="N79" s="245" t="inlineStr"/>
    </row>
    <row r="80" ht="22.5" customHeight="1" s="236">
      <c r="A80" s="243" t="n">
        <v>79</v>
      </c>
      <c r="B80" s="249" t="inlineStr">
        <is>
          <t>Расходомер</t>
        </is>
      </c>
      <c r="C80" s="245" t="inlineStr">
        <is>
          <t>Turbo Flow UFG-F</t>
        </is>
      </c>
      <c r="D80" s="245" t="inlineStr">
        <is>
          <t>90650</t>
        </is>
      </c>
      <c r="E80" s="245" t="inlineStr">
        <is>
          <t>2018</t>
        </is>
      </c>
      <c r="F80" s="245" t="inlineStr">
        <is>
          <t>2,2…440 м3/ч</t>
        </is>
      </c>
      <c r="G80" s="245" t="inlineStr">
        <is>
          <t>2%</t>
        </is>
      </c>
      <c r="H80" s="243" t="inlineStr">
        <is>
          <t>Расход топл. газа</t>
        </is>
      </c>
      <c r="I80" s="245" t="inlineStr">
        <is>
          <t>ГПА 71</t>
        </is>
      </c>
      <c r="J80" s="243" t="inlineStr">
        <is>
          <t>АСУ,А и ТМ (КЦ № 7)</t>
        </is>
      </c>
      <c r="K80" s="243" t="inlineStr"/>
      <c r="L80" s="243" t="inlineStr">
        <is>
          <t>60</t>
        </is>
      </c>
      <c r="M80" s="246" t="inlineStr"/>
      <c r="N80" s="245" t="inlineStr"/>
    </row>
    <row r="81" ht="22.5" customHeight="1" s="236">
      <c r="A81" s="243" t="n">
        <v>80</v>
      </c>
      <c r="B81" s="248" t="inlineStr">
        <is>
          <t>Корректор объёма газа</t>
        </is>
      </c>
      <c r="C81" s="245" t="inlineStr">
        <is>
          <t>ЕК270</t>
        </is>
      </c>
      <c r="D81" s="245" t="inlineStr">
        <is>
          <t>1119090069</t>
        </is>
      </c>
      <c r="E81" s="245" t="inlineStr">
        <is>
          <t>2019</t>
        </is>
      </c>
      <c r="F81" s="245" t="inlineStr"/>
      <c r="G81" s="245" t="inlineStr"/>
      <c r="H81" s="243" t="inlineStr">
        <is>
          <t>коммерческий учет газа</t>
        </is>
      </c>
      <c r="I81" s="245" t="inlineStr">
        <is>
          <t>АВГМ 71</t>
        </is>
      </c>
      <c r="J81" s="243" t="inlineStr">
        <is>
          <t>АСУ,А и ТМ (КЦ № 7)</t>
        </is>
      </c>
      <c r="K81" s="243" t="inlineStr"/>
      <c r="L81" s="243" t="inlineStr">
        <is>
          <t>60</t>
        </is>
      </c>
      <c r="M81" s="246" t="inlineStr"/>
      <c r="N81" s="245" t="inlineStr"/>
    </row>
    <row r="82" ht="22.5" customHeight="1" s="236">
      <c r="A82" s="243" t="n">
        <v>81</v>
      </c>
      <c r="B82" s="244" t="inlineStr">
        <is>
          <t>Комплекс для измерения количества газа</t>
        </is>
      </c>
      <c r="C82" s="245" t="inlineStr">
        <is>
          <t>СГ-ЭК-Вз-Р-0,2-160/1,6</t>
        </is>
      </c>
      <c r="D82" s="245" t="inlineStr">
        <is>
          <t>1519090064</t>
        </is>
      </c>
      <c r="E82" s="245" t="inlineStr">
        <is>
          <t>2019</t>
        </is>
      </c>
      <c r="F82" s="245" t="inlineStr"/>
      <c r="G82" s="245" t="inlineStr"/>
      <c r="H82" s="243" t="inlineStr">
        <is>
          <t>коммерческий учет газа</t>
        </is>
      </c>
      <c r="I82" s="245" t="inlineStr">
        <is>
          <t>АВГМ 71</t>
        </is>
      </c>
      <c r="J82" s="243" t="inlineStr">
        <is>
          <t>АСУ,А и ТМ (КЦ № 7)</t>
        </is>
      </c>
      <c r="K82" s="243" t="inlineStr"/>
      <c r="L82" s="243" t="inlineStr">
        <is>
          <t>60</t>
        </is>
      </c>
      <c r="M82" s="246" t="inlineStr"/>
      <c r="N82" s="245" t="inlineStr"/>
    </row>
    <row r="83" ht="22.5" customHeight="1" s="236">
      <c r="A83" s="243" t="n">
        <v>82</v>
      </c>
      <c r="B83" s="244" t="inlineStr">
        <is>
          <t>Счётчик газа</t>
        </is>
      </c>
      <c r="C83" s="245" t="inlineStr">
        <is>
          <t>RVG G100</t>
        </is>
      </c>
      <c r="D83" s="245" t="inlineStr">
        <is>
          <t>1219090046</t>
        </is>
      </c>
      <c r="E83" s="245" t="inlineStr">
        <is>
          <t>2019</t>
        </is>
      </c>
      <c r="F83" s="245" t="inlineStr">
        <is>
          <t>3…160 м3/ч</t>
        </is>
      </c>
      <c r="G83" s="245" t="inlineStr">
        <is>
          <t>1%</t>
        </is>
      </c>
      <c r="H83" s="243" t="inlineStr">
        <is>
          <t>коммерческий учет газа</t>
        </is>
      </c>
      <c r="I83" s="245" t="inlineStr">
        <is>
          <t>АВГМ 71</t>
        </is>
      </c>
      <c r="J83" s="243" t="inlineStr">
        <is>
          <t>АСУ,А и ТМ (КЦ № 7)</t>
        </is>
      </c>
      <c r="K83" s="243" t="inlineStr"/>
      <c r="L83" s="243" t="inlineStr">
        <is>
          <t>60</t>
        </is>
      </c>
      <c r="M83" s="246" t="inlineStr"/>
      <c r="N83" s="245" t="inlineStr"/>
    </row>
    <row r="84" ht="22.5" customHeight="1" s="236">
      <c r="A84" s="243" t="n">
        <v>83</v>
      </c>
      <c r="B84" s="244" t="inlineStr">
        <is>
          <t>Газоанализатор оптический</t>
        </is>
      </c>
      <c r="C84" s="245" t="inlineStr">
        <is>
          <t>ОГС-ПГП/М</t>
        </is>
      </c>
      <c r="D84" s="245" t="inlineStr">
        <is>
          <t>15313</t>
        </is>
      </c>
      <c r="E84" s="245" t="inlineStr">
        <is>
          <t>2021</t>
        </is>
      </c>
      <c r="F84" s="245" t="inlineStr"/>
      <c r="G84" s="245" t="inlineStr"/>
      <c r="H84" s="243" t="inlineStr">
        <is>
          <t>Измерение уровня загазованности</t>
        </is>
      </c>
      <c r="I84" s="245" t="inlineStr">
        <is>
          <t>АВГМ 71</t>
        </is>
      </c>
      <c r="J84" s="243" t="inlineStr">
        <is>
          <t>АСУ,А и ТМ (КЦ № 7)</t>
        </is>
      </c>
      <c r="K84" s="243" t="inlineStr"/>
      <c r="L84" s="243" t="inlineStr">
        <is>
          <t>60</t>
        </is>
      </c>
      <c r="M84" s="246" t="inlineStr"/>
      <c r="N84" s="245" t="inlineStr"/>
    </row>
    <row r="85" ht="22.5" customHeight="1" s="236">
      <c r="A85" s="243" t="n">
        <v>84</v>
      </c>
      <c r="B85" s="244" t="inlineStr">
        <is>
          <t>Газоанализатор оптический</t>
        </is>
      </c>
      <c r="C85" s="245" t="inlineStr">
        <is>
          <t>ОГС-ПГП/М</t>
        </is>
      </c>
      <c r="D85" s="245" t="inlineStr">
        <is>
          <t>15349</t>
        </is>
      </c>
      <c r="E85" s="245" t="inlineStr">
        <is>
          <t>2021</t>
        </is>
      </c>
      <c r="F85" s="245" t="inlineStr"/>
      <c r="G85" s="245" t="inlineStr"/>
      <c r="H85" s="243" t="inlineStr">
        <is>
          <t>Измерение уровня загазованности</t>
        </is>
      </c>
      <c r="I85" s="245" t="inlineStr">
        <is>
          <t>АВГМ 71</t>
        </is>
      </c>
      <c r="J85" s="243" t="inlineStr">
        <is>
          <t>АСУ,А и ТМ (КЦ № 7)</t>
        </is>
      </c>
      <c r="K85" s="243" t="inlineStr"/>
      <c r="L85" s="243" t="inlineStr">
        <is>
          <t>60</t>
        </is>
      </c>
      <c r="M85" s="246" t="inlineStr"/>
      <c r="N85" s="245" t="inlineStr"/>
    </row>
    <row r="86" ht="22.5" customHeight="1" s="236">
      <c r="A86" s="243" t="n">
        <v>85</v>
      </c>
      <c r="B86" s="244" t="inlineStr">
        <is>
          <t>Преобразователь давления</t>
        </is>
      </c>
      <c r="C86" s="245" t="inlineStr">
        <is>
          <t>ПД100И-ДИ 0,0016-811-1,0</t>
        </is>
      </c>
      <c r="D86" s="245" t="inlineStr">
        <is>
          <t>74625190446018251</t>
        </is>
      </c>
      <c r="E86" s="245" t="inlineStr">
        <is>
          <t>2018</t>
        </is>
      </c>
      <c r="F86" s="245" t="inlineStr">
        <is>
          <t>0…1,6 кПа</t>
        </is>
      </c>
      <c r="G86" s="245" t="inlineStr"/>
      <c r="H86" s="243" t="inlineStr">
        <is>
          <t>Давление воздуха в воздуховоде на ангар ГПА</t>
        </is>
      </c>
      <c r="I86" s="245" t="inlineStr">
        <is>
          <t>АВГМ 71</t>
        </is>
      </c>
      <c r="J86" s="243" t="inlineStr">
        <is>
          <t>АСУ,А и ТМ (КЦ № 7)</t>
        </is>
      </c>
      <c r="K86" s="243" t="inlineStr"/>
      <c r="L86" s="243" t="inlineStr">
        <is>
          <t>60</t>
        </is>
      </c>
      <c r="M86" s="246" t="inlineStr"/>
      <c r="N86" s="245" t="inlineStr"/>
    </row>
    <row r="87" ht="22.5" customHeight="1" s="236">
      <c r="A87" s="243" t="n">
        <v>86</v>
      </c>
      <c r="B87" s="244" t="inlineStr">
        <is>
          <t>Термометр сопротивления</t>
        </is>
      </c>
      <c r="C87" s="245" t="inlineStr">
        <is>
          <t>ДТС145-PT100.В3.180</t>
        </is>
      </c>
      <c r="D87" s="245" t="inlineStr">
        <is>
          <t>52199190444135103</t>
        </is>
      </c>
      <c r="E87" s="245" t="inlineStr">
        <is>
          <t>2018</t>
        </is>
      </c>
      <c r="F87" s="245" t="inlineStr">
        <is>
          <t>-60…500 °С</t>
        </is>
      </c>
      <c r="G87" s="245" t="inlineStr">
        <is>
          <t>В</t>
        </is>
      </c>
      <c r="H87" s="243" t="inlineStr">
        <is>
          <t>Температура нагретого воздуха</t>
        </is>
      </c>
      <c r="I87" s="245" t="inlineStr">
        <is>
          <t>АВГМ 71</t>
        </is>
      </c>
      <c r="J87" s="243" t="inlineStr">
        <is>
          <t>АСУ,А и ТМ (КЦ № 7)</t>
        </is>
      </c>
      <c r="K87" s="243" t="inlineStr"/>
      <c r="L87" s="243" t="inlineStr">
        <is>
          <t>60</t>
        </is>
      </c>
      <c r="M87" s="246" t="inlineStr"/>
      <c r="N87" s="245" t="inlineStr"/>
    </row>
    <row r="88" ht="22.5" customHeight="1" s="236">
      <c r="A88" s="243" t="n">
        <v>87</v>
      </c>
      <c r="B88" s="244" t="inlineStr">
        <is>
          <t>Преобразователь давления</t>
        </is>
      </c>
      <c r="C88" s="245" t="inlineStr">
        <is>
          <t>ПД100-ДИ 0,04-111-1,0</t>
        </is>
      </c>
      <c r="D88" s="245" t="inlineStr">
        <is>
          <t>42770190446018201</t>
        </is>
      </c>
      <c r="E88" s="245" t="inlineStr">
        <is>
          <t>2018</t>
        </is>
      </c>
      <c r="F88" s="245" t="inlineStr">
        <is>
          <t>0…40 кПа</t>
        </is>
      </c>
      <c r="G88" s="245" t="inlineStr"/>
      <c r="H88" s="243" t="inlineStr">
        <is>
          <t>Давление газа после регулятора давления</t>
        </is>
      </c>
      <c r="I88" s="245" t="inlineStr">
        <is>
          <t>АВГМ 71</t>
        </is>
      </c>
      <c r="J88" s="243" t="inlineStr">
        <is>
          <t>АСУ,А и ТМ (КЦ № 7)</t>
        </is>
      </c>
      <c r="K88" s="243" t="inlineStr"/>
      <c r="L88" s="243" t="inlineStr">
        <is>
          <t>60</t>
        </is>
      </c>
      <c r="M88" s="246" t="inlineStr"/>
      <c r="N88" s="245" t="inlineStr"/>
    </row>
    <row r="89" ht="22.5" customHeight="1" s="236">
      <c r="A89" s="243" t="n">
        <v>88</v>
      </c>
      <c r="B89" s="244" t="inlineStr">
        <is>
          <t>Термометр сопротивления</t>
        </is>
      </c>
      <c r="C89" s="245" t="inlineStr">
        <is>
          <t>ТСПУ-Л-22322 УХЛ3,1</t>
        </is>
      </c>
      <c r="D89" s="245" t="inlineStr">
        <is>
          <t>026</t>
        </is>
      </c>
      <c r="E89" s="245" t="inlineStr">
        <is>
          <t>2019</t>
        </is>
      </c>
      <c r="F89" s="245" t="inlineStr">
        <is>
          <t>-50…350 °С</t>
        </is>
      </c>
      <c r="G89" s="245" t="inlineStr"/>
      <c r="H89" s="243" t="inlineStr">
        <is>
          <t>Температура теплообменника №1</t>
        </is>
      </c>
      <c r="I89" s="245" t="inlineStr">
        <is>
          <t>АВГМ 71</t>
        </is>
      </c>
      <c r="J89" s="243" t="inlineStr">
        <is>
          <t>АСУ,А и ТМ (КЦ № 7)</t>
        </is>
      </c>
      <c r="K89" s="243" t="inlineStr"/>
      <c r="L89" s="243" t="inlineStr">
        <is>
          <t>60</t>
        </is>
      </c>
      <c r="M89" s="246" t="inlineStr"/>
      <c r="N89" s="245" t="inlineStr"/>
    </row>
    <row r="90" ht="22.5" customHeight="1" s="236">
      <c r="A90" s="243" t="n">
        <v>89</v>
      </c>
      <c r="B90" s="244" t="inlineStr">
        <is>
          <t>Датчик давления микропроцессорный</t>
        </is>
      </c>
      <c r="C90" s="245" t="inlineStr">
        <is>
          <t>ДДМ-03-МИ</t>
        </is>
      </c>
      <c r="D90" s="245" t="inlineStr">
        <is>
          <t>807108</t>
        </is>
      </c>
      <c r="E90" s="245" t="inlineStr"/>
      <c r="F90" s="245" t="inlineStr">
        <is>
          <t>0…40 кПа</t>
        </is>
      </c>
      <c r="G90" s="245" t="inlineStr">
        <is>
          <t>0.5</t>
        </is>
      </c>
      <c r="H90" s="243" t="inlineStr">
        <is>
          <t>Давление газа перед газовой горелкой №2</t>
        </is>
      </c>
      <c r="I90" s="245" t="inlineStr">
        <is>
          <t>АВГМ 71</t>
        </is>
      </c>
      <c r="J90" s="243" t="inlineStr">
        <is>
          <t>АСУ,А и ТМ (КЦ № 7)</t>
        </is>
      </c>
      <c r="K90" s="243" t="inlineStr"/>
      <c r="L90" s="243" t="inlineStr">
        <is>
          <t>60</t>
        </is>
      </c>
      <c r="M90" s="246" t="inlineStr"/>
      <c r="N90" s="245" t="inlineStr"/>
    </row>
    <row r="91" ht="22.5" customHeight="1" s="236">
      <c r="A91" s="243" t="n">
        <v>90</v>
      </c>
      <c r="B91" s="244" t="inlineStr">
        <is>
          <t>Преобразователь давления</t>
        </is>
      </c>
      <c r="C91" s="245" t="inlineStr">
        <is>
          <t>ПД100-ДИ 1,0-111-1,0</t>
        </is>
      </c>
      <c r="D91" s="245" t="inlineStr">
        <is>
          <t>42219190446016660</t>
        </is>
      </c>
      <c r="E91" s="245" t="inlineStr"/>
      <c r="F91" s="245" t="inlineStr">
        <is>
          <t>0…1 МПа</t>
        </is>
      </c>
      <c r="G91" s="245" t="inlineStr"/>
      <c r="H91" s="243" t="inlineStr">
        <is>
          <t>Давление газа на входе</t>
        </is>
      </c>
      <c r="I91" s="245" t="inlineStr">
        <is>
          <t>АВГМ 71</t>
        </is>
      </c>
      <c r="J91" s="243" t="inlineStr">
        <is>
          <t>АСУ,А и ТМ (КЦ № 7)</t>
        </is>
      </c>
      <c r="K91" s="243" t="inlineStr"/>
      <c r="L91" s="243" t="inlineStr">
        <is>
          <t>60</t>
        </is>
      </c>
      <c r="M91" s="246" t="inlineStr"/>
      <c r="N91" s="245" t="inlineStr"/>
    </row>
    <row r="92" ht="22.5" customHeight="1" s="236">
      <c r="A92" s="243" t="n">
        <v>91</v>
      </c>
      <c r="B92" s="244" t="inlineStr">
        <is>
          <t>Термометр сопротивления</t>
        </is>
      </c>
      <c r="C92" s="245" t="inlineStr">
        <is>
          <t>ДТС145-PT100.В3.120</t>
        </is>
      </c>
      <c r="D92" s="245" t="inlineStr">
        <is>
          <t>11068181144233299</t>
        </is>
      </c>
      <c r="E92" s="245" t="inlineStr">
        <is>
          <t>2018</t>
        </is>
      </c>
      <c r="F92" s="245" t="inlineStr">
        <is>
          <t>-50…500 °С</t>
        </is>
      </c>
      <c r="G92" s="245" t="inlineStr">
        <is>
          <t>В</t>
        </is>
      </c>
      <c r="H92" s="243" t="inlineStr">
        <is>
          <t>Температура газа на входе</t>
        </is>
      </c>
      <c r="I92" s="245" t="inlineStr">
        <is>
          <t>АВГМ 71</t>
        </is>
      </c>
      <c r="J92" s="243" t="inlineStr">
        <is>
          <t>АСУ,А и ТМ (КЦ № 7)</t>
        </is>
      </c>
      <c r="K92" s="243" t="inlineStr"/>
      <c r="L92" s="243" t="inlineStr">
        <is>
          <t>60</t>
        </is>
      </c>
      <c r="M92" s="246" t="inlineStr"/>
      <c r="N92" s="245" t="inlineStr"/>
    </row>
    <row r="93" ht="22.5" customHeight="1" s="236">
      <c r="A93" s="243" t="n">
        <v>92</v>
      </c>
      <c r="B93" s="244" t="inlineStr">
        <is>
          <t>Термометр сопротивления</t>
        </is>
      </c>
      <c r="C93" s="245" t="inlineStr">
        <is>
          <t>ДТС145-PT100.В3.120</t>
        </is>
      </c>
      <c r="D93" s="245" t="inlineStr">
        <is>
          <t>09190190444135123</t>
        </is>
      </c>
      <c r="E93" s="245" t="inlineStr">
        <is>
          <t>2019</t>
        </is>
      </c>
      <c r="F93" s="245" t="inlineStr">
        <is>
          <t>-60…500 °С</t>
        </is>
      </c>
      <c r="G93" s="245" t="inlineStr">
        <is>
          <t>В</t>
        </is>
      </c>
      <c r="H93" s="243" t="inlineStr">
        <is>
          <t>Температура в секции обслуживания</t>
        </is>
      </c>
      <c r="I93" s="245" t="inlineStr">
        <is>
          <t>АВГМ 71</t>
        </is>
      </c>
      <c r="J93" s="243" t="inlineStr">
        <is>
          <t>АСУ,А и ТМ (КЦ № 7)</t>
        </is>
      </c>
      <c r="K93" s="243" t="inlineStr"/>
      <c r="L93" s="243" t="inlineStr">
        <is>
          <t>60</t>
        </is>
      </c>
      <c r="M93" s="246" t="inlineStr"/>
      <c r="N93" s="245" t="inlineStr"/>
    </row>
    <row r="94" ht="22.5" customHeight="1" s="236">
      <c r="A94" s="239">
        <f>IF(B94&lt;&gt;"", COUNTA($B$2:B94), "")</f>
        <v/>
      </c>
      <c r="B94" s="241" t="inlineStr">
        <is>
          <t>Датчик давления микропроцессорный</t>
        </is>
      </c>
      <c r="C94" s="251" t="inlineStr">
        <is>
          <t>ДДМ-03-ДИ-МИ</t>
        </is>
      </c>
      <c r="D94" s="301" t="inlineStr">
        <is>
          <t>805004</t>
        </is>
      </c>
      <c r="E94" s="242" t="n"/>
      <c r="F94" s="242" t="inlineStr">
        <is>
          <t>0…40 кПа</t>
        </is>
      </c>
      <c r="G94" s="275" t="n"/>
      <c r="H94" s="251" t="inlineStr">
        <is>
          <t>Давление газа перед газовой горелкой №1</t>
        </is>
      </c>
      <c r="I94" s="242" t="inlineStr">
        <is>
          <t>АВГМ 71</t>
        </is>
      </c>
      <c r="J94" s="239" t="inlineStr">
        <is>
          <t>АСУ,А и ТМ (КЦ № 7)</t>
        </is>
      </c>
      <c r="K94" s="239" t="n"/>
      <c r="L94" s="239" t="n">
        <v>60</v>
      </c>
      <c r="M94" s="240" t="n"/>
      <c r="N94" s="242" t="n"/>
    </row>
    <row r="95" ht="22.5" customHeight="1" s="236">
      <c r="A95" s="243" t="n">
        <v>94</v>
      </c>
      <c r="B95" s="244" t="inlineStr">
        <is>
          <t>Термометр сопротивления</t>
        </is>
      </c>
      <c r="C95" s="248" t="inlineStr">
        <is>
          <t>ТСПУ-Л-22322 УХЛ3,1</t>
        </is>
      </c>
      <c r="D95" s="302" t="inlineStr">
        <is>
          <t>025</t>
        </is>
      </c>
      <c r="E95" s="245" t="inlineStr">
        <is>
          <t>2019</t>
        </is>
      </c>
      <c r="F95" s="245" t="inlineStr">
        <is>
          <t>-50…350 °С</t>
        </is>
      </c>
      <c r="G95" s="276" t="inlineStr"/>
      <c r="H95" s="248" t="inlineStr">
        <is>
          <t>Температура теплообменника №2</t>
        </is>
      </c>
      <c r="I95" s="245" t="inlineStr">
        <is>
          <t>АВГМ 71</t>
        </is>
      </c>
      <c r="J95" s="243" t="inlineStr">
        <is>
          <t>АСУ,А и ТМ (КЦ № 7)</t>
        </is>
      </c>
      <c r="K95" s="243" t="inlineStr"/>
      <c r="L95" s="243" t="inlineStr">
        <is>
          <t>60</t>
        </is>
      </c>
      <c r="M95" s="246" t="inlineStr"/>
      <c r="N95" s="245" t="inlineStr"/>
    </row>
    <row r="96" ht="22.5" customHeight="1" s="236">
      <c r="A96" s="239">
        <f>IF(B96&lt;&gt;"", COUNTA($B$2:B96), "")</f>
        <v/>
      </c>
      <c r="B96" s="241" t="inlineStr">
        <is>
          <t>Реле давления</t>
        </is>
      </c>
      <c r="C96" s="251" t="inlineStr">
        <is>
          <t>GW 150 A6</t>
        </is>
      </c>
      <c r="D96" s="301" t="inlineStr">
        <is>
          <t>CE-0085AO3220-15T70</t>
        </is>
      </c>
      <c r="E96" s="242" t="n"/>
      <c r="F96" s="242" t="inlineStr">
        <is>
          <t>0…500 мбар</t>
        </is>
      </c>
      <c r="G96" s="275" t="n"/>
      <c r="H96" s="251" t="inlineStr">
        <is>
          <t>Давление газа между предохранительно-запорными клапанами Y1 и Y2 горелки №2</t>
        </is>
      </c>
      <c r="I96" s="242" t="inlineStr">
        <is>
          <t>АВГМ 71</t>
        </is>
      </c>
      <c r="J96" s="239" t="inlineStr">
        <is>
          <t>АСУ,А и ТМ (КЦ № 7)</t>
        </is>
      </c>
      <c r="K96" s="239" t="n"/>
      <c r="L96" s="239" t="n">
        <v>60</v>
      </c>
      <c r="M96" s="240" t="n"/>
      <c r="N96" s="242" t="n"/>
      <c r="O96" s="340" t="inlineStr">
        <is>
          <t>Не является СИ</t>
        </is>
      </c>
    </row>
    <row r="97" ht="22.5" customHeight="1" s="236">
      <c r="A97" s="243" t="n">
        <v>96</v>
      </c>
      <c r="B97" s="244" t="inlineStr">
        <is>
          <t>Реле давления</t>
        </is>
      </c>
      <c r="C97" s="248" t="inlineStr">
        <is>
          <t>РД-016</t>
        </is>
      </c>
      <c r="D97" s="302" t="inlineStr">
        <is>
          <t>808132</t>
        </is>
      </c>
      <c r="E97" s="245" t="inlineStr">
        <is>
          <t>2018</t>
        </is>
      </c>
      <c r="F97" s="245" t="inlineStr">
        <is>
          <t>0…40 кПа</t>
        </is>
      </c>
      <c r="G97" s="276" t="inlineStr"/>
      <c r="H97" s="248" t="inlineStr">
        <is>
          <t>Давление газа перед предохранительно-запорным клапаном горелки №1</t>
        </is>
      </c>
      <c r="I97" s="245" t="inlineStr">
        <is>
          <t>АВГМ 71</t>
        </is>
      </c>
      <c r="J97" s="243" t="inlineStr">
        <is>
          <t>АСУ,А и ТМ (КЦ № 7)</t>
        </is>
      </c>
      <c r="K97" s="243" t="inlineStr"/>
      <c r="L97" s="243" t="inlineStr">
        <is>
          <t>60</t>
        </is>
      </c>
      <c r="M97" s="246" t="inlineStr"/>
      <c r="N97" s="245" t="inlineStr"/>
      <c r="O97" s="340" t="inlineStr">
        <is>
          <t>Не является СИ</t>
        </is>
      </c>
    </row>
    <row r="98" ht="15" customHeight="1" s="236">
      <c r="A98" s="243" t="n">
        <v>97</v>
      </c>
      <c r="B98" s="244" t="inlineStr">
        <is>
          <t>Реле давления</t>
        </is>
      </c>
      <c r="C98" s="248" t="inlineStr">
        <is>
          <t>РД-016</t>
        </is>
      </c>
      <c r="D98" s="302" t="inlineStr">
        <is>
          <t>805004</t>
        </is>
      </c>
      <c r="E98" s="245" t="inlineStr">
        <is>
          <t>2018</t>
        </is>
      </c>
      <c r="F98" s="245" t="inlineStr">
        <is>
          <t>0…40 кПа</t>
        </is>
      </c>
      <c r="G98" s="276" t="inlineStr"/>
      <c r="H98" s="248" t="inlineStr">
        <is>
          <t>давление газа после газовой заслонки R2</t>
        </is>
      </c>
      <c r="I98" s="245" t="inlineStr"/>
      <c r="J98" s="243" t="inlineStr"/>
      <c r="K98" s="243" t="inlineStr"/>
      <c r="L98" s="243" t="inlineStr"/>
      <c r="M98" s="246" t="inlineStr"/>
      <c r="N98" s="245" t="inlineStr"/>
      <c r="O98" s="340" t="inlineStr">
        <is>
          <t>Не является СИ</t>
        </is>
      </c>
    </row>
    <row r="99" ht="22.5" customHeight="1" s="236">
      <c r="A99" s="243" t="n">
        <v>98</v>
      </c>
      <c r="B99" s="244" t="inlineStr">
        <is>
          <t>Реле давления</t>
        </is>
      </c>
      <c r="C99" s="248" t="inlineStr">
        <is>
          <t>GW 150 A6</t>
        </is>
      </c>
      <c r="D99" s="302" t="inlineStr">
        <is>
          <t>CE-0085AO3220-15T70</t>
        </is>
      </c>
      <c r="E99" s="245" t="inlineStr"/>
      <c r="F99" s="245" t="inlineStr">
        <is>
          <t>0…500 мбар</t>
        </is>
      </c>
      <c r="G99" s="276" t="inlineStr"/>
      <c r="H99" s="248" t="inlineStr">
        <is>
          <t>Давление газа между предохранительно-запорными клапанами Y1 и Y2 горелки №1</t>
        </is>
      </c>
      <c r="I99" s="245" t="inlineStr">
        <is>
          <t>АВГМ 71</t>
        </is>
      </c>
      <c r="J99" s="243" t="inlineStr">
        <is>
          <t>АСУ,А и ТМ (КЦ № 7)</t>
        </is>
      </c>
      <c r="K99" s="243" t="inlineStr"/>
      <c r="L99" s="243" t="inlineStr">
        <is>
          <t>60</t>
        </is>
      </c>
      <c r="M99" s="246" t="inlineStr"/>
      <c r="N99" s="245" t="inlineStr"/>
      <c r="O99" s="340" t="inlineStr">
        <is>
          <t>Не является СИ</t>
        </is>
      </c>
    </row>
    <row r="100" ht="22.5" customHeight="1" s="236">
      <c r="A100" s="243" t="n">
        <v>99</v>
      </c>
      <c r="B100" s="244" t="inlineStr">
        <is>
          <t>Реле давления</t>
        </is>
      </c>
      <c r="C100" s="248" t="inlineStr">
        <is>
          <t>РД-016</t>
        </is>
      </c>
      <c r="D100" s="302" t="inlineStr">
        <is>
          <t>906050</t>
        </is>
      </c>
      <c r="E100" s="245" t="inlineStr">
        <is>
          <t>2019</t>
        </is>
      </c>
      <c r="F100" s="245" t="inlineStr">
        <is>
          <t>0…40 кПа</t>
        </is>
      </c>
      <c r="G100" s="276" t="inlineStr"/>
      <c r="H100" s="248" t="inlineStr">
        <is>
          <t>Давление газа перед предохранительно-запорным клапаном горелки №2</t>
        </is>
      </c>
      <c r="I100" s="245" t="inlineStr">
        <is>
          <t>АВГМ 71</t>
        </is>
      </c>
      <c r="J100" s="243" t="inlineStr">
        <is>
          <t>АСУ,А и ТМ (КЦ № 7)</t>
        </is>
      </c>
      <c r="K100" s="243" t="inlineStr"/>
      <c r="L100" s="243" t="inlineStr">
        <is>
          <t>60</t>
        </is>
      </c>
      <c r="M100" s="246" t="inlineStr"/>
      <c r="N100" s="245" t="inlineStr"/>
      <c r="O100" s="340" t="inlineStr">
        <is>
          <t>Не является СИ</t>
        </is>
      </c>
    </row>
    <row r="101" ht="22.5" customHeight="1" s="236">
      <c r="A101" s="243" t="n">
        <v>100</v>
      </c>
      <c r="B101" s="249" t="inlineStr">
        <is>
          <t>Преобразователь избыточного давления</t>
        </is>
      </c>
      <c r="C101" s="248" t="inlineStr">
        <is>
          <t>Метран 150 TG</t>
        </is>
      </c>
      <c r="D101" s="302" t="inlineStr">
        <is>
          <t>116067</t>
        </is>
      </c>
      <c r="E101" s="245" t="inlineStr">
        <is>
          <t>May.21</t>
        </is>
      </c>
      <c r="F101" s="245" t="inlineStr">
        <is>
          <t>0…1 МПа</t>
        </is>
      </c>
      <c r="G101" s="276" t="inlineStr">
        <is>
          <t>0.1</t>
        </is>
      </c>
      <c r="H101" s="248" t="inlineStr">
        <is>
          <t>Pм на выходе из двигателя</t>
        </is>
      </c>
      <c r="I101" s="245" t="inlineStr">
        <is>
          <t>Масленая консоль</t>
        </is>
      </c>
      <c r="J101" s="243" t="inlineStr">
        <is>
          <t>АСУ,А и ТМ (КЦ № 7)</t>
        </is>
      </c>
      <c r="K101" s="243" t="inlineStr"/>
      <c r="L101" s="243" t="inlineStr">
        <is>
          <t>12</t>
        </is>
      </c>
      <c r="M101" s="246" t="inlineStr"/>
      <c r="N101" s="245" t="inlineStr"/>
    </row>
    <row r="102" ht="22.5" customHeight="1" s="236">
      <c r="A102" s="243" t="n">
        <v>101</v>
      </c>
      <c r="B102" s="249" t="inlineStr">
        <is>
          <t>Преобразователь избыточного давления</t>
        </is>
      </c>
      <c r="C102" s="248" t="inlineStr">
        <is>
          <t>Метран 150 TG</t>
        </is>
      </c>
      <c r="D102" s="302" t="inlineStr">
        <is>
          <t>945444</t>
        </is>
      </c>
      <c r="E102" s="245" t="inlineStr"/>
      <c r="F102" s="245" t="inlineStr">
        <is>
          <t>0…1 МПа</t>
        </is>
      </c>
      <c r="G102" s="276" t="inlineStr">
        <is>
          <t>0.1</t>
        </is>
      </c>
      <c r="H102" s="248" t="inlineStr">
        <is>
          <t>Pм в линий откачки от СТ</t>
        </is>
      </c>
      <c r="I102" s="245" t="inlineStr">
        <is>
          <t>Масленая консоль</t>
        </is>
      </c>
      <c r="J102" s="243" t="inlineStr">
        <is>
          <t>АСУ,А и ТМ (КЦ № 7)</t>
        </is>
      </c>
      <c r="K102" s="243" t="inlineStr"/>
      <c r="L102" s="243" t="inlineStr">
        <is>
          <t>12</t>
        </is>
      </c>
      <c r="M102" s="246" t="inlineStr"/>
      <c r="N102" s="245" t="inlineStr"/>
    </row>
    <row r="103" ht="22.5" customHeight="1" s="236">
      <c r="A103" s="243" t="n">
        <v>102</v>
      </c>
      <c r="B103" s="249" t="inlineStr">
        <is>
          <t>Преобразователь избыточного давления</t>
        </is>
      </c>
      <c r="C103" s="248" t="inlineStr">
        <is>
          <t>Метран 150 CD</t>
        </is>
      </c>
      <c r="D103" s="302" t="inlineStr">
        <is>
          <t>1047806</t>
        </is>
      </c>
      <c r="E103" s="245" t="inlineStr"/>
      <c r="F103" s="245" t="inlineStr">
        <is>
          <t>0…250 кПа</t>
        </is>
      </c>
      <c r="G103" s="276" t="inlineStr">
        <is>
          <t>0.1</t>
        </is>
      </c>
      <c r="H103" s="248" t="inlineStr">
        <is>
          <t>∆Рм на фтльтрах БМФ1</t>
        </is>
      </c>
      <c r="I103" s="245" t="inlineStr">
        <is>
          <t>Масленая консоль</t>
        </is>
      </c>
      <c r="J103" s="243" t="inlineStr">
        <is>
          <t>АСУ,А и ТМ (КЦ № 7)</t>
        </is>
      </c>
      <c r="K103" s="243" t="inlineStr"/>
      <c r="L103" s="243" t="inlineStr">
        <is>
          <t>12</t>
        </is>
      </c>
      <c r="M103" s="246" t="inlineStr"/>
      <c r="N103" s="245" t="inlineStr"/>
    </row>
    <row r="104" ht="22.5" customHeight="1" s="236">
      <c r="A104" s="243" t="n">
        <v>103</v>
      </c>
      <c r="B104" s="249" t="inlineStr">
        <is>
          <t>Преобразователь избыточного давления</t>
        </is>
      </c>
      <c r="C104" s="248" t="inlineStr">
        <is>
          <t>Метран 150 CD</t>
        </is>
      </c>
      <c r="D104" s="302" t="inlineStr">
        <is>
          <t>152666</t>
        </is>
      </c>
      <c r="E104" s="245" t="inlineStr"/>
      <c r="F104" s="245" t="inlineStr">
        <is>
          <t>0…250 кПа</t>
        </is>
      </c>
      <c r="G104" s="276" t="inlineStr">
        <is>
          <t>0.1</t>
        </is>
      </c>
      <c r="H104" s="248" t="inlineStr">
        <is>
          <t>∆Рм на фтльтрах БМФ2</t>
        </is>
      </c>
      <c r="I104" s="245" t="inlineStr">
        <is>
          <t>Масленая консоль</t>
        </is>
      </c>
      <c r="J104" s="243" t="inlineStr">
        <is>
          <t>АСУ,А и ТМ (КЦ № 7)</t>
        </is>
      </c>
      <c r="K104" s="243" t="inlineStr"/>
      <c r="L104" s="243" t="inlineStr">
        <is>
          <t>12</t>
        </is>
      </c>
      <c r="M104" s="246" t="inlineStr"/>
      <c r="N104" s="245" t="inlineStr"/>
    </row>
    <row r="105" ht="22.5" customHeight="1" s="236">
      <c r="A105" s="243" t="n">
        <v>104</v>
      </c>
      <c r="B105" s="249" t="inlineStr">
        <is>
          <t>Преобразователь избыточного давления</t>
        </is>
      </c>
      <c r="C105" s="248" t="inlineStr">
        <is>
          <t>Метран 150 CD</t>
        </is>
      </c>
      <c r="D105" s="302" t="inlineStr">
        <is>
          <t>156603</t>
        </is>
      </c>
      <c r="E105" s="245" t="inlineStr"/>
      <c r="F105" s="245" t="inlineStr">
        <is>
          <t>0…250 кПа</t>
        </is>
      </c>
      <c r="G105" s="276" t="inlineStr">
        <is>
          <t>0.1</t>
        </is>
      </c>
      <c r="H105" s="248" t="inlineStr">
        <is>
          <t>∆Рм на фтльтрах ГМТ</t>
        </is>
      </c>
      <c r="I105" s="245" t="inlineStr">
        <is>
          <t>Масленая консоль</t>
        </is>
      </c>
      <c r="J105" s="243" t="inlineStr">
        <is>
          <t>АСУ,А и ТМ (КЦ № 7)</t>
        </is>
      </c>
      <c r="K105" s="243" t="inlineStr"/>
      <c r="L105" s="243" t="inlineStr">
        <is>
          <t>12</t>
        </is>
      </c>
      <c r="M105" s="246" t="inlineStr"/>
      <c r="N105" s="245" t="inlineStr"/>
    </row>
    <row r="106" ht="22.5" customHeight="1" s="236">
      <c r="A106" s="243" t="n">
        <v>105</v>
      </c>
      <c r="B106" s="249" t="inlineStr">
        <is>
          <t>Преобразователь избыточного давления</t>
        </is>
      </c>
      <c r="C106" s="248" t="inlineStr">
        <is>
          <t>Метран 150 CG</t>
        </is>
      </c>
      <c r="D106" s="302" t="inlineStr">
        <is>
          <t>6178266</t>
        </is>
      </c>
      <c r="E106" s="245" t="inlineStr"/>
      <c r="F106" s="245" t="inlineStr">
        <is>
          <t>0…63 кПа</t>
        </is>
      </c>
      <c r="G106" s="276" t="inlineStr">
        <is>
          <t>0.1</t>
        </is>
      </c>
      <c r="H106" s="248" t="inlineStr">
        <is>
          <t>Р воздушно-масляной смеси в маслобаке двигателя</t>
        </is>
      </c>
      <c r="I106" s="245" t="inlineStr">
        <is>
          <t>Масленая консоль</t>
        </is>
      </c>
      <c r="J106" s="243" t="inlineStr">
        <is>
          <t>АСУ,А и ТМ (КЦ № 7)</t>
        </is>
      </c>
      <c r="K106" s="243" t="inlineStr"/>
      <c r="L106" s="243" t="inlineStr">
        <is>
          <t>12</t>
        </is>
      </c>
      <c r="M106" s="246" t="inlineStr"/>
      <c r="N106" s="245" t="inlineStr"/>
    </row>
    <row r="107" ht="22.5" customHeight="1" s="236">
      <c r="A107" s="243" t="n">
        <v>106</v>
      </c>
      <c r="B107" s="249" t="inlineStr">
        <is>
          <t>Преобразователь избыточного давления</t>
        </is>
      </c>
      <c r="C107" s="248" t="inlineStr">
        <is>
          <t>Метран 150 CD</t>
        </is>
      </c>
      <c r="D107" s="302" t="inlineStr">
        <is>
          <t>6095170</t>
        </is>
      </c>
      <c r="E107" s="245" t="inlineStr">
        <is>
          <t>2018</t>
        </is>
      </c>
      <c r="F107" s="245" t="inlineStr">
        <is>
          <t>0…6,3 кПа</t>
        </is>
      </c>
      <c r="G107" s="276" t="inlineStr">
        <is>
          <t>0.1</t>
        </is>
      </c>
      <c r="H107" s="248" t="inlineStr">
        <is>
          <t>Избыточное давление воздуха в блоке силовом</t>
        </is>
      </c>
      <c r="I107" s="245" t="inlineStr">
        <is>
          <t>Укрытие</t>
        </is>
      </c>
      <c r="J107" s="243" t="inlineStr">
        <is>
          <t>АСУ,А и ТМ (КЦ № 7)</t>
        </is>
      </c>
      <c r="K107" s="243" t="inlineStr"/>
      <c r="L107" s="243" t="inlineStr"/>
      <c r="M107" s="246" t="inlineStr"/>
      <c r="N107" s="245" t="inlineStr"/>
    </row>
    <row r="108" ht="22.5" customHeight="1" s="236">
      <c r="A108" s="243" t="n">
        <v>107</v>
      </c>
      <c r="B108" s="249" t="inlineStr">
        <is>
          <t>Преобразователь избыточного давления</t>
        </is>
      </c>
      <c r="C108" s="248" t="inlineStr">
        <is>
          <t>Метран 150 CG</t>
        </is>
      </c>
      <c r="D108" s="302" t="inlineStr">
        <is>
          <t>6104410</t>
        </is>
      </c>
      <c r="E108" s="245" t="inlineStr"/>
      <c r="F108" s="245" t="inlineStr">
        <is>
          <t>0…6,3 кПа</t>
        </is>
      </c>
      <c r="G108" s="276" t="inlineStr">
        <is>
          <t>0.1</t>
        </is>
      </c>
      <c r="H108" s="248" t="inlineStr">
        <is>
          <t>Рв охлаждения кожуха муфты</t>
        </is>
      </c>
      <c r="I108" s="245" t="inlineStr">
        <is>
          <t>Укрытие</t>
        </is>
      </c>
      <c r="J108" s="243" t="inlineStr">
        <is>
          <t>АСУ,А и ТМ (КЦ № 7)</t>
        </is>
      </c>
      <c r="K108" s="243" t="inlineStr"/>
      <c r="L108" s="243" t="inlineStr">
        <is>
          <t>12</t>
        </is>
      </c>
      <c r="M108" s="246" t="inlineStr"/>
      <c r="N108" s="245" t="inlineStr"/>
    </row>
    <row r="109" ht="22.5" customHeight="1" s="236">
      <c r="A109" s="243" t="n">
        <v>108</v>
      </c>
      <c r="B109" s="249" t="inlineStr">
        <is>
          <t>Преобразователь избыточного давления</t>
        </is>
      </c>
      <c r="C109" s="248" t="inlineStr">
        <is>
          <t>Метран 150 TG</t>
        </is>
      </c>
      <c r="D109" s="302" t="inlineStr">
        <is>
          <t>6072974</t>
        </is>
      </c>
      <c r="E109" s="245" t="inlineStr">
        <is>
          <t>2018</t>
        </is>
      </c>
      <c r="F109" s="245" t="inlineStr">
        <is>
          <t>0…25 МПа</t>
        </is>
      </c>
      <c r="G109" s="276" t="inlineStr">
        <is>
          <t>0.1</t>
        </is>
      </c>
      <c r="H109" s="248" t="inlineStr">
        <is>
          <t>Ртг на входе ГПА</t>
        </is>
      </c>
      <c r="I109" s="245" t="inlineStr">
        <is>
          <t>Укрытие</t>
        </is>
      </c>
      <c r="J109" s="243" t="inlineStr">
        <is>
          <t>АСУ,А и ТМ (КЦ № 7)</t>
        </is>
      </c>
      <c r="K109" s="243" t="inlineStr"/>
      <c r="L109" s="243" t="inlineStr">
        <is>
          <t>12</t>
        </is>
      </c>
      <c r="M109" s="246" t="inlineStr"/>
      <c r="N109" s="245" t="inlineStr"/>
    </row>
    <row r="110" ht="22.5" customHeight="1" s="236">
      <c r="A110" s="243" t="n">
        <v>109</v>
      </c>
      <c r="B110" s="249" t="inlineStr">
        <is>
          <t>Преобразователь избыточного давления</t>
        </is>
      </c>
      <c r="C110" s="248" t="inlineStr">
        <is>
          <t>Метран 150 TG</t>
        </is>
      </c>
      <c r="D110" s="302" t="inlineStr">
        <is>
          <t>6072985</t>
        </is>
      </c>
      <c r="E110" s="245" t="inlineStr"/>
      <c r="F110" s="245" t="inlineStr">
        <is>
          <t>0…6 МПа</t>
        </is>
      </c>
      <c r="G110" s="276" t="inlineStr">
        <is>
          <t>0.1</t>
        </is>
      </c>
      <c r="H110" s="248" t="inlineStr">
        <is>
          <t>Ртг на выходе из блока фильтров</t>
        </is>
      </c>
      <c r="I110" s="245" t="inlineStr">
        <is>
          <t>Укрытие</t>
        </is>
      </c>
      <c r="J110" s="243" t="inlineStr">
        <is>
          <t>АСУ,А и ТМ (КЦ № 7)</t>
        </is>
      </c>
      <c r="K110" s="243" t="inlineStr"/>
      <c r="L110" s="243" t="inlineStr"/>
      <c r="M110" s="246" t="inlineStr"/>
      <c r="N110" s="245" t="inlineStr"/>
    </row>
    <row r="111" ht="22.5" customHeight="1" s="236">
      <c r="A111" s="243" t="n">
        <v>110</v>
      </c>
      <c r="B111" s="249" t="inlineStr">
        <is>
          <t>Преобразователь избыточного давления</t>
        </is>
      </c>
      <c r="C111" s="248" t="inlineStr">
        <is>
          <t>Метран 150 TG</t>
        </is>
      </c>
      <c r="D111" s="302" t="inlineStr">
        <is>
          <t>6072954</t>
        </is>
      </c>
      <c r="E111" s="245" t="inlineStr"/>
      <c r="F111" s="245" t="inlineStr">
        <is>
          <t>0…6 МПа</t>
        </is>
      </c>
      <c r="G111" s="276" t="inlineStr">
        <is>
          <t>0.1</t>
        </is>
      </c>
      <c r="H111" s="248" t="inlineStr">
        <is>
          <t>Ртг на входе турбоблок</t>
        </is>
      </c>
      <c r="I111" s="245" t="inlineStr"/>
      <c r="J111" s="243" t="inlineStr">
        <is>
          <t>АСУ,А и ТМ (КЦ № 7)</t>
        </is>
      </c>
      <c r="K111" s="243" t="inlineStr"/>
      <c r="L111" s="243" t="inlineStr"/>
      <c r="M111" s="246" t="inlineStr"/>
      <c r="N111" s="245" t="inlineStr"/>
    </row>
    <row r="112" ht="22.5" customHeight="1" s="236">
      <c r="A112" s="243" t="n">
        <v>111</v>
      </c>
      <c r="B112" s="249" t="inlineStr">
        <is>
          <t>Преобразователь избыточного давления</t>
        </is>
      </c>
      <c r="C112" s="248" t="inlineStr">
        <is>
          <t>Метран 150 TG</t>
        </is>
      </c>
      <c r="D112" s="302" t="inlineStr">
        <is>
          <t>6071971</t>
        </is>
      </c>
      <c r="E112" s="245" t="inlineStr">
        <is>
          <t>May.18</t>
        </is>
      </c>
      <c r="F112" s="245" t="inlineStr">
        <is>
          <t>0…160 кПа</t>
        </is>
      </c>
      <c r="G112" s="276" t="inlineStr">
        <is>
          <t>0.1</t>
        </is>
      </c>
      <c r="H112" s="248" t="inlineStr">
        <is>
          <t>Ртг в буферной полоскости ГМТ</t>
        </is>
      </c>
      <c r="I112" s="245" t="inlineStr"/>
      <c r="J112" s="243" t="inlineStr">
        <is>
          <t>АСУ,А и ТМ (КЦ № 7)</t>
        </is>
      </c>
      <c r="K112" s="243" t="inlineStr"/>
      <c r="L112" s="243" t="inlineStr"/>
      <c r="M112" s="246" t="inlineStr"/>
      <c r="N112" s="245" t="inlineStr"/>
    </row>
    <row r="113" ht="22.5" customHeight="1" s="236">
      <c r="A113" s="243" t="n">
        <v>112</v>
      </c>
      <c r="B113" s="249" t="inlineStr">
        <is>
          <t>Преобразователь избыточного давления</t>
        </is>
      </c>
      <c r="C113" s="248" t="inlineStr">
        <is>
          <t>Метран 150 CD</t>
        </is>
      </c>
      <c r="D113" s="302" t="inlineStr">
        <is>
          <t>6090821</t>
        </is>
      </c>
      <c r="E113" s="245" t="inlineStr"/>
      <c r="F113" s="245" t="inlineStr">
        <is>
          <t>0…250 кПа</t>
        </is>
      </c>
      <c r="G113" s="276" t="inlineStr">
        <is>
          <t>0.1</t>
        </is>
      </c>
      <c r="H113" s="248" t="inlineStr">
        <is>
          <t>∆Рм на фильтрах</t>
        </is>
      </c>
      <c r="I113" s="245" t="inlineStr"/>
      <c r="J113" s="243" t="inlineStr">
        <is>
          <t>АСУ,А и ТМ (КЦ № 7)</t>
        </is>
      </c>
      <c r="K113" s="243" t="inlineStr"/>
      <c r="L113" s="243" t="inlineStr"/>
      <c r="M113" s="246" t="inlineStr"/>
      <c r="N113" s="245" t="inlineStr"/>
    </row>
    <row r="114" ht="22.5" customHeight="1" s="236">
      <c r="A114" s="243" t="n">
        <v>113</v>
      </c>
      <c r="B114" s="249" t="inlineStr">
        <is>
          <t>Преобразователь избыточного давления</t>
        </is>
      </c>
      <c r="C114" s="248" t="inlineStr">
        <is>
          <t>Метран 150 CD</t>
        </is>
      </c>
      <c r="D114" s="302" t="inlineStr">
        <is>
          <t>6067668</t>
        </is>
      </c>
      <c r="E114" s="245" t="inlineStr">
        <is>
          <t>2018</t>
        </is>
      </c>
      <c r="F114" s="245" t="inlineStr">
        <is>
          <t>0…6,3 кПа</t>
        </is>
      </c>
      <c r="G114" s="276" t="inlineStr">
        <is>
          <t>0.1</t>
        </is>
      </c>
      <c r="H114" s="248" t="inlineStr">
        <is>
          <t>Разрежение воздуха на фильтрах ВОУ</t>
        </is>
      </c>
      <c r="I114" s="245" t="inlineStr"/>
      <c r="J114" s="243" t="inlineStr">
        <is>
          <t>АСУ,А и ТМ (КЦ № 7)</t>
        </is>
      </c>
      <c r="K114" s="243" t="inlineStr"/>
      <c r="L114" s="243" t="inlineStr"/>
      <c r="M114" s="246" t="inlineStr"/>
      <c r="N114" s="245" t="inlineStr"/>
    </row>
    <row r="115" ht="22.5" customHeight="1" s="236">
      <c r="A115" s="243" t="n">
        <v>114</v>
      </c>
      <c r="B115" s="249" t="inlineStr">
        <is>
          <t>Преобразователь избыточного давления</t>
        </is>
      </c>
      <c r="C115" s="248" t="inlineStr">
        <is>
          <t>Метран 150 CD</t>
        </is>
      </c>
      <c r="D115" s="302" t="inlineStr">
        <is>
          <t>6067671</t>
        </is>
      </c>
      <c r="E115" s="245" t="inlineStr"/>
      <c r="F115" s="245" t="inlineStr">
        <is>
          <t>0…6,3 кПа</t>
        </is>
      </c>
      <c r="G115" s="276" t="inlineStr">
        <is>
          <t>0.1</t>
        </is>
      </c>
      <c r="H115" s="248" t="inlineStr">
        <is>
          <t>Разрежение воздуха в камере всасывания</t>
        </is>
      </c>
      <c r="I115" s="245" t="inlineStr"/>
      <c r="J115" s="243" t="inlineStr">
        <is>
          <t>АСУ,А и ТМ (КЦ № 7)</t>
        </is>
      </c>
      <c r="K115" s="243" t="inlineStr"/>
      <c r="L115" s="243" t="inlineStr"/>
      <c r="M115" s="246" t="inlineStr"/>
      <c r="N115" s="245" t="inlineStr"/>
    </row>
    <row r="116" ht="22.5" customHeight="1" s="236">
      <c r="A116" s="243" t="n">
        <v>115</v>
      </c>
      <c r="B116" s="249" t="inlineStr">
        <is>
          <t>Преобразователь избыточного давления</t>
        </is>
      </c>
      <c r="C116" s="248" t="inlineStr">
        <is>
          <t>Метран 150 CD</t>
        </is>
      </c>
      <c r="D116" s="302" t="inlineStr">
        <is>
          <t>6129352</t>
        </is>
      </c>
      <c r="E116" s="245" t="inlineStr"/>
      <c r="F116" s="245" t="inlineStr">
        <is>
          <t>0…6,3 кПа</t>
        </is>
      </c>
      <c r="G116" s="276" t="inlineStr">
        <is>
          <t>0.1</t>
        </is>
      </c>
      <c r="H116" s="248" t="inlineStr">
        <is>
          <t>∆Р между давлением на выходе из улитки и атмосферой</t>
        </is>
      </c>
      <c r="I116" s="245" t="inlineStr"/>
      <c r="J116" s="243" t="inlineStr">
        <is>
          <t>АСУ,А и ТМ (КЦ № 7)</t>
        </is>
      </c>
      <c r="K116" s="243" t="inlineStr"/>
      <c r="L116" s="243" t="inlineStr"/>
      <c r="M116" s="246" t="inlineStr"/>
      <c r="N116" s="245" t="inlineStr"/>
    </row>
    <row r="117" ht="22.5" customHeight="1" s="236">
      <c r="A117" s="243" t="n">
        <v>116</v>
      </c>
      <c r="B117" s="249" t="inlineStr">
        <is>
          <t>Преобразователь избыточного давления</t>
        </is>
      </c>
      <c r="C117" s="248" t="inlineStr">
        <is>
          <t>Метран 150 ТА</t>
        </is>
      </c>
      <c r="D117" s="302" t="inlineStr">
        <is>
          <t>6080905</t>
        </is>
      </c>
      <c r="E117" s="245" t="inlineStr">
        <is>
          <t>Jul.18</t>
        </is>
      </c>
      <c r="F117" s="245" t="inlineStr">
        <is>
          <t>0…160 кПа</t>
        </is>
      </c>
      <c r="G117" s="276" t="inlineStr">
        <is>
          <t>0.1</t>
        </is>
      </c>
      <c r="H117" s="248" t="inlineStr">
        <is>
          <t>барометрическое давление</t>
        </is>
      </c>
      <c r="I117" s="245" t="inlineStr">
        <is>
          <t>САУ</t>
        </is>
      </c>
      <c r="J117" s="243" t="inlineStr">
        <is>
          <t>АСУ,А и ТМ (КЦ № 7)</t>
        </is>
      </c>
      <c r="K117" s="243" t="inlineStr"/>
      <c r="L117" s="243" t="inlineStr"/>
      <c r="M117" s="246" t="inlineStr"/>
      <c r="N117" s="245" t="inlineStr"/>
    </row>
    <row r="118" ht="22.5" customHeight="1" s="236">
      <c r="A118" s="243" t="n">
        <v>117</v>
      </c>
      <c r="B118" s="249" t="inlineStr">
        <is>
          <t>Преобразователь избыточного давления</t>
        </is>
      </c>
      <c r="C118" s="248" t="inlineStr">
        <is>
          <t>Метран 150 TG</t>
        </is>
      </c>
      <c r="D118" s="302" t="inlineStr">
        <is>
          <t>6071979</t>
        </is>
      </c>
      <c r="E118" s="245" t="inlineStr"/>
      <c r="F118" s="245" t="inlineStr">
        <is>
          <t>0…1 МПа</t>
        </is>
      </c>
      <c r="G118" s="276" t="inlineStr">
        <is>
          <t>0.1</t>
        </is>
      </c>
      <c r="H118" s="248" t="inlineStr">
        <is>
          <t>Р защитного воздуха из блока подготовки воздуха</t>
        </is>
      </c>
      <c r="I118" s="245" t="inlineStr">
        <is>
          <t>Укрытие</t>
        </is>
      </c>
      <c r="J118" s="243" t="inlineStr">
        <is>
          <t>АСУ,А и ТМ (КЦ № 7)</t>
        </is>
      </c>
      <c r="K118" s="243" t="inlineStr"/>
      <c r="L118" s="243" t="inlineStr"/>
      <c r="M118" s="246" t="inlineStr"/>
      <c r="N118" s="245" t="inlineStr"/>
    </row>
    <row r="119" ht="22.5" customHeight="1" s="236">
      <c r="A119" s="243" t="n">
        <v>118</v>
      </c>
      <c r="B119" s="249" t="inlineStr">
        <is>
          <t>Преобразователь избыточного давления</t>
        </is>
      </c>
      <c r="C119" s="248" t="inlineStr">
        <is>
          <t>Метран 150 TG</t>
        </is>
      </c>
      <c r="D119" s="302" t="inlineStr">
        <is>
          <t>6071978</t>
        </is>
      </c>
      <c r="E119" s="245" t="inlineStr"/>
      <c r="F119" s="245" t="inlineStr">
        <is>
          <t>0…160 кПа</t>
        </is>
      </c>
      <c r="G119" s="276" t="inlineStr">
        <is>
          <t>0.1</t>
        </is>
      </c>
      <c r="H119" s="248" t="inlineStr">
        <is>
          <t>Р воздуха на выходе из ГТД</t>
        </is>
      </c>
      <c r="I119" s="245" t="inlineStr">
        <is>
          <t>Укрытие</t>
        </is>
      </c>
      <c r="J119" s="243" t="inlineStr">
        <is>
          <t>АСУ,А и ТМ (КЦ № 7)</t>
        </is>
      </c>
      <c r="K119" s="243" t="inlineStr"/>
      <c r="L119" s="243" t="inlineStr"/>
      <c r="M119" s="246" t="inlineStr"/>
      <c r="N119" s="245" t="inlineStr"/>
    </row>
    <row r="120" ht="22.5" customHeight="1" s="236">
      <c r="A120" s="243" t="n">
        <v>119</v>
      </c>
      <c r="B120" s="249" t="inlineStr">
        <is>
          <t>Преобразователь избыточного давления</t>
        </is>
      </c>
      <c r="C120" s="248" t="inlineStr">
        <is>
          <t>Метран 150 CD</t>
        </is>
      </c>
      <c r="D120" s="302" t="inlineStr">
        <is>
          <t>6071987</t>
        </is>
      </c>
      <c r="E120" s="245" t="inlineStr"/>
      <c r="F120" s="245" t="inlineStr">
        <is>
          <t>0…25 МПа</t>
        </is>
      </c>
      <c r="G120" s="276" t="inlineStr">
        <is>
          <t>0.1</t>
        </is>
      </c>
      <c r="H120" s="248" t="inlineStr">
        <is>
          <t>∆Р воздуха на фильтре в линии подвода на охлаждение опор ГТД</t>
        </is>
      </c>
      <c r="I120" s="245" t="inlineStr">
        <is>
          <t>Укрытие</t>
        </is>
      </c>
      <c r="J120" s="243" t="inlineStr">
        <is>
          <t>АСУ,А и ТМ (КЦ № 7)</t>
        </is>
      </c>
      <c r="K120" s="243" t="inlineStr"/>
      <c r="L120" s="243" t="inlineStr"/>
      <c r="M120" s="246" t="inlineStr"/>
      <c r="N120" s="245" t="inlineStr"/>
    </row>
    <row r="121" ht="22.5" customHeight="1" s="236">
      <c r="A121" s="243" t="n">
        <v>120</v>
      </c>
      <c r="B121" s="249" t="inlineStr">
        <is>
          <t>Преобразователь избыточного давления</t>
        </is>
      </c>
      <c r="C121" s="248" t="inlineStr">
        <is>
          <t>Метран 150 TG</t>
        </is>
      </c>
      <c r="D121" s="302" t="inlineStr">
        <is>
          <t>6077555</t>
        </is>
      </c>
      <c r="E121" s="245" t="inlineStr"/>
      <c r="F121" s="245" t="inlineStr">
        <is>
          <t>0…160 кПа</t>
        </is>
      </c>
      <c r="G121" s="276" t="inlineStr">
        <is>
          <t>0.1</t>
        </is>
      </c>
      <c r="H121" s="248" t="inlineStr">
        <is>
          <t>Р воздуха на выходе из оболочки радиального подшипника (ПКВ)</t>
        </is>
      </c>
      <c r="I121" s="245" t="inlineStr">
        <is>
          <t>Укрытие</t>
        </is>
      </c>
      <c r="J121" s="243" t="inlineStr">
        <is>
          <t>АСУ,А и ТМ (КЦ № 7)</t>
        </is>
      </c>
      <c r="K121" s="243" t="inlineStr"/>
      <c r="L121" s="243" t="inlineStr"/>
      <c r="M121" s="246" t="inlineStr"/>
      <c r="N121" s="245" t="inlineStr"/>
    </row>
    <row r="122" ht="22.5" customHeight="1" s="236">
      <c r="A122" s="243" t="n">
        <v>121</v>
      </c>
      <c r="B122" s="249" t="inlineStr">
        <is>
          <t>Преобразователь избыточного давления</t>
        </is>
      </c>
      <c r="C122" s="248" t="inlineStr">
        <is>
          <t>Метран 150 TG</t>
        </is>
      </c>
      <c r="D122" s="302" t="inlineStr">
        <is>
          <t>6077546</t>
        </is>
      </c>
      <c r="E122" s="245" t="inlineStr"/>
      <c r="F122" s="245" t="inlineStr">
        <is>
          <t>0…160 кПа</t>
        </is>
      </c>
      <c r="G122" s="276" t="inlineStr">
        <is>
          <t>0.1</t>
        </is>
      </c>
      <c r="H122" s="248" t="inlineStr">
        <is>
          <t>Р воздуха на выходе из оболочки радиального подшипника (ЗКВ)</t>
        </is>
      </c>
      <c r="I122" s="245" t="inlineStr">
        <is>
          <t>Укрытие</t>
        </is>
      </c>
      <c r="J122" s="243" t="inlineStr">
        <is>
          <t>АСУ,А и ТМ (КЦ № 7)</t>
        </is>
      </c>
      <c r="K122" s="243" t="inlineStr"/>
      <c r="L122" s="243" t="inlineStr"/>
      <c r="M122" s="246" t="inlineStr"/>
      <c r="N122" s="245" t="inlineStr"/>
    </row>
    <row r="123" ht="33.75" customHeight="1" s="236">
      <c r="A123" s="243" t="n">
        <v>122</v>
      </c>
      <c r="B123" s="249" t="inlineStr">
        <is>
          <t>Преобразователь избыточного давления</t>
        </is>
      </c>
      <c r="C123" s="248" t="inlineStr">
        <is>
          <t>Метран 150 CD</t>
        </is>
      </c>
      <c r="D123" s="302" t="inlineStr">
        <is>
          <t>6077536</t>
        </is>
      </c>
      <c r="E123" s="245" t="inlineStr"/>
      <c r="F123" s="245" t="inlineStr">
        <is>
          <t>0…250 кПа</t>
        </is>
      </c>
      <c r="G123" s="276" t="inlineStr">
        <is>
          <t>0.1</t>
        </is>
      </c>
      <c r="H123" s="248" t="inlineStr">
        <is>
          <t>∆Р между оболочкой радиального подшипника и второй ступенью ГДУ ( ПКВ)</t>
        </is>
      </c>
      <c r="I123" s="245" t="inlineStr">
        <is>
          <t>Укрытие</t>
        </is>
      </c>
      <c r="J123" s="243" t="inlineStr">
        <is>
          <t>АСУ,А и ТМ (КЦ № 7)</t>
        </is>
      </c>
      <c r="K123" s="243" t="inlineStr"/>
      <c r="L123" s="243" t="inlineStr"/>
      <c r="M123" s="246" t="inlineStr"/>
      <c r="N123" s="245" t="inlineStr"/>
    </row>
    <row r="124" ht="33.75" customHeight="1" s="236">
      <c r="A124" s="243" t="n">
        <v>123</v>
      </c>
      <c r="B124" s="249" t="inlineStr">
        <is>
          <t>Преобразователь избыточного давления</t>
        </is>
      </c>
      <c r="C124" s="248" t="inlineStr">
        <is>
          <t>Метран 150 CD</t>
        </is>
      </c>
      <c r="D124" s="302" t="inlineStr">
        <is>
          <t>6077554</t>
        </is>
      </c>
      <c r="E124" s="245" t="inlineStr"/>
      <c r="F124" s="245" t="inlineStr">
        <is>
          <t>0…250 кПа</t>
        </is>
      </c>
      <c r="G124" s="276" t="inlineStr">
        <is>
          <t>0.1</t>
        </is>
      </c>
      <c r="H124" s="248" t="inlineStr">
        <is>
          <t>∆Р между оболочкой радиального подшипника и второй ступенью ГДУ ( ЗКВ)</t>
        </is>
      </c>
      <c r="I124" s="245" t="inlineStr">
        <is>
          <t>Укрытие</t>
        </is>
      </c>
      <c r="J124" s="243" t="inlineStr">
        <is>
          <t>АСУ,А и ТМ (КЦ № 7)</t>
        </is>
      </c>
      <c r="K124" s="243" t="inlineStr"/>
      <c r="L124" s="243" t="inlineStr"/>
      <c r="M124" s="246" t="inlineStr"/>
      <c r="N124" s="245" t="inlineStr"/>
    </row>
    <row r="125" ht="22.5" customHeight="1" s="236">
      <c r="A125" s="243" t="n">
        <v>124</v>
      </c>
      <c r="B125" s="249" t="inlineStr">
        <is>
          <t>Преобразователь избыточного давления</t>
        </is>
      </c>
      <c r="C125" s="248" t="inlineStr">
        <is>
          <t>Метран 150 CD</t>
        </is>
      </c>
      <c r="D125" s="302" t="inlineStr">
        <is>
          <t>6071988</t>
        </is>
      </c>
      <c r="E125" s="245" t="inlineStr"/>
      <c r="F125" s="245" t="inlineStr">
        <is>
          <t>0…250 кПа</t>
        </is>
      </c>
      <c r="G125" s="276" t="inlineStr">
        <is>
          <t>0.1</t>
        </is>
      </c>
      <c r="H125" s="248" t="inlineStr">
        <is>
          <t>∆Р воздуха на фильтре в линии подвода к МП</t>
        </is>
      </c>
      <c r="I125" s="245" t="inlineStr"/>
      <c r="J125" s="243" t="inlineStr">
        <is>
          <t>АСУ,А и ТМ (КЦ № 7)</t>
        </is>
      </c>
      <c r="K125" s="243" t="inlineStr"/>
      <c r="L125" s="243" t="inlineStr"/>
      <c r="M125" s="246" t="inlineStr"/>
      <c r="N125" s="245" t="inlineStr"/>
    </row>
    <row r="126" ht="22.5" customHeight="1" s="236">
      <c r="A126" s="243" t="n">
        <v>125</v>
      </c>
      <c r="B126" s="249" t="inlineStr">
        <is>
          <t>Преобразователь избыточного давления</t>
        </is>
      </c>
      <c r="C126" s="248" t="inlineStr">
        <is>
          <t>Метран 150 CD</t>
        </is>
      </c>
      <c r="D126" s="302" t="inlineStr">
        <is>
          <t>6071579</t>
        </is>
      </c>
      <c r="E126" s="245" t="inlineStr"/>
      <c r="F126" s="245" t="inlineStr">
        <is>
          <t>0…250 кПа</t>
        </is>
      </c>
      <c r="G126" s="276" t="inlineStr">
        <is>
          <t>0.1</t>
        </is>
      </c>
      <c r="H126" s="248" t="inlineStr">
        <is>
          <t>∆Р буферного газа на фильтре грубой очистки</t>
        </is>
      </c>
      <c r="I126" s="245" t="inlineStr"/>
      <c r="J126" s="243" t="inlineStr">
        <is>
          <t>АСУ,А и ТМ (КЦ № 7)</t>
        </is>
      </c>
      <c r="K126" s="243" t="inlineStr"/>
      <c r="L126" s="243" t="inlineStr"/>
      <c r="M126" s="246" t="inlineStr"/>
      <c r="N126" s="245" t="inlineStr"/>
    </row>
    <row r="127" ht="22.5" customFormat="1" customHeight="1" s="235">
      <c r="A127" s="243" t="n">
        <v>126</v>
      </c>
      <c r="B127" s="249" t="inlineStr">
        <is>
          <t>Преобразователь избыточного давления</t>
        </is>
      </c>
      <c r="C127" s="248" t="inlineStr">
        <is>
          <t>Метран 150 CD</t>
        </is>
      </c>
      <c r="D127" s="302" t="inlineStr">
        <is>
          <t>6074032</t>
        </is>
      </c>
      <c r="E127" s="245" t="inlineStr"/>
      <c r="F127" s="245" t="inlineStr">
        <is>
          <t>0…250 кПа</t>
        </is>
      </c>
      <c r="G127" s="276" t="inlineStr">
        <is>
          <t>0.1</t>
        </is>
      </c>
      <c r="H127" s="248" t="inlineStr">
        <is>
          <t>∆Рбг на фильтре тонкой очистки</t>
        </is>
      </c>
      <c r="I127" s="245" t="inlineStr"/>
      <c r="J127" s="243" t="inlineStr">
        <is>
          <t>АСУ,А и ТМ (КЦ № 7)</t>
        </is>
      </c>
      <c r="K127" s="243" t="inlineStr"/>
      <c r="L127" s="243" t="inlineStr"/>
      <c r="M127" s="246" t="inlineStr"/>
      <c r="N127" s="245" t="inlineStr"/>
      <c r="O127" s="235" t="n"/>
    </row>
    <row r="128" ht="22.5" customHeight="1" s="236">
      <c r="A128" s="243" t="n">
        <v>127</v>
      </c>
      <c r="B128" s="249" t="inlineStr">
        <is>
          <t>Преобразователь избыточного давления</t>
        </is>
      </c>
      <c r="C128" s="248" t="inlineStr">
        <is>
          <t>Метран 150 CD</t>
        </is>
      </c>
      <c r="D128" s="302" t="inlineStr">
        <is>
          <t>6074030</t>
        </is>
      </c>
      <c r="E128" s="245" t="inlineStr"/>
      <c r="F128" s="245" t="inlineStr">
        <is>
          <t>0…250 кПа</t>
        </is>
      </c>
      <c r="G128" s="276" t="inlineStr">
        <is>
          <t>0.1</t>
        </is>
      </c>
      <c r="H128" s="248" t="inlineStr">
        <is>
          <t>∆Р газ-газ в линии ПКВ</t>
        </is>
      </c>
      <c r="I128" s="245" t="inlineStr">
        <is>
          <t>Укрытие</t>
        </is>
      </c>
      <c r="J128" s="243" t="inlineStr">
        <is>
          <t>АСУ,А и ТМ (КЦ № 7)</t>
        </is>
      </c>
      <c r="K128" s="243" t="inlineStr"/>
      <c r="L128" s="243" t="inlineStr"/>
      <c r="M128" s="246" t="inlineStr"/>
      <c r="N128" s="245" t="inlineStr"/>
    </row>
    <row r="129" ht="22.5" customHeight="1" s="236">
      <c r="A129" s="243" t="n">
        <v>128</v>
      </c>
      <c r="B129" s="249" t="inlineStr">
        <is>
          <t>Преобразователь избыточного давления</t>
        </is>
      </c>
      <c r="C129" s="248" t="inlineStr">
        <is>
          <t>Метран 150 CD</t>
        </is>
      </c>
      <c r="D129" s="302" t="inlineStr">
        <is>
          <t>6074031</t>
        </is>
      </c>
      <c r="E129" s="245" t="inlineStr"/>
      <c r="F129" s="245" t="inlineStr">
        <is>
          <t>0…250 кПа</t>
        </is>
      </c>
      <c r="G129" s="276" t="inlineStr">
        <is>
          <t>0.1</t>
        </is>
      </c>
      <c r="H129" s="248" t="inlineStr">
        <is>
          <t>∆Р газ-газ в линии ЗКВ</t>
        </is>
      </c>
      <c r="I129" s="245" t="inlineStr">
        <is>
          <t>Укрытие</t>
        </is>
      </c>
      <c r="J129" s="243" t="inlineStr">
        <is>
          <t>АСУ,А и ТМ (КЦ № 7)</t>
        </is>
      </c>
      <c r="K129" s="243" t="inlineStr"/>
      <c r="L129" s="243" t="inlineStr"/>
      <c r="M129" s="246" t="inlineStr"/>
      <c r="N129" s="245" t="inlineStr"/>
    </row>
    <row r="130" ht="22.5" customHeight="1" s="236">
      <c r="A130" s="243" t="n">
        <v>129</v>
      </c>
      <c r="B130" s="249" t="inlineStr">
        <is>
          <t>Преобразователь избыточного давления</t>
        </is>
      </c>
      <c r="C130" s="248" t="inlineStr">
        <is>
          <t>Метран 150 TG</t>
        </is>
      </c>
      <c r="D130" s="302" t="inlineStr">
        <is>
          <t>6072455</t>
        </is>
      </c>
      <c r="E130" s="245" t="inlineStr"/>
      <c r="F130" s="245" t="inlineStr">
        <is>
          <t>0…1 МПа</t>
        </is>
      </c>
      <c r="G130" s="276" t="inlineStr">
        <is>
          <t>0.1</t>
        </is>
      </c>
      <c r="H130" s="248" t="inlineStr">
        <is>
          <t>Р в линии утечек 1-ой ступени ГДУ ПКВ</t>
        </is>
      </c>
      <c r="I130" s="245" t="inlineStr">
        <is>
          <t>Укрытие</t>
        </is>
      </c>
      <c r="J130" s="243" t="inlineStr">
        <is>
          <t>АСУ,А и ТМ (КЦ № 7)</t>
        </is>
      </c>
      <c r="K130" s="243" t="inlineStr"/>
      <c r="L130" s="243" t="inlineStr"/>
      <c r="M130" s="246" t="inlineStr"/>
      <c r="N130" s="245" t="inlineStr"/>
    </row>
    <row r="131" ht="22.5" customHeight="1" s="236">
      <c r="A131" s="243" t="n">
        <v>130</v>
      </c>
      <c r="B131" s="249" t="inlineStr">
        <is>
          <t>Преобразователь избыточного давления</t>
        </is>
      </c>
      <c r="C131" s="248" t="inlineStr">
        <is>
          <t>Метран 150 TG</t>
        </is>
      </c>
      <c r="D131" s="302" t="inlineStr">
        <is>
          <t>6071593</t>
        </is>
      </c>
      <c r="E131" s="245" t="inlineStr"/>
      <c r="F131" s="245" t="inlineStr">
        <is>
          <t>0…1 МПа</t>
        </is>
      </c>
      <c r="G131" s="276" t="inlineStr">
        <is>
          <t>0.1</t>
        </is>
      </c>
      <c r="H131" s="248" t="inlineStr">
        <is>
          <t>Р в линии утечек 1-ой ступени ГДУ ЗКВ</t>
        </is>
      </c>
      <c r="I131" s="245" t="inlineStr">
        <is>
          <t>Укрытие</t>
        </is>
      </c>
      <c r="J131" s="243" t="inlineStr">
        <is>
          <t>АСУ,А и ТМ (КЦ № 7)</t>
        </is>
      </c>
      <c r="K131" s="243" t="inlineStr"/>
      <c r="L131" s="243" t="inlineStr"/>
      <c r="M131" s="246" t="inlineStr"/>
      <c r="N131" s="245" t="inlineStr"/>
    </row>
    <row r="132" ht="22.5" customHeight="1" s="236">
      <c r="A132" s="243" t="n">
        <v>131</v>
      </c>
      <c r="B132" s="249" t="inlineStr">
        <is>
          <t>Преобразователь избыточного давления</t>
        </is>
      </c>
      <c r="C132" s="248" t="inlineStr">
        <is>
          <t>Метран 150 TG</t>
        </is>
      </c>
      <c r="D132" s="302" t="inlineStr">
        <is>
          <t>61294412</t>
        </is>
      </c>
      <c r="E132" s="245" t="inlineStr"/>
      <c r="F132" s="245" t="inlineStr">
        <is>
          <t>0…25 МПа</t>
        </is>
      </c>
      <c r="G132" s="276" t="inlineStr">
        <is>
          <t>0.1</t>
        </is>
      </c>
      <c r="H132" s="248" t="inlineStr">
        <is>
          <t>Рг перед конфузором</t>
        </is>
      </c>
      <c r="I132" s="245" t="inlineStr">
        <is>
          <t>Укрытие</t>
        </is>
      </c>
      <c r="J132" s="243" t="inlineStr">
        <is>
          <t>АСУ,А и ТМ (КЦ № 7)</t>
        </is>
      </c>
      <c r="K132" s="243" t="inlineStr"/>
      <c r="L132" s="243" t="inlineStr"/>
      <c r="M132" s="246" t="inlineStr"/>
      <c r="N132" s="245" t="inlineStr"/>
    </row>
    <row r="133" ht="22.5" customHeight="1" s="236">
      <c r="A133" s="243" t="n">
        <v>132</v>
      </c>
      <c r="B133" s="249" t="inlineStr">
        <is>
          <t>Преобразователь избыточного давления</t>
        </is>
      </c>
      <c r="C133" s="248" t="inlineStr">
        <is>
          <t>Метран 150 TG</t>
        </is>
      </c>
      <c r="D133" s="302" t="inlineStr">
        <is>
          <t>61294408</t>
        </is>
      </c>
      <c r="E133" s="245" t="inlineStr"/>
      <c r="F133" s="245" t="inlineStr">
        <is>
          <t>0…25 МПа</t>
        </is>
      </c>
      <c r="G133" s="276" t="inlineStr">
        <is>
          <t>0.1</t>
        </is>
      </c>
      <c r="H133" s="248" t="inlineStr">
        <is>
          <t>Рг на входе в компрессор ( после конфузора)</t>
        </is>
      </c>
      <c r="I133" s="245" t="inlineStr">
        <is>
          <t>Укрытие</t>
        </is>
      </c>
      <c r="J133" s="243" t="inlineStr">
        <is>
          <t>АСУ,А и ТМ (КЦ № 7)</t>
        </is>
      </c>
      <c r="K133" s="243" t="inlineStr"/>
      <c r="L133" s="243" t="inlineStr"/>
      <c r="M133" s="246" t="inlineStr"/>
      <c r="N133" s="245" t="inlineStr"/>
    </row>
    <row r="134" ht="22.5" customHeight="1" s="236">
      <c r="A134" s="243" t="n">
        <v>133</v>
      </c>
      <c r="B134" s="249" t="inlineStr">
        <is>
          <t>Преобразователь избыточного давления</t>
        </is>
      </c>
      <c r="C134" s="248" t="inlineStr">
        <is>
          <t>Метран 150 TG</t>
        </is>
      </c>
      <c r="D134" s="302" t="inlineStr">
        <is>
          <t>6129416</t>
        </is>
      </c>
      <c r="E134" s="245" t="inlineStr"/>
      <c r="F134" s="245" t="inlineStr">
        <is>
          <t>0…25 МПа</t>
        </is>
      </c>
      <c r="G134" s="276" t="inlineStr">
        <is>
          <t>0.1</t>
        </is>
      </c>
      <c r="H134" s="248" t="inlineStr">
        <is>
          <t>Рг на выходе из компрессора</t>
        </is>
      </c>
      <c r="I134" s="245" t="inlineStr">
        <is>
          <t>Укрытие</t>
        </is>
      </c>
      <c r="J134" s="243" t="inlineStr">
        <is>
          <t>АСУ,А и ТМ (КЦ № 7)</t>
        </is>
      </c>
      <c r="K134" s="243" t="inlineStr"/>
      <c r="L134" s="243" t="inlineStr"/>
      <c r="M134" s="246" t="inlineStr"/>
      <c r="N134" s="245" t="inlineStr"/>
    </row>
    <row r="135" ht="22.5" customHeight="1" s="236">
      <c r="A135" s="243" t="n">
        <v>134</v>
      </c>
      <c r="B135" s="249" t="inlineStr">
        <is>
          <t>Преобразователь избыточного давления</t>
        </is>
      </c>
      <c r="C135" s="248" t="inlineStr">
        <is>
          <t>YOKOGAWA EJA110E</t>
        </is>
      </c>
      <c r="D135" s="302" t="inlineStr">
        <is>
          <t>91V907127</t>
        </is>
      </c>
      <c r="E135" s="245" t="inlineStr"/>
      <c r="F135" s="245" t="inlineStr">
        <is>
          <t>0…16 МПа</t>
        </is>
      </c>
      <c r="G135" s="276" t="inlineStr">
        <is>
          <t>0.1</t>
        </is>
      </c>
      <c r="H135" s="248" t="inlineStr">
        <is>
          <t>∆Рг на конфузоре</t>
        </is>
      </c>
      <c r="I135" s="245" t="inlineStr">
        <is>
          <t>Укрытие</t>
        </is>
      </c>
      <c r="J135" s="243" t="inlineStr">
        <is>
          <t>АСУ,А и ТМ (КЦ № 7)</t>
        </is>
      </c>
      <c r="K135" s="243" t="inlineStr"/>
      <c r="L135" s="243" t="inlineStr"/>
      <c r="M135" s="246" t="inlineStr"/>
      <c r="N135" s="245" t="inlineStr"/>
    </row>
    <row r="136" ht="22.5" customHeight="1" s="236">
      <c r="A136" s="243" t="n">
        <v>135</v>
      </c>
      <c r="B136" s="249" t="inlineStr">
        <is>
          <t>Преобразователь избыточного давления</t>
        </is>
      </c>
      <c r="C136" s="248" t="inlineStr">
        <is>
          <t>YOKOGAWA EJA530E</t>
        </is>
      </c>
      <c r="D136" s="302" t="inlineStr">
        <is>
          <t>91TC20781</t>
        </is>
      </c>
      <c r="E136" s="245" t="inlineStr"/>
      <c r="F136" s="245" t="inlineStr">
        <is>
          <t>0…2 МПа</t>
        </is>
      </c>
      <c r="G136" s="276" t="inlineStr">
        <is>
          <t>0.1</t>
        </is>
      </c>
      <c r="H136" s="248" t="inlineStr">
        <is>
          <t>Давление воздуха после ВВТ1 агрегата БВВТ25</t>
        </is>
      </c>
      <c r="I136" s="245" t="inlineStr">
        <is>
          <t>Укрытие</t>
        </is>
      </c>
      <c r="J136" s="243" t="inlineStr">
        <is>
          <t>АСУ,А и ТМ (КЦ № 7)</t>
        </is>
      </c>
      <c r="K136" s="243" t="inlineStr"/>
      <c r="L136" s="243" t="inlineStr"/>
      <c r="M136" s="246" t="inlineStr"/>
      <c r="N136" s="245" t="inlineStr"/>
    </row>
    <row r="137" ht="22.5" customHeight="1" s="236">
      <c r="A137" s="243" t="n">
        <v>136</v>
      </c>
      <c r="B137" s="249" t="inlineStr">
        <is>
          <t>Преобразователь избыточного давления</t>
        </is>
      </c>
      <c r="C137" s="248" t="inlineStr">
        <is>
          <t>Метран 150 TG</t>
        </is>
      </c>
      <c r="D137" s="302" t="inlineStr">
        <is>
          <t>1635005</t>
        </is>
      </c>
      <c r="E137" s="245" t="inlineStr"/>
      <c r="F137" s="245" t="inlineStr">
        <is>
          <t>0…16 МПа</t>
        </is>
      </c>
      <c r="G137" s="276" t="inlineStr">
        <is>
          <t>0.1</t>
        </is>
      </c>
      <c r="H137" s="248" t="inlineStr">
        <is>
          <t>Рг на выходе АВО газа</t>
        </is>
      </c>
      <c r="I137" s="245" t="inlineStr">
        <is>
          <t>Улица</t>
        </is>
      </c>
      <c r="J137" s="243" t="inlineStr">
        <is>
          <t>АСУ,А и ТМ (КЦ № 7)</t>
        </is>
      </c>
      <c r="K137" s="243" t="inlineStr"/>
      <c r="L137" s="243" t="inlineStr"/>
      <c r="M137" s="246" t="inlineStr"/>
      <c r="N137" s="245" t="inlineStr"/>
    </row>
    <row r="138" ht="22.5" customHeight="1" s="236">
      <c r="A138" s="243" t="n">
        <v>137</v>
      </c>
      <c r="B138" s="249" t="inlineStr">
        <is>
          <t>Преобразователь избыточного давления</t>
        </is>
      </c>
      <c r="C138" s="248" t="inlineStr">
        <is>
          <t>Метран 150 TG</t>
        </is>
      </c>
      <c r="D138" s="302" t="inlineStr">
        <is>
          <t>1634485</t>
        </is>
      </c>
      <c r="E138" s="245" t="inlineStr"/>
      <c r="F138" s="245" t="inlineStr">
        <is>
          <t>0…16 МПа</t>
        </is>
      </c>
      <c r="G138" s="276" t="inlineStr">
        <is>
          <t>0.1</t>
        </is>
      </c>
      <c r="H138" s="248" t="inlineStr">
        <is>
          <t>Рг после крана 2-1</t>
        </is>
      </c>
      <c r="I138" s="245" t="inlineStr">
        <is>
          <t>КЦ</t>
        </is>
      </c>
      <c r="J138" s="243" t="inlineStr">
        <is>
          <t>АСУ,А и ТМ (КЦ № 7)</t>
        </is>
      </c>
      <c r="K138" s="243" t="inlineStr"/>
      <c r="L138" s="243" t="inlineStr"/>
      <c r="M138" s="246" t="inlineStr"/>
      <c r="N138" s="245" t="inlineStr"/>
    </row>
    <row r="139" ht="22.5" customHeight="1" s="236">
      <c r="A139" s="243" t="n">
        <v>138</v>
      </c>
      <c r="B139" s="249" t="inlineStr">
        <is>
          <t>Преобразователь избыточного давления</t>
        </is>
      </c>
      <c r="C139" s="248" t="inlineStr">
        <is>
          <t>Метран 150 TG</t>
        </is>
      </c>
      <c r="D139" s="302" t="inlineStr">
        <is>
          <t>1635004</t>
        </is>
      </c>
      <c r="E139" s="245" t="inlineStr"/>
      <c r="F139" s="245" t="inlineStr">
        <is>
          <t>0…16 МПа</t>
        </is>
      </c>
      <c r="G139" s="276" t="inlineStr">
        <is>
          <t>0.1</t>
        </is>
      </c>
      <c r="H139" s="248" t="inlineStr">
        <is>
          <t>Рг перед краном 2-1</t>
        </is>
      </c>
      <c r="I139" s="245" t="inlineStr">
        <is>
          <t>КЦ</t>
        </is>
      </c>
      <c r="J139" s="243" t="inlineStr">
        <is>
          <t>АСУ,А и ТМ (КЦ № 7)</t>
        </is>
      </c>
      <c r="K139" s="243" t="inlineStr"/>
      <c r="L139" s="243" t="inlineStr"/>
      <c r="M139" s="246" t="inlineStr"/>
      <c r="N139" s="245" t="inlineStr"/>
    </row>
    <row r="140" ht="22.5" customHeight="1" s="236">
      <c r="A140" s="243" t="n">
        <v>139</v>
      </c>
      <c r="B140" s="249" t="inlineStr">
        <is>
          <t>Преобразователь избыточного давления</t>
        </is>
      </c>
      <c r="C140" s="248" t="inlineStr">
        <is>
          <t>Метран 150 CD</t>
        </is>
      </c>
      <c r="D140" s="302" t="inlineStr">
        <is>
          <t>1634474</t>
        </is>
      </c>
      <c r="E140" s="245" t="inlineStr"/>
      <c r="F140" s="245" t="inlineStr">
        <is>
          <t>0…10 МПа</t>
        </is>
      </c>
      <c r="G140" s="276" t="inlineStr">
        <is>
          <t>0.1</t>
        </is>
      </c>
      <c r="H140" s="248" t="inlineStr">
        <is>
          <t>∆Рг на кране 1-1</t>
        </is>
      </c>
      <c r="I140" s="245" t="inlineStr">
        <is>
          <t>КЦ</t>
        </is>
      </c>
      <c r="J140" s="243" t="inlineStr">
        <is>
          <t>АСУ,А и ТМ (КЦ № 7)</t>
        </is>
      </c>
      <c r="K140" s="243" t="inlineStr"/>
      <c r="L140" s="243" t="inlineStr"/>
      <c r="M140" s="246" t="inlineStr"/>
      <c r="N140" s="245" t="inlineStr"/>
    </row>
    <row r="141" ht="22.5" customHeight="1" s="236">
      <c r="A141" s="243" t="n">
        <v>140</v>
      </c>
      <c r="B141" s="249" t="inlineStr">
        <is>
          <t>Преобразователь избыточного давления</t>
        </is>
      </c>
      <c r="C141" s="248" t="inlineStr">
        <is>
          <t>Метран 150 CD</t>
        </is>
      </c>
      <c r="D141" s="302" t="inlineStr">
        <is>
          <t>1634469</t>
        </is>
      </c>
      <c r="E141" s="245" t="inlineStr"/>
      <c r="F141" s="245" t="inlineStr">
        <is>
          <t>0…10 МПа</t>
        </is>
      </c>
      <c r="G141" s="276" t="inlineStr">
        <is>
          <t>0.1</t>
        </is>
      </c>
      <c r="H141" s="248" t="inlineStr">
        <is>
          <t>∆Рг на кране 1</t>
        </is>
      </c>
      <c r="I141" s="245" t="inlineStr">
        <is>
          <t>КЦ</t>
        </is>
      </c>
      <c r="J141" s="243" t="inlineStr">
        <is>
          <t>АСУ,А и ТМ (КЦ № 7)</t>
        </is>
      </c>
      <c r="K141" s="243" t="inlineStr"/>
      <c r="L141" s="243" t="inlineStr"/>
      <c r="M141" s="246" t="inlineStr"/>
      <c r="N141" s="245" t="inlineStr"/>
    </row>
    <row r="142" ht="22.5" customHeight="1" s="236">
      <c r="A142" s="243" t="n">
        <v>141</v>
      </c>
      <c r="B142" s="249" t="inlineStr">
        <is>
          <t>Преобразователь избыточного давления</t>
        </is>
      </c>
      <c r="C142" s="248" t="inlineStr">
        <is>
          <t>Метран 150 CD</t>
        </is>
      </c>
      <c r="D142" s="302" t="inlineStr">
        <is>
          <t>1634572</t>
        </is>
      </c>
      <c r="E142" s="245" t="inlineStr"/>
      <c r="F142" s="245" t="inlineStr">
        <is>
          <t>0…250 кПа</t>
        </is>
      </c>
      <c r="G142" s="276" t="inlineStr">
        <is>
          <t>0.1</t>
        </is>
      </c>
      <c r="H142" s="248" t="inlineStr">
        <is>
          <t>∆Рг на защитной решетке перед компрессором</t>
        </is>
      </c>
      <c r="I142" s="245" t="inlineStr">
        <is>
          <t>КЦ</t>
        </is>
      </c>
      <c r="J142" s="243" t="inlineStr">
        <is>
          <t>АСУ,А и ТМ (КЦ № 7)</t>
        </is>
      </c>
      <c r="K142" s="243" t="inlineStr"/>
      <c r="L142" s="243" t="inlineStr"/>
      <c r="M142" s="246" t="inlineStr"/>
      <c r="N142" s="245" t="inlineStr"/>
    </row>
    <row r="143" ht="22.5" customHeight="1" s="236">
      <c r="A143" s="243" t="n">
        <v>142</v>
      </c>
      <c r="B143" s="249" t="inlineStr">
        <is>
          <t>Преобразователь избыточного давления</t>
        </is>
      </c>
      <c r="C143" s="248" t="inlineStr">
        <is>
          <t>Метран 150 CD</t>
        </is>
      </c>
      <c r="D143" s="302" t="inlineStr">
        <is>
          <t>1634569</t>
        </is>
      </c>
      <c r="E143" s="245" t="inlineStr"/>
      <c r="F143" s="245" t="inlineStr">
        <is>
          <t>0…250 кПа</t>
        </is>
      </c>
      <c r="G143" s="276" t="inlineStr">
        <is>
          <t>0.1</t>
        </is>
      </c>
      <c r="H143" s="248" t="inlineStr">
        <is>
          <t>∆Рг на АВО газа</t>
        </is>
      </c>
      <c r="I143" s="245" t="inlineStr">
        <is>
          <t>КЦ</t>
        </is>
      </c>
      <c r="J143" s="243" t="inlineStr">
        <is>
          <t>АСУ,А и ТМ (КЦ № 7)</t>
        </is>
      </c>
      <c r="K143" s="243" t="inlineStr"/>
      <c r="L143" s="243" t="inlineStr"/>
      <c r="M143" s="246" t="inlineStr"/>
      <c r="N143" s="245" t="inlineStr"/>
    </row>
    <row r="144" ht="22.5" customHeight="1" s="236">
      <c r="A144" s="243" t="n">
        <v>143</v>
      </c>
      <c r="B144" s="249" t="inlineStr">
        <is>
          <t>Преобразователь давления корабельный</t>
        </is>
      </c>
      <c r="C144" s="248" t="inlineStr">
        <is>
          <t>ВАЛКОМ ПДК-ВО-Д-250К-А-2-Б04-Н-01-Д20</t>
        </is>
      </c>
      <c r="D144" s="302" t="inlineStr">
        <is>
          <t>8К10983</t>
        </is>
      </c>
      <c r="E144" s="245" t="inlineStr"/>
      <c r="F144" s="245" t="inlineStr">
        <is>
          <t>0…250 кПа</t>
        </is>
      </c>
      <c r="G144" s="276" t="inlineStr">
        <is>
          <t>0.25</t>
        </is>
      </c>
      <c r="H144" s="248" t="inlineStr">
        <is>
          <t>∆Р на фильтре №1 БФТГ</t>
        </is>
      </c>
      <c r="I144" s="245" t="inlineStr">
        <is>
          <t>КЦ</t>
        </is>
      </c>
      <c r="J144" s="243" t="inlineStr">
        <is>
          <t>АСУ,А и ТМ (КЦ № 7)</t>
        </is>
      </c>
      <c r="K144" s="243" t="inlineStr"/>
      <c r="L144" s="243" t="inlineStr"/>
      <c r="M144" s="246" t="inlineStr"/>
      <c r="N144" s="245" t="inlineStr"/>
    </row>
    <row r="145" ht="22.5" customHeight="1" s="236">
      <c r="A145" s="243" t="n">
        <v>144</v>
      </c>
      <c r="B145" s="249" t="inlineStr">
        <is>
          <t>Преобразователь давления корабельный</t>
        </is>
      </c>
      <c r="C145" s="248" t="inlineStr">
        <is>
          <t>ВАЛКОМ ПДК-ВО-Д-250К-А-2-Б04-Н-01-Д20</t>
        </is>
      </c>
      <c r="D145" s="302" t="inlineStr">
        <is>
          <t>8К10998</t>
        </is>
      </c>
      <c r="E145" s="245" t="inlineStr"/>
      <c r="F145" s="245" t="inlineStr">
        <is>
          <t>0…250 кПа</t>
        </is>
      </c>
      <c r="G145" s="276" t="inlineStr">
        <is>
          <t>0.25</t>
        </is>
      </c>
      <c r="H145" s="248" t="inlineStr">
        <is>
          <t>∆Р на фильтре №2 БФТГ</t>
        </is>
      </c>
      <c r="I145" s="245" t="inlineStr">
        <is>
          <t>КЦ</t>
        </is>
      </c>
      <c r="J145" s="243" t="inlineStr">
        <is>
          <t>АСУ,А и ТМ (КЦ № 7)</t>
        </is>
      </c>
      <c r="K145" s="243" t="inlineStr"/>
      <c r="L145" s="243" t="inlineStr"/>
      <c r="M145" s="246" t="inlineStr"/>
      <c r="N145" s="245" t="inlineStr"/>
    </row>
    <row r="146" ht="22.5" customHeight="1" s="236">
      <c r="A146" s="243" t="n">
        <v>145</v>
      </c>
      <c r="B146" s="249" t="inlineStr">
        <is>
          <t>Преобразователь давления корабельный</t>
        </is>
      </c>
      <c r="C146" s="248" t="inlineStr">
        <is>
          <t>ВАЛКОМ ПДК-ВО-Д-250К-А-2-Б04-Н-01-Д20</t>
        </is>
      </c>
      <c r="D146" s="302" t="inlineStr">
        <is>
          <t>8К10980</t>
        </is>
      </c>
      <c r="E146" s="245" t="inlineStr"/>
      <c r="F146" s="245" t="inlineStr">
        <is>
          <t>0…250 кПа</t>
        </is>
      </c>
      <c r="G146" s="276" t="inlineStr">
        <is>
          <t>0.25</t>
        </is>
      </c>
      <c r="H146" s="248" t="inlineStr">
        <is>
          <t>∆Р на фильтре №1 БФБГ</t>
        </is>
      </c>
      <c r="I146" s="245" t="inlineStr">
        <is>
          <t>КЦ</t>
        </is>
      </c>
      <c r="J146" s="243" t="inlineStr">
        <is>
          <t>АСУ,А и ТМ (КЦ № 7)</t>
        </is>
      </c>
      <c r="K146" s="243" t="inlineStr"/>
      <c r="L146" s="243" t="inlineStr"/>
      <c r="M146" s="246" t="inlineStr"/>
      <c r="N146" s="245" t="inlineStr"/>
    </row>
    <row r="147" ht="22.5" customHeight="1" s="236">
      <c r="A147" s="243" t="n">
        <v>146</v>
      </c>
      <c r="B147" s="249" t="inlineStr">
        <is>
          <t>Преобразователь давления корабельный</t>
        </is>
      </c>
      <c r="C147" s="248" t="inlineStr">
        <is>
          <t>ВАЛКОМ ПДК-ВО-Д-250К-А-2-Б04-Н-01-Д20</t>
        </is>
      </c>
      <c r="D147" s="302" t="inlineStr">
        <is>
          <t>8К10988</t>
        </is>
      </c>
      <c r="E147" s="245" t="inlineStr"/>
      <c r="F147" s="245" t="inlineStr">
        <is>
          <t>0…250 кПа</t>
        </is>
      </c>
      <c r="G147" s="276" t="inlineStr">
        <is>
          <t>0.25</t>
        </is>
      </c>
      <c r="H147" s="248" t="inlineStr">
        <is>
          <t>∆Р на фильтре №2 БФБГ</t>
        </is>
      </c>
      <c r="I147" s="245" t="inlineStr">
        <is>
          <t>КЦ</t>
        </is>
      </c>
      <c r="J147" s="243" t="inlineStr">
        <is>
          <t>АСУ,А и ТМ (КЦ № 7)</t>
        </is>
      </c>
      <c r="K147" s="243" t="inlineStr"/>
      <c r="L147" s="243" t="inlineStr"/>
      <c r="M147" s="246" t="inlineStr"/>
      <c r="N147" s="245" t="inlineStr"/>
    </row>
    <row r="148" ht="22.5" customHeight="1" s="236">
      <c r="A148" s="243" t="n">
        <v>147</v>
      </c>
      <c r="B148" s="249" t="inlineStr">
        <is>
          <t>Преобразователь избыточного давления</t>
        </is>
      </c>
      <c r="C148" s="248" t="inlineStr">
        <is>
          <t>Метран 150 CD</t>
        </is>
      </c>
      <c r="D148" s="302" t="inlineStr">
        <is>
          <t>6064461</t>
        </is>
      </c>
      <c r="E148" s="245" t="inlineStr"/>
      <c r="F148" s="245" t="inlineStr">
        <is>
          <t>0…250 кПа</t>
        </is>
      </c>
      <c r="G148" s="276" t="inlineStr">
        <is>
          <t>0.1</t>
        </is>
      </c>
      <c r="H148" s="248" t="inlineStr">
        <is>
          <t>∆Рбг на сепараторе СГУ</t>
        </is>
      </c>
      <c r="I148" s="245" t="inlineStr"/>
      <c r="J148" s="243" t="inlineStr">
        <is>
          <t>АСУ,А и ТМ (КЦ № 7)</t>
        </is>
      </c>
      <c r="K148" s="243" t="inlineStr"/>
      <c r="L148" s="243" t="inlineStr"/>
      <c r="M148" s="246" t="inlineStr"/>
      <c r="N148" s="245" t="inlineStr"/>
    </row>
    <row r="149" ht="22.5" customHeight="1" s="236">
      <c r="A149" s="243" t="n">
        <v>148</v>
      </c>
      <c r="B149" s="249" t="inlineStr">
        <is>
          <t>Преобразователь избыточного давления</t>
        </is>
      </c>
      <c r="C149" s="248" t="inlineStr">
        <is>
          <t>Метран 150 CD</t>
        </is>
      </c>
      <c r="D149" s="302" t="inlineStr">
        <is>
          <t>6074029</t>
        </is>
      </c>
      <c r="E149" s="245" t="inlineStr"/>
      <c r="F149" s="245" t="inlineStr">
        <is>
          <t>0…250 кПа</t>
        </is>
      </c>
      <c r="G149" s="276" t="inlineStr">
        <is>
          <t>0.1</t>
        </is>
      </c>
      <c r="H149" s="248" t="inlineStr">
        <is>
          <t>∆Рбг на фильтре-сепараторе</t>
        </is>
      </c>
      <c r="I149" s="245" t="inlineStr"/>
      <c r="J149" s="243" t="inlineStr">
        <is>
          <t>АСУ,А и ТМ (КЦ № 7)</t>
        </is>
      </c>
      <c r="K149" s="243" t="inlineStr"/>
      <c r="L149" s="243" t="inlineStr"/>
      <c r="M149" s="246" t="inlineStr"/>
      <c r="N149" s="245" t="inlineStr"/>
    </row>
    <row r="150" ht="22.5" customHeight="1" s="236">
      <c r="A150" s="243" t="n">
        <v>149</v>
      </c>
      <c r="B150" s="249" t="inlineStr">
        <is>
          <t>Преобразователь избыточного давления</t>
        </is>
      </c>
      <c r="C150" s="248" t="inlineStr">
        <is>
          <t>Метран 150 TG</t>
        </is>
      </c>
      <c r="D150" s="302" t="inlineStr">
        <is>
          <t>6081376</t>
        </is>
      </c>
      <c r="E150" s="245" t="inlineStr">
        <is>
          <t>Jul.18</t>
        </is>
      </c>
      <c r="F150" s="245" t="inlineStr">
        <is>
          <t>0…160 кПа</t>
        </is>
      </c>
      <c r="G150" s="276" t="inlineStr">
        <is>
          <t>0.1</t>
        </is>
      </c>
      <c r="H150" s="248" t="inlineStr">
        <is>
          <t>Рв в установке воздухонагнетателя №1</t>
        </is>
      </c>
      <c r="I150" s="245" t="inlineStr">
        <is>
          <t>БКВ</t>
        </is>
      </c>
      <c r="J150" s="243" t="inlineStr">
        <is>
          <t>АСУ,А и ТМ (КЦ № 7)</t>
        </is>
      </c>
      <c r="K150" s="243" t="inlineStr"/>
      <c r="L150" s="243" t="inlineStr"/>
      <c r="M150" s="246" t="inlineStr"/>
      <c r="N150" s="245" t="inlineStr"/>
    </row>
    <row r="151" ht="22.5" customHeight="1" s="236">
      <c r="A151" s="243" t="n">
        <v>150</v>
      </c>
      <c r="B151" s="249" t="inlineStr">
        <is>
          <t>Преобразователь избыточного давления</t>
        </is>
      </c>
      <c r="C151" s="248" t="inlineStr">
        <is>
          <t>Метран 150 TG</t>
        </is>
      </c>
      <c r="D151" s="302" t="inlineStr">
        <is>
          <t>6085981</t>
        </is>
      </c>
      <c r="E151" s="245" t="inlineStr">
        <is>
          <t>Sep.18</t>
        </is>
      </c>
      <c r="F151" s="245" t="inlineStr">
        <is>
          <t>0…6 МПа</t>
        </is>
      </c>
      <c r="G151" s="276" t="inlineStr">
        <is>
          <t>0.1</t>
        </is>
      </c>
      <c r="H151" s="248" t="inlineStr">
        <is>
          <t>Давление воздуха на линии подвода к ресиверу</t>
        </is>
      </c>
      <c r="I151" s="245" t="inlineStr"/>
      <c r="J151" s="243" t="inlineStr">
        <is>
          <t>АСУ,А и ТМ (КЦ № 7)</t>
        </is>
      </c>
      <c r="K151" s="243" t="inlineStr"/>
      <c r="L151" s="243" t="inlineStr"/>
      <c r="M151" s="246" t="inlineStr"/>
      <c r="N151" s="245" t="inlineStr"/>
    </row>
    <row r="152" ht="22.5" customHeight="1" s="236">
      <c r="A152" s="243" t="n">
        <v>151</v>
      </c>
      <c r="B152" s="249" t="inlineStr">
        <is>
          <t>Преобразователь избыточного давления</t>
        </is>
      </c>
      <c r="C152" s="248" t="inlineStr">
        <is>
          <t>Метран 150 TG</t>
        </is>
      </c>
      <c r="D152" s="302" t="inlineStr">
        <is>
          <t>6081379</t>
        </is>
      </c>
      <c r="E152" s="245" t="inlineStr">
        <is>
          <t>Jul.18</t>
        </is>
      </c>
      <c r="F152" s="245" t="inlineStr">
        <is>
          <t>0…160 кПа</t>
        </is>
      </c>
      <c r="G152" s="276" t="inlineStr">
        <is>
          <t>0.1</t>
        </is>
      </c>
      <c r="H152" s="248" t="inlineStr">
        <is>
          <t>Рв в установке воздухонагнетателя №2</t>
        </is>
      </c>
      <c r="I152" s="245" t="inlineStr"/>
      <c r="J152" s="243" t="inlineStr">
        <is>
          <t>АСУ,А и ТМ (КЦ № 7)</t>
        </is>
      </c>
      <c r="K152" s="243" t="inlineStr"/>
      <c r="L152" s="243" t="inlineStr"/>
      <c r="M152" s="246" t="inlineStr"/>
      <c r="N152" s="245" t="inlineStr"/>
      <c r="P152" s="341" t="n"/>
    </row>
    <row r="153" ht="22.5" customHeight="1" s="236">
      <c r="A153" s="243" t="n">
        <v>152</v>
      </c>
      <c r="B153" s="249" t="inlineStr">
        <is>
          <t>Преобразователь избыточного давления</t>
        </is>
      </c>
      <c r="C153" s="248" t="inlineStr">
        <is>
          <t>Метран 150 TG</t>
        </is>
      </c>
      <c r="D153" s="302" t="inlineStr">
        <is>
          <t>6085988</t>
        </is>
      </c>
      <c r="E153" s="245" t="inlineStr">
        <is>
          <t>Sep.18</t>
        </is>
      </c>
      <c r="F153" s="245" t="inlineStr">
        <is>
          <t>0…160 кПа</t>
        </is>
      </c>
      <c r="G153" s="276" t="inlineStr">
        <is>
          <t>0.1</t>
        </is>
      </c>
      <c r="H153" s="248" t="inlineStr">
        <is>
          <t>Рв на выходе из БКВ к укрытию ГПА</t>
        </is>
      </c>
      <c r="I153" s="245" t="inlineStr"/>
      <c r="J153" s="243" t="inlineStr">
        <is>
          <t>АСУ,А и ТМ (КЦ № 7)</t>
        </is>
      </c>
      <c r="K153" s="243" t="inlineStr"/>
      <c r="L153" s="243" t="inlineStr"/>
      <c r="M153" s="246" t="inlineStr"/>
      <c r="N153" s="245" t="inlineStr"/>
    </row>
    <row r="154" ht="22.5" customHeight="1" s="236">
      <c r="A154" s="243" t="n">
        <v>153</v>
      </c>
      <c r="B154" s="249" t="inlineStr">
        <is>
          <t>Преобразователь избыточного давления</t>
        </is>
      </c>
      <c r="C154" s="248" t="inlineStr">
        <is>
          <t>Метран 150 CD</t>
        </is>
      </c>
      <c r="D154" s="302" t="inlineStr">
        <is>
          <t>6104417</t>
        </is>
      </c>
      <c r="E154" s="245" t="inlineStr"/>
      <c r="F154" s="245" t="inlineStr">
        <is>
          <t>0…6,3 кПа</t>
        </is>
      </c>
      <c r="G154" s="276" t="inlineStr">
        <is>
          <t>0.1</t>
        </is>
      </c>
      <c r="H154" s="248" t="inlineStr">
        <is>
          <t>∆Р воздуха в выходном воздуховоде БС</t>
        </is>
      </c>
      <c r="I154" s="245" t="inlineStr"/>
      <c r="J154" s="243" t="inlineStr">
        <is>
          <t>АСУ,А и ТМ (КЦ № 7)</t>
        </is>
      </c>
      <c r="K154" s="243" t="inlineStr"/>
      <c r="L154" s="243" t="inlineStr"/>
      <c r="M154" s="246" t="inlineStr"/>
      <c r="N154" s="245" t="inlineStr"/>
    </row>
    <row r="155" ht="22.5" customHeight="1" s="236">
      <c r="A155" s="243" t="n">
        <v>154</v>
      </c>
      <c r="B155" s="249" t="inlineStr">
        <is>
          <t>Термометр сопротивления</t>
        </is>
      </c>
      <c r="C155" s="248" t="inlineStr">
        <is>
          <t>ИПТВ-206</t>
        </is>
      </c>
      <c r="D155" s="302" t="inlineStr">
        <is>
          <t>09-0575</t>
        </is>
      </c>
      <c r="E155" s="245" t="inlineStr">
        <is>
          <t>2018</t>
        </is>
      </c>
      <c r="F155" s="245" t="inlineStr">
        <is>
          <t>-60…110 °С 0…100%</t>
        </is>
      </c>
      <c r="G155" s="276" t="inlineStr">
        <is>
          <t>± 2%</t>
        </is>
      </c>
      <c r="H155" s="248" t="inlineStr">
        <is>
          <t>Температура и влажность наружного воздуха (МТ2051)</t>
        </is>
      </c>
      <c r="I155" s="245" t="inlineStr"/>
      <c r="J155" s="243" t="inlineStr">
        <is>
          <t>АСУ,А и ТМ (КЦ № 7)</t>
        </is>
      </c>
      <c r="K155" s="243" t="inlineStr"/>
      <c r="L155" s="243" t="inlineStr"/>
      <c r="M155" s="246" t="inlineStr"/>
      <c r="N155" s="245" t="inlineStr"/>
    </row>
    <row r="156" ht="22.5" customHeight="1" s="236">
      <c r="A156" s="243" t="n">
        <v>155</v>
      </c>
      <c r="B156" s="249" t="inlineStr">
        <is>
          <t>Термометр сопротивления</t>
        </is>
      </c>
      <c r="C156" s="248" t="inlineStr">
        <is>
          <t>ТСП 012.60</t>
        </is>
      </c>
      <c r="D156" s="302" t="inlineStr">
        <is>
          <t>625</t>
        </is>
      </c>
      <c r="E156" s="245" t="inlineStr"/>
      <c r="F156" s="245" t="inlineStr">
        <is>
          <t>-60…200 °С 120 мм</t>
        </is>
      </c>
      <c r="G156" s="276" t="inlineStr"/>
      <c r="H156" s="248" t="inlineStr">
        <is>
          <t>Температура масла на входе в ГМТ (ТЕ6003)</t>
        </is>
      </c>
      <c r="I156" s="245" t="inlineStr"/>
      <c r="J156" s="243" t="inlineStr">
        <is>
          <t>АСУ,А и ТМ (КЦ № 7)</t>
        </is>
      </c>
      <c r="K156" s="243" t="inlineStr"/>
      <c r="L156" s="243" t="inlineStr"/>
      <c r="M156" s="246" t="inlineStr"/>
      <c r="N156" s="245" t="inlineStr"/>
    </row>
    <row r="157" ht="22.5" customHeight="1" s="236">
      <c r="A157" s="243" t="n">
        <v>156</v>
      </c>
      <c r="B157" s="249" t="inlineStr">
        <is>
          <t>Термометр сопротивления</t>
        </is>
      </c>
      <c r="C157" s="248" t="inlineStr">
        <is>
          <t>ТСП 012.60</t>
        </is>
      </c>
      <c r="D157" s="302" t="inlineStr">
        <is>
          <t>627</t>
        </is>
      </c>
      <c r="E157" s="245" t="inlineStr"/>
      <c r="F157" s="245" t="inlineStr">
        <is>
          <t>-60…200 °С 120 мм</t>
        </is>
      </c>
      <c r="G157" s="276" t="inlineStr"/>
      <c r="H157" s="248" t="inlineStr">
        <is>
          <t>Тм после ГМТ (ТЕ6004)</t>
        </is>
      </c>
      <c r="I157" s="245" t="inlineStr"/>
      <c r="J157" s="243" t="inlineStr">
        <is>
          <t>АСУ,А и ТМ (КЦ № 7)</t>
        </is>
      </c>
      <c r="K157" s="243" t="inlineStr"/>
      <c r="L157" s="243" t="inlineStr"/>
      <c r="M157" s="246" t="inlineStr"/>
      <c r="N157" s="245" t="inlineStr"/>
    </row>
    <row r="158" ht="22.5" customHeight="1" s="236">
      <c r="A158" s="243" t="n">
        <v>157</v>
      </c>
      <c r="B158" s="249" t="inlineStr">
        <is>
          <t>Термометр сопротивления</t>
        </is>
      </c>
      <c r="C158" s="248" t="inlineStr">
        <is>
          <t>ТСП 012.60</t>
        </is>
      </c>
      <c r="D158" s="302" t="inlineStr">
        <is>
          <t>626</t>
        </is>
      </c>
      <c r="E158" s="245" t="inlineStr"/>
      <c r="F158" s="245" t="inlineStr">
        <is>
          <t>-60…200 °С 120 мм</t>
        </is>
      </c>
      <c r="G158" s="276" t="inlineStr"/>
      <c r="H158" s="248" t="inlineStr">
        <is>
          <t>Тм в баке двигателя (ТЕ6005)</t>
        </is>
      </c>
      <c r="I158" s="245" t="inlineStr"/>
      <c r="J158" s="243" t="inlineStr">
        <is>
          <t>АСУ,А и ТМ (КЦ № 7)</t>
        </is>
      </c>
      <c r="K158" s="243" t="inlineStr"/>
      <c r="L158" s="243" t="inlineStr"/>
      <c r="M158" s="246" t="inlineStr"/>
      <c r="N158" s="245" t="inlineStr"/>
    </row>
    <row r="159" ht="22.5" customHeight="1" s="236">
      <c r="A159" s="243" t="n">
        <v>158</v>
      </c>
      <c r="B159" s="249" t="inlineStr">
        <is>
          <t>Термометр сопротивления</t>
        </is>
      </c>
      <c r="C159" s="248" t="inlineStr">
        <is>
          <t>ТСП 012.60</t>
        </is>
      </c>
      <c r="D159" s="302" t="inlineStr">
        <is>
          <t>36</t>
        </is>
      </c>
      <c r="E159" s="245" t="inlineStr"/>
      <c r="F159" s="245" t="inlineStr">
        <is>
          <t>-60…200 °С 320 мм</t>
        </is>
      </c>
      <c r="G159" s="276" t="inlineStr"/>
      <c r="H159" s="248" t="inlineStr">
        <is>
          <t>Т воздуха в выходном воздуховоде блока силового (ТЕ4001)</t>
        </is>
      </c>
      <c r="I159" s="245" t="inlineStr"/>
      <c r="J159" s="243" t="inlineStr">
        <is>
          <t>АСУ,А и ТМ (КЦ № 7)</t>
        </is>
      </c>
      <c r="K159" s="243" t="inlineStr"/>
      <c r="L159" s="243" t="inlineStr"/>
      <c r="M159" s="246" t="inlineStr"/>
      <c r="N159" s="245" t="inlineStr"/>
    </row>
    <row r="160" ht="22.5" customHeight="1" s="236">
      <c r="A160" s="243" t="n">
        <v>159</v>
      </c>
      <c r="B160" s="249" t="inlineStr">
        <is>
          <t>Термометр сопротивления</t>
        </is>
      </c>
      <c r="C160" s="248" t="inlineStr">
        <is>
          <t>ТСП 012.60</t>
        </is>
      </c>
      <c r="D160" s="302" t="inlineStr">
        <is>
          <t>799</t>
        </is>
      </c>
      <c r="E160" s="245" t="inlineStr"/>
      <c r="F160" s="245" t="inlineStr">
        <is>
          <t>-60…200 °С 100 мм</t>
        </is>
      </c>
      <c r="G160" s="276" t="inlineStr"/>
      <c r="H160" s="248" t="inlineStr">
        <is>
          <t>Тг на входе в ГПА (ТЕ5101)</t>
        </is>
      </c>
      <c r="I160" s="245" t="inlineStr"/>
      <c r="J160" s="243" t="inlineStr">
        <is>
          <t>АСУ,А и ТМ (КЦ № 7)</t>
        </is>
      </c>
      <c r="K160" s="243" t="inlineStr"/>
      <c r="L160" s="243" t="inlineStr"/>
      <c r="M160" s="246" t="inlineStr"/>
      <c r="N160" s="245" t="inlineStr"/>
    </row>
    <row r="161" ht="22.5" customHeight="1" s="236">
      <c r="A161" s="243" t="n">
        <v>160</v>
      </c>
      <c r="B161" s="249" t="inlineStr">
        <is>
          <t>Термометр сопротивления</t>
        </is>
      </c>
      <c r="C161" s="248" t="inlineStr">
        <is>
          <t>ТСП 012.60</t>
        </is>
      </c>
      <c r="D161" s="302" t="inlineStr">
        <is>
          <t>809</t>
        </is>
      </c>
      <c r="E161" s="245" t="inlineStr"/>
      <c r="F161" s="245" t="inlineStr">
        <is>
          <t>-60…200 °С 100 мм</t>
        </is>
      </c>
      <c r="G161" s="276" t="inlineStr"/>
      <c r="H161" s="248" t="inlineStr">
        <is>
          <t>Тг на входе в турбоблок (ТЕ5102)</t>
        </is>
      </c>
      <c r="I161" s="245" t="inlineStr"/>
      <c r="J161" s="243" t="inlineStr">
        <is>
          <t>АСУ,А и ТМ (КЦ № 7)</t>
        </is>
      </c>
      <c r="K161" s="243" t="inlineStr"/>
      <c r="L161" s="243" t="inlineStr"/>
      <c r="M161" s="246" t="inlineStr"/>
      <c r="N161" s="245" t="inlineStr"/>
    </row>
    <row r="162" ht="22.5" customHeight="1" s="236">
      <c r="A162" s="243" t="n">
        <v>161</v>
      </c>
      <c r="B162" s="249" t="inlineStr">
        <is>
          <t>Термометр сопротивления</t>
        </is>
      </c>
      <c r="C162" s="248" t="inlineStr">
        <is>
          <t>ТСП 012.60</t>
        </is>
      </c>
      <c r="D162" s="302" t="inlineStr">
        <is>
          <t>788</t>
        </is>
      </c>
      <c r="E162" s="245" t="inlineStr"/>
      <c r="F162" s="245" t="inlineStr">
        <is>
          <t>-60…200 °С 100 мм</t>
        </is>
      </c>
      <c r="G162" s="276" t="inlineStr"/>
      <c r="H162" s="248" t="inlineStr">
        <is>
          <t>Тг на выходе подогревателя (ТЕ5103)</t>
        </is>
      </c>
      <c r="I162" s="245" t="inlineStr"/>
      <c r="J162" s="243" t="inlineStr">
        <is>
          <t>АСУ,А и ТМ (КЦ № 7)</t>
        </is>
      </c>
      <c r="K162" s="243" t="inlineStr"/>
      <c r="L162" s="243" t="inlineStr"/>
      <c r="M162" s="246" t="inlineStr"/>
      <c r="N162" s="245" t="inlineStr"/>
    </row>
    <row r="163" ht="22.5" customHeight="1" s="236">
      <c r="A163" s="243" t="n">
        <v>162</v>
      </c>
      <c r="B163" s="249" t="inlineStr">
        <is>
          <t>Термометр сопротивления</t>
        </is>
      </c>
      <c r="C163" s="248" t="inlineStr">
        <is>
          <t>ТСП 012.60</t>
        </is>
      </c>
      <c r="D163" s="302" t="inlineStr">
        <is>
          <t>729</t>
        </is>
      </c>
      <c r="E163" s="245" t="inlineStr"/>
      <c r="F163" s="245" t="inlineStr">
        <is>
          <t>-60…200 °С 400 мм</t>
        </is>
      </c>
      <c r="G163" s="276" t="inlineStr"/>
      <c r="H163" s="248" t="inlineStr">
        <is>
          <t>Тв во всасывающей камере (ТЕ2031)</t>
        </is>
      </c>
      <c r="I163" s="245" t="inlineStr"/>
      <c r="J163" s="243" t="inlineStr">
        <is>
          <t>АСУ,А и ТМ (КЦ № 7)</t>
        </is>
      </c>
      <c r="K163" s="243" t="inlineStr"/>
      <c r="L163" s="243" t="inlineStr"/>
      <c r="M163" s="246" t="inlineStr"/>
      <c r="N163" s="245" t="inlineStr"/>
    </row>
    <row r="164" ht="22.5" customHeight="1" s="236">
      <c r="A164" s="239">
        <f>IF(B164&lt;&gt;"", COUNTA($B$2:B164), "")</f>
        <v/>
      </c>
      <c r="B164" s="342" t="inlineStr">
        <is>
          <t>Термометр сопротивления</t>
        </is>
      </c>
      <c r="C164" s="251" t="inlineStr">
        <is>
          <t>ТСП 012.08</t>
        </is>
      </c>
      <c r="D164" s="343" t="n">
        <v>589</v>
      </c>
      <c r="E164" s="343" t="n"/>
      <c r="F164" s="252" t="inlineStr">
        <is>
          <t>-60…200 °С
80 мм</t>
        </is>
      </c>
      <c r="G164" s="343" t="n"/>
      <c r="H164" s="239" t="inlineStr">
        <is>
          <t>Тв на выходе из БКВ к укрытию ГПА (ТЕ5302)</t>
        </is>
      </c>
      <c r="I164" s="242" t="n"/>
      <c r="J164" s="344" t="inlineStr">
        <is>
          <t>АСУ,А и ТМ (КЦ № 7)</t>
        </is>
      </c>
      <c r="K164" s="345" t="n"/>
      <c r="L164" s="345" t="n"/>
      <c r="M164" s="345" t="n"/>
      <c r="N164" s="345" t="n"/>
    </row>
    <row r="165" ht="22.5" customHeight="1" s="236">
      <c r="A165" s="243" t="n">
        <v>164</v>
      </c>
      <c r="B165" s="346" t="inlineStr">
        <is>
          <t>Термометр сопротивления</t>
        </is>
      </c>
      <c r="C165" s="248" t="inlineStr">
        <is>
          <t>ТСП 012.60</t>
        </is>
      </c>
      <c r="D165" s="347" t="inlineStr">
        <is>
          <t>812</t>
        </is>
      </c>
      <c r="E165" s="347" t="inlineStr"/>
      <c r="F165" s="254" t="inlineStr">
        <is>
          <t>-60…200 °С 60 мм</t>
        </is>
      </c>
      <c r="G165" s="347" t="inlineStr"/>
      <c r="H165" s="243" t="inlineStr">
        <is>
          <t>Тв из блока подоготовки на входе в оболчки МП (ТЕ5304)</t>
        </is>
      </c>
      <c r="I165" s="245" t="inlineStr"/>
      <c r="J165" s="348" t="inlineStr">
        <is>
          <t>АСУ,А и ТМ (КЦ № 7)</t>
        </is>
      </c>
      <c r="K165" s="349" t="inlineStr"/>
      <c r="L165" s="349" t="inlineStr"/>
      <c r="M165" s="349" t="inlineStr"/>
      <c r="N165" s="349" t="inlineStr"/>
    </row>
    <row r="166" ht="22.5" customHeight="1" s="236">
      <c r="A166" s="243" t="n">
        <v>165</v>
      </c>
      <c r="B166" s="346" t="inlineStr">
        <is>
          <t>Термометр сопротивления</t>
        </is>
      </c>
      <c r="C166" s="248" t="inlineStr">
        <is>
          <t>ТСП 012.60</t>
        </is>
      </c>
      <c r="D166" s="347" t="inlineStr">
        <is>
          <t>1581</t>
        </is>
      </c>
      <c r="E166" s="347" t="inlineStr"/>
      <c r="F166" s="254" t="inlineStr">
        <is>
          <t>-60…200 °С 100 мм</t>
        </is>
      </c>
      <c r="G166" s="347" t="inlineStr"/>
      <c r="H166" s="243" t="inlineStr">
        <is>
          <t>Тв на выходе из узла отбора (ТЕ5303)</t>
        </is>
      </c>
      <c r="I166" s="245" t="inlineStr"/>
      <c r="J166" s="348" t="inlineStr">
        <is>
          <t>АСУ,А и ТМ (КЦ № 7)</t>
        </is>
      </c>
      <c r="K166" s="349" t="inlineStr"/>
      <c r="L166" s="349" t="inlineStr"/>
      <c r="M166" s="349" t="inlineStr"/>
      <c r="N166" s="349" t="inlineStr"/>
    </row>
    <row r="167" ht="22.5" customHeight="1" s="236">
      <c r="A167" s="243" t="n">
        <v>166</v>
      </c>
      <c r="B167" s="346" t="inlineStr">
        <is>
          <t>Термометр сопротивления</t>
        </is>
      </c>
      <c r="C167" s="248" t="inlineStr">
        <is>
          <t>ТСП 012.60</t>
        </is>
      </c>
      <c r="D167" s="347" t="inlineStr">
        <is>
          <t>921</t>
        </is>
      </c>
      <c r="E167" s="347" t="inlineStr"/>
      <c r="F167" s="254" t="inlineStr">
        <is>
          <t>-60…200 °С 60 мм</t>
        </is>
      </c>
      <c r="G167" s="347" t="inlineStr"/>
      <c r="H167" s="243" t="inlineStr">
        <is>
          <t>Тбг на входе в ГДУ ПКВ (ТЕ5203)</t>
        </is>
      </c>
      <c r="I167" s="245" t="inlineStr"/>
      <c r="J167" s="348" t="inlineStr">
        <is>
          <t>АСУ,А и ТМ (КЦ № 7)</t>
        </is>
      </c>
      <c r="K167" s="349" t="inlineStr"/>
      <c r="L167" s="349" t="inlineStr"/>
      <c r="M167" s="349" t="inlineStr"/>
      <c r="N167" s="349" t="inlineStr"/>
    </row>
    <row r="168" ht="22.5" customHeight="1" s="236">
      <c r="A168" s="243" t="n">
        <v>167</v>
      </c>
      <c r="B168" s="346" t="inlineStr">
        <is>
          <t>Термометр сопротивления</t>
        </is>
      </c>
      <c r="C168" s="248" t="inlineStr">
        <is>
          <t>ТСП 012.60</t>
        </is>
      </c>
      <c r="D168" s="347" t="inlineStr">
        <is>
          <t>922</t>
        </is>
      </c>
      <c r="E168" s="347" t="inlineStr">
        <is>
          <t>Jun.18</t>
        </is>
      </c>
      <c r="F168" s="254" t="inlineStr">
        <is>
          <t>-60…200 °С 60 мм</t>
        </is>
      </c>
      <c r="G168" s="347" t="inlineStr"/>
      <c r="H168" s="243" t="inlineStr">
        <is>
          <t>Тбг на входе в ГДУ ЗКВ (ТЕ5204)</t>
        </is>
      </c>
      <c r="I168" s="245" t="inlineStr"/>
      <c r="J168" s="348" t="inlineStr">
        <is>
          <t>АСУ,А и ТМ (КЦ № 7)</t>
        </is>
      </c>
      <c r="K168" s="349" t="inlineStr"/>
      <c r="L168" s="349" t="inlineStr"/>
      <c r="M168" s="349" t="inlineStr"/>
      <c r="N168" s="349" t="inlineStr"/>
    </row>
    <row r="169" ht="22.5" customHeight="1" s="236">
      <c r="A169" s="243" t="n">
        <v>168</v>
      </c>
      <c r="B169" s="346" t="inlineStr">
        <is>
          <t>Термометр сопротивления</t>
        </is>
      </c>
      <c r="C169" s="248" t="inlineStr">
        <is>
          <t>ДТС 214</t>
        </is>
      </c>
      <c r="D169" s="347" t="inlineStr">
        <is>
          <t>61216180507116377</t>
        </is>
      </c>
      <c r="E169" s="347" t="inlineStr">
        <is>
          <t>2018</t>
        </is>
      </c>
      <c r="F169" s="254" t="inlineStr">
        <is>
          <t>-60…250 °С</t>
        </is>
      </c>
      <c r="G169" s="347" t="inlineStr"/>
      <c r="H169" s="243" t="inlineStr">
        <is>
          <t>Т алюминиевого блока подогревателя топливного газа (ТЕ5104)</t>
        </is>
      </c>
      <c r="I169" s="245" t="inlineStr"/>
      <c r="J169" s="348" t="inlineStr">
        <is>
          <t>АСУ,А и ТМ (КЦ № 7)</t>
        </is>
      </c>
      <c r="K169" s="349" t="inlineStr"/>
      <c r="L169" s="349" t="inlineStr"/>
      <c r="M169" s="349" t="inlineStr"/>
      <c r="N169" s="349" t="inlineStr"/>
      <c r="O169" s="341" t="n"/>
    </row>
    <row r="170" ht="22.5" customHeight="1" s="236">
      <c r="A170" s="243" t="n">
        <v>169</v>
      </c>
      <c r="B170" s="346" t="inlineStr">
        <is>
          <t>Термометр сопротивления</t>
        </is>
      </c>
      <c r="C170" s="248" t="inlineStr">
        <is>
          <t>ТСП 012.60</t>
        </is>
      </c>
      <c r="D170" s="347" t="inlineStr">
        <is>
          <t>33</t>
        </is>
      </c>
      <c r="E170" s="347" t="inlineStr">
        <is>
          <t>Jun.18</t>
        </is>
      </c>
      <c r="F170" s="254" t="inlineStr">
        <is>
          <t>-60…200 °С 160 мм</t>
        </is>
      </c>
      <c r="G170" s="347" t="inlineStr"/>
      <c r="H170" s="243" t="inlineStr">
        <is>
          <t>Тв на выходе из оболочки радиального подшипника (ПКВ) (ТЕ5205)</t>
        </is>
      </c>
      <c r="I170" s="245" t="inlineStr"/>
      <c r="J170" s="348" t="inlineStr">
        <is>
          <t>АСУ,А и ТМ (КЦ № 7)</t>
        </is>
      </c>
      <c r="K170" s="349" t="inlineStr"/>
      <c r="L170" s="349" t="inlineStr"/>
      <c r="M170" s="349" t="inlineStr"/>
      <c r="N170" s="349" t="inlineStr"/>
    </row>
    <row r="171" ht="22.5" customHeight="1" s="236">
      <c r="A171" s="243" t="n">
        <v>170</v>
      </c>
      <c r="B171" s="346" t="inlineStr">
        <is>
          <t>Термометр сопротивления</t>
        </is>
      </c>
      <c r="C171" s="248" t="inlineStr">
        <is>
          <t>ТСП 012.52В</t>
        </is>
      </c>
      <c r="D171" s="347" t="inlineStr">
        <is>
          <t>34</t>
        </is>
      </c>
      <c r="E171" s="347" t="inlineStr">
        <is>
          <t>Apr.18</t>
        </is>
      </c>
      <c r="F171" s="254" t="inlineStr">
        <is>
          <t>-60…200 °С 160 мм</t>
        </is>
      </c>
      <c r="G171" s="347" t="inlineStr"/>
      <c r="H171" s="243" t="inlineStr">
        <is>
          <t>Тв на выходе из оболочки радиального подшипника ЗКВ (ТЕ5206)</t>
        </is>
      </c>
      <c r="I171" s="245" t="inlineStr"/>
      <c r="J171" s="348" t="inlineStr">
        <is>
          <t>АСУ,А и ТМ (КЦ № 7)</t>
        </is>
      </c>
      <c r="K171" s="349" t="inlineStr"/>
      <c r="L171" s="349" t="inlineStr"/>
      <c r="M171" s="349" t="inlineStr"/>
      <c r="N171" s="349" t="inlineStr"/>
    </row>
    <row r="172" ht="22.5" customHeight="1" s="236">
      <c r="A172" s="243" t="n">
        <v>171</v>
      </c>
      <c r="B172" s="346" t="inlineStr">
        <is>
          <t>Термометр сопротивления</t>
        </is>
      </c>
      <c r="C172" s="248" t="inlineStr">
        <is>
          <t>ТСП 012.60</t>
        </is>
      </c>
      <c r="D172" s="347" t="inlineStr">
        <is>
          <t>1577</t>
        </is>
      </c>
      <c r="E172" s="347" t="inlineStr"/>
      <c r="F172" s="254" t="inlineStr">
        <is>
          <t>-60…200 °С 400 мм</t>
        </is>
      </c>
      <c r="G172" s="347" t="inlineStr"/>
      <c r="H172" s="243" t="inlineStr">
        <is>
          <t>Тг на входе в компрессор (ТЕ8001)</t>
        </is>
      </c>
      <c r="I172" s="245" t="inlineStr"/>
      <c r="J172" s="348" t="inlineStr">
        <is>
          <t>АСУ,А и ТМ (КЦ № 7)</t>
        </is>
      </c>
      <c r="K172" s="349" t="inlineStr"/>
      <c r="L172" s="349" t="inlineStr"/>
      <c r="M172" s="349" t="inlineStr"/>
      <c r="N172" s="349" t="inlineStr"/>
    </row>
    <row r="173" ht="22.5" customHeight="1" s="236">
      <c r="A173" s="243" t="n">
        <v>172</v>
      </c>
      <c r="B173" s="346" t="inlineStr">
        <is>
          <t>Термометр сопротивления</t>
        </is>
      </c>
      <c r="C173" s="248" t="inlineStr">
        <is>
          <t>ТСП 012.60</t>
        </is>
      </c>
      <c r="D173" s="347" t="inlineStr">
        <is>
          <t>1580</t>
        </is>
      </c>
      <c r="E173" s="347" t="inlineStr"/>
      <c r="F173" s="254" t="inlineStr">
        <is>
          <t>-60…200 °С 100 мм</t>
        </is>
      </c>
      <c r="G173" s="347" t="inlineStr"/>
      <c r="H173" s="243" t="inlineStr">
        <is>
          <t>Тг на выходе из компрессор (ТЕ8002)</t>
        </is>
      </c>
      <c r="I173" s="245" t="inlineStr"/>
      <c r="J173" s="348" t="inlineStr">
        <is>
          <t>АСУ,А и ТМ (КЦ № 7)</t>
        </is>
      </c>
      <c r="K173" s="349" t="inlineStr"/>
      <c r="L173" s="349" t="inlineStr"/>
      <c r="M173" s="349" t="inlineStr"/>
      <c r="N173" s="349" t="inlineStr"/>
    </row>
    <row r="174" ht="22.5" customHeight="1" s="236">
      <c r="A174" s="243" t="n">
        <v>173</v>
      </c>
      <c r="B174" s="346" t="inlineStr">
        <is>
          <t>Термометр сопротивления</t>
        </is>
      </c>
      <c r="C174" s="248" t="inlineStr">
        <is>
          <t>ТСП 012.СП</t>
        </is>
      </c>
      <c r="D174" s="347" t="inlineStr">
        <is>
          <t>600</t>
        </is>
      </c>
      <c r="E174" s="347" t="inlineStr"/>
      <c r="F174" s="254" t="inlineStr">
        <is>
          <t>-60…200 °С 80 мм</t>
        </is>
      </c>
      <c r="G174" s="347" t="inlineStr"/>
      <c r="H174" s="243" t="inlineStr">
        <is>
          <t>Тв в БКВ (ТЕ5301)</t>
        </is>
      </c>
      <c r="I174" s="245" t="inlineStr"/>
      <c r="J174" s="348" t="inlineStr">
        <is>
          <t>АСУ,А и ТМ (КЦ № 7)</t>
        </is>
      </c>
      <c r="K174" s="349" t="inlineStr"/>
      <c r="L174" s="349" t="inlineStr"/>
      <c r="M174" s="349" t="inlineStr"/>
      <c r="N174" s="349" t="inlineStr"/>
    </row>
    <row r="175" ht="22.5" customHeight="1" s="236">
      <c r="A175" s="243" t="n">
        <v>174</v>
      </c>
      <c r="B175" s="346" t="inlineStr">
        <is>
          <t>Термометр сопротивления</t>
        </is>
      </c>
      <c r="C175" s="248" t="inlineStr">
        <is>
          <t>ТСП 012.02</t>
        </is>
      </c>
      <c r="D175" s="347" t="inlineStr">
        <is>
          <t>634</t>
        </is>
      </c>
      <c r="E175" s="347" t="inlineStr">
        <is>
          <t>Jul.18</t>
        </is>
      </c>
      <c r="F175" s="254" t="inlineStr">
        <is>
          <t>-60…200 °С 60 мм</t>
        </is>
      </c>
      <c r="G175" s="347" t="inlineStr"/>
      <c r="H175" s="243" t="inlineStr">
        <is>
          <t>Тв в отсеке САУ (ТЕ8101)</t>
        </is>
      </c>
      <c r="I175" s="245" t="inlineStr"/>
      <c r="J175" s="348" t="inlineStr">
        <is>
          <t>АСУ,А и ТМ (КЦ № 7)</t>
        </is>
      </c>
      <c r="K175" s="349" t="inlineStr"/>
      <c r="L175" s="349" t="inlineStr"/>
      <c r="M175" s="349" t="inlineStr"/>
      <c r="N175" s="349" t="inlineStr"/>
    </row>
    <row r="176" ht="22.5" customHeight="1" s="236">
      <c r="A176" s="243" t="n">
        <v>175</v>
      </c>
      <c r="B176" s="346" t="inlineStr">
        <is>
          <t>Термометр сопротивления</t>
        </is>
      </c>
      <c r="C176" s="248" t="inlineStr">
        <is>
          <t>ТСП 012.60</t>
        </is>
      </c>
      <c r="D176" s="347" t="inlineStr">
        <is>
          <t>639</t>
        </is>
      </c>
      <c r="E176" s="347" t="inlineStr">
        <is>
          <t>Jul.18</t>
        </is>
      </c>
      <c r="F176" s="254" t="inlineStr">
        <is>
          <t>-60…200 °С 60 мм</t>
        </is>
      </c>
      <c r="G176" s="347" t="inlineStr">
        <is>
          <t>В</t>
        </is>
      </c>
      <c r="H176" s="243" t="inlineStr">
        <is>
          <t>Тв в БЭТ (ТЕ8102)</t>
        </is>
      </c>
      <c r="I176" s="245" t="inlineStr"/>
      <c r="J176" s="348" t="inlineStr">
        <is>
          <t>АСУ,А и ТМ (КЦ № 7)</t>
        </is>
      </c>
      <c r="K176" s="349" t="inlineStr"/>
      <c r="L176" s="349" t="inlineStr"/>
      <c r="M176" s="349" t="inlineStr"/>
      <c r="N176" s="349" t="inlineStr"/>
    </row>
    <row r="177" ht="22.5" customHeight="1" s="236">
      <c r="A177" s="243" t="n">
        <v>176</v>
      </c>
      <c r="B177" s="346" t="inlineStr">
        <is>
          <t>Термометр сопротивления</t>
        </is>
      </c>
      <c r="C177" s="248" t="inlineStr">
        <is>
          <t>ТСП 012.60</t>
        </is>
      </c>
      <c r="D177" s="347" t="inlineStr">
        <is>
          <t>624</t>
        </is>
      </c>
      <c r="E177" s="347" t="inlineStr">
        <is>
          <t>Jun.19</t>
        </is>
      </c>
      <c r="F177" s="254" t="inlineStr">
        <is>
          <t>-60…200 °С 400 мм</t>
        </is>
      </c>
      <c r="G177" s="347" t="inlineStr"/>
      <c r="H177" s="243" t="inlineStr">
        <is>
          <t>Тм на выходе из двигателя (ТЕ6002)</t>
        </is>
      </c>
      <c r="I177" s="245" t="inlineStr"/>
      <c r="J177" s="348" t="inlineStr">
        <is>
          <t>АСУ,А и ТМ (КЦ № 7)</t>
        </is>
      </c>
      <c r="K177" s="349" t="inlineStr"/>
      <c r="L177" s="349" t="inlineStr"/>
      <c r="M177" s="349" t="inlineStr"/>
      <c r="N177" s="349" t="inlineStr"/>
    </row>
    <row r="178" ht="22.5" customHeight="1" s="236">
      <c r="A178" s="243" t="n">
        <v>177</v>
      </c>
      <c r="B178" s="346" t="inlineStr">
        <is>
          <t>Термометр сопротивления</t>
        </is>
      </c>
      <c r="C178" s="248" t="inlineStr">
        <is>
          <t>ТСП 012.60</t>
        </is>
      </c>
      <c r="D178" s="347" t="inlineStr">
        <is>
          <t>75</t>
        </is>
      </c>
      <c r="E178" s="347" t="inlineStr"/>
      <c r="F178" s="254" t="inlineStr">
        <is>
          <t>-50…150 °С 250 мм</t>
        </is>
      </c>
      <c r="G178" s="347" t="inlineStr"/>
      <c r="H178" s="243" t="inlineStr">
        <is>
          <t>Тбг после подогревателя в стойке СГУ (ТТ5202)</t>
        </is>
      </c>
      <c r="I178" s="245" t="inlineStr"/>
      <c r="J178" s="348" t="inlineStr">
        <is>
          <t>АСУ,А и ТМ (КЦ № 7)</t>
        </is>
      </c>
      <c r="K178" s="349" t="inlineStr"/>
      <c r="L178" s="349" t="inlineStr"/>
      <c r="M178" s="349" t="inlineStr"/>
      <c r="N178" s="349" t="inlineStr"/>
    </row>
    <row r="179" ht="33.75" customHeight="1" s="236">
      <c r="A179" s="243" t="n">
        <v>178</v>
      </c>
      <c r="B179" s="346" t="inlineStr">
        <is>
          <t>Термометр сопротивления</t>
        </is>
      </c>
      <c r="C179" s="248" t="inlineStr">
        <is>
          <t>ДТС 214</t>
        </is>
      </c>
      <c r="D179" s="347" t="inlineStr">
        <is>
          <t>61216200344079927</t>
        </is>
      </c>
      <c r="E179" s="347" t="inlineStr">
        <is>
          <t>Nov.18</t>
        </is>
      </c>
      <c r="F179" s="254" t="inlineStr">
        <is>
          <t>-60…250 °С</t>
        </is>
      </c>
      <c r="G179" s="347" t="inlineStr"/>
      <c r="H179" s="243" t="inlineStr">
        <is>
          <t>Т алюминиевого блока подогревателя предпусковой подготовки буферного газа (ТТ5206)</t>
        </is>
      </c>
      <c r="I179" s="245" t="inlineStr"/>
      <c r="J179" s="348" t="inlineStr"/>
      <c r="K179" s="349" t="inlineStr"/>
      <c r="L179" s="349" t="inlineStr"/>
      <c r="M179" s="349" t="inlineStr"/>
      <c r="N179" s="349" t="inlineStr"/>
      <c r="O179" s="341" t="n"/>
    </row>
    <row r="180" ht="22.5" customHeight="1" s="236">
      <c r="A180" s="243" t="n">
        <v>179</v>
      </c>
      <c r="B180" s="346" t="inlineStr">
        <is>
          <t>Термометр сопротивления</t>
        </is>
      </c>
      <c r="C180" s="248" t="inlineStr">
        <is>
          <t>ТСП 012.60</t>
        </is>
      </c>
      <c r="D180" s="347" t="inlineStr">
        <is>
          <t>1799</t>
        </is>
      </c>
      <c r="E180" s="347" t="inlineStr">
        <is>
          <t>Nov.18</t>
        </is>
      </c>
      <c r="F180" s="254" t="inlineStr">
        <is>
          <t>-60…200 °С 120 мм</t>
        </is>
      </c>
      <c r="G180" s="347" t="inlineStr"/>
      <c r="H180" s="243" t="inlineStr">
        <is>
          <t>Тв в блоке маслоочистителя (ТЕ6006)</t>
        </is>
      </c>
      <c r="I180" s="245" t="inlineStr"/>
      <c r="J180" s="348" t="inlineStr"/>
      <c r="K180" s="349" t="inlineStr"/>
      <c r="L180" s="349" t="inlineStr"/>
      <c r="M180" s="349" t="inlineStr"/>
      <c r="N180" s="349" t="inlineStr"/>
    </row>
    <row r="181" ht="22.5" customHeight="1" s="236">
      <c r="A181" s="243" t="n">
        <v>180</v>
      </c>
      <c r="B181" s="346" t="inlineStr">
        <is>
          <t>Термометр сопротивления</t>
        </is>
      </c>
      <c r="C181" s="248" t="inlineStr">
        <is>
          <t>ТСП 012.02</t>
        </is>
      </c>
      <c r="D181" s="347" t="inlineStr">
        <is>
          <t>644</t>
        </is>
      </c>
      <c r="E181" s="347" t="inlineStr">
        <is>
          <t>2018</t>
        </is>
      </c>
      <c r="F181" s="254" t="inlineStr">
        <is>
          <t>-60…200 °С 60 мм</t>
        </is>
      </c>
      <c r="G181" s="347" t="inlineStr">
        <is>
          <t>В</t>
        </is>
      </c>
      <c r="H181" s="243" t="inlineStr">
        <is>
          <t>Тв в БЭТ АВОГ (ТЕ8201)</t>
        </is>
      </c>
      <c r="I181" s="245" t="inlineStr"/>
      <c r="J181" s="348" t="inlineStr"/>
      <c r="K181" s="349" t="inlineStr"/>
      <c r="L181" s="349" t="inlineStr"/>
      <c r="M181" s="349" t="inlineStr"/>
      <c r="N181" s="349" t="inlineStr"/>
    </row>
    <row r="182" ht="22.5" customHeight="1" s="236">
      <c r="A182" s="243" t="n">
        <v>181</v>
      </c>
      <c r="B182" s="346" t="inlineStr">
        <is>
          <t>Термометр сопротивления</t>
        </is>
      </c>
      <c r="C182" s="248" t="inlineStr">
        <is>
          <t>ТСП 012.60</t>
        </is>
      </c>
      <c r="D182" s="347" t="inlineStr">
        <is>
          <t>1874</t>
        </is>
      </c>
      <c r="E182" s="347" t="inlineStr">
        <is>
          <t>May.18</t>
        </is>
      </c>
      <c r="F182" s="254" t="inlineStr">
        <is>
          <t>-60…200 °С 60 мм</t>
        </is>
      </c>
      <c r="G182" s="347" t="inlineStr"/>
      <c r="H182" s="243" t="inlineStr">
        <is>
          <t>Ттг перед ДГ</t>
        </is>
      </c>
      <c r="I182" s="245" t="inlineStr"/>
      <c r="J182" s="348" t="inlineStr">
        <is>
          <t>АСУ,А и ТМ (КЦ № 7)</t>
        </is>
      </c>
      <c r="K182" s="349" t="inlineStr"/>
      <c r="L182" s="349" t="inlineStr"/>
      <c r="M182" s="349" t="inlineStr"/>
      <c r="N182" s="349" t="inlineStr"/>
    </row>
    <row r="183" ht="22.5" customHeight="1" s="236">
      <c r="A183" s="243" t="n">
        <v>182</v>
      </c>
      <c r="B183" s="346" t="inlineStr">
        <is>
          <t>Термометр сопротивления</t>
        </is>
      </c>
      <c r="C183" s="248" t="inlineStr">
        <is>
          <t>Метран-2700</t>
        </is>
      </c>
      <c r="D183" s="347" t="inlineStr">
        <is>
          <t>2427562</t>
        </is>
      </c>
      <c r="E183" s="347" t="inlineStr">
        <is>
          <t>Apr.18</t>
        </is>
      </c>
      <c r="F183" s="254" t="inlineStr">
        <is>
          <t>-50…300 °С 60 мм</t>
        </is>
      </c>
      <c r="G183" s="347" t="inlineStr"/>
      <c r="H183" s="243" t="inlineStr">
        <is>
          <t>Тбг на подогревателе СГУ</t>
        </is>
      </c>
      <c r="I183" s="245" t="inlineStr">
        <is>
          <t>Укрытие</t>
        </is>
      </c>
      <c r="J183" s="348" t="inlineStr">
        <is>
          <t>АСУ,А и ТМ (КЦ № 7)</t>
        </is>
      </c>
      <c r="K183" s="349" t="inlineStr"/>
      <c r="L183" s="349" t="inlineStr"/>
      <c r="M183" s="349" t="inlineStr"/>
      <c r="N183" s="349" t="inlineStr"/>
    </row>
    <row r="184" ht="22.5" customHeight="1" s="236">
      <c r="A184" s="243" t="n">
        <v>183</v>
      </c>
      <c r="B184" s="346" t="inlineStr">
        <is>
          <t>Термометр сопротивления</t>
        </is>
      </c>
      <c r="C184" s="248" t="inlineStr">
        <is>
          <t>ТСП 012.60</t>
        </is>
      </c>
      <c r="D184" s="347" t="inlineStr">
        <is>
          <t>798</t>
        </is>
      </c>
      <c r="E184" s="347" t="inlineStr">
        <is>
          <t>May.18</t>
        </is>
      </c>
      <c r="F184" s="254" t="inlineStr">
        <is>
          <t>-60…200 °С 60 мм</t>
        </is>
      </c>
      <c r="G184" s="347" t="inlineStr"/>
      <c r="H184" s="243" t="inlineStr">
        <is>
          <t>Тбг после подогревателя предпусковой подготовки (ТЕ5208)</t>
        </is>
      </c>
      <c r="I184" s="245" t="inlineStr"/>
      <c r="J184" s="348" t="inlineStr">
        <is>
          <t>АСУ,А и ТМ (КЦ № 7)</t>
        </is>
      </c>
      <c r="K184" s="349" t="inlineStr"/>
      <c r="L184" s="349" t="inlineStr"/>
      <c r="M184" s="349" t="inlineStr"/>
      <c r="N184" s="349" t="inlineStr"/>
    </row>
    <row r="185" ht="22.5" customHeight="1" s="236">
      <c r="A185" s="239">
        <f>IF(B185&lt;&gt;"", COUNTA($B$2:B185), "")</f>
        <v/>
      </c>
      <c r="B185" s="342" t="inlineStr">
        <is>
          <t>Термометр сопротивления</t>
        </is>
      </c>
      <c r="C185" s="251" t="inlineStr">
        <is>
          <t>ТСП 012.08</t>
        </is>
      </c>
      <c r="D185" s="343" t="n">
        <v>584</v>
      </c>
      <c r="E185" s="343" t="n"/>
      <c r="F185" s="252" t="inlineStr">
        <is>
          <t>-60…200 °С
80 мм</t>
        </is>
      </c>
      <c r="G185" s="343" t="n"/>
      <c r="H185" s="239" t="inlineStr">
        <is>
          <t>Тв подоваемого в воздуходовки (ТЕ5306)</t>
        </is>
      </c>
      <c r="I185" s="275" t="inlineStr">
        <is>
          <t>БКВ</t>
        </is>
      </c>
      <c r="J185" s="344" t="inlineStr">
        <is>
          <t>АСУ,А и ТМ (КЦ № 7)</t>
        </is>
      </c>
      <c r="K185" s="345" t="n"/>
      <c r="L185" s="345" t="n"/>
      <c r="M185" s="345" t="n"/>
      <c r="N185" s="345" t="n"/>
    </row>
    <row r="186" ht="22.5" customHeight="1" s="236">
      <c r="A186" s="243" t="n">
        <v>185</v>
      </c>
      <c r="B186" s="346" t="inlineStr">
        <is>
          <t>Термометр сопротивления</t>
        </is>
      </c>
      <c r="C186" s="248" t="inlineStr">
        <is>
          <t>ТСПУ 031 СК</t>
        </is>
      </c>
      <c r="D186" s="347" t="inlineStr">
        <is>
          <t>103</t>
        </is>
      </c>
      <c r="E186" s="347" t="inlineStr">
        <is>
          <t>Aug.19</t>
        </is>
      </c>
      <c r="F186" s="254" t="inlineStr">
        <is>
          <t>-50…200 °С 250 мм</t>
        </is>
      </c>
      <c r="G186" s="347" t="inlineStr"/>
      <c r="H186" s="243" t="inlineStr">
        <is>
          <t>Тг на выходе АВО перед клапаном 6к (ТТ2)</t>
        </is>
      </c>
      <c r="I186" s="276" t="inlineStr"/>
      <c r="J186" s="348" t="inlineStr">
        <is>
          <t>АСУ,А и ТМ (КЦ № 7)</t>
        </is>
      </c>
      <c r="K186" s="349" t="inlineStr"/>
      <c r="L186" s="349" t="inlineStr"/>
      <c r="M186" s="349" t="inlineStr"/>
      <c r="N186" s="349" t="inlineStr"/>
    </row>
    <row r="187" ht="22.5" customHeight="1" s="236">
      <c r="A187" s="243" t="n">
        <v>186</v>
      </c>
      <c r="B187" s="346" t="inlineStr">
        <is>
          <t>Термометр сопротивления</t>
        </is>
      </c>
      <c r="C187" s="248" t="inlineStr">
        <is>
          <t>ТСПУ 031 СК</t>
        </is>
      </c>
      <c r="D187" s="347" t="inlineStr">
        <is>
          <t>101</t>
        </is>
      </c>
      <c r="E187" s="347" t="inlineStr">
        <is>
          <t>Aug.19</t>
        </is>
      </c>
      <c r="F187" s="254" t="inlineStr">
        <is>
          <t>-50…200 °С 250 мм</t>
        </is>
      </c>
      <c r="G187" s="347" t="inlineStr">
        <is>
          <t>0.3</t>
        </is>
      </c>
      <c r="H187" s="243" t="inlineStr">
        <is>
          <t>Тг на выходе АВО перед клапаном 2 (ТТ1)</t>
        </is>
      </c>
      <c r="I187" s="276" t="inlineStr"/>
      <c r="J187" s="348" t="inlineStr">
        <is>
          <t>АСУ,А и ТМ (КЦ № 7)</t>
        </is>
      </c>
      <c r="K187" s="349" t="inlineStr"/>
      <c r="L187" s="349" t="inlineStr"/>
      <c r="M187" s="349" t="inlineStr"/>
      <c r="N187" s="349" t="inlineStr"/>
    </row>
    <row r="188" ht="22.5" customHeight="1" s="236">
      <c r="A188" s="243" t="n">
        <v>187</v>
      </c>
      <c r="B188" s="346" t="inlineStr">
        <is>
          <t>Термометр сопротивления</t>
        </is>
      </c>
      <c r="C188" s="248" t="inlineStr">
        <is>
          <t>ТСП 012.08</t>
        </is>
      </c>
      <c r="D188" s="347" t="inlineStr">
        <is>
          <t>584</t>
        </is>
      </c>
      <c r="E188" s="347" t="inlineStr">
        <is>
          <t>Jul.18</t>
        </is>
      </c>
      <c r="F188" s="254" t="inlineStr">
        <is>
          <t>-60…200 °С 80 мм</t>
        </is>
      </c>
      <c r="G188" s="347" t="inlineStr">
        <is>
          <t>В</t>
        </is>
      </c>
      <c r="H188" s="243" t="inlineStr">
        <is>
          <t>Тв в общем колекторе</t>
        </is>
      </c>
      <c r="I188" s="276" t="inlineStr">
        <is>
          <t>БКВ</t>
        </is>
      </c>
      <c r="J188" s="348" t="inlineStr">
        <is>
          <t>АСУ,А и ТМ (КЦ № 7)</t>
        </is>
      </c>
      <c r="K188" s="349" t="inlineStr"/>
      <c r="L188" s="349" t="inlineStr"/>
      <c r="M188" s="349" t="inlineStr"/>
      <c r="N188" s="349" t="inlineStr"/>
    </row>
    <row r="189" ht="22.5" customHeight="1" s="236">
      <c r="A189" s="243" t="n">
        <v>188</v>
      </c>
      <c r="B189" s="346" t="inlineStr">
        <is>
          <t>Термометр сопротивления</t>
        </is>
      </c>
      <c r="C189" s="248" t="inlineStr">
        <is>
          <t>ТСПУ014.12</t>
        </is>
      </c>
      <c r="D189" s="347" t="inlineStr">
        <is>
          <t>357</t>
        </is>
      </c>
      <c r="E189" s="347" t="inlineStr">
        <is>
          <t>Jun.18</t>
        </is>
      </c>
      <c r="F189" s="254" t="inlineStr">
        <is>
          <t>-50…150 °С 80 мм</t>
        </is>
      </c>
      <c r="G189" s="347" t="inlineStr">
        <is>
          <t>0.25%</t>
        </is>
      </c>
      <c r="H189" s="243" t="inlineStr">
        <is>
          <t>Тв в общем колекторе</t>
        </is>
      </c>
      <c r="I189" s="276" t="inlineStr">
        <is>
          <t>БКВ</t>
        </is>
      </c>
      <c r="J189" s="348" t="inlineStr">
        <is>
          <t>АСУ,А и ТМ (КЦ № 7)</t>
        </is>
      </c>
      <c r="K189" s="349" t="inlineStr"/>
      <c r="L189" s="349" t="inlineStr"/>
      <c r="M189" s="349" t="inlineStr"/>
      <c r="N189" s="349" t="inlineStr"/>
    </row>
    <row r="190" ht="22.5" customHeight="1" s="236">
      <c r="A190" s="243" t="n">
        <v>189</v>
      </c>
      <c r="B190" s="346" t="inlineStr">
        <is>
          <t>Термометр сопротивления</t>
        </is>
      </c>
      <c r="C190" s="248" t="inlineStr">
        <is>
          <t>Метран-2000 А02 НСХ</t>
        </is>
      </c>
      <c r="D190" s="347" t="inlineStr">
        <is>
          <t>2444268</t>
        </is>
      </c>
      <c r="E190" s="347" t="inlineStr">
        <is>
          <t>Jul.18</t>
        </is>
      </c>
      <c r="F190" s="254" t="inlineStr">
        <is>
          <t>-50…200 °С 60 мм</t>
        </is>
      </c>
      <c r="G190" s="347" t="inlineStr"/>
      <c r="H190" s="243" t="inlineStr">
        <is>
          <t>Тв на выходе ресивера ГШ5301</t>
        </is>
      </c>
      <c r="I190" s="276" t="inlineStr">
        <is>
          <t>БКВ</t>
        </is>
      </c>
      <c r="J190" s="348" t="inlineStr">
        <is>
          <t>АСУ,А и ТМ (КЦ № 7)</t>
        </is>
      </c>
      <c r="K190" s="349" t="inlineStr"/>
      <c r="L190" s="349" t="inlineStr"/>
      <c r="M190" s="349" t="inlineStr"/>
      <c r="N190" s="349" t="inlineStr"/>
    </row>
    <row r="191" ht="22.5" customHeight="1" s="236">
      <c r="A191" s="243" t="n">
        <v>190</v>
      </c>
      <c r="B191" s="346" t="inlineStr">
        <is>
          <t>Термометр сопротивления</t>
        </is>
      </c>
      <c r="C191" s="248" t="inlineStr">
        <is>
          <t>Метран-2000 А02 НСХ</t>
        </is>
      </c>
      <c r="D191" s="347" t="inlineStr">
        <is>
          <t>2428411</t>
        </is>
      </c>
      <c r="E191" s="347" t="inlineStr">
        <is>
          <t>Jul.18</t>
        </is>
      </c>
      <c r="F191" s="254" t="inlineStr">
        <is>
          <t>-50…200 °С 60 мм</t>
        </is>
      </c>
      <c r="G191" s="347" t="inlineStr"/>
      <c r="H191" s="243" t="inlineStr">
        <is>
          <t>Тм подшипника ВК2 В5301</t>
        </is>
      </c>
      <c r="I191" s="276" t="inlineStr">
        <is>
          <t>БКВ</t>
        </is>
      </c>
      <c r="J191" s="348" t="inlineStr">
        <is>
          <t>АСУ,А и ТМ (КЦ № 7)</t>
        </is>
      </c>
      <c r="K191" s="349" t="inlineStr"/>
      <c r="L191" s="349" t="inlineStr"/>
      <c r="M191" s="349" t="inlineStr"/>
      <c r="N191" s="349" t="inlineStr"/>
    </row>
    <row r="192" ht="22.5" customHeight="1" s="236">
      <c r="A192" s="243" t="n">
        <v>191</v>
      </c>
      <c r="B192" s="346" t="inlineStr">
        <is>
          <t>Термометр сопротивления</t>
        </is>
      </c>
      <c r="C192" s="248" t="inlineStr">
        <is>
          <t>Метран-2000 А02 НСХ</t>
        </is>
      </c>
      <c r="D192" s="347" t="inlineStr">
        <is>
          <t>2444552</t>
        </is>
      </c>
      <c r="E192" s="347" t="inlineStr">
        <is>
          <t>Jul.18</t>
        </is>
      </c>
      <c r="F192" s="254" t="inlineStr">
        <is>
          <t>-50…200 °С 60 мм</t>
        </is>
      </c>
      <c r="G192" s="347" t="inlineStr"/>
      <c r="H192" s="243" t="inlineStr">
        <is>
          <t>Тмподшипника ВК3 В5301</t>
        </is>
      </c>
      <c r="I192" s="276" t="inlineStr">
        <is>
          <t>БКВ</t>
        </is>
      </c>
      <c r="J192" s="348" t="inlineStr">
        <is>
          <t>АСУ,А и ТМ (КЦ № 7)</t>
        </is>
      </c>
      <c r="K192" s="349" t="inlineStr"/>
      <c r="L192" s="349" t="inlineStr"/>
      <c r="M192" s="349" t="inlineStr"/>
      <c r="N192" s="349" t="inlineStr"/>
    </row>
    <row r="193" ht="22.5" customHeight="1" s="236">
      <c r="A193" s="243" t="n">
        <v>192</v>
      </c>
      <c r="B193" s="346" t="inlineStr">
        <is>
          <t>Термометр сопротивления</t>
        </is>
      </c>
      <c r="C193" s="248" t="inlineStr">
        <is>
          <t>Метран-2000 А02 НСХ</t>
        </is>
      </c>
      <c r="D193" s="347" t="inlineStr">
        <is>
          <t>2444553</t>
        </is>
      </c>
      <c r="E193" s="347" t="inlineStr">
        <is>
          <t>Jul.18</t>
        </is>
      </c>
      <c r="F193" s="254" t="inlineStr">
        <is>
          <t>-50…200 °С 60 мм</t>
        </is>
      </c>
      <c r="G193" s="347" t="inlineStr"/>
      <c r="H193" s="243" t="inlineStr">
        <is>
          <t>Тв на выходе ресивера ГШ5302</t>
        </is>
      </c>
      <c r="I193" s="276" t="inlineStr">
        <is>
          <t>БКВ</t>
        </is>
      </c>
      <c r="J193" s="348" t="inlineStr">
        <is>
          <t>АСУ,А и ТМ (КЦ № 7)</t>
        </is>
      </c>
      <c r="K193" s="349" t="inlineStr"/>
      <c r="L193" s="349" t="inlineStr"/>
      <c r="M193" s="349" t="inlineStr"/>
      <c r="N193" s="349" t="inlineStr"/>
    </row>
    <row r="194" ht="22.5" customHeight="1" s="236">
      <c r="A194" s="243" t="n">
        <v>193</v>
      </c>
      <c r="B194" s="346" t="inlineStr">
        <is>
          <t>Термометр сопротивления</t>
        </is>
      </c>
      <c r="C194" s="248" t="inlineStr">
        <is>
          <t>Метран-2000 А02 НСХ</t>
        </is>
      </c>
      <c r="D194" s="347" t="inlineStr">
        <is>
          <t>2443185</t>
        </is>
      </c>
      <c r="E194" s="347" t="inlineStr">
        <is>
          <t>Jul.18</t>
        </is>
      </c>
      <c r="F194" s="254" t="inlineStr">
        <is>
          <t>-50…200 °С 60 мм</t>
        </is>
      </c>
      <c r="G194" s="347" t="inlineStr"/>
      <c r="H194" s="243" t="inlineStr">
        <is>
          <t>Тм подшипника ВК2 В5302</t>
        </is>
      </c>
      <c r="I194" s="276" t="inlineStr">
        <is>
          <t>БКВ</t>
        </is>
      </c>
      <c r="J194" s="348" t="inlineStr">
        <is>
          <t>АСУ,А и ТМ (КЦ № 7)</t>
        </is>
      </c>
      <c r="K194" s="349" t="inlineStr"/>
      <c r="L194" s="349" t="inlineStr"/>
      <c r="M194" s="349" t="inlineStr"/>
      <c r="N194" s="349" t="inlineStr"/>
    </row>
    <row r="195" ht="22.5" customHeight="1" s="236">
      <c r="A195" s="243" t="n">
        <v>194</v>
      </c>
      <c r="B195" s="346" t="inlineStr">
        <is>
          <t>Термометр сопротивления</t>
        </is>
      </c>
      <c r="C195" s="248" t="inlineStr">
        <is>
          <t>Метран-2000 А02 НСХ</t>
        </is>
      </c>
      <c r="D195" s="347" t="inlineStr">
        <is>
          <t>2444269</t>
        </is>
      </c>
      <c r="E195" s="347" t="inlineStr">
        <is>
          <t>Jul.18</t>
        </is>
      </c>
      <c r="F195" s="254" t="inlineStr">
        <is>
          <t>-50…200 °С 60 мм</t>
        </is>
      </c>
      <c r="G195" s="347" t="inlineStr"/>
      <c r="H195" s="243" t="inlineStr">
        <is>
          <t>Тм подшипника ВК3 В5302</t>
        </is>
      </c>
      <c r="I195" s="276" t="inlineStr">
        <is>
          <t>БКВ</t>
        </is>
      </c>
      <c r="J195" s="348" t="inlineStr">
        <is>
          <t>АСУ,А и ТМ (КЦ № 7)</t>
        </is>
      </c>
      <c r="K195" s="349" t="inlineStr"/>
      <c r="L195" s="349" t="inlineStr"/>
      <c r="M195" s="349" t="inlineStr"/>
      <c r="N195" s="349" t="inlineStr"/>
    </row>
    <row r="196" ht="22.5" customHeight="1" s="236">
      <c r="A196" s="243" t="n">
        <v>195</v>
      </c>
      <c r="B196" s="243" t="inlineStr">
        <is>
          <t>Расходомер</t>
        </is>
      </c>
      <c r="C196" s="248" t="inlineStr">
        <is>
          <t>Эмис-Вихрь 200 ЭВ-200</t>
        </is>
      </c>
      <c r="D196" s="347" t="inlineStr">
        <is>
          <t>22334</t>
        </is>
      </c>
      <c r="E196" s="347" t="inlineStr">
        <is>
          <t>Jul.18</t>
        </is>
      </c>
      <c r="F196" s="254" t="inlineStr">
        <is>
          <t>18…480 м³/ч</t>
        </is>
      </c>
      <c r="G196" s="347" t="inlineStr"/>
      <c r="H196" s="243" t="inlineStr">
        <is>
          <t>Qв на выходе из оболочки радиального подшипника ( ПКВ)</t>
        </is>
      </c>
      <c r="I196" s="276" t="inlineStr"/>
      <c r="J196" s="348" t="inlineStr">
        <is>
          <t>АСУ,А и ТМ (КЦ № 7)</t>
        </is>
      </c>
      <c r="K196" s="349" t="inlineStr"/>
      <c r="L196" s="349" t="inlineStr"/>
      <c r="M196" s="349" t="inlineStr"/>
      <c r="N196" s="349" t="inlineStr"/>
    </row>
    <row r="197" ht="22.5" customHeight="1" s="236">
      <c r="A197" s="243" t="n">
        <v>196</v>
      </c>
      <c r="B197" s="243" t="inlineStr">
        <is>
          <t>Расходомер</t>
        </is>
      </c>
      <c r="C197" s="248" t="inlineStr">
        <is>
          <t>Эмис-Вихрь 200 ЭВ-200</t>
        </is>
      </c>
      <c r="D197" s="347" t="inlineStr">
        <is>
          <t>22330</t>
        </is>
      </c>
      <c r="E197" s="347" t="inlineStr">
        <is>
          <t>Aug.18</t>
        </is>
      </c>
      <c r="F197" s="254" t="inlineStr">
        <is>
          <t>18…480 м³/ч</t>
        </is>
      </c>
      <c r="G197" s="347" t="inlineStr"/>
      <c r="H197" s="243" t="inlineStr">
        <is>
          <t>Qв на выходе из оболочки радиального подшипника ( ЗКВ)</t>
        </is>
      </c>
      <c r="I197" s="276" t="inlineStr"/>
      <c r="J197" s="348" t="inlineStr">
        <is>
          <t>АСУ,А и ТМ (КЦ № 7)</t>
        </is>
      </c>
      <c r="K197" s="349" t="inlineStr"/>
      <c r="L197" s="349" t="inlineStr"/>
      <c r="M197" s="349" t="inlineStr"/>
      <c r="N197" s="349" t="inlineStr"/>
    </row>
    <row r="198" ht="22.5" customHeight="1" s="236">
      <c r="A198" s="243" t="n">
        <v>197</v>
      </c>
      <c r="B198" s="346" t="inlineStr">
        <is>
          <t>Термометр сопротивления</t>
        </is>
      </c>
      <c r="C198" s="248" t="inlineStr">
        <is>
          <t>ТСП 012.08</t>
        </is>
      </c>
      <c r="D198" s="347" t="inlineStr">
        <is>
          <t>589</t>
        </is>
      </c>
      <c r="E198" s="347" t="inlineStr">
        <is>
          <t>2018</t>
        </is>
      </c>
      <c r="F198" s="254" t="inlineStr">
        <is>
          <t>-60…200 °С 80 мм</t>
        </is>
      </c>
      <c r="G198" s="347" t="inlineStr"/>
      <c r="H198" s="243" t="inlineStr">
        <is>
          <t>Тв подоваемого из воздуходовки</t>
        </is>
      </c>
      <c r="I198" s="276" t="inlineStr">
        <is>
          <t>БКВ</t>
        </is>
      </c>
      <c r="J198" s="348" t="inlineStr">
        <is>
          <t>АСУ,А и ТМ (КЦ № 7)</t>
        </is>
      </c>
      <c r="K198" s="349" t="inlineStr"/>
      <c r="L198" s="349" t="inlineStr"/>
      <c r="M198" s="349" t="inlineStr"/>
      <c r="N198" s="349" t="inlineStr"/>
      <c r="O198" s="341" t="n"/>
    </row>
    <row r="199" ht="22.5" customHeight="1" s="236">
      <c r="A199" s="243" t="n">
        <v>198</v>
      </c>
      <c r="B199" s="243" t="inlineStr">
        <is>
          <t>Сигнализатор уровня</t>
        </is>
      </c>
      <c r="C199" s="248" t="inlineStr">
        <is>
          <t>Валком</t>
        </is>
      </c>
      <c r="D199" s="347" t="inlineStr">
        <is>
          <t>8А10719</t>
        </is>
      </c>
      <c r="E199" s="347" t="inlineStr">
        <is>
          <t>2019</t>
        </is>
      </c>
      <c r="F199" s="254" t="inlineStr">
        <is>
          <t>200 мм</t>
        </is>
      </c>
      <c r="G199" s="347" t="inlineStr"/>
      <c r="H199" s="243" t="inlineStr">
        <is>
          <t>БФБГ-1 (верхний)</t>
        </is>
      </c>
      <c r="I199" s="276" t="inlineStr">
        <is>
          <t>КЦ</t>
        </is>
      </c>
      <c r="J199" s="348" t="inlineStr">
        <is>
          <t>АСУ,А и ТМ (КЦ № 7)</t>
        </is>
      </c>
      <c r="K199" s="349" t="inlineStr"/>
      <c r="L199" s="349" t="inlineStr"/>
      <c r="M199" s="349" t="inlineStr"/>
      <c r="N199" s="349" t="inlineStr"/>
      <c r="O199" s="341" t="inlineStr">
        <is>
          <t>не является СИ</t>
        </is>
      </c>
    </row>
    <row r="200" ht="22.5" customHeight="1" s="236">
      <c r="A200" s="243" t="n">
        <v>199</v>
      </c>
      <c r="B200" s="243" t="inlineStr">
        <is>
          <t>Сигнализатор уровня</t>
        </is>
      </c>
      <c r="C200" s="248" t="inlineStr">
        <is>
          <t>Валком</t>
        </is>
      </c>
      <c r="D200" s="347" t="inlineStr">
        <is>
          <t>8А10727</t>
        </is>
      </c>
      <c r="E200" s="347" t="inlineStr">
        <is>
          <t>2019</t>
        </is>
      </c>
      <c r="F200" s="254" t="inlineStr">
        <is>
          <t>200 мм</t>
        </is>
      </c>
      <c r="G200" s="347" t="inlineStr"/>
      <c r="H200" s="243" t="inlineStr">
        <is>
          <t>БФБГ-1 (нижний)</t>
        </is>
      </c>
      <c r="I200" s="276" t="inlineStr">
        <is>
          <t>КЦ</t>
        </is>
      </c>
      <c r="J200" s="348" t="inlineStr">
        <is>
          <t>АСУ,А и ТМ (КЦ № 7)</t>
        </is>
      </c>
      <c r="K200" s="349" t="inlineStr"/>
      <c r="L200" s="349" t="inlineStr"/>
      <c r="M200" s="349" t="inlineStr"/>
      <c r="N200" s="349" t="inlineStr"/>
      <c r="O200" s="341" t="inlineStr">
        <is>
          <t>не является СИ</t>
        </is>
      </c>
    </row>
    <row r="201" ht="22.5" customHeight="1" s="236">
      <c r="A201" s="243" t="n">
        <v>200</v>
      </c>
      <c r="B201" s="243" t="inlineStr">
        <is>
          <t>Сигнализатор уровня</t>
        </is>
      </c>
      <c r="C201" s="248" t="inlineStr">
        <is>
          <t>Валком</t>
        </is>
      </c>
      <c r="D201" s="347" t="inlineStr">
        <is>
          <t>8А10726</t>
        </is>
      </c>
      <c r="E201" s="347" t="inlineStr">
        <is>
          <t>2019</t>
        </is>
      </c>
      <c r="F201" s="254" t="inlineStr">
        <is>
          <t>200 мм</t>
        </is>
      </c>
      <c r="G201" s="347" t="inlineStr"/>
      <c r="H201" s="243" t="inlineStr">
        <is>
          <t>БФБГ-2 (верхний)</t>
        </is>
      </c>
      <c r="I201" s="276" t="inlineStr">
        <is>
          <t>КЦ</t>
        </is>
      </c>
      <c r="J201" s="348" t="inlineStr">
        <is>
          <t>АСУ,А и ТМ (КЦ № 7)</t>
        </is>
      </c>
      <c r="K201" s="349" t="inlineStr"/>
      <c r="L201" s="349" t="inlineStr"/>
      <c r="M201" s="349" t="inlineStr"/>
      <c r="N201" s="349" t="inlineStr"/>
      <c r="O201" s="341" t="inlineStr">
        <is>
          <t>не является СИ</t>
        </is>
      </c>
    </row>
    <row r="202" ht="22.5" customHeight="1" s="236">
      <c r="A202" s="243" t="n">
        <v>201</v>
      </c>
      <c r="B202" s="243" t="inlineStr">
        <is>
          <t>Сигнализатор уровня</t>
        </is>
      </c>
      <c r="C202" s="248" t="inlineStr">
        <is>
          <t>Валком</t>
        </is>
      </c>
      <c r="D202" s="347" t="inlineStr">
        <is>
          <t>8А10725</t>
        </is>
      </c>
      <c r="E202" s="347" t="inlineStr">
        <is>
          <t>2019</t>
        </is>
      </c>
      <c r="F202" s="254" t="inlineStr">
        <is>
          <t>200 мм</t>
        </is>
      </c>
      <c r="G202" s="347" t="inlineStr"/>
      <c r="H202" s="243" t="inlineStr">
        <is>
          <t>БФБГ-2 (нижний)</t>
        </is>
      </c>
      <c r="I202" s="276" t="inlineStr">
        <is>
          <t>КЦ</t>
        </is>
      </c>
      <c r="J202" s="348" t="inlineStr">
        <is>
          <t>АСУ,А и ТМ (КЦ № 7)</t>
        </is>
      </c>
      <c r="K202" s="349" t="inlineStr"/>
      <c r="L202" s="349" t="inlineStr"/>
      <c r="M202" s="349" t="inlineStr"/>
      <c r="N202" s="349" t="inlineStr"/>
      <c r="O202" s="341" t="inlineStr">
        <is>
          <t>не является СИ</t>
        </is>
      </c>
    </row>
    <row r="203" ht="22.5" customHeight="1" s="236">
      <c r="A203" s="243" t="n">
        <v>202</v>
      </c>
      <c r="B203" s="243" t="inlineStr">
        <is>
          <t>Сигнализатор уровня</t>
        </is>
      </c>
      <c r="C203" s="248" t="inlineStr">
        <is>
          <t>Валком</t>
        </is>
      </c>
      <c r="D203" s="347" t="inlineStr">
        <is>
          <t>8А10739</t>
        </is>
      </c>
      <c r="E203" s="347" t="inlineStr">
        <is>
          <t>2019</t>
        </is>
      </c>
      <c r="F203" s="254" t="inlineStr">
        <is>
          <t>200 мм</t>
        </is>
      </c>
      <c r="G203" s="347" t="inlineStr"/>
      <c r="H203" s="243" t="inlineStr">
        <is>
          <t>БФТГ-1 (верхний)</t>
        </is>
      </c>
      <c r="I203" s="276" t="inlineStr">
        <is>
          <t>КЦ</t>
        </is>
      </c>
      <c r="J203" s="348" t="inlineStr">
        <is>
          <t>АСУ,А и ТМ (КЦ № 7)</t>
        </is>
      </c>
      <c r="K203" s="349" t="inlineStr"/>
      <c r="L203" s="349" t="inlineStr"/>
      <c r="M203" s="349" t="inlineStr"/>
      <c r="N203" s="349" t="inlineStr"/>
      <c r="O203" s="341" t="inlineStr">
        <is>
          <t>не является СИ</t>
        </is>
      </c>
    </row>
    <row r="204" ht="22.5" customHeight="1" s="236">
      <c r="A204" s="243" t="n">
        <v>203</v>
      </c>
      <c r="B204" s="243" t="inlineStr">
        <is>
          <t>Сигнализатор уровня</t>
        </is>
      </c>
      <c r="C204" s="248" t="inlineStr">
        <is>
          <t>Валком</t>
        </is>
      </c>
      <c r="D204" s="347" t="inlineStr">
        <is>
          <t>8А10734</t>
        </is>
      </c>
      <c r="E204" s="347" t="inlineStr">
        <is>
          <t>2019</t>
        </is>
      </c>
      <c r="F204" s="254" t="inlineStr">
        <is>
          <t>200 мм</t>
        </is>
      </c>
      <c r="G204" s="347" t="inlineStr"/>
      <c r="H204" s="243" t="inlineStr">
        <is>
          <t>БФТГ-1 (нижний)</t>
        </is>
      </c>
      <c r="I204" s="276" t="inlineStr">
        <is>
          <t>КЦ</t>
        </is>
      </c>
      <c r="J204" s="348" t="inlineStr">
        <is>
          <t>АСУ,А и ТМ (КЦ № 7)</t>
        </is>
      </c>
      <c r="K204" s="349" t="inlineStr"/>
      <c r="L204" s="349" t="inlineStr"/>
      <c r="M204" s="349" t="inlineStr"/>
      <c r="N204" s="349" t="inlineStr"/>
      <c r="O204" s="341" t="inlineStr">
        <is>
          <t>не является СИ</t>
        </is>
      </c>
    </row>
    <row r="205" ht="22.5" customHeight="1" s="236">
      <c r="A205" s="243" t="n">
        <v>204</v>
      </c>
      <c r="B205" s="243" t="inlineStr">
        <is>
          <t>Сигнализатор уровня</t>
        </is>
      </c>
      <c r="C205" s="248" t="inlineStr">
        <is>
          <t>Валком</t>
        </is>
      </c>
      <c r="D205" s="347" t="inlineStr">
        <is>
          <t>8А10753</t>
        </is>
      </c>
      <c r="E205" s="347" t="inlineStr">
        <is>
          <t>2019</t>
        </is>
      </c>
      <c r="F205" s="254" t="inlineStr">
        <is>
          <t>200 мм</t>
        </is>
      </c>
      <c r="G205" s="347" t="inlineStr"/>
      <c r="H205" s="243" t="inlineStr">
        <is>
          <t>БФТГ-2 (верхний)</t>
        </is>
      </c>
      <c r="I205" s="276" t="inlineStr">
        <is>
          <t>КЦ</t>
        </is>
      </c>
      <c r="J205" s="348" t="inlineStr">
        <is>
          <t>АСУ,А и ТМ (КЦ № 7)</t>
        </is>
      </c>
      <c r="K205" s="349" t="inlineStr"/>
      <c r="L205" s="349" t="inlineStr"/>
      <c r="M205" s="349" t="inlineStr"/>
      <c r="N205" s="349" t="inlineStr"/>
      <c r="O205" s="341" t="inlineStr">
        <is>
          <t>не является СИ</t>
        </is>
      </c>
    </row>
    <row r="206" ht="22.5" customHeight="1" s="236">
      <c r="A206" s="243" t="n">
        <v>205</v>
      </c>
      <c r="B206" s="243" t="inlineStr">
        <is>
          <t>Сигнализатор уровня</t>
        </is>
      </c>
      <c r="C206" s="248" t="inlineStr">
        <is>
          <t>Валком</t>
        </is>
      </c>
      <c r="D206" s="347" t="inlineStr">
        <is>
          <t>8А10747</t>
        </is>
      </c>
      <c r="E206" s="347" t="inlineStr">
        <is>
          <t>2019</t>
        </is>
      </c>
      <c r="F206" s="254" t="inlineStr">
        <is>
          <t>200 мм</t>
        </is>
      </c>
      <c r="G206" s="347" t="inlineStr"/>
      <c r="H206" s="243" t="inlineStr">
        <is>
          <t>БФТГ-2 (нижний)</t>
        </is>
      </c>
      <c r="I206" s="276" t="inlineStr">
        <is>
          <t>КЦ</t>
        </is>
      </c>
      <c r="J206" s="348" t="inlineStr">
        <is>
          <t>АСУ,А и ТМ (КЦ № 7)</t>
        </is>
      </c>
      <c r="K206" s="349" t="inlineStr"/>
      <c r="L206" s="349" t="inlineStr"/>
      <c r="M206" s="349" t="inlineStr"/>
      <c r="N206" s="349" t="inlineStr"/>
      <c r="O206" s="341" t="inlineStr">
        <is>
          <t>не является СИ</t>
        </is>
      </c>
    </row>
    <row r="207" ht="22.5" customHeight="1" s="236">
      <c r="A207" s="243" t="n">
        <v>206</v>
      </c>
      <c r="B207" s="243" t="inlineStr">
        <is>
          <t>Сигнализатор давления</t>
        </is>
      </c>
      <c r="C207" s="248" t="inlineStr">
        <is>
          <t>Садко 107</t>
        </is>
      </c>
      <c r="D207" s="347" t="inlineStr">
        <is>
          <t>283603</t>
        </is>
      </c>
      <c r="E207" s="347" t="inlineStr">
        <is>
          <t>2018</t>
        </is>
      </c>
      <c r="F207" s="254" t="inlineStr">
        <is>
          <t>0,09…0,5 МПа</t>
        </is>
      </c>
      <c r="G207" s="347" t="inlineStr"/>
      <c r="H207" s="243" t="inlineStr">
        <is>
          <t>PКПВ КВД (А61)</t>
        </is>
      </c>
      <c r="I207" s="276" t="inlineStr">
        <is>
          <t>КЦ</t>
        </is>
      </c>
      <c r="J207" s="348" t="inlineStr">
        <is>
          <t>АСУ,А и ТМ (КЦ № 7)</t>
        </is>
      </c>
      <c r="K207" s="349" t="inlineStr"/>
      <c r="L207" s="349" t="inlineStr"/>
      <c r="M207" s="349" t="inlineStr"/>
      <c r="N207" s="349" t="inlineStr"/>
      <c r="O207" s="340" t="inlineStr">
        <is>
          <t>не является СИ</t>
        </is>
      </c>
    </row>
    <row r="208" ht="22.5" customHeight="1" s="236">
      <c r="A208" s="243" t="n">
        <v>207</v>
      </c>
      <c r="B208" s="243" t="inlineStr">
        <is>
          <t>Сигнализатор давления</t>
        </is>
      </c>
      <c r="C208" s="248" t="inlineStr">
        <is>
          <t>Садко 107</t>
        </is>
      </c>
      <c r="D208" s="347" t="inlineStr">
        <is>
          <t>290839</t>
        </is>
      </c>
      <c r="E208" s="347" t="inlineStr">
        <is>
          <t>2019</t>
        </is>
      </c>
      <c r="F208" s="254" t="inlineStr">
        <is>
          <t>0,04…0,1 МПа</t>
        </is>
      </c>
      <c r="G208" s="347" t="inlineStr"/>
      <c r="H208" s="243" t="inlineStr">
        <is>
          <t>Pкпвз (А31)</t>
        </is>
      </c>
      <c r="I208" s="276" t="inlineStr">
        <is>
          <t>КЦ</t>
        </is>
      </c>
      <c r="J208" s="348" t="inlineStr">
        <is>
          <t>АСУ,А и ТМ (КЦ № 7)</t>
        </is>
      </c>
      <c r="K208" s="349" t="inlineStr"/>
      <c r="L208" s="349" t="inlineStr"/>
      <c r="M208" s="349" t="inlineStr"/>
      <c r="N208" s="349" t="inlineStr"/>
      <c r="O208" s="340" t="inlineStr">
        <is>
          <t>не является СИ</t>
        </is>
      </c>
    </row>
    <row r="209" ht="22.5" customHeight="1" s="236">
      <c r="A209" s="243" t="n">
        <v>208</v>
      </c>
      <c r="B209" s="243" t="inlineStr">
        <is>
          <t>Преобразователь давления</t>
        </is>
      </c>
      <c r="C209" s="248" t="inlineStr">
        <is>
          <t>Yokogawa EJA530E</t>
        </is>
      </c>
      <c r="D209" s="347" t="inlineStr">
        <is>
          <t>91U935186</t>
        </is>
      </c>
      <c r="E209" s="347" t="inlineStr">
        <is>
          <t>2018</t>
        </is>
      </c>
      <c r="F209" s="254" t="inlineStr">
        <is>
          <t>0…0,6 МПа</t>
        </is>
      </c>
      <c r="G209" s="347" t="inlineStr"/>
      <c r="H209" s="243" t="inlineStr">
        <is>
          <t>Pквд (A71)</t>
        </is>
      </c>
      <c r="I209" s="276" t="inlineStr">
        <is>
          <t>КЦ</t>
        </is>
      </c>
      <c r="J209" s="348" t="inlineStr">
        <is>
          <t>АСУ,А и ТМ (КЦ № 7)</t>
        </is>
      </c>
      <c r="K209" s="349" t="inlineStr"/>
      <c r="L209" s="349" t="inlineStr"/>
      <c r="M209" s="349" t="inlineStr"/>
      <c r="N209" s="349" t="inlineStr"/>
    </row>
    <row r="210" ht="22.5" customHeight="1" s="236">
      <c r="A210" s="243" t="n">
        <v>209</v>
      </c>
      <c r="B210" s="243" t="inlineStr">
        <is>
          <t>Преобразователь давления</t>
        </is>
      </c>
      <c r="C210" s="248" t="inlineStr">
        <is>
          <t>Yokogawa EJA530E</t>
        </is>
      </c>
      <c r="D210" s="347" t="inlineStr">
        <is>
          <t>91T832902</t>
        </is>
      </c>
      <c r="E210" s="347" t="inlineStr">
        <is>
          <t>2018</t>
        </is>
      </c>
      <c r="F210" s="254" t="inlineStr">
        <is>
          <t>0…0,16 МПа</t>
        </is>
      </c>
      <c r="G210" s="347" t="inlineStr"/>
      <c r="H210" s="243" t="inlineStr">
        <is>
          <t>Pрп квд (A33)</t>
        </is>
      </c>
      <c r="I210" s="276" t="inlineStr">
        <is>
          <t>КЦ</t>
        </is>
      </c>
      <c r="J210" s="348" t="inlineStr">
        <is>
          <t>АСУ,А и ТМ (КЦ № 7)</t>
        </is>
      </c>
      <c r="K210" s="349" t="inlineStr"/>
      <c r="L210" s="349" t="inlineStr"/>
      <c r="M210" s="349" t="inlineStr"/>
      <c r="N210" s="349" t="inlineStr"/>
    </row>
    <row r="211" ht="22.5" customHeight="1" s="236">
      <c r="A211" s="243" t="n">
        <v>210</v>
      </c>
      <c r="B211" s="243" t="inlineStr">
        <is>
          <t>Преобразователь давления</t>
        </is>
      </c>
      <c r="C211" s="248" t="inlineStr">
        <is>
          <t>Yokogawa EJA530E</t>
        </is>
      </c>
      <c r="D211" s="347" t="inlineStr">
        <is>
          <t>91UB38720</t>
        </is>
      </c>
      <c r="E211" s="347" t="inlineStr">
        <is>
          <t>2018</t>
        </is>
      </c>
      <c r="F211" s="254" t="inlineStr">
        <is>
          <t>0…0,6 МПа</t>
        </is>
      </c>
      <c r="G211" s="347" t="inlineStr"/>
      <c r="H211" s="243" t="inlineStr">
        <is>
          <t>P*тнд (A87)</t>
        </is>
      </c>
      <c r="I211" s="276" t="inlineStr">
        <is>
          <t>КЦ</t>
        </is>
      </c>
      <c r="J211" s="348" t="inlineStr">
        <is>
          <t>АСУ,А и ТМ (КЦ № 7)</t>
        </is>
      </c>
      <c r="K211" s="349" t="inlineStr"/>
      <c r="L211" s="349" t="inlineStr"/>
      <c r="M211" s="349" t="inlineStr"/>
      <c r="N211" s="349" t="inlineStr"/>
    </row>
    <row r="212" ht="22.5" customHeight="1" s="236">
      <c r="A212" s="243" t="n">
        <v>211</v>
      </c>
      <c r="B212" s="243" t="inlineStr">
        <is>
          <t>Преобразователь давления</t>
        </is>
      </c>
      <c r="C212" s="248" t="inlineStr">
        <is>
          <t>Yokogawa EJA530E</t>
        </is>
      </c>
      <c r="D212" s="347" t="inlineStr">
        <is>
          <t>91UC19751</t>
        </is>
      </c>
      <c r="E212" s="347" t="inlineStr">
        <is>
          <t>2018</t>
        </is>
      </c>
      <c r="F212" s="254" t="inlineStr">
        <is>
          <t>0…0,16 МПа</t>
        </is>
      </c>
      <c r="G212" s="347" t="inlineStr"/>
      <c r="H212" s="243" t="inlineStr">
        <is>
          <t>P*охл. тнд (A88)</t>
        </is>
      </c>
      <c r="I212" s="276" t="inlineStr">
        <is>
          <t>КЦ</t>
        </is>
      </c>
      <c r="J212" s="348" t="inlineStr">
        <is>
          <t>АСУ,А и ТМ (КЦ № 7)</t>
        </is>
      </c>
      <c r="K212" s="349" t="inlineStr"/>
      <c r="L212" s="349" t="inlineStr"/>
      <c r="M212" s="349" t="inlineStr"/>
      <c r="N212" s="349" t="inlineStr"/>
    </row>
    <row r="213" ht="22.5" customHeight="1" s="236">
      <c r="A213" s="243" t="n">
        <v>212</v>
      </c>
      <c r="B213" s="243" t="inlineStr">
        <is>
          <t>Преобразователь давления</t>
        </is>
      </c>
      <c r="C213" s="248" t="inlineStr">
        <is>
          <t>Yokogawa EJA530E</t>
        </is>
      </c>
      <c r="D213" s="347" t="inlineStr">
        <is>
          <t>91UC19471</t>
        </is>
      </c>
      <c r="E213" s="347" t="inlineStr">
        <is>
          <t>2018</t>
        </is>
      </c>
      <c r="F213" s="254" t="inlineStr">
        <is>
          <t>0…0,6 МПа</t>
        </is>
      </c>
      <c r="G213" s="347" t="inlineStr"/>
      <c r="H213" s="243" t="inlineStr">
        <is>
          <t>P*твд (A39)</t>
        </is>
      </c>
      <c r="I213" s="276" t="inlineStr">
        <is>
          <t>КЦ</t>
        </is>
      </c>
      <c r="J213" s="348" t="inlineStr">
        <is>
          <t>АСУ,А и ТМ (КЦ № 7)</t>
        </is>
      </c>
      <c r="K213" s="349" t="inlineStr"/>
      <c r="L213" s="349" t="inlineStr"/>
      <c r="M213" s="349" t="inlineStr"/>
      <c r="N213" s="349" t="inlineStr"/>
    </row>
    <row r="214" ht="22.5" customHeight="1" s="236">
      <c r="A214" s="243" t="n">
        <v>213</v>
      </c>
      <c r="B214" s="243" t="inlineStr">
        <is>
          <t>Преобразователь давления</t>
        </is>
      </c>
      <c r="C214" s="248" t="inlineStr">
        <is>
          <t>Yokogawa EJA530E</t>
        </is>
      </c>
      <c r="D214" s="347" t="inlineStr">
        <is>
          <t>91UB38717</t>
        </is>
      </c>
      <c r="E214" s="347" t="inlineStr">
        <is>
          <t>2018</t>
        </is>
      </c>
      <c r="F214" s="254" t="inlineStr">
        <is>
          <t>0…0,6 МПа</t>
        </is>
      </c>
      <c r="G214" s="347" t="inlineStr"/>
      <c r="H214" s="243" t="inlineStr">
        <is>
          <t>Pрп ст (A30)</t>
        </is>
      </c>
      <c r="I214" s="276" t="inlineStr">
        <is>
          <t>КЦ</t>
        </is>
      </c>
      <c r="J214" s="348" t="inlineStr">
        <is>
          <t>АСУ,А и ТМ (КЦ № 7)</t>
        </is>
      </c>
      <c r="K214" s="349" t="inlineStr"/>
      <c r="L214" s="349" t="inlineStr"/>
      <c r="M214" s="349" t="inlineStr"/>
      <c r="N214" s="349" t="inlineStr"/>
    </row>
    <row r="215" ht="22.5" customHeight="1" s="236">
      <c r="A215" s="243" t="n">
        <v>214</v>
      </c>
      <c r="B215" s="243" t="inlineStr">
        <is>
          <t>Преобразователь давления</t>
        </is>
      </c>
      <c r="C215" s="248" t="inlineStr">
        <is>
          <t>Yokogawa EJA530E</t>
        </is>
      </c>
      <c r="D215" s="347" t="inlineStr">
        <is>
          <t>91UC19360</t>
        </is>
      </c>
      <c r="E215" s="347" t="inlineStr">
        <is>
          <t>2018</t>
        </is>
      </c>
      <c r="F215" s="254" t="inlineStr">
        <is>
          <t>0…16 кПа</t>
        </is>
      </c>
      <c r="G215" s="347" t="inlineStr"/>
      <c r="H215" s="243" t="inlineStr">
        <is>
          <t>P*ст (A81)</t>
        </is>
      </c>
      <c r="I215" s="276" t="inlineStr">
        <is>
          <t>КЦ</t>
        </is>
      </c>
      <c r="J215" s="348" t="inlineStr">
        <is>
          <t>АСУ,А и ТМ (КЦ № 7)</t>
        </is>
      </c>
      <c r="K215" s="349" t="inlineStr"/>
      <c r="L215" s="349" t="inlineStr"/>
      <c r="M215" s="349" t="inlineStr"/>
      <c r="N215" s="349" t="inlineStr"/>
    </row>
    <row r="216" ht="22.5" customHeight="1" s="236">
      <c r="A216" s="243" t="n">
        <v>215</v>
      </c>
      <c r="B216" s="243" t="inlineStr">
        <is>
          <t>Преобразователь давления</t>
        </is>
      </c>
      <c r="C216" s="248" t="inlineStr">
        <is>
          <t>Yokogawa EJA530E</t>
        </is>
      </c>
      <c r="D216" s="347" t="inlineStr">
        <is>
          <t>91UC19771</t>
        </is>
      </c>
      <c r="E216" s="347" t="inlineStr">
        <is>
          <t>2018</t>
        </is>
      </c>
      <c r="F216" s="254" t="inlineStr">
        <is>
          <t>0…16 МПа</t>
        </is>
      </c>
      <c r="G216" s="347" t="inlineStr"/>
      <c r="H216" s="243" t="inlineStr">
        <is>
          <t>Перепад между атмосферным давлением и полным давлением воздуха на входе КНД</t>
        </is>
      </c>
      <c r="I216" s="276" t="inlineStr">
        <is>
          <t>КЦ</t>
        </is>
      </c>
      <c r="J216" s="348" t="inlineStr">
        <is>
          <t>АСУ,А и ТМ (КЦ № 7)</t>
        </is>
      </c>
      <c r="K216" s="349" t="inlineStr"/>
      <c r="L216" s="349" t="inlineStr"/>
      <c r="M216" s="349" t="inlineStr"/>
      <c r="N216" s="349" t="inlineStr"/>
    </row>
    <row r="217" ht="33.75" customHeight="1" s="236">
      <c r="A217" s="243" t="n">
        <v>216</v>
      </c>
      <c r="B217" s="243" t="inlineStr">
        <is>
          <t>Преобразователь давления</t>
        </is>
      </c>
      <c r="C217" s="248" t="inlineStr">
        <is>
          <t>Yokogawa EJA530E</t>
        </is>
      </c>
      <c r="D217" s="347" t="inlineStr">
        <is>
          <t>91UC16310</t>
        </is>
      </c>
      <c r="E217" s="347" t="inlineStr">
        <is>
          <t>2018</t>
        </is>
      </c>
      <c r="F217" s="254" t="inlineStr">
        <is>
          <t>0…16 МПа</t>
        </is>
      </c>
      <c r="G217" s="347" t="inlineStr"/>
      <c r="H217" s="243" t="inlineStr">
        <is>
          <t>Перепад между атмосферным давлением и статистическим давлением воздуха на входе КНД</t>
        </is>
      </c>
      <c r="I217" s="276" t="inlineStr">
        <is>
          <t>КЦ</t>
        </is>
      </c>
      <c r="J217" s="348" t="inlineStr">
        <is>
          <t>АСУ,А и ТМ (КЦ № 7)</t>
        </is>
      </c>
      <c r="K217" s="349" t="inlineStr"/>
      <c r="L217" s="349" t="inlineStr"/>
      <c r="M217" s="349" t="inlineStr"/>
      <c r="N217" s="349" t="inlineStr"/>
    </row>
    <row r="218" ht="22.5" customHeight="1" s="236">
      <c r="A218" s="243" t="n">
        <v>217</v>
      </c>
      <c r="B218" s="243" t="inlineStr">
        <is>
          <t>Преобразователь давления</t>
        </is>
      </c>
      <c r="C218" s="248" t="inlineStr">
        <is>
          <t>Yokogawa EJA530E</t>
        </is>
      </c>
      <c r="D218" s="347" t="inlineStr">
        <is>
          <t>91UC18507</t>
        </is>
      </c>
      <c r="E218" s="347" t="inlineStr">
        <is>
          <t>2018</t>
        </is>
      </c>
      <c r="F218" s="254" t="inlineStr">
        <is>
          <t>0…10 МПа</t>
        </is>
      </c>
      <c r="G218" s="347" t="inlineStr"/>
      <c r="H218" s="243" t="inlineStr">
        <is>
          <t>Ртг передд ДГ (А72)</t>
        </is>
      </c>
      <c r="I218" s="276" t="inlineStr">
        <is>
          <t>КЦ</t>
        </is>
      </c>
      <c r="J218" s="348" t="inlineStr">
        <is>
          <t>АСУ,А и ТМ (КЦ № 7)</t>
        </is>
      </c>
      <c r="K218" s="349" t="inlineStr"/>
      <c r="L218" s="349" t="inlineStr"/>
      <c r="M218" s="349" t="inlineStr"/>
      <c r="N218" s="349" t="inlineStr"/>
    </row>
    <row r="219" ht="22.5" customHeight="1" s="236">
      <c r="A219" s="243" t="n">
        <v>218</v>
      </c>
      <c r="B219" s="243" t="inlineStr">
        <is>
          <t>Преобразователь давления</t>
        </is>
      </c>
      <c r="C219" s="248" t="inlineStr">
        <is>
          <t>Yokogawa EJA530E</t>
        </is>
      </c>
      <c r="D219" s="347" t="inlineStr">
        <is>
          <t>91UC18508</t>
        </is>
      </c>
      <c r="E219" s="347" t="inlineStr">
        <is>
          <t>2018</t>
        </is>
      </c>
      <c r="F219" s="254" t="inlineStr">
        <is>
          <t>0…10 МПа</t>
        </is>
      </c>
      <c r="G219" s="347" t="inlineStr"/>
      <c r="H219" s="243" t="inlineStr">
        <is>
          <t>Ртг передд СК (А73)</t>
        </is>
      </c>
      <c r="I219" s="276" t="inlineStr">
        <is>
          <t>КЦ</t>
        </is>
      </c>
      <c r="J219" s="348" t="inlineStr">
        <is>
          <t>АСУ,А и ТМ (КЦ № 7)</t>
        </is>
      </c>
      <c r="K219" s="349" t="inlineStr"/>
      <c r="L219" s="349" t="inlineStr"/>
      <c r="M219" s="349" t="inlineStr"/>
      <c r="N219" s="349" t="inlineStr"/>
    </row>
    <row r="220" ht="22.5" customHeight="1" s="236">
      <c r="A220" s="243" t="n">
        <v>219</v>
      </c>
      <c r="B220" s="243" t="inlineStr">
        <is>
          <t>Преобразователь давления</t>
        </is>
      </c>
      <c r="C220" s="248" t="inlineStr">
        <is>
          <t>Yokogawa EJA530E</t>
        </is>
      </c>
      <c r="D220" s="347" t="inlineStr">
        <is>
          <t>91UC19435</t>
        </is>
      </c>
      <c r="E220" s="347" t="inlineStr">
        <is>
          <t>2018</t>
        </is>
      </c>
      <c r="F220" s="254" t="inlineStr">
        <is>
          <t>0…0,2 МПа</t>
        </is>
      </c>
      <c r="G220" s="347" t="inlineStr"/>
      <c r="H220" s="243" t="inlineStr">
        <is>
          <t>Рв полное за КНД (А86)</t>
        </is>
      </c>
      <c r="I220" s="276" t="inlineStr">
        <is>
          <t>КЦ</t>
        </is>
      </c>
      <c r="J220" s="348" t="inlineStr">
        <is>
          <t>АСУ,А и ТМ (КЦ № 7)</t>
        </is>
      </c>
      <c r="K220" s="349" t="inlineStr"/>
      <c r="L220" s="349" t="inlineStr"/>
      <c r="M220" s="349" t="inlineStr"/>
      <c r="N220" s="349" t="inlineStr"/>
    </row>
    <row r="221" ht="22.5" customHeight="1" s="236">
      <c r="A221" s="243" t="n">
        <v>220</v>
      </c>
      <c r="B221" s="243" t="inlineStr">
        <is>
          <t>Преобразователь давления</t>
        </is>
      </c>
      <c r="C221" s="248" t="inlineStr">
        <is>
          <t>Yokogawa EJA530E</t>
        </is>
      </c>
      <c r="D221" s="347" t="inlineStr">
        <is>
          <t>91UC18536</t>
        </is>
      </c>
      <c r="E221" s="347" t="inlineStr">
        <is>
          <t>2018</t>
        </is>
      </c>
      <c r="F221" s="254" t="inlineStr">
        <is>
          <t>0…2 МПа</t>
        </is>
      </c>
      <c r="G221" s="347" t="inlineStr"/>
      <c r="H221" s="243" t="inlineStr">
        <is>
          <t>Рм на входе в двигатель (А40)</t>
        </is>
      </c>
      <c r="I221" s="276" t="inlineStr">
        <is>
          <t>КЦ</t>
        </is>
      </c>
      <c r="J221" s="348" t="inlineStr">
        <is>
          <t>АСУ,А и ТМ (КЦ № 7)</t>
        </is>
      </c>
      <c r="K221" s="349" t="inlineStr"/>
      <c r="L221" s="349" t="inlineStr"/>
      <c r="M221" s="349" t="inlineStr"/>
      <c r="N221" s="349" t="inlineStr"/>
    </row>
    <row r="222" ht="22.5" customHeight="1" s="236">
      <c r="A222" s="243" t="n">
        <v>221</v>
      </c>
      <c r="B222" s="243" t="inlineStr">
        <is>
          <t>Преобразователь давления</t>
        </is>
      </c>
      <c r="C222" s="248" t="inlineStr">
        <is>
          <t>Yokogawa EJA530E</t>
        </is>
      </c>
      <c r="D222" s="347" t="inlineStr">
        <is>
          <t>91UC19513</t>
        </is>
      </c>
      <c r="E222" s="347" t="inlineStr">
        <is>
          <t>2018</t>
        </is>
      </c>
      <c r="F222" s="254" t="inlineStr">
        <is>
          <t>0…0,2 кПа</t>
        </is>
      </c>
      <c r="G222" s="347" t="inlineStr"/>
      <c r="H222" s="243" t="inlineStr">
        <is>
          <t>Давление суфлирования (А43)</t>
        </is>
      </c>
      <c r="I222" s="276" t="inlineStr">
        <is>
          <t>КЦ</t>
        </is>
      </c>
      <c r="J222" s="348" t="inlineStr">
        <is>
          <t>АСУ,А и ТМ (КЦ № 7)</t>
        </is>
      </c>
      <c r="K222" s="349" t="inlineStr"/>
      <c r="L222" s="349" t="inlineStr"/>
      <c r="M222" s="349" t="inlineStr"/>
      <c r="N222" s="349" t="inlineStr"/>
    </row>
    <row r="223" ht="22.5" customFormat="1" customHeight="1" s="235">
      <c r="A223" s="243" t="n">
        <v>222</v>
      </c>
      <c r="B223" s="346" t="inlineStr">
        <is>
          <t>Термометр сопротивления</t>
        </is>
      </c>
      <c r="C223" s="248" t="inlineStr">
        <is>
          <t>ТСП 012.52В</t>
        </is>
      </c>
      <c r="D223" s="347" t="inlineStr">
        <is>
          <t>37</t>
        </is>
      </c>
      <c r="E223" s="347" t="inlineStr">
        <is>
          <t>May.18</t>
        </is>
      </c>
      <c r="F223" s="254" t="inlineStr">
        <is>
          <t>-60…200 °С 100 мм</t>
        </is>
      </c>
      <c r="G223" s="347" t="inlineStr"/>
      <c r="H223" s="243" t="inlineStr">
        <is>
          <t>Тв на выходе из осевого подшипника</t>
        </is>
      </c>
      <c r="I223" s="276" t="inlineStr"/>
      <c r="J223" s="348" t="inlineStr">
        <is>
          <t>АСУ,А и ТМ (КЦ № 7)</t>
        </is>
      </c>
      <c r="K223" s="349" t="inlineStr"/>
      <c r="L223" s="349" t="inlineStr"/>
      <c r="M223" s="349" t="inlineStr"/>
      <c r="N223" s="349" t="inlineStr"/>
    </row>
    <row r="224" ht="22.5" customFormat="1" customHeight="1" s="235">
      <c r="A224" s="243" t="n">
        <v>223</v>
      </c>
      <c r="B224" s="346" t="inlineStr">
        <is>
          <t>Термометр сопротивления</t>
        </is>
      </c>
      <c r="C224" s="248" t="inlineStr">
        <is>
          <t>ТСПУ 014.12</t>
        </is>
      </c>
      <c r="D224" s="347" t="inlineStr">
        <is>
          <t>358</t>
        </is>
      </c>
      <c r="E224" s="347" t="inlineStr">
        <is>
          <t>2018</t>
        </is>
      </c>
      <c r="F224" s="254" t="inlineStr">
        <is>
          <t>-50…150 °С 80 мм</t>
        </is>
      </c>
      <c r="G224" s="347" t="inlineStr">
        <is>
          <t>0.25%</t>
        </is>
      </c>
      <c r="H224" s="243" t="inlineStr">
        <is>
          <t>Температура воздуха после доохладителя</t>
        </is>
      </c>
      <c r="I224" s="276" t="inlineStr">
        <is>
          <t>БКК 71</t>
        </is>
      </c>
      <c r="J224" s="348" t="inlineStr">
        <is>
          <t>АСУ,А и ТМ (КЦ № 7)</t>
        </is>
      </c>
      <c r="K224" s="349" t="inlineStr"/>
      <c r="L224" s="349" t="inlineStr"/>
      <c r="M224" s="349" t="inlineStr"/>
      <c r="N224" s="349" t="inlineStr"/>
    </row>
    <row r="225" ht="33.75" customHeight="1" s="236">
      <c r="A225" s="243" t="n">
        <v>224</v>
      </c>
      <c r="B225" s="243" t="inlineStr">
        <is>
          <t>Газоанализатор оптический стационарный</t>
        </is>
      </c>
      <c r="C225" s="248" t="inlineStr">
        <is>
          <t>ОГС-ПГП/М</t>
        </is>
      </c>
      <c r="D225" s="347" t="inlineStr">
        <is>
          <t>15343</t>
        </is>
      </c>
      <c r="E225" s="347" t="inlineStr">
        <is>
          <t>2021</t>
        </is>
      </c>
      <c r="F225" s="254" t="inlineStr"/>
      <c r="G225" s="347" t="inlineStr"/>
      <c r="H225" s="243" t="inlineStr">
        <is>
          <t>Измерение уровня загазованности</t>
        </is>
      </c>
      <c r="I225" s="276" t="inlineStr">
        <is>
          <t>ГПА 71 (вход КШТ)</t>
        </is>
      </c>
      <c r="J225" s="348" t="inlineStr">
        <is>
          <t>АСУ,А и ТМ (КЦ № 7)</t>
        </is>
      </c>
      <c r="K225" s="349" t="inlineStr"/>
      <c r="L225" s="349" t="inlineStr">
        <is>
          <t>60</t>
        </is>
      </c>
      <c r="M225" s="349" t="inlineStr"/>
      <c r="N225" s="349" t="inlineStr"/>
    </row>
    <row r="226" ht="33.75" customHeight="1" s="236">
      <c r="A226" s="243" t="n">
        <v>225</v>
      </c>
      <c r="B226" s="243" t="inlineStr">
        <is>
          <t>Газоанализатор оптический стационарный</t>
        </is>
      </c>
      <c r="C226" s="248" t="inlineStr">
        <is>
          <t>ОГС-ПГП/М</t>
        </is>
      </c>
      <c r="D226" s="347" t="inlineStr">
        <is>
          <t>15327</t>
        </is>
      </c>
      <c r="E226" s="347" t="inlineStr">
        <is>
          <t>2021</t>
        </is>
      </c>
      <c r="F226" s="254" t="inlineStr"/>
      <c r="G226" s="347" t="inlineStr"/>
      <c r="H226" s="243" t="inlineStr">
        <is>
          <t>Измерение уровня загазованности</t>
        </is>
      </c>
      <c r="I226" s="276" t="inlineStr">
        <is>
          <t>ГПА 71 (выход КШТ)</t>
        </is>
      </c>
      <c r="J226" s="348" t="inlineStr">
        <is>
          <t>АСУ,А и ТМ (КЦ № 7)</t>
        </is>
      </c>
      <c r="K226" s="349" t="inlineStr"/>
      <c r="L226" s="349" t="inlineStr">
        <is>
          <t>61</t>
        </is>
      </c>
      <c r="M226" s="349" t="inlineStr"/>
      <c r="N226" s="349" t="inlineStr"/>
    </row>
    <row r="227" ht="33.75" customHeight="1" s="236">
      <c r="A227" s="243" t="n">
        <v>226</v>
      </c>
      <c r="B227" s="243" t="inlineStr">
        <is>
          <t>Газоанализатор оптический стационарный</t>
        </is>
      </c>
      <c r="C227" s="248" t="inlineStr">
        <is>
          <t>ОГС-ПГП/М</t>
        </is>
      </c>
      <c r="D227" s="347" t="inlineStr">
        <is>
          <t>15310</t>
        </is>
      </c>
      <c r="E227" s="347" t="inlineStr">
        <is>
          <t>2021</t>
        </is>
      </c>
      <c r="F227" s="254" t="inlineStr"/>
      <c r="G227" s="347" t="inlineStr"/>
      <c r="H227" s="243" t="inlineStr">
        <is>
          <t>Измерение уровня загазованности</t>
        </is>
      </c>
      <c r="I227" s="276" t="inlineStr">
        <is>
          <t>ГПА 71</t>
        </is>
      </c>
      <c r="J227" s="348" t="inlineStr">
        <is>
          <t>АСУ,А и ТМ (КЦ № 7)</t>
        </is>
      </c>
      <c r="K227" s="349" t="inlineStr"/>
      <c r="L227" s="349" t="inlineStr">
        <is>
          <t>62</t>
        </is>
      </c>
      <c r="M227" s="349" t="inlineStr"/>
      <c r="N227" s="349" t="inlineStr"/>
    </row>
    <row r="228" ht="33.75" customHeight="1" s="236">
      <c r="A228" s="243" t="n">
        <v>227</v>
      </c>
      <c r="B228" s="243" t="inlineStr">
        <is>
          <t>Газоанализатор оптический стационарный</t>
        </is>
      </c>
      <c r="C228" s="248" t="inlineStr">
        <is>
          <t>ОГС-ПГП/М</t>
        </is>
      </c>
      <c r="D228" s="347" t="inlineStr">
        <is>
          <t>15338</t>
        </is>
      </c>
      <c r="E228" s="347" t="inlineStr">
        <is>
          <t>2021</t>
        </is>
      </c>
      <c r="F228" s="254" t="inlineStr"/>
      <c r="G228" s="347" t="inlineStr"/>
      <c r="H228" s="243" t="inlineStr">
        <is>
          <t>Измерение уровня загазованности</t>
        </is>
      </c>
      <c r="I228" s="276" t="inlineStr">
        <is>
          <t>ГПА 71</t>
        </is>
      </c>
      <c r="J228" s="348" t="inlineStr">
        <is>
          <t>АСУ,А и ТМ (КЦ № 7)</t>
        </is>
      </c>
      <c r="K228" s="349" t="inlineStr"/>
      <c r="L228" s="349" t="inlineStr">
        <is>
          <t>63</t>
        </is>
      </c>
      <c r="M228" s="349" t="inlineStr"/>
      <c r="N228" s="349" t="inlineStr"/>
    </row>
    <row r="229" ht="33.75" customHeight="1" s="236">
      <c r="A229" s="243" t="n">
        <v>228</v>
      </c>
      <c r="B229" s="243" t="inlineStr">
        <is>
          <t>Газоанализатор оптический стационарный</t>
        </is>
      </c>
      <c r="C229" s="248" t="inlineStr">
        <is>
          <t>ОГС-ПГП/М</t>
        </is>
      </c>
      <c r="D229" s="347" t="inlineStr">
        <is>
          <t>15336</t>
        </is>
      </c>
      <c r="E229" s="347" t="inlineStr">
        <is>
          <t>2021</t>
        </is>
      </c>
      <c r="F229" s="254" t="inlineStr"/>
      <c r="G229" s="347" t="inlineStr"/>
      <c r="H229" s="243" t="inlineStr">
        <is>
          <t>Измерение уровня загазованности</t>
        </is>
      </c>
      <c r="I229" s="276" t="inlineStr">
        <is>
          <t>ГПА 71</t>
        </is>
      </c>
      <c r="J229" s="348" t="inlineStr">
        <is>
          <t>АСУ,А и ТМ (КЦ № 7)</t>
        </is>
      </c>
      <c r="K229" s="349" t="inlineStr"/>
      <c r="L229" s="349" t="inlineStr">
        <is>
          <t>64</t>
        </is>
      </c>
      <c r="M229" s="349" t="inlineStr"/>
      <c r="N229" s="349" t="inlineStr"/>
    </row>
  </sheetData>
  <conditionalFormatting sqref="M1:M1048576">
    <cfRule type="expression" rank="0" priority="2" equalAverage="0" aboveAverage="0" dxfId="1" text="" percent="0" bottom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P231"/>
  <sheetViews>
    <sheetView showFormulas="0" showGridLines="1" showRowColHeaders="1" showZeros="1" rightToLeft="0" tabSelected="0" showOutlineSymbols="1" defaultGridColor="1" view="normal" topLeftCell="C1" colorId="64" zoomScale="100" zoomScaleNormal="100" zoomScalePageLayoutView="100" workbookViewId="0">
      <pane xSplit="0" ySplit="1" topLeftCell="A2" activePane="bottomLeft" state="frozen"/>
      <selection pane="topLeft" activeCell="C1" activeCellId="0" sqref="C1"/>
      <selection pane="bottomLeft" activeCell="P208" activeCellId="0" sqref="P208"/>
    </sheetView>
  </sheetViews>
  <sheetFormatPr baseColWidth="8" defaultColWidth="9.15625" defaultRowHeight="15" zeroHeight="0" outlineLevelRow="0"/>
  <cols>
    <col width="3.57" customWidth="1" style="235" min="1" max="1"/>
    <col width="18" customWidth="1" style="235" min="2" max="2"/>
    <col width="20.86" customWidth="1" style="235" min="3" max="3"/>
    <col width="18.14" customWidth="1" style="235" min="4" max="4"/>
    <col width="6.57" customWidth="1" style="235" min="5" max="5"/>
    <col width="12.71" customWidth="1" style="235" min="6" max="6"/>
    <col width="7.42" customWidth="1" style="235" min="7" max="7"/>
    <col width="31.7" customWidth="1" style="235" min="8" max="8"/>
    <col width="14.01" customWidth="1" style="235" min="9" max="9"/>
    <col width="11.14" customWidth="1" style="235" min="10" max="10"/>
    <col width="8" customWidth="1" style="235" min="11" max="11"/>
    <col width="9.85" customWidth="1" style="235" min="12" max="12"/>
    <col width="8.859999999999999" customWidth="1" style="235" min="13" max="13"/>
    <col width="9.85" customWidth="1" style="235" min="14" max="14"/>
    <col width="13.86" customWidth="1" style="291" min="15" max="15"/>
    <col width="14.86" customWidth="1" style="235" min="16" max="16"/>
    <col width="9.140000000000001" customWidth="1" style="235" min="17" max="1024"/>
  </cols>
  <sheetData>
    <row r="1" ht="45" customHeight="1" s="236">
      <c r="A1" s="239" t="inlineStr">
        <is>
          <t>№ п/п</t>
        </is>
      </c>
      <c r="B1" s="239" t="inlineStr">
        <is>
          <t>Наименование</t>
        </is>
      </c>
      <c r="C1" s="239" t="inlineStr">
        <is>
          <t>Тип</t>
        </is>
      </c>
      <c r="D1" s="239" t="inlineStr">
        <is>
          <t>Заводской номер</t>
        </is>
      </c>
      <c r="E1" s="240" t="inlineStr">
        <is>
          <t>Год 
выпуска</t>
        </is>
      </c>
      <c r="F1" s="239" t="inlineStr">
        <is>
          <t>Диапазон измерений</t>
        </is>
      </c>
      <c r="G1" s="239" t="inlineStr">
        <is>
          <t>Класс точности</t>
        </is>
      </c>
      <c r="H1" s="239" t="inlineStr">
        <is>
          <t>Место установки СИ</t>
        </is>
      </c>
      <c r="I1" s="239" t="inlineStr">
        <is>
          <t>Объект 
установки</t>
        </is>
      </c>
      <c r="J1" s="239" t="inlineStr">
        <is>
          <t>Подразделение</t>
        </is>
      </c>
      <c r="K1" s="239" t="inlineStr">
        <is>
          <t>Дата установки</t>
        </is>
      </c>
      <c r="L1" s="239" t="inlineStr">
        <is>
          <t>Межповерочный интервал, мес.</t>
        </is>
      </c>
      <c r="M1" s="240" t="inlineStr">
        <is>
          <t>Дата последней поверки / калибровки</t>
        </is>
      </c>
      <c r="N1" s="239" t="inlineStr">
        <is>
          <t>Поверка (П)/ Калибровка (К)</t>
        </is>
      </c>
      <c r="O1" s="242" t="inlineStr">
        <is>
          <t>Заменён на:</t>
        </is>
      </c>
    </row>
    <row r="2" ht="22.5" customHeight="1" s="236">
      <c r="A2" s="239" t="n">
        <v>1</v>
      </c>
      <c r="B2" s="241" t="inlineStr">
        <is>
          <t>Манометр технический</t>
        </is>
      </c>
      <c r="C2" s="242" t="inlineStr">
        <is>
          <t>МП4-УУ2</t>
        </is>
      </c>
      <c r="D2" s="242" t="inlineStr">
        <is>
          <t>7000114</t>
        </is>
      </c>
      <c r="E2" s="242" t="inlineStr"/>
      <c r="F2" s="242" t="inlineStr">
        <is>
          <t>0…16 МПа</t>
        </is>
      </c>
      <c r="G2" s="242" t="inlineStr">
        <is>
          <t>1.5</t>
        </is>
      </c>
      <c r="H2" s="239" t="inlineStr">
        <is>
          <t>P газа на выходе нагнетателя</t>
        </is>
      </c>
      <c r="I2" s="242" t="inlineStr">
        <is>
          <t>ГПА 72</t>
        </is>
      </c>
      <c r="J2" s="239" t="inlineStr">
        <is>
          <t>АСУ,А и ТМ (КЦ № 7)</t>
        </is>
      </c>
      <c r="K2" s="239" t="inlineStr"/>
      <c r="L2" s="239" t="inlineStr">
        <is>
          <t>12</t>
        </is>
      </c>
      <c r="M2" s="240" t="inlineStr">
        <is>
          <t>2К26</t>
        </is>
      </c>
      <c r="N2" s="242" t="inlineStr">
        <is>
          <t>К</t>
        </is>
      </c>
      <c r="O2" s="350" t="n"/>
    </row>
    <row r="3" ht="22.5" customHeight="1" s="236">
      <c r="A3" s="243" t="n">
        <v>2</v>
      </c>
      <c r="B3" s="244" t="inlineStr">
        <is>
          <t>Манометр технический</t>
        </is>
      </c>
      <c r="C3" s="245" t="inlineStr">
        <is>
          <t>МП4-УУХЛ1</t>
        </is>
      </c>
      <c r="D3" s="245" t="inlineStr">
        <is>
          <t>700080</t>
        </is>
      </c>
      <c r="E3" s="245" t="inlineStr"/>
      <c r="F3" s="245" t="inlineStr">
        <is>
          <t>0…6 МПа</t>
        </is>
      </c>
      <c r="G3" s="245" t="inlineStr">
        <is>
          <t>1</t>
        </is>
      </c>
      <c r="H3" s="243" t="inlineStr">
        <is>
          <t>P т.г. после РД5101</t>
        </is>
      </c>
      <c r="I3" s="245" t="inlineStr">
        <is>
          <t>ГПА 72</t>
        </is>
      </c>
      <c r="J3" s="243" t="inlineStr">
        <is>
          <t>АСУ,А и ТМ (КЦ № 7)</t>
        </is>
      </c>
      <c r="K3" s="243" t="inlineStr"/>
      <c r="L3" s="243" t="inlineStr">
        <is>
          <t>12</t>
        </is>
      </c>
      <c r="M3" s="246" t="inlineStr">
        <is>
          <t>2К26</t>
        </is>
      </c>
      <c r="N3" s="245" t="inlineStr">
        <is>
          <t>К</t>
        </is>
      </c>
      <c r="O3" s="350" t="n"/>
    </row>
    <row r="4" ht="22.5" customHeight="1" s="236">
      <c r="A4" s="243" t="n">
        <v>3</v>
      </c>
      <c r="B4" s="244" t="inlineStr">
        <is>
          <t>Манометр технический</t>
        </is>
      </c>
      <c r="C4" s="245" t="inlineStr">
        <is>
          <t>МП4-УУ2</t>
        </is>
      </c>
      <c r="D4" s="245" t="inlineStr">
        <is>
          <t>600589</t>
        </is>
      </c>
      <c r="E4" s="245" t="inlineStr"/>
      <c r="F4" s="245" t="inlineStr">
        <is>
          <t>0…60 кгс/см2</t>
        </is>
      </c>
      <c r="G4" s="245" t="inlineStr">
        <is>
          <t>1.5</t>
        </is>
      </c>
      <c r="H4" s="243" t="inlineStr">
        <is>
          <t>P т.г. после РД5102</t>
        </is>
      </c>
      <c r="I4" s="245" t="inlineStr">
        <is>
          <t>ГПА 72</t>
        </is>
      </c>
      <c r="J4" s="243" t="inlineStr">
        <is>
          <t>АСУ,А и ТМ (КЦ № 7)</t>
        </is>
      </c>
      <c r="K4" s="243" t="inlineStr"/>
      <c r="L4" s="243" t="inlineStr">
        <is>
          <t>12</t>
        </is>
      </c>
      <c r="M4" s="246" t="inlineStr">
        <is>
          <t>2К26</t>
        </is>
      </c>
      <c r="N4" s="245" t="inlineStr">
        <is>
          <t>К</t>
        </is>
      </c>
      <c r="O4" s="350" t="n"/>
    </row>
    <row r="5" ht="22.5" customHeight="1" s="236">
      <c r="A5" s="243" t="n">
        <v>4</v>
      </c>
      <c r="B5" s="244" t="inlineStr">
        <is>
          <t>Манометр технический</t>
        </is>
      </c>
      <c r="C5" s="245" t="inlineStr">
        <is>
          <t>МП4-УУХЛ1</t>
        </is>
      </c>
      <c r="D5" s="245" t="inlineStr">
        <is>
          <t>700095</t>
        </is>
      </c>
      <c r="E5" s="245" t="inlineStr"/>
      <c r="F5" s="245" t="inlineStr">
        <is>
          <t>0…10 МПа</t>
        </is>
      </c>
      <c r="G5" s="245" t="inlineStr">
        <is>
          <t>1</t>
        </is>
      </c>
      <c r="H5" s="243" t="inlineStr">
        <is>
          <t>P т.г. после фильтра-сепаратора</t>
        </is>
      </c>
      <c r="I5" s="245" t="inlineStr">
        <is>
          <t>ГПА 72</t>
        </is>
      </c>
      <c r="J5" s="243" t="inlineStr">
        <is>
          <t>АСУ,А и ТМ (КЦ № 7)</t>
        </is>
      </c>
      <c r="K5" s="243" t="inlineStr"/>
      <c r="L5" s="243" t="inlineStr">
        <is>
          <t>12</t>
        </is>
      </c>
      <c r="M5" s="246" t="inlineStr">
        <is>
          <t>2К26</t>
        </is>
      </c>
      <c r="N5" s="245" t="inlineStr">
        <is>
          <t>К</t>
        </is>
      </c>
      <c r="O5" s="350" t="n"/>
    </row>
    <row r="6" ht="22.5" customHeight="1" s="236">
      <c r="A6" s="243" t="n">
        <v>5</v>
      </c>
      <c r="B6" s="244" t="inlineStr">
        <is>
          <t>Манометр технический</t>
        </is>
      </c>
      <c r="C6" s="245" t="inlineStr">
        <is>
          <t>МП4-УУ2</t>
        </is>
      </c>
      <c r="D6" s="245" t="inlineStr">
        <is>
          <t>15656</t>
        </is>
      </c>
      <c r="E6" s="245" t="inlineStr"/>
      <c r="F6" s="245" t="inlineStr">
        <is>
          <t>0…160 кПа</t>
        </is>
      </c>
      <c r="G6" s="245" t="inlineStr">
        <is>
          <t>1.5</t>
        </is>
      </c>
      <c r="H6" s="243" t="inlineStr">
        <is>
          <t>P з.в. после РД5303</t>
        </is>
      </c>
      <c r="I6" s="245" t="inlineStr">
        <is>
          <t>ГПА 72</t>
        </is>
      </c>
      <c r="J6" s="243" t="inlineStr">
        <is>
          <t>АСУ,А и ТМ (КЦ № 7)</t>
        </is>
      </c>
      <c r="K6" s="243" t="inlineStr"/>
      <c r="L6" s="243" t="inlineStr">
        <is>
          <t>12</t>
        </is>
      </c>
      <c r="M6" s="246" t="inlineStr">
        <is>
          <t>2К26</t>
        </is>
      </c>
      <c r="N6" s="245" t="inlineStr">
        <is>
          <t>К</t>
        </is>
      </c>
      <c r="O6" s="350" t="n"/>
    </row>
    <row r="7" ht="22.5" customHeight="1" s="236">
      <c r="A7" s="243" t="n">
        <v>6</v>
      </c>
      <c r="B7" s="244" t="inlineStr">
        <is>
          <t>Манометр технический</t>
        </is>
      </c>
      <c r="C7" s="245" t="inlineStr">
        <is>
          <t>МП4-УУХЛ1</t>
        </is>
      </c>
      <c r="D7" s="245" t="inlineStr">
        <is>
          <t>700090</t>
        </is>
      </c>
      <c r="E7" s="245" t="inlineStr"/>
      <c r="F7" s="245" t="inlineStr">
        <is>
          <t>0…100 кПа</t>
        </is>
      </c>
      <c r="G7" s="245" t="inlineStr">
        <is>
          <t>1</t>
        </is>
      </c>
      <c r="H7" s="243" t="inlineStr">
        <is>
          <t>P з.в. после ФВ-100</t>
        </is>
      </c>
      <c r="I7" s="245" t="inlineStr">
        <is>
          <t>ГПА 72</t>
        </is>
      </c>
      <c r="J7" s="243" t="inlineStr">
        <is>
          <t>АСУ,А и ТМ (КЦ № 7)</t>
        </is>
      </c>
      <c r="K7" s="243" t="inlineStr"/>
      <c r="L7" s="243" t="inlineStr">
        <is>
          <t>12</t>
        </is>
      </c>
      <c r="M7" s="246" t="inlineStr">
        <is>
          <t>2К26</t>
        </is>
      </c>
      <c r="N7" s="245" t="inlineStr">
        <is>
          <t>К</t>
        </is>
      </c>
      <c r="O7" s="350" t="n"/>
    </row>
    <row r="8" ht="22.5" customHeight="1" s="236">
      <c r="A8" s="243" t="n">
        <v>7</v>
      </c>
      <c r="B8" s="244" t="inlineStr">
        <is>
          <t>Манометр технический</t>
        </is>
      </c>
      <c r="C8" s="245" t="inlineStr">
        <is>
          <t>МП4-УУХЛ1</t>
        </is>
      </c>
      <c r="D8" s="245" t="inlineStr">
        <is>
          <t>7000190</t>
        </is>
      </c>
      <c r="E8" s="245" t="inlineStr"/>
      <c r="F8" s="245" t="inlineStr">
        <is>
          <t>0…160 кПа</t>
        </is>
      </c>
      <c r="G8" s="245" t="inlineStr">
        <is>
          <t>1</t>
        </is>
      </c>
      <c r="H8" s="243" t="inlineStr">
        <is>
          <t>P з.в. после РД5301</t>
        </is>
      </c>
      <c r="I8" s="245" t="inlineStr">
        <is>
          <t>ГПА 72</t>
        </is>
      </c>
      <c r="J8" s="243" t="inlineStr">
        <is>
          <t>АСУ,А и ТМ (КЦ № 7)</t>
        </is>
      </c>
      <c r="K8" s="243" t="inlineStr"/>
      <c r="L8" s="243" t="inlineStr">
        <is>
          <t>12</t>
        </is>
      </c>
      <c r="M8" s="246" t="inlineStr">
        <is>
          <t>2К26</t>
        </is>
      </c>
      <c r="N8" s="245" t="inlineStr">
        <is>
          <t>К</t>
        </is>
      </c>
      <c r="O8" s="350" t="n"/>
    </row>
    <row r="9" ht="22.5" customHeight="1" s="236">
      <c r="A9" s="243" t="n">
        <v>8</v>
      </c>
      <c r="B9" s="244" t="inlineStr">
        <is>
          <t>Манометр технический</t>
        </is>
      </c>
      <c r="C9" s="245" t="inlineStr">
        <is>
          <t>МП4-УУХЛ1</t>
        </is>
      </c>
      <c r="D9" s="245" t="inlineStr">
        <is>
          <t>15392</t>
        </is>
      </c>
      <c r="E9" s="245" t="inlineStr"/>
      <c r="F9" s="245" t="inlineStr">
        <is>
          <t>0…160 кгс/см2</t>
        </is>
      </c>
      <c r="G9" s="245" t="inlineStr">
        <is>
          <t>1</t>
        </is>
      </c>
      <c r="H9" s="243" t="inlineStr">
        <is>
          <t>P б.г. в фильтре-сепараторе</t>
        </is>
      </c>
      <c r="I9" s="245" t="inlineStr">
        <is>
          <t>ГПА 72</t>
        </is>
      </c>
      <c r="J9" s="243" t="inlineStr">
        <is>
          <t>АСУ,А и ТМ (КЦ № 7)</t>
        </is>
      </c>
      <c r="K9" s="243" t="inlineStr"/>
      <c r="L9" s="243" t="inlineStr">
        <is>
          <t>12</t>
        </is>
      </c>
      <c r="M9" s="246" t="inlineStr">
        <is>
          <t>26ДЯУ</t>
        </is>
      </c>
      <c r="N9" s="245" t="inlineStr">
        <is>
          <t>П</t>
        </is>
      </c>
      <c r="O9" s="350" t="n"/>
    </row>
    <row r="10" ht="22.5" customHeight="1" s="236">
      <c r="A10" s="243" t="n">
        <v>9</v>
      </c>
      <c r="B10" s="244" t="inlineStr">
        <is>
          <t>Манометр технический</t>
        </is>
      </c>
      <c r="C10" s="245" t="inlineStr">
        <is>
          <t>EN 837-1</t>
        </is>
      </c>
      <c r="D10" s="245" t="inlineStr">
        <is>
          <t>860008B5</t>
        </is>
      </c>
      <c r="E10" s="245" t="inlineStr"/>
      <c r="F10" s="245" t="inlineStr">
        <is>
          <t>0…160 кгс/см2</t>
        </is>
      </c>
      <c r="G10" s="245" t="inlineStr">
        <is>
          <t>1</t>
        </is>
      </c>
      <c r="H10" s="243" t="inlineStr">
        <is>
          <t>P б.г. после фильтра PI1</t>
        </is>
      </c>
      <c r="I10" s="245" t="inlineStr">
        <is>
          <t>ГПА 72</t>
        </is>
      </c>
      <c r="J10" s="243" t="inlineStr">
        <is>
          <t>АСУ,А и ТМ (КЦ № 7)</t>
        </is>
      </c>
      <c r="K10" s="243" t="inlineStr"/>
      <c r="L10" s="243" t="inlineStr">
        <is>
          <t>12</t>
        </is>
      </c>
      <c r="M10" s="246" t="inlineStr">
        <is>
          <t>2К26</t>
        </is>
      </c>
      <c r="N10" s="245" t="inlineStr">
        <is>
          <t>К</t>
        </is>
      </c>
      <c r="O10" s="350" t="n"/>
    </row>
    <row r="11" ht="22.5" customHeight="1" s="236">
      <c r="A11" s="243" t="n">
        <v>10</v>
      </c>
      <c r="B11" s="244" t="inlineStr">
        <is>
          <t>Манометр технический</t>
        </is>
      </c>
      <c r="C11" s="245" t="inlineStr">
        <is>
          <t>EN 837-1</t>
        </is>
      </c>
      <c r="D11" s="245" t="inlineStr">
        <is>
          <t>860008BE</t>
        </is>
      </c>
      <c r="E11" s="245" t="inlineStr"/>
      <c r="F11" s="245" t="inlineStr">
        <is>
          <t>0…160 кгс/см2</t>
        </is>
      </c>
      <c r="G11" s="245" t="inlineStr">
        <is>
          <t>1</t>
        </is>
      </c>
      <c r="H11" s="243" t="inlineStr">
        <is>
          <t>P б.г. после фильтра PI2</t>
        </is>
      </c>
      <c r="I11" s="245" t="inlineStr">
        <is>
          <t>ГПА 72</t>
        </is>
      </c>
      <c r="J11" s="243" t="inlineStr">
        <is>
          <t>АСУ,А и ТМ (КЦ № 7)</t>
        </is>
      </c>
      <c r="K11" s="243" t="inlineStr"/>
      <c r="L11" s="243" t="inlineStr">
        <is>
          <t>12</t>
        </is>
      </c>
      <c r="M11" s="246" t="inlineStr">
        <is>
          <t>2К26</t>
        </is>
      </c>
      <c r="N11" s="245" t="inlineStr">
        <is>
          <t>К</t>
        </is>
      </c>
      <c r="O11" s="350" t="n"/>
    </row>
    <row r="12" ht="22.5" customHeight="1" s="236">
      <c r="A12" s="243" t="n">
        <v>11</v>
      </c>
      <c r="B12" s="244" t="inlineStr">
        <is>
          <t>Манометр технический</t>
        </is>
      </c>
      <c r="C12" s="245" t="inlineStr">
        <is>
          <t>EN 837-1</t>
        </is>
      </c>
      <c r="D12" s="245" t="inlineStr">
        <is>
          <t>860008BF</t>
        </is>
      </c>
      <c r="E12" s="245" t="inlineStr"/>
      <c r="F12" s="245" t="inlineStr">
        <is>
          <t>0…160 кгс/см2</t>
        </is>
      </c>
      <c r="G12" s="245" t="inlineStr">
        <is>
          <t>1</t>
        </is>
      </c>
      <c r="H12" s="243" t="inlineStr">
        <is>
          <t>P б.г. после фильтра PI3</t>
        </is>
      </c>
      <c r="I12" s="245" t="inlineStr">
        <is>
          <t>ГПА 72</t>
        </is>
      </c>
      <c r="J12" s="243" t="inlineStr">
        <is>
          <t>АСУ,А и ТМ (КЦ № 7)</t>
        </is>
      </c>
      <c r="K12" s="243" t="inlineStr"/>
      <c r="L12" s="243" t="inlineStr">
        <is>
          <t>12</t>
        </is>
      </c>
      <c r="M12" s="246" t="inlineStr">
        <is>
          <t>2К26</t>
        </is>
      </c>
      <c r="N12" s="245" t="inlineStr">
        <is>
          <t>К</t>
        </is>
      </c>
      <c r="O12" s="350" t="n"/>
    </row>
    <row r="13" ht="22.5" customHeight="1" s="236">
      <c r="A13" s="243" t="n">
        <v>12</v>
      </c>
      <c r="B13" s="244" t="inlineStr">
        <is>
          <t>Манометр технический</t>
        </is>
      </c>
      <c r="C13" s="245" t="inlineStr">
        <is>
          <t>EN 837-1</t>
        </is>
      </c>
      <c r="D13" s="245" t="inlineStr">
        <is>
          <t>860008BH</t>
        </is>
      </c>
      <c r="E13" s="245" t="inlineStr"/>
      <c r="F13" s="245" t="inlineStr">
        <is>
          <t>0…160 кгс/см2</t>
        </is>
      </c>
      <c r="G13" s="245" t="inlineStr">
        <is>
          <t>1</t>
        </is>
      </c>
      <c r="H13" s="243" t="inlineStr">
        <is>
          <t>P б.г. после фильтра PI4</t>
        </is>
      </c>
      <c r="I13" s="245" t="inlineStr">
        <is>
          <t>ГПА 72</t>
        </is>
      </c>
      <c r="J13" s="243" t="inlineStr">
        <is>
          <t>АСУ,А и ТМ (КЦ № 7)</t>
        </is>
      </c>
      <c r="K13" s="243" t="inlineStr"/>
      <c r="L13" s="243" t="inlineStr">
        <is>
          <t>12</t>
        </is>
      </c>
      <c r="M13" s="246" t="inlineStr">
        <is>
          <t>2К26</t>
        </is>
      </c>
      <c r="N13" s="245" t="inlineStr">
        <is>
          <t>К</t>
        </is>
      </c>
      <c r="O13" s="350" t="n"/>
    </row>
    <row r="14" ht="22.5" customHeight="1" s="236">
      <c r="A14" s="243" t="n">
        <v>13</v>
      </c>
      <c r="B14" s="244" t="inlineStr">
        <is>
          <t>Манометр технический</t>
        </is>
      </c>
      <c r="C14" s="245" t="inlineStr">
        <is>
          <t>МП4-УУ2</t>
        </is>
      </c>
      <c r="D14" s="245" t="inlineStr">
        <is>
          <t>7000125</t>
        </is>
      </c>
      <c r="E14" s="245" t="inlineStr"/>
      <c r="F14" s="245" t="inlineStr">
        <is>
          <t>0…16 МПа</t>
        </is>
      </c>
      <c r="G14" s="245" t="inlineStr">
        <is>
          <t>1.5</t>
        </is>
      </c>
      <c r="H14" s="243" t="inlineStr">
        <is>
          <t>P газа на входе в нагнетатель</t>
        </is>
      </c>
      <c r="I14" s="245" t="inlineStr">
        <is>
          <t>ГПА 72</t>
        </is>
      </c>
      <c r="J14" s="243" t="inlineStr">
        <is>
          <t>АСУ,А и ТМ (КЦ № 7)</t>
        </is>
      </c>
      <c r="K14" s="243" t="inlineStr"/>
      <c r="L14" s="243" t="inlineStr">
        <is>
          <t>12</t>
        </is>
      </c>
      <c r="M14" s="246" t="inlineStr">
        <is>
          <t>2К26</t>
        </is>
      </c>
      <c r="N14" s="245" t="inlineStr">
        <is>
          <t>К</t>
        </is>
      </c>
      <c r="O14" s="350" t="n"/>
    </row>
    <row r="15" ht="22.5" customHeight="1" s="236">
      <c r="A15" s="243" t="n">
        <v>14</v>
      </c>
      <c r="B15" s="244" t="inlineStr">
        <is>
          <t>Манометр технический</t>
        </is>
      </c>
      <c r="C15" s="245" t="inlineStr">
        <is>
          <t>МП4-УУХЛ1</t>
        </is>
      </c>
      <c r="D15" s="245" t="inlineStr">
        <is>
          <t>1873023</t>
        </is>
      </c>
      <c r="E15" s="245" t="inlineStr">
        <is>
          <t>2018</t>
        </is>
      </c>
      <c r="F15" s="245" t="inlineStr">
        <is>
          <t>0…10 МПа</t>
        </is>
      </c>
      <c r="G15" s="245" t="inlineStr">
        <is>
          <t>1</t>
        </is>
      </c>
      <c r="H15" s="243" t="inlineStr">
        <is>
          <t>P т.г. в фильтре ФГ-80 №2-2</t>
        </is>
      </c>
      <c r="I15" s="245" t="inlineStr">
        <is>
          <t>ГПА 72</t>
        </is>
      </c>
      <c r="J15" s="243" t="inlineStr">
        <is>
          <t>АСУ,А и ТМ (КЦ № 7)</t>
        </is>
      </c>
      <c r="K15" s="243" t="inlineStr"/>
      <c r="L15" s="243" t="inlineStr">
        <is>
          <t>12</t>
        </is>
      </c>
      <c r="M15" s="246" t="inlineStr">
        <is>
          <t>26ДЯУ</t>
        </is>
      </c>
      <c r="N15" s="245" t="inlineStr">
        <is>
          <t>П</t>
        </is>
      </c>
      <c r="O15" s="350" t="n"/>
    </row>
    <row r="16" ht="22.5" customHeight="1" s="236">
      <c r="A16" s="243" t="n">
        <v>15</v>
      </c>
      <c r="B16" s="244" t="inlineStr">
        <is>
          <t>Манометр технический</t>
        </is>
      </c>
      <c r="C16" s="245" t="inlineStr">
        <is>
          <t>МП4-УУ2</t>
        </is>
      </c>
      <c r="D16" s="245" t="inlineStr">
        <is>
          <t>15237</t>
        </is>
      </c>
      <c r="E16" s="245" t="inlineStr"/>
      <c r="F16" s="245" t="inlineStr">
        <is>
          <t>0…100 кгс/см2</t>
        </is>
      </c>
      <c r="G16" s="245" t="inlineStr">
        <is>
          <t>1</t>
        </is>
      </c>
      <c r="H16" s="243" t="inlineStr">
        <is>
          <t>P т.г. в фильтре ФГ-80 №2-1</t>
        </is>
      </c>
      <c r="I16" s="245" t="inlineStr">
        <is>
          <t>ГПА 72</t>
        </is>
      </c>
      <c r="J16" s="243" t="inlineStr">
        <is>
          <t>АСУ,А и ТМ (КЦ № 7)</t>
        </is>
      </c>
      <c r="K16" s="243" t="inlineStr"/>
      <c r="L16" s="243" t="inlineStr">
        <is>
          <t>12</t>
        </is>
      </c>
      <c r="M16" s="246" t="inlineStr">
        <is>
          <t>26ДЯУ</t>
        </is>
      </c>
      <c r="N16" s="245" t="inlineStr">
        <is>
          <t>П</t>
        </is>
      </c>
      <c r="O16" s="350" t="n"/>
    </row>
    <row r="17" ht="22.5" customHeight="1" s="236">
      <c r="A17" s="243" t="n">
        <v>16</v>
      </c>
      <c r="B17" s="244" t="inlineStr">
        <is>
          <t>Манометр технический</t>
        </is>
      </c>
      <c r="C17" s="245" t="inlineStr">
        <is>
          <t>МП4-УУ2</t>
        </is>
      </c>
      <c r="D17" s="245" t="inlineStr">
        <is>
          <t>15662</t>
        </is>
      </c>
      <c r="E17" s="245" t="inlineStr"/>
      <c r="F17" s="245" t="inlineStr">
        <is>
          <t>0…160 кПа</t>
        </is>
      </c>
      <c r="G17" s="245" t="inlineStr">
        <is>
          <t>1.5</t>
        </is>
      </c>
      <c r="H17" s="243" t="inlineStr">
        <is>
          <t>Pм для настройки перепускного клапана</t>
        </is>
      </c>
      <c r="I17" s="245" t="inlineStr">
        <is>
          <t>ГПА 72</t>
        </is>
      </c>
      <c r="J17" s="243" t="inlineStr">
        <is>
          <t>АСУ,А и ТМ (КЦ № 7)</t>
        </is>
      </c>
      <c r="K17" s="243" t="inlineStr"/>
      <c r="L17" s="243" t="inlineStr">
        <is>
          <t>12</t>
        </is>
      </c>
      <c r="M17" s="246" t="inlineStr">
        <is>
          <t>2К26</t>
        </is>
      </c>
      <c r="N17" s="245" t="inlineStr">
        <is>
          <t>К</t>
        </is>
      </c>
      <c r="O17" s="350" t="n"/>
    </row>
    <row r="18" ht="22.5" customHeight="1" s="236">
      <c r="A18" s="243" t="n">
        <v>17</v>
      </c>
      <c r="B18" s="244" t="inlineStr">
        <is>
          <t>Манометр технический</t>
        </is>
      </c>
      <c r="C18" s="245" t="inlineStr">
        <is>
          <t>МП4-УУХЛ1</t>
        </is>
      </c>
      <c r="D18" s="245" t="inlineStr">
        <is>
          <t>700077</t>
        </is>
      </c>
      <c r="E18" s="245" t="inlineStr"/>
      <c r="F18" s="245" t="inlineStr">
        <is>
          <t>0…160 кПа</t>
        </is>
      </c>
      <c r="G18" s="245" t="inlineStr">
        <is>
          <t>1</t>
        </is>
      </c>
      <c r="H18" s="243" t="inlineStr">
        <is>
          <t>P м на входе в фильтры БВМФ 6002</t>
        </is>
      </c>
      <c r="I18" s="245" t="inlineStr">
        <is>
          <t>ГПА 72</t>
        </is>
      </c>
      <c r="J18" s="243" t="inlineStr">
        <is>
          <t>АСУ,А и ТМ (КЦ № 7)</t>
        </is>
      </c>
      <c r="K18" s="243" t="inlineStr"/>
      <c r="L18" s="243" t="inlineStr">
        <is>
          <t>12</t>
        </is>
      </c>
      <c r="M18" s="246" t="inlineStr">
        <is>
          <t>2К26</t>
        </is>
      </c>
      <c r="N18" s="245" t="inlineStr">
        <is>
          <t>К</t>
        </is>
      </c>
      <c r="O18" s="350" t="n"/>
    </row>
    <row r="19" ht="22.5" customHeight="1" s="236">
      <c r="A19" s="243" t="n">
        <v>18</v>
      </c>
      <c r="B19" s="244" t="inlineStr">
        <is>
          <t>Манометр технический</t>
        </is>
      </c>
      <c r="C19" s="245" t="inlineStr">
        <is>
          <t>МП4-УУ2</t>
        </is>
      </c>
      <c r="D19" s="245" t="inlineStr">
        <is>
          <t>15114</t>
        </is>
      </c>
      <c r="E19" s="245" t="inlineStr"/>
      <c r="F19" s="245" t="inlineStr">
        <is>
          <t>0…16 кгс/см2</t>
        </is>
      </c>
      <c r="G19" s="245" t="inlineStr">
        <is>
          <t>1.5</t>
        </is>
      </c>
      <c r="H19" s="243" t="inlineStr">
        <is>
          <t>P м на входе в фильтры БВМФ 6001</t>
        </is>
      </c>
      <c r="I19" s="245" t="inlineStr">
        <is>
          <t>ГПА 72</t>
        </is>
      </c>
      <c r="J19" s="243" t="inlineStr">
        <is>
          <t>АСУ,А и ТМ (КЦ № 7)</t>
        </is>
      </c>
      <c r="K19" s="243" t="inlineStr"/>
      <c r="L19" s="243" t="inlineStr">
        <is>
          <t>12</t>
        </is>
      </c>
      <c r="M19" s="246" t="inlineStr">
        <is>
          <t>2К26</t>
        </is>
      </c>
      <c r="N19" s="245" t="inlineStr">
        <is>
          <t>К</t>
        </is>
      </c>
      <c r="O19" s="350" t="n"/>
    </row>
    <row r="20" ht="22.5" customHeight="1" s="236">
      <c r="A20" s="243" t="n">
        <v>19</v>
      </c>
      <c r="B20" s="244" t="inlineStr">
        <is>
          <t>Манометр технический</t>
        </is>
      </c>
      <c r="C20" s="245" t="inlineStr">
        <is>
          <t>МП4-УУ2</t>
        </is>
      </c>
      <c r="D20" s="245" t="inlineStr">
        <is>
          <t>15295</t>
        </is>
      </c>
      <c r="E20" s="245" t="inlineStr"/>
      <c r="F20" s="245" t="inlineStr">
        <is>
          <t>0…16 кгс/см2</t>
        </is>
      </c>
      <c r="G20" s="245" t="inlineStr">
        <is>
          <t>1.5</t>
        </is>
      </c>
      <c r="H20" s="243" t="inlineStr">
        <is>
          <t>P м на выходе из фильтров БВМФ 6001</t>
        </is>
      </c>
      <c r="I20" s="245" t="inlineStr">
        <is>
          <t>ГПА 72</t>
        </is>
      </c>
      <c r="J20" s="243" t="inlineStr">
        <is>
          <t>АСУ,А и ТМ (КЦ № 7)</t>
        </is>
      </c>
      <c r="K20" s="243" t="inlineStr"/>
      <c r="L20" s="243" t="inlineStr">
        <is>
          <t>12</t>
        </is>
      </c>
      <c r="M20" s="246" t="inlineStr">
        <is>
          <t>2К26</t>
        </is>
      </c>
      <c r="N20" s="245" t="inlineStr">
        <is>
          <t>К</t>
        </is>
      </c>
      <c r="O20" s="350" t="n"/>
    </row>
    <row r="21" ht="22.5" customHeight="1" s="236">
      <c r="A21" s="243" t="n">
        <v>20</v>
      </c>
      <c r="B21" s="244" t="inlineStr">
        <is>
          <t>Манометр технический</t>
        </is>
      </c>
      <c r="C21" s="245" t="inlineStr">
        <is>
          <t>МП4-УФБСУХЛ1</t>
        </is>
      </c>
      <c r="D21" s="245" t="inlineStr">
        <is>
          <t>А0810248</t>
        </is>
      </c>
      <c r="E21" s="245" t="inlineStr"/>
      <c r="F21" s="245" t="inlineStr">
        <is>
          <t>0…100 кПа</t>
        </is>
      </c>
      <c r="G21" s="245" t="inlineStr">
        <is>
          <t>1</t>
        </is>
      </c>
      <c r="H21" s="243" t="inlineStr">
        <is>
          <t>P м суфлирования полостей двигателя</t>
        </is>
      </c>
      <c r="I21" s="245" t="inlineStr">
        <is>
          <t>ГПА 72</t>
        </is>
      </c>
      <c r="J21" s="243" t="inlineStr">
        <is>
          <t>АСУ,А и ТМ (КЦ № 7)</t>
        </is>
      </c>
      <c r="K21" s="243" t="inlineStr"/>
      <c r="L21" s="243" t="inlineStr">
        <is>
          <t>12</t>
        </is>
      </c>
      <c r="M21" s="246" t="inlineStr">
        <is>
          <t>2К26</t>
        </is>
      </c>
      <c r="N21" s="245" t="inlineStr">
        <is>
          <t>К</t>
        </is>
      </c>
      <c r="O21" s="350" t="n"/>
    </row>
    <row r="22" ht="22.5" customHeight="1" s="236">
      <c r="A22" s="243" t="n">
        <v>21</v>
      </c>
      <c r="B22" s="244" t="inlineStr">
        <is>
          <t>Манометр технический</t>
        </is>
      </c>
      <c r="C22" s="245" t="inlineStr">
        <is>
          <t>МП4-УУХЛ1</t>
        </is>
      </c>
      <c r="D22" s="245" t="inlineStr">
        <is>
          <t>211016829</t>
        </is>
      </c>
      <c r="E22" s="245" t="inlineStr"/>
      <c r="F22" s="245" t="inlineStr">
        <is>
          <t>0…600 кПа</t>
        </is>
      </c>
      <c r="G22" s="245" t="inlineStr">
        <is>
          <t>1</t>
        </is>
      </c>
      <c r="H22" s="243" t="inlineStr">
        <is>
          <t>P м при пополнении бака маслом</t>
        </is>
      </c>
      <c r="I22" s="245" t="inlineStr">
        <is>
          <t>ГПА 72</t>
        </is>
      </c>
      <c r="J22" s="243" t="inlineStr">
        <is>
          <t>АСУ,А и ТМ (КЦ № 7)</t>
        </is>
      </c>
      <c r="K22" s="243" t="inlineStr"/>
      <c r="L22" s="243" t="inlineStr">
        <is>
          <t>12</t>
        </is>
      </c>
      <c r="M22" s="246" t="inlineStr">
        <is>
          <t>2К26</t>
        </is>
      </c>
      <c r="N22" s="245" t="inlineStr">
        <is>
          <t>К</t>
        </is>
      </c>
      <c r="O22" s="350" t="n"/>
    </row>
    <row r="23" ht="22.5" customHeight="1" s="236">
      <c r="A23" s="243" t="n">
        <v>22</v>
      </c>
      <c r="B23" s="244" t="inlineStr">
        <is>
          <t>Манометр технический</t>
        </is>
      </c>
      <c r="C23" s="245" t="inlineStr">
        <is>
          <t>ТМ5</t>
        </is>
      </c>
      <c r="D23" s="245" t="inlineStr">
        <is>
          <t>15313</t>
        </is>
      </c>
      <c r="E23" s="245" t="inlineStr"/>
      <c r="F23" s="245" t="inlineStr">
        <is>
          <t>0…0,06 МПа</t>
        </is>
      </c>
      <c r="G23" s="245" t="inlineStr">
        <is>
          <t>1.5</t>
        </is>
      </c>
      <c r="H23" s="243" t="inlineStr">
        <is>
          <t>P в на выходе воздуходувок PI5322</t>
        </is>
      </c>
      <c r="I23" s="245" t="inlineStr">
        <is>
          <t>БКК 72</t>
        </is>
      </c>
      <c r="J23" s="243" t="inlineStr">
        <is>
          <t>АСУ,А и ТМ (КЦ № 7)</t>
        </is>
      </c>
      <c r="K23" s="243" t="inlineStr"/>
      <c r="L23" s="243" t="inlineStr">
        <is>
          <t>12</t>
        </is>
      </c>
      <c r="M23" s="246" t="inlineStr">
        <is>
          <t>2К26</t>
        </is>
      </c>
      <c r="N23" s="245" t="inlineStr">
        <is>
          <t>К</t>
        </is>
      </c>
      <c r="O23" s="350" t="n"/>
    </row>
    <row r="24" ht="22.5" customHeight="1" s="236">
      <c r="A24" s="243" t="n">
        <v>23</v>
      </c>
      <c r="B24" s="244" t="inlineStr">
        <is>
          <t>Манометр технический</t>
        </is>
      </c>
      <c r="C24" s="245" t="inlineStr">
        <is>
          <t>ТМ5</t>
        </is>
      </c>
      <c r="D24" s="245" t="inlineStr">
        <is>
          <t>7000195</t>
        </is>
      </c>
      <c r="E24" s="245" t="inlineStr">
        <is>
          <t>2013</t>
        </is>
      </c>
      <c r="F24" s="245" t="inlineStr">
        <is>
          <t>0…1,6 МПа</t>
        </is>
      </c>
      <c r="G24" s="245" t="inlineStr">
        <is>
          <t>1.5</t>
        </is>
      </c>
      <c r="H24" s="243" t="inlineStr">
        <is>
          <t>P в в 1 адсорбере PI5314</t>
        </is>
      </c>
      <c r="I24" s="245" t="inlineStr">
        <is>
          <t>БКК 72</t>
        </is>
      </c>
      <c r="J24" s="243" t="inlineStr">
        <is>
          <t>АСУ,А и ТМ (КЦ № 7)</t>
        </is>
      </c>
      <c r="K24" s="243" t="inlineStr"/>
      <c r="L24" s="243" t="inlineStr">
        <is>
          <t>12</t>
        </is>
      </c>
      <c r="M24" s="246" t="inlineStr">
        <is>
          <t>26ДЯУ</t>
        </is>
      </c>
      <c r="N24" s="245" t="inlineStr">
        <is>
          <t>П</t>
        </is>
      </c>
      <c r="O24" s="350" t="n"/>
    </row>
    <row r="25" ht="22.5" customHeight="1" s="236">
      <c r="A25" s="243" t="n">
        <v>24</v>
      </c>
      <c r="B25" s="244" t="inlineStr">
        <is>
          <t>Манометр технический</t>
        </is>
      </c>
      <c r="C25" s="245" t="inlineStr">
        <is>
          <t>ТМ5</t>
        </is>
      </c>
      <c r="D25" s="245" t="inlineStr">
        <is>
          <t>7000179</t>
        </is>
      </c>
      <c r="E25" s="245" t="inlineStr"/>
      <c r="F25" s="245" t="inlineStr">
        <is>
          <t>0…1,6 МПа</t>
        </is>
      </c>
      <c r="G25" s="245" t="inlineStr">
        <is>
          <t>1.5</t>
        </is>
      </c>
      <c r="H25" s="243" t="inlineStr">
        <is>
          <t>P в во 2 адсорбере PI5315</t>
        </is>
      </c>
      <c r="I25" s="245" t="inlineStr">
        <is>
          <t>БКК 72</t>
        </is>
      </c>
      <c r="J25" s="243" t="inlineStr">
        <is>
          <t>АСУ,А и ТМ (КЦ № 7)</t>
        </is>
      </c>
      <c r="K25" s="243" t="inlineStr"/>
      <c r="L25" s="243" t="inlineStr">
        <is>
          <t>12</t>
        </is>
      </c>
      <c r="M25" s="246" t="inlineStr">
        <is>
          <t>26ДЯУ</t>
        </is>
      </c>
      <c r="N25" s="245" t="inlineStr">
        <is>
          <t>П</t>
        </is>
      </c>
      <c r="O25" s="350" t="n"/>
    </row>
    <row r="26" ht="22.5" customHeight="1" s="236">
      <c r="A26" s="243" t="n">
        <v>25</v>
      </c>
      <c r="B26" s="244" t="inlineStr">
        <is>
          <t>Манометр технический</t>
        </is>
      </c>
      <c r="C26" s="245" t="inlineStr">
        <is>
          <t>ТМ5</t>
        </is>
      </c>
      <c r="D26" s="245" t="inlineStr">
        <is>
          <t>7000194</t>
        </is>
      </c>
      <c r="E26" s="245" t="inlineStr">
        <is>
          <t>2013</t>
        </is>
      </c>
      <c r="F26" s="245" t="inlineStr">
        <is>
          <t>0…1,6 МПа</t>
        </is>
      </c>
      <c r="G26" s="245" t="inlineStr">
        <is>
          <t>1.5</t>
        </is>
      </c>
      <c r="H26" s="243" t="inlineStr">
        <is>
          <t>P в в 3 адсорбере PI5313</t>
        </is>
      </c>
      <c r="I26" s="245" t="inlineStr">
        <is>
          <t>БКК 72</t>
        </is>
      </c>
      <c r="J26" s="243" t="inlineStr">
        <is>
          <t>АСУ,А и ТМ (КЦ № 7)</t>
        </is>
      </c>
      <c r="K26" s="243" t="inlineStr"/>
      <c r="L26" s="243" t="inlineStr">
        <is>
          <t>12</t>
        </is>
      </c>
      <c r="M26" s="246" t="inlineStr">
        <is>
          <t>26ДЯУ</t>
        </is>
      </c>
      <c r="N26" s="245" t="inlineStr">
        <is>
          <t>П</t>
        </is>
      </c>
      <c r="O26" s="350" t="n"/>
    </row>
    <row r="27" ht="22.5" customHeight="1" s="236">
      <c r="A27" s="243" t="n">
        <v>26</v>
      </c>
      <c r="B27" s="244" t="inlineStr">
        <is>
          <t>Манометр технический</t>
        </is>
      </c>
      <c r="C27" s="245" t="inlineStr">
        <is>
          <t>ТМ5</t>
        </is>
      </c>
      <c r="D27" s="245" t="inlineStr">
        <is>
          <t>7000192</t>
        </is>
      </c>
      <c r="E27" s="245" t="inlineStr">
        <is>
          <t>2020</t>
        </is>
      </c>
      <c r="F27" s="245" t="inlineStr">
        <is>
          <t>0…1,6 МПа</t>
        </is>
      </c>
      <c r="G27" s="245" t="inlineStr">
        <is>
          <t>1.5</t>
        </is>
      </c>
      <c r="H27" s="243" t="inlineStr">
        <is>
          <t>P в в 4 адсорбере PI5312</t>
        </is>
      </c>
      <c r="I27" s="245" t="inlineStr">
        <is>
          <t>БКК 72</t>
        </is>
      </c>
      <c r="J27" s="243" t="inlineStr">
        <is>
          <t>АСУ,А и ТМ (КЦ № 7)</t>
        </is>
      </c>
      <c r="K27" s="243" t="inlineStr"/>
      <c r="L27" s="243" t="inlineStr">
        <is>
          <t>12</t>
        </is>
      </c>
      <c r="M27" s="246" t="inlineStr">
        <is>
          <t>26ДЯУ</t>
        </is>
      </c>
      <c r="N27" s="245" t="inlineStr">
        <is>
          <t>П</t>
        </is>
      </c>
      <c r="O27" s="350" t="n"/>
    </row>
    <row r="28" ht="22.5" customHeight="1" s="236">
      <c r="A28" s="243" t="n">
        <v>27</v>
      </c>
      <c r="B28" s="244" t="inlineStr">
        <is>
          <t>Перепад давления ДМ 5301</t>
        </is>
      </c>
      <c r="C28" s="245" t="inlineStr">
        <is>
          <t>Wika</t>
        </is>
      </c>
      <c r="D28" s="245" t="inlineStr">
        <is>
          <t>110BGBZA</t>
        </is>
      </c>
      <c r="E28" s="245" t="inlineStr"/>
      <c r="F28" s="245" t="inlineStr">
        <is>
          <t>0…0,6 бар</t>
        </is>
      </c>
      <c r="G28" s="245" t="inlineStr"/>
      <c r="H28" s="243" t="inlineStr">
        <is>
          <t>∆P в на фильтре</t>
        </is>
      </c>
      <c r="I28" s="245" t="inlineStr">
        <is>
          <t>БКК 72</t>
        </is>
      </c>
      <c r="J28" s="243" t="inlineStr">
        <is>
          <t>АСУ,А и ТМ (КЦ № 7)</t>
        </is>
      </c>
      <c r="K28" s="243" t="inlineStr"/>
      <c r="L28" s="243" t="inlineStr">
        <is>
          <t>12</t>
        </is>
      </c>
      <c r="M28" s="246" t="inlineStr">
        <is>
          <t>1к26</t>
        </is>
      </c>
      <c r="N28" s="245" t="inlineStr">
        <is>
          <t>К</t>
        </is>
      </c>
      <c r="O28" s="350" t="n"/>
    </row>
    <row r="29" ht="22.5" customHeight="1" s="236">
      <c r="A29" s="243" t="n">
        <v>28</v>
      </c>
      <c r="B29" s="244" t="inlineStr">
        <is>
          <t>Перепад давления ДМ 5302</t>
        </is>
      </c>
      <c r="C29" s="245" t="inlineStr">
        <is>
          <t>Wika</t>
        </is>
      </c>
      <c r="D29" s="245" t="inlineStr">
        <is>
          <t>110BGBZJ</t>
        </is>
      </c>
      <c r="E29" s="245" t="inlineStr"/>
      <c r="F29" s="245" t="inlineStr">
        <is>
          <t>0…0,6 бар</t>
        </is>
      </c>
      <c r="G29" s="245" t="inlineStr"/>
      <c r="H29" s="243" t="inlineStr">
        <is>
          <t>∆P в на фильтре</t>
        </is>
      </c>
      <c r="I29" s="245" t="inlineStr">
        <is>
          <t>БКК 72</t>
        </is>
      </c>
      <c r="J29" s="243" t="inlineStr">
        <is>
          <t>АСУ,А и ТМ (КЦ № 7)</t>
        </is>
      </c>
      <c r="K29" s="243" t="inlineStr"/>
      <c r="L29" s="243" t="inlineStr">
        <is>
          <t>12</t>
        </is>
      </c>
      <c r="M29" s="246" t="inlineStr">
        <is>
          <t>1к26</t>
        </is>
      </c>
      <c r="N29" s="245" t="inlineStr">
        <is>
          <t>К</t>
        </is>
      </c>
      <c r="O29" s="350" t="n"/>
    </row>
    <row r="30" ht="22.5" customHeight="1" s="236">
      <c r="A30" s="243" t="n">
        <v>29</v>
      </c>
      <c r="B30" s="244" t="inlineStr">
        <is>
          <t>Перепад давления ДМ 5303</t>
        </is>
      </c>
      <c r="C30" s="245" t="inlineStr">
        <is>
          <t>Wika</t>
        </is>
      </c>
      <c r="D30" s="245" t="inlineStr">
        <is>
          <t>110BGBZ3</t>
        </is>
      </c>
      <c r="E30" s="245" t="inlineStr"/>
      <c r="F30" s="245" t="inlineStr">
        <is>
          <t>0…0,6 бар</t>
        </is>
      </c>
      <c r="G30" s="245" t="inlineStr"/>
      <c r="H30" s="243" t="inlineStr">
        <is>
          <t>∆P в на фильтре</t>
        </is>
      </c>
      <c r="I30" s="245" t="inlineStr">
        <is>
          <t>БКК 72</t>
        </is>
      </c>
      <c r="J30" s="243" t="inlineStr">
        <is>
          <t>АСУ,А и ТМ (КЦ № 7)</t>
        </is>
      </c>
      <c r="K30" s="243" t="inlineStr"/>
      <c r="L30" s="243" t="inlineStr">
        <is>
          <t>12</t>
        </is>
      </c>
      <c r="M30" s="246" t="inlineStr">
        <is>
          <t>1к26</t>
        </is>
      </c>
      <c r="N30" s="245" t="inlineStr">
        <is>
          <t>К</t>
        </is>
      </c>
      <c r="O30" s="350" t="n"/>
    </row>
    <row r="31" ht="22.5" customHeight="1" s="236">
      <c r="A31" s="243" t="n">
        <v>30</v>
      </c>
      <c r="B31" s="244" t="inlineStr">
        <is>
          <t>Перепад давления ДМ 5304</t>
        </is>
      </c>
      <c r="C31" s="245" t="inlineStr">
        <is>
          <t>Wika</t>
        </is>
      </c>
      <c r="D31" s="245" t="inlineStr">
        <is>
          <t>110BGBZD</t>
        </is>
      </c>
      <c r="E31" s="245" t="inlineStr"/>
      <c r="F31" s="245" t="inlineStr">
        <is>
          <t>0…0,6 бар</t>
        </is>
      </c>
      <c r="G31" s="245" t="inlineStr"/>
      <c r="H31" s="243" t="inlineStr">
        <is>
          <t>∆P в на фильтре</t>
        </is>
      </c>
      <c r="I31" s="245" t="inlineStr">
        <is>
          <t>БКК 72</t>
        </is>
      </c>
      <c r="J31" s="243" t="inlineStr">
        <is>
          <t>АСУ,А и ТМ (КЦ № 7)</t>
        </is>
      </c>
      <c r="K31" s="243" t="inlineStr"/>
      <c r="L31" s="243" t="inlineStr">
        <is>
          <t>12</t>
        </is>
      </c>
      <c r="M31" s="246" t="inlineStr">
        <is>
          <t>1к26</t>
        </is>
      </c>
      <c r="N31" s="245" t="inlineStr">
        <is>
          <t>К</t>
        </is>
      </c>
      <c r="O31" s="350" t="n"/>
    </row>
    <row r="32" ht="22.5" customHeight="1" s="236">
      <c r="A32" s="243" t="n">
        <v>31</v>
      </c>
      <c r="B32" s="244" t="inlineStr">
        <is>
          <t>Перепад давления ДМ 5305</t>
        </is>
      </c>
      <c r="C32" s="245" t="inlineStr">
        <is>
          <t>Wika</t>
        </is>
      </c>
      <c r="D32" s="245" t="inlineStr">
        <is>
          <t>110BGBZ7</t>
        </is>
      </c>
      <c r="E32" s="245" t="inlineStr"/>
      <c r="F32" s="245" t="inlineStr">
        <is>
          <t>0…0,6 бар</t>
        </is>
      </c>
      <c r="G32" s="245" t="inlineStr"/>
      <c r="H32" s="243" t="inlineStr">
        <is>
          <t>∆P в на фильтре</t>
        </is>
      </c>
      <c r="I32" s="245" t="inlineStr">
        <is>
          <t>БКК 72</t>
        </is>
      </c>
      <c r="J32" s="243" t="inlineStr">
        <is>
          <t>АСУ,А и ТМ (КЦ № 7)</t>
        </is>
      </c>
      <c r="K32" s="243" t="inlineStr"/>
      <c r="L32" s="243" t="inlineStr">
        <is>
          <t>12</t>
        </is>
      </c>
      <c r="M32" s="246" t="inlineStr">
        <is>
          <t>1к26</t>
        </is>
      </c>
      <c r="N32" s="245" t="inlineStr">
        <is>
          <t>К</t>
        </is>
      </c>
      <c r="O32" s="350" t="n"/>
    </row>
    <row r="33" ht="22.5" customHeight="1" s="236">
      <c r="A33" s="243" t="n">
        <v>32</v>
      </c>
      <c r="B33" s="244" t="inlineStr">
        <is>
          <t>Манометр технический</t>
        </is>
      </c>
      <c r="C33" s="245" t="inlineStr">
        <is>
          <t>ТМ3</t>
        </is>
      </c>
      <c r="D33" s="245" t="inlineStr">
        <is>
          <t>7000182</t>
        </is>
      </c>
      <c r="E33" s="245" t="inlineStr"/>
      <c r="F33" s="245" t="inlineStr">
        <is>
          <t>0…0,1 МПа</t>
        </is>
      </c>
      <c r="G33" s="245" t="inlineStr">
        <is>
          <t>1.5</t>
        </is>
      </c>
      <c r="H33" s="243" t="inlineStr">
        <is>
          <t>P в в ГШ 5301</t>
        </is>
      </c>
      <c r="I33" s="245" t="inlineStr">
        <is>
          <t>БКК 72</t>
        </is>
      </c>
      <c r="J33" s="243" t="inlineStr">
        <is>
          <t>АСУ,А и ТМ (КЦ № 7)</t>
        </is>
      </c>
      <c r="K33" s="243" t="inlineStr"/>
      <c r="L33" s="243" t="inlineStr">
        <is>
          <t>12</t>
        </is>
      </c>
      <c r="M33" s="246" t="inlineStr">
        <is>
          <t>1к26</t>
        </is>
      </c>
      <c r="N33" s="245" t="inlineStr">
        <is>
          <t>К</t>
        </is>
      </c>
      <c r="O33" s="350" t="n"/>
    </row>
    <row r="34" ht="22.5" customHeight="1" s="236">
      <c r="A34" s="243" t="n">
        <v>33</v>
      </c>
      <c r="B34" s="244" t="inlineStr">
        <is>
          <t>Манометр технический</t>
        </is>
      </c>
      <c r="C34" s="245" t="inlineStr">
        <is>
          <t>ТМ3</t>
        </is>
      </c>
      <c r="D34" s="245" t="inlineStr">
        <is>
          <t>7000183</t>
        </is>
      </c>
      <c r="E34" s="245" t="inlineStr"/>
      <c r="F34" s="245" t="inlineStr">
        <is>
          <t>0…0,1 МПа</t>
        </is>
      </c>
      <c r="G34" s="245" t="inlineStr">
        <is>
          <t>1.5</t>
        </is>
      </c>
      <c r="H34" s="243" t="inlineStr">
        <is>
          <t>P в в ГШ 5302</t>
        </is>
      </c>
      <c r="I34" s="245" t="inlineStr">
        <is>
          <t>БКК 72</t>
        </is>
      </c>
      <c r="J34" s="243" t="inlineStr">
        <is>
          <t>АСУ,А и ТМ (КЦ № 7)</t>
        </is>
      </c>
      <c r="K34" s="243" t="inlineStr"/>
      <c r="L34" s="243" t="inlineStr">
        <is>
          <t>12</t>
        </is>
      </c>
      <c r="M34" s="246" t="inlineStr">
        <is>
          <t>1к26</t>
        </is>
      </c>
      <c r="N34" s="245" t="inlineStr">
        <is>
          <t>К</t>
        </is>
      </c>
      <c r="O34" s="350" t="n"/>
    </row>
    <row r="35" ht="22.5" customHeight="1" s="236">
      <c r="A35" s="243" t="n">
        <v>34</v>
      </c>
      <c r="B35" s="244" t="inlineStr">
        <is>
          <t>Манометр технический</t>
        </is>
      </c>
      <c r="C35" s="245" t="inlineStr">
        <is>
          <t>МП4-УУХЛ1</t>
        </is>
      </c>
      <c r="D35" s="245" t="inlineStr">
        <is>
          <t>7000184</t>
        </is>
      </c>
      <c r="E35" s="245" t="inlineStr">
        <is>
          <t>2018</t>
        </is>
      </c>
      <c r="F35" s="245" t="inlineStr">
        <is>
          <t>0…1,6 МПа</t>
        </is>
      </c>
      <c r="G35" s="245" t="inlineStr">
        <is>
          <t>1.5</t>
        </is>
      </c>
      <c r="H35" s="243" t="inlineStr">
        <is>
          <t>P в в ресивере</t>
        </is>
      </c>
      <c r="I35" s="245" t="inlineStr">
        <is>
          <t>ГПА 72</t>
        </is>
      </c>
      <c r="J35" s="243" t="inlineStr">
        <is>
          <t>АСУ,А и ТМ (КЦ № 7)</t>
        </is>
      </c>
      <c r="K35" s="243" t="inlineStr"/>
      <c r="L35" s="243" t="inlineStr">
        <is>
          <t>12</t>
        </is>
      </c>
      <c r="M35" s="246" t="inlineStr">
        <is>
          <t>26ДЯУ</t>
        </is>
      </c>
      <c r="N35" s="245" t="inlineStr">
        <is>
          <t>П</t>
        </is>
      </c>
      <c r="O35" s="350" t="n"/>
    </row>
    <row r="36" ht="22.5" customHeight="1" s="236">
      <c r="A36" s="243" t="n">
        <v>35</v>
      </c>
      <c r="B36" s="244" t="inlineStr">
        <is>
          <t>Манометр технический</t>
        </is>
      </c>
      <c r="C36" s="245" t="inlineStr">
        <is>
          <t>МП4-УФБСУХЛ1</t>
        </is>
      </c>
      <c r="D36" s="245" t="inlineStr">
        <is>
          <t>311695</t>
        </is>
      </c>
      <c r="E36" s="245" t="inlineStr"/>
      <c r="F36" s="245" t="inlineStr">
        <is>
          <t>0…160 кгс/см2</t>
        </is>
      </c>
      <c r="G36" s="245" t="inlineStr">
        <is>
          <t>1</t>
        </is>
      </c>
      <c r="H36" s="243" t="inlineStr">
        <is>
          <t>P г во 2 фильтроэлементе БФБГ №1</t>
        </is>
      </c>
      <c r="I36" s="245" t="inlineStr">
        <is>
          <t>ГПА 72</t>
        </is>
      </c>
      <c r="J36" s="243" t="inlineStr">
        <is>
          <t>АСУ,А и ТМ (КЦ № 7)</t>
        </is>
      </c>
      <c r="K36" s="243" t="inlineStr"/>
      <c r="L36" s="243" t="inlineStr">
        <is>
          <t>12</t>
        </is>
      </c>
      <c r="M36" s="246" t="inlineStr">
        <is>
          <t>26ДЯУ</t>
        </is>
      </c>
      <c r="N36" s="245" t="inlineStr">
        <is>
          <t>П</t>
        </is>
      </c>
      <c r="O36" s="350" t="n"/>
    </row>
    <row r="37" ht="22.5" customHeight="1" s="236">
      <c r="A37" s="243" t="n">
        <v>36</v>
      </c>
      <c r="B37" s="244" t="inlineStr">
        <is>
          <t>Манометр технический</t>
        </is>
      </c>
      <c r="C37" s="245" t="inlineStr">
        <is>
          <t>МП4-УФБСУХЛ1</t>
        </is>
      </c>
      <c r="D37" s="245" t="inlineStr">
        <is>
          <t>312141</t>
        </is>
      </c>
      <c r="E37" s="245" t="inlineStr"/>
      <c r="F37" s="245" t="inlineStr">
        <is>
          <t>0…160 кгс/см2</t>
        </is>
      </c>
      <c r="G37" s="245" t="inlineStr">
        <is>
          <t>1</t>
        </is>
      </c>
      <c r="H37" s="243" t="inlineStr">
        <is>
          <t>P г в 1 фильтроэлементе БФБГ №1</t>
        </is>
      </c>
      <c r="I37" s="245" t="inlineStr">
        <is>
          <t>ГПА 72</t>
        </is>
      </c>
      <c r="J37" s="243" t="inlineStr">
        <is>
          <t>АСУ,А и ТМ (КЦ № 7)</t>
        </is>
      </c>
      <c r="K37" s="243" t="inlineStr"/>
      <c r="L37" s="243" t="inlineStr">
        <is>
          <t>12</t>
        </is>
      </c>
      <c r="M37" s="246" t="inlineStr">
        <is>
          <t>26ДЯУ</t>
        </is>
      </c>
      <c r="N37" s="245" t="inlineStr">
        <is>
          <t>П</t>
        </is>
      </c>
      <c r="O37" s="350" t="n"/>
    </row>
    <row r="38" ht="22.5" customHeight="1" s="236">
      <c r="A38" s="243" t="n">
        <v>37</v>
      </c>
      <c r="B38" s="244" t="inlineStr">
        <is>
          <t>Манометр технический</t>
        </is>
      </c>
      <c r="C38" s="245" t="inlineStr">
        <is>
          <t>МП4-УФБСУХЛ1</t>
        </is>
      </c>
      <c r="D38" s="245" t="inlineStr">
        <is>
          <t>312544</t>
        </is>
      </c>
      <c r="E38" s="245" t="inlineStr"/>
      <c r="F38" s="245" t="inlineStr">
        <is>
          <t>0…160 кгс/см2</t>
        </is>
      </c>
      <c r="G38" s="245" t="inlineStr">
        <is>
          <t>1</t>
        </is>
      </c>
      <c r="H38" s="243" t="inlineStr">
        <is>
          <t>P г во 2 фильтроэлементе БФБГ №2</t>
        </is>
      </c>
      <c r="I38" s="245" t="inlineStr">
        <is>
          <t>ГПА 72</t>
        </is>
      </c>
      <c r="J38" s="243" t="inlineStr">
        <is>
          <t>АСУ,А и ТМ (КЦ № 7)</t>
        </is>
      </c>
      <c r="K38" s="243" t="inlineStr"/>
      <c r="L38" s="243" t="inlineStr">
        <is>
          <t>12</t>
        </is>
      </c>
      <c r="M38" s="246" t="inlineStr">
        <is>
          <t>26ДЯУ</t>
        </is>
      </c>
      <c r="N38" s="245" t="inlineStr">
        <is>
          <t>П</t>
        </is>
      </c>
      <c r="O38" s="350" t="n"/>
    </row>
    <row r="39" ht="22.5" customHeight="1" s="236">
      <c r="A39" s="243" t="n">
        <v>38</v>
      </c>
      <c r="B39" s="244" t="inlineStr">
        <is>
          <t>Манометр технический</t>
        </is>
      </c>
      <c r="C39" s="245" t="inlineStr">
        <is>
          <t>МП4-УФБСУХЛ1</t>
        </is>
      </c>
      <c r="D39" s="245" t="inlineStr">
        <is>
          <t>310366</t>
        </is>
      </c>
      <c r="E39" s="245" t="inlineStr"/>
      <c r="F39" s="245" t="inlineStr">
        <is>
          <t>0…160 кгс/см2</t>
        </is>
      </c>
      <c r="G39" s="245" t="inlineStr">
        <is>
          <t>1</t>
        </is>
      </c>
      <c r="H39" s="243" t="inlineStr">
        <is>
          <t>P г в 1 фильтроэлементе БФБГ №2</t>
        </is>
      </c>
      <c r="I39" s="245" t="inlineStr">
        <is>
          <t>ГПА 72</t>
        </is>
      </c>
      <c r="J39" s="243" t="inlineStr">
        <is>
          <t>АСУ,А и ТМ (КЦ № 7)</t>
        </is>
      </c>
      <c r="K39" s="243" t="inlineStr"/>
      <c r="L39" s="243" t="inlineStr">
        <is>
          <t>12</t>
        </is>
      </c>
      <c r="M39" s="246" t="inlineStr">
        <is>
          <t>26ДЯУ</t>
        </is>
      </c>
      <c r="N39" s="245" t="inlineStr">
        <is>
          <t>П</t>
        </is>
      </c>
      <c r="O39" s="350" t="n"/>
    </row>
    <row r="40" ht="22.5" customHeight="1" s="236">
      <c r="A40" s="243" t="n">
        <v>39</v>
      </c>
      <c r="B40" s="244" t="inlineStr">
        <is>
          <t>Манометр технический</t>
        </is>
      </c>
      <c r="C40" s="245" t="inlineStr">
        <is>
          <t>МП4-УУ2</t>
        </is>
      </c>
      <c r="D40" s="245" t="inlineStr">
        <is>
          <t>15620</t>
        </is>
      </c>
      <c r="E40" s="245" t="inlineStr"/>
      <c r="F40" s="245" t="inlineStr">
        <is>
          <t>0…160 кгс/см2</t>
        </is>
      </c>
      <c r="G40" s="245" t="inlineStr">
        <is>
          <t>1</t>
        </is>
      </c>
      <c r="H40" s="243" t="inlineStr">
        <is>
          <t>P г во 2 фильтроэлементе БФТГ №1</t>
        </is>
      </c>
      <c r="I40" s="245" t="inlineStr">
        <is>
          <t>ГПА 72</t>
        </is>
      </c>
      <c r="J40" s="243" t="inlineStr">
        <is>
          <t>АСУ,А и ТМ (КЦ № 7)</t>
        </is>
      </c>
      <c r="K40" s="243" t="inlineStr"/>
      <c r="L40" s="243" t="inlineStr">
        <is>
          <t>12</t>
        </is>
      </c>
      <c r="M40" s="246" t="inlineStr">
        <is>
          <t>26ДЯУ</t>
        </is>
      </c>
      <c r="N40" s="245" t="inlineStr">
        <is>
          <t>П</t>
        </is>
      </c>
      <c r="O40" s="350" t="n"/>
    </row>
    <row r="41" ht="22.5" customFormat="1" customHeight="1" s="351">
      <c r="A41" s="243" t="n">
        <v>40</v>
      </c>
      <c r="B41" s="244" t="inlineStr">
        <is>
          <t>Манометр технический</t>
        </is>
      </c>
      <c r="C41" s="245" t="inlineStr">
        <is>
          <t>МП4-УУ2</t>
        </is>
      </c>
      <c r="D41" s="245" t="inlineStr">
        <is>
          <t>-</t>
        </is>
      </c>
      <c r="E41" s="245" t="inlineStr"/>
      <c r="F41" s="245" t="inlineStr">
        <is>
          <t>0…160 кгс/см2</t>
        </is>
      </c>
      <c r="G41" s="245" t="inlineStr">
        <is>
          <t>1</t>
        </is>
      </c>
      <c r="H41" s="243" t="inlineStr">
        <is>
          <t>P г в 1 фильтроэлементе БФТГ №1</t>
        </is>
      </c>
      <c r="I41" s="245" t="inlineStr">
        <is>
          <t>ГПА 72</t>
        </is>
      </c>
      <c r="J41" s="243" t="inlineStr">
        <is>
          <t>АСУ,А и ТМ (КЦ № 7)</t>
        </is>
      </c>
      <c r="K41" s="243" t="inlineStr"/>
      <c r="L41" s="243" t="inlineStr">
        <is>
          <t>12</t>
        </is>
      </c>
      <c r="M41" s="246" t="inlineStr">
        <is>
          <t>26ДЯУ</t>
        </is>
      </c>
      <c r="N41" s="245" t="inlineStr">
        <is>
          <t>П</t>
        </is>
      </c>
      <c r="O41" s="352" t="n">
        <v>15548</v>
      </c>
    </row>
    <row r="42" ht="22.5" customHeight="1" s="236">
      <c r="A42" s="243" t="n">
        <v>41</v>
      </c>
      <c r="B42" s="244" t="inlineStr">
        <is>
          <t>Манометр технический</t>
        </is>
      </c>
      <c r="C42" s="245" t="inlineStr">
        <is>
          <t>МП4-УУ2</t>
        </is>
      </c>
      <c r="D42" s="245" t="inlineStr">
        <is>
          <t>15568</t>
        </is>
      </c>
      <c r="E42" s="245" t="inlineStr"/>
      <c r="F42" s="245" t="inlineStr">
        <is>
          <t>0…160 кгс/см2</t>
        </is>
      </c>
      <c r="G42" s="245" t="inlineStr">
        <is>
          <t>1</t>
        </is>
      </c>
      <c r="H42" s="243" t="inlineStr">
        <is>
          <t>P г в 1 фильтроэлементе БФТГ №2</t>
        </is>
      </c>
      <c r="I42" s="245" t="inlineStr">
        <is>
          <t>ГПА 72</t>
        </is>
      </c>
      <c r="J42" s="243" t="inlineStr">
        <is>
          <t>АСУ,А и ТМ (КЦ № 7)</t>
        </is>
      </c>
      <c r="K42" s="243" t="inlineStr"/>
      <c r="L42" s="243" t="inlineStr">
        <is>
          <t>12</t>
        </is>
      </c>
      <c r="M42" s="246" t="inlineStr">
        <is>
          <t>26ДЯУ</t>
        </is>
      </c>
      <c r="N42" s="245" t="inlineStr">
        <is>
          <t>П</t>
        </is>
      </c>
      <c r="O42" s="350" t="inlineStr">
        <is>
          <t> </t>
        </is>
      </c>
    </row>
    <row r="43" ht="22.5" customHeight="1" s="236">
      <c r="A43" s="243" t="n">
        <v>42</v>
      </c>
      <c r="B43" s="244" t="inlineStr">
        <is>
          <t>Манометр технический</t>
        </is>
      </c>
      <c r="C43" s="245" t="inlineStr">
        <is>
          <t>МП4-УУХЛ1</t>
        </is>
      </c>
      <c r="D43" s="245" t="inlineStr">
        <is>
          <t>700070</t>
        </is>
      </c>
      <c r="E43" s="245" t="inlineStr"/>
      <c r="F43" s="245" t="inlineStr">
        <is>
          <t>0…160 кгс/см2</t>
        </is>
      </c>
      <c r="G43" s="245" t="inlineStr">
        <is>
          <t>1</t>
        </is>
      </c>
      <c r="H43" s="243" t="inlineStr">
        <is>
          <t>P г во 2 фильтроэлементе БФТГ №2</t>
        </is>
      </c>
      <c r="I43" s="245" t="inlineStr">
        <is>
          <t>ГПА 72</t>
        </is>
      </c>
      <c r="J43" s="243" t="inlineStr">
        <is>
          <t>АСУ,А и ТМ (КЦ № 7)</t>
        </is>
      </c>
      <c r="K43" s="243" t="inlineStr"/>
      <c r="L43" s="243" t="inlineStr">
        <is>
          <t>12</t>
        </is>
      </c>
      <c r="M43" s="246" t="inlineStr">
        <is>
          <t>26ДЯУ</t>
        </is>
      </c>
      <c r="N43" s="245" t="inlineStr">
        <is>
          <t>П</t>
        </is>
      </c>
      <c r="O43" s="350" t="n"/>
    </row>
    <row r="44" ht="22.5" customHeight="1" s="236">
      <c r="A44" s="243" t="n">
        <v>43</v>
      </c>
      <c r="B44" s="244" t="inlineStr">
        <is>
          <t>Манометр технический</t>
        </is>
      </c>
      <c r="C44" s="245" t="inlineStr">
        <is>
          <t>МП4-УУХЛ1</t>
        </is>
      </c>
      <c r="D44" s="245" t="inlineStr">
        <is>
          <t>2097318</t>
        </is>
      </c>
      <c r="E44" s="245" t="inlineStr"/>
      <c r="F44" s="245" t="inlineStr">
        <is>
          <t>0…16 МПа</t>
        </is>
      </c>
      <c r="G44" s="245" t="inlineStr">
        <is>
          <t>1</t>
        </is>
      </c>
      <c r="H44" s="243" t="inlineStr">
        <is>
          <t>P имп г крана 3бис</t>
        </is>
      </c>
      <c r="I44" s="245" t="inlineStr">
        <is>
          <t>ГПА 72</t>
        </is>
      </c>
      <c r="J44" s="243" t="inlineStr">
        <is>
          <t>АСУ,А и ТМ (КЦ № 7)</t>
        </is>
      </c>
      <c r="K44" s="243" t="inlineStr"/>
      <c r="L44" s="243" t="inlineStr">
        <is>
          <t>12</t>
        </is>
      </c>
      <c r="M44" s="246" t="inlineStr">
        <is>
          <t>2К26</t>
        </is>
      </c>
      <c r="N44" s="245" t="inlineStr">
        <is>
          <t>К</t>
        </is>
      </c>
      <c r="O44" s="350" t="n"/>
    </row>
    <row r="45" ht="22.5" customHeight="1" s="236">
      <c r="A45" s="243" t="n">
        <v>44</v>
      </c>
      <c r="B45" s="244" t="inlineStr">
        <is>
          <t>Манометр технический</t>
        </is>
      </c>
      <c r="C45" s="245" t="inlineStr">
        <is>
          <t>КМ2</t>
        </is>
      </c>
      <c r="D45" s="245" t="inlineStr">
        <is>
          <t>700284</t>
        </is>
      </c>
      <c r="E45" s="245" t="inlineStr"/>
      <c r="F45" s="245" t="inlineStr">
        <is>
          <t>0…25 кПа</t>
        </is>
      </c>
      <c r="G45" s="245" t="inlineStr">
        <is>
          <t>1.5</t>
        </is>
      </c>
      <c r="H45" s="243" t="inlineStr">
        <is>
          <t>P г после счётчика MH2</t>
        </is>
      </c>
      <c r="I45" s="245" t="inlineStr">
        <is>
          <t>АВГМ 72</t>
        </is>
      </c>
      <c r="J45" s="243" t="inlineStr">
        <is>
          <t>АСУ,А и ТМ (КЦ № 7)</t>
        </is>
      </c>
      <c r="K45" s="243" t="inlineStr"/>
      <c r="L45" s="243" t="inlineStr">
        <is>
          <t>12</t>
        </is>
      </c>
      <c r="M45" s="246" t="inlineStr">
        <is>
          <t>2К26</t>
        </is>
      </c>
      <c r="N45" s="245" t="inlineStr">
        <is>
          <t>К</t>
        </is>
      </c>
      <c r="O45" s="350" t="n"/>
    </row>
    <row r="46" ht="22.5" customHeight="1" s="236">
      <c r="A46" s="243" t="n">
        <v>45</v>
      </c>
      <c r="B46" s="244" t="inlineStr">
        <is>
          <t>Манометр технический</t>
        </is>
      </c>
      <c r="C46" s="245" t="inlineStr">
        <is>
          <t>ТМ5</t>
        </is>
      </c>
      <c r="D46" s="245" t="inlineStr">
        <is>
          <t>7000171</t>
        </is>
      </c>
      <c r="E46" s="245" t="inlineStr"/>
      <c r="F46" s="245" t="inlineStr">
        <is>
          <t>0…1 МПа</t>
        </is>
      </c>
      <c r="G46" s="245" t="inlineStr">
        <is>
          <t>1.5</t>
        </is>
      </c>
      <c r="H46" s="243" t="inlineStr">
        <is>
          <t>P г на входе MH1</t>
        </is>
      </c>
      <c r="I46" s="245" t="inlineStr">
        <is>
          <t>АВГМ 72</t>
        </is>
      </c>
      <c r="J46" s="243" t="inlineStr">
        <is>
          <t>АСУ,А и ТМ (КЦ № 7)</t>
        </is>
      </c>
      <c r="K46" s="243" t="inlineStr"/>
      <c r="L46" s="243" t="inlineStr">
        <is>
          <t>12</t>
        </is>
      </c>
      <c r="M46" s="246" t="inlineStr">
        <is>
          <t>2К26</t>
        </is>
      </c>
      <c r="N46" s="245" t="inlineStr">
        <is>
          <t>К</t>
        </is>
      </c>
      <c r="O46" s="350" t="n"/>
    </row>
    <row r="47" ht="22.5" customHeight="1" s="236">
      <c r="A47" s="243" t="n">
        <v>46</v>
      </c>
      <c r="B47" s="244" t="inlineStr">
        <is>
          <t>Манометр технический</t>
        </is>
      </c>
      <c r="C47" s="245" t="inlineStr">
        <is>
          <t>МП4-УУ2</t>
        </is>
      </c>
      <c r="D47" s="245" t="inlineStr">
        <is>
          <t>15179</t>
        </is>
      </c>
      <c r="E47" s="245" t="inlineStr"/>
      <c r="F47" s="245" t="inlineStr">
        <is>
          <t>0…160 кгс/см2</t>
        </is>
      </c>
      <c r="G47" s="245" t="inlineStr">
        <is>
          <t>1</t>
        </is>
      </c>
      <c r="H47" s="243" t="inlineStr">
        <is>
          <t>P г после защитной решётки</t>
        </is>
      </c>
      <c r="I47" s="245" t="inlineStr">
        <is>
          <t>ГПА 72</t>
        </is>
      </c>
      <c r="J47" s="243" t="inlineStr">
        <is>
          <t>АСУ,А и ТМ (КЦ № 7)</t>
        </is>
      </c>
      <c r="K47" s="243" t="inlineStr"/>
      <c r="L47" s="243" t="inlineStr">
        <is>
          <t>12</t>
        </is>
      </c>
      <c r="M47" s="246" t="inlineStr">
        <is>
          <t>2К26</t>
        </is>
      </c>
      <c r="N47" s="245" t="inlineStr">
        <is>
          <t>К</t>
        </is>
      </c>
      <c r="O47" s="350" t="n"/>
    </row>
    <row r="48" ht="22.5" customHeight="1" s="236">
      <c r="A48" s="243" t="n">
        <v>47</v>
      </c>
      <c r="B48" s="244" t="inlineStr">
        <is>
          <t>Манометр технический</t>
        </is>
      </c>
      <c r="C48" s="245" t="inlineStr">
        <is>
          <t>МП4-УУ2</t>
        </is>
      </c>
      <c r="D48" s="245" t="inlineStr">
        <is>
          <t>80518</t>
        </is>
      </c>
      <c r="E48" s="245" t="inlineStr"/>
      <c r="F48" s="245" t="inlineStr">
        <is>
          <t>0…160 кгс/см2</t>
        </is>
      </c>
      <c r="G48" s="245" t="inlineStr">
        <is>
          <t>1</t>
        </is>
      </c>
      <c r="H48" s="243" t="inlineStr">
        <is>
          <t>P г до защитной решётки</t>
        </is>
      </c>
      <c r="I48" s="245" t="inlineStr">
        <is>
          <t>ГПА 72</t>
        </is>
      </c>
      <c r="J48" s="243" t="inlineStr">
        <is>
          <t>АСУ,А и ТМ (КЦ № 7)</t>
        </is>
      </c>
      <c r="K48" s="243" t="inlineStr"/>
      <c r="L48" s="243" t="inlineStr">
        <is>
          <t>12</t>
        </is>
      </c>
      <c r="M48" s="246" t="inlineStr">
        <is>
          <t>2К26</t>
        </is>
      </c>
      <c r="N48" s="245" t="inlineStr">
        <is>
          <t>К</t>
        </is>
      </c>
      <c r="O48" s="350" t="n"/>
    </row>
    <row r="49" ht="22.5" customHeight="1" s="236">
      <c r="A49" s="243" t="n">
        <v>48</v>
      </c>
      <c r="B49" s="244" t="inlineStr">
        <is>
          <t>Манометр технический</t>
        </is>
      </c>
      <c r="C49" s="245" t="inlineStr">
        <is>
          <t>МП4-УУХЛ1</t>
        </is>
      </c>
      <c r="D49" s="245" t="inlineStr">
        <is>
          <t>2097310</t>
        </is>
      </c>
      <c r="E49" s="245" t="inlineStr"/>
      <c r="F49" s="245" t="inlineStr">
        <is>
          <t>0…16 МПа</t>
        </is>
      </c>
      <c r="G49" s="245" t="inlineStr">
        <is>
          <t>1</t>
        </is>
      </c>
      <c r="H49" s="243" t="inlineStr">
        <is>
          <t>P г до крана №1-1</t>
        </is>
      </c>
      <c r="I49" s="245" t="inlineStr">
        <is>
          <t>ГПА 72</t>
        </is>
      </c>
      <c r="J49" s="243" t="inlineStr">
        <is>
          <t>АСУ,А и ТМ (КЦ № 7)</t>
        </is>
      </c>
      <c r="K49" s="243" t="inlineStr"/>
      <c r="L49" s="243" t="inlineStr">
        <is>
          <t>12</t>
        </is>
      </c>
      <c r="M49" s="246" t="inlineStr">
        <is>
          <t>2К26</t>
        </is>
      </c>
      <c r="N49" s="245" t="inlineStr">
        <is>
          <t>К</t>
        </is>
      </c>
      <c r="O49" s="350" t="n"/>
    </row>
    <row r="50" ht="22.5" customHeight="1" s="236">
      <c r="A50" s="239">
        <f>IF(B50&lt;&gt;"", COUNTA($B$2:B50), "")</f>
        <v/>
      </c>
      <c r="B50" s="241" t="inlineStr">
        <is>
          <t>Манометр технический</t>
        </is>
      </c>
      <c r="C50" s="242" t="inlineStr">
        <is>
          <t>МП4-УУ2</t>
        </is>
      </c>
      <c r="D50" s="277" t="inlineStr">
        <is>
          <t>7000112</t>
        </is>
      </c>
      <c r="E50" s="242" t="n"/>
      <c r="F50" s="242" t="inlineStr">
        <is>
          <t>0…16 МПа</t>
        </is>
      </c>
      <c r="G50" s="275" t="n">
        <v>1.5</v>
      </c>
      <c r="H50" s="239" t="inlineStr">
        <is>
          <t>P г после крана №1-1</t>
        </is>
      </c>
      <c r="I50" s="242" t="inlineStr">
        <is>
          <t>ГПА 72</t>
        </is>
      </c>
      <c r="J50" s="239" t="inlineStr">
        <is>
          <t>АСУ,А и ТМ (КЦ № 7)</t>
        </is>
      </c>
      <c r="K50" s="239" t="n"/>
      <c r="L50" s="239" t="n">
        <v>12</v>
      </c>
      <c r="M50" s="240" t="inlineStr">
        <is>
          <t>2К26</t>
        </is>
      </c>
      <c r="N50" s="242" t="inlineStr">
        <is>
          <t>К</t>
        </is>
      </c>
      <c r="O50" s="350" t="n"/>
    </row>
    <row r="51" ht="22.5" customFormat="1" customHeight="1" s="351">
      <c r="A51" s="243" t="n">
        <v>50</v>
      </c>
      <c r="B51" s="244" t="inlineStr">
        <is>
          <t>Манометр технический</t>
        </is>
      </c>
      <c r="C51" s="245" t="inlineStr">
        <is>
          <t>МП3-УУ2</t>
        </is>
      </c>
      <c r="D51" s="273" t="inlineStr">
        <is>
          <t>7000106</t>
        </is>
      </c>
      <c r="E51" s="245" t="inlineStr">
        <is>
          <t>2016</t>
        </is>
      </c>
      <c r="F51" s="245" t="inlineStr">
        <is>
          <t>0…16 МПа</t>
        </is>
      </c>
      <c r="G51" s="276" t="inlineStr">
        <is>
          <t>1.5</t>
        </is>
      </c>
      <c r="H51" s="243" t="inlineStr">
        <is>
          <t>P г в ёмкости Е-1</t>
        </is>
      </c>
      <c r="I51" s="245" t="inlineStr">
        <is>
          <t>ГПА 72</t>
        </is>
      </c>
      <c r="J51" s="243" t="inlineStr">
        <is>
          <t>АСУ,А и ТМ (КЦ № 7)</t>
        </is>
      </c>
      <c r="K51" s="243" t="inlineStr"/>
      <c r="L51" s="243" t="inlineStr">
        <is>
          <t>12</t>
        </is>
      </c>
      <c r="M51" s="246" t="inlineStr">
        <is>
          <t>26ДЯУ</t>
        </is>
      </c>
      <c r="N51" s="245" t="inlineStr">
        <is>
          <t>П</t>
        </is>
      </c>
      <c r="O51" s="352" t="n">
        <v>212033571</v>
      </c>
    </row>
    <row r="52" ht="22.5" customHeight="1" s="236">
      <c r="A52" s="243" t="n">
        <v>51</v>
      </c>
      <c r="B52" s="244" t="inlineStr">
        <is>
          <t>Манометр технический</t>
        </is>
      </c>
      <c r="C52" s="245" t="inlineStr">
        <is>
          <t>МП4-УУ2</t>
        </is>
      </c>
      <c r="D52" s="273" t="inlineStr">
        <is>
          <t>15387</t>
        </is>
      </c>
      <c r="E52" s="245" t="inlineStr"/>
      <c r="F52" s="245" t="inlineStr">
        <is>
          <t>0…160 кгс/см2</t>
        </is>
      </c>
      <c r="G52" s="276" t="inlineStr">
        <is>
          <t>1</t>
        </is>
      </c>
      <c r="H52" s="243" t="inlineStr">
        <is>
          <t>P г до крана №1</t>
        </is>
      </c>
      <c r="I52" s="245" t="inlineStr">
        <is>
          <t>ГПА 72</t>
        </is>
      </c>
      <c r="J52" s="243" t="inlineStr">
        <is>
          <t>АСУ,А и ТМ (КЦ № 7)</t>
        </is>
      </c>
      <c r="K52" s="243" t="inlineStr"/>
      <c r="L52" s="243" t="inlineStr">
        <is>
          <t>12</t>
        </is>
      </c>
      <c r="M52" s="246" t="inlineStr">
        <is>
          <t>2К26</t>
        </is>
      </c>
      <c r="N52" s="245" t="inlineStr">
        <is>
          <t>К</t>
        </is>
      </c>
      <c r="O52" s="350" t="n"/>
    </row>
    <row r="53" ht="22.5" customHeight="1" s="236">
      <c r="A53" s="243" t="n">
        <v>52</v>
      </c>
      <c r="B53" s="244" t="inlineStr">
        <is>
          <t>Манометр технический</t>
        </is>
      </c>
      <c r="C53" s="245" t="inlineStr">
        <is>
          <t>МП4-УУ2</t>
        </is>
      </c>
      <c r="D53" s="273" t="inlineStr">
        <is>
          <t>7000112</t>
        </is>
      </c>
      <c r="E53" s="245" t="inlineStr"/>
      <c r="F53" s="245" t="inlineStr">
        <is>
          <t>0…16 МПа</t>
        </is>
      </c>
      <c r="G53" s="276" t="inlineStr">
        <is>
          <t>1.5</t>
        </is>
      </c>
      <c r="H53" s="243" t="inlineStr">
        <is>
          <t>P г после крана №1</t>
        </is>
      </c>
      <c r="I53" s="245" t="inlineStr">
        <is>
          <t>ГПА 72</t>
        </is>
      </c>
      <c r="J53" s="243" t="inlineStr">
        <is>
          <t>АСУ,А и ТМ (КЦ № 7)</t>
        </is>
      </c>
      <c r="K53" s="243" t="inlineStr"/>
      <c r="L53" s="243" t="inlineStr">
        <is>
          <t>12</t>
        </is>
      </c>
      <c r="M53" s="246" t="inlineStr">
        <is>
          <t>2К26</t>
        </is>
      </c>
      <c r="N53" s="245" t="inlineStr">
        <is>
          <t>К</t>
        </is>
      </c>
      <c r="O53" s="350" t="n"/>
    </row>
    <row r="54" ht="22.5" customHeight="1" s="236">
      <c r="A54" s="243" t="n">
        <v>53</v>
      </c>
      <c r="B54" s="244" t="inlineStr">
        <is>
          <t>Манометр технический</t>
        </is>
      </c>
      <c r="C54" s="245" t="inlineStr">
        <is>
          <t>МП4-УУ2</t>
        </is>
      </c>
      <c r="D54" s="273" t="inlineStr">
        <is>
          <t>7000118</t>
        </is>
      </c>
      <c r="E54" s="245" t="inlineStr"/>
      <c r="F54" s="245" t="inlineStr">
        <is>
          <t>0…16 МПа</t>
        </is>
      </c>
      <c r="G54" s="276" t="inlineStr">
        <is>
          <t>1.5</t>
        </is>
      </c>
      <c r="H54" s="243" t="inlineStr">
        <is>
          <t>P г на входе в АВОГ</t>
        </is>
      </c>
      <c r="I54" s="245" t="inlineStr">
        <is>
          <t>ГПА 72</t>
        </is>
      </c>
      <c r="J54" s="243" t="inlineStr">
        <is>
          <t>АСУ,А и ТМ (КЦ № 7)</t>
        </is>
      </c>
      <c r="K54" s="243" t="inlineStr"/>
      <c r="L54" s="243" t="inlineStr">
        <is>
          <t>12</t>
        </is>
      </c>
      <c r="M54" s="246" t="inlineStr">
        <is>
          <t>2К26</t>
        </is>
      </c>
      <c r="N54" s="245" t="inlineStr">
        <is>
          <t>К</t>
        </is>
      </c>
      <c r="O54" s="350" t="n"/>
    </row>
    <row r="55" ht="22.5" customHeight="1" s="236">
      <c r="A55" s="243" t="n">
        <v>54</v>
      </c>
      <c r="B55" s="244" t="inlineStr">
        <is>
          <t>Манометр технический</t>
        </is>
      </c>
      <c r="C55" s="245" t="inlineStr">
        <is>
          <t>МП4-УУ2</t>
        </is>
      </c>
      <c r="D55" s="273" t="inlineStr">
        <is>
          <t>7000120</t>
        </is>
      </c>
      <c r="E55" s="245" t="inlineStr"/>
      <c r="F55" s="245" t="inlineStr">
        <is>
          <t>0…16 МПа</t>
        </is>
      </c>
      <c r="G55" s="276" t="inlineStr">
        <is>
          <t>1.5</t>
        </is>
      </c>
      <c r="H55" s="243" t="inlineStr">
        <is>
          <t>P г на выходе из АВОГ</t>
        </is>
      </c>
      <c r="I55" s="245" t="inlineStr">
        <is>
          <t>ГПА 72</t>
        </is>
      </c>
      <c r="J55" s="243" t="inlineStr">
        <is>
          <t>АСУ,А и ТМ (КЦ № 7)</t>
        </is>
      </c>
      <c r="K55" s="243" t="inlineStr"/>
      <c r="L55" s="243" t="inlineStr">
        <is>
          <t>12</t>
        </is>
      </c>
      <c r="M55" s="246" t="inlineStr">
        <is>
          <t>2К26</t>
        </is>
      </c>
      <c r="N55" s="245" t="inlineStr">
        <is>
          <t>К</t>
        </is>
      </c>
      <c r="O55" s="350" t="n"/>
    </row>
    <row r="56" ht="22.5" customHeight="1" s="236">
      <c r="A56" s="243" t="n">
        <v>55</v>
      </c>
      <c r="B56" s="244" t="inlineStr">
        <is>
          <t>Манометр технический</t>
        </is>
      </c>
      <c r="C56" s="245" t="inlineStr">
        <is>
          <t>МП4-УУ2</t>
        </is>
      </c>
      <c r="D56" s="273" t="inlineStr">
        <is>
          <t>7000117</t>
        </is>
      </c>
      <c r="E56" s="245" t="inlineStr"/>
      <c r="F56" s="245" t="inlineStr">
        <is>
          <t>0…16 МПа</t>
        </is>
      </c>
      <c r="G56" s="276" t="inlineStr">
        <is>
          <t>1.5</t>
        </is>
      </c>
      <c r="H56" s="243" t="inlineStr">
        <is>
          <t>P г перед краном №2</t>
        </is>
      </c>
      <c r="I56" s="245" t="inlineStr">
        <is>
          <t>ГПА 72</t>
        </is>
      </c>
      <c r="J56" s="243" t="inlineStr">
        <is>
          <t>АСУ,А и ТМ (КЦ № 7)</t>
        </is>
      </c>
      <c r="K56" s="243" t="inlineStr"/>
      <c r="L56" s="243" t="inlineStr">
        <is>
          <t>12</t>
        </is>
      </c>
      <c r="M56" s="246" t="inlineStr">
        <is>
          <t>2К26</t>
        </is>
      </c>
      <c r="N56" s="245" t="inlineStr">
        <is>
          <t>К</t>
        </is>
      </c>
      <c r="O56" s="350" t="n"/>
    </row>
    <row r="57" ht="22.5" customHeight="1" s="236">
      <c r="A57" s="243" t="n">
        <v>56</v>
      </c>
      <c r="B57" s="244" t="inlineStr">
        <is>
          <t>Манометр технический</t>
        </is>
      </c>
      <c r="C57" s="245" t="inlineStr">
        <is>
          <t>МП4-УУ2</t>
        </is>
      </c>
      <c r="D57" s="273" t="inlineStr">
        <is>
          <t>7000116</t>
        </is>
      </c>
      <c r="E57" s="245" t="inlineStr"/>
      <c r="F57" s="245" t="inlineStr">
        <is>
          <t>0…16 МПа</t>
        </is>
      </c>
      <c r="G57" s="276" t="inlineStr">
        <is>
          <t>1.5</t>
        </is>
      </c>
      <c r="H57" s="243" t="inlineStr">
        <is>
          <t>P г после крана №2</t>
        </is>
      </c>
      <c r="I57" s="245" t="inlineStr">
        <is>
          <t>ГПА 72</t>
        </is>
      </c>
      <c r="J57" s="243" t="inlineStr">
        <is>
          <t>АСУ,А и ТМ (КЦ № 7)</t>
        </is>
      </c>
      <c r="K57" s="243" t="inlineStr"/>
      <c r="L57" s="243" t="inlineStr">
        <is>
          <t>12</t>
        </is>
      </c>
      <c r="M57" s="246" t="inlineStr">
        <is>
          <t>2К26</t>
        </is>
      </c>
      <c r="N57" s="245" t="inlineStr">
        <is>
          <t>К</t>
        </is>
      </c>
      <c r="O57" s="350" t="n"/>
    </row>
    <row r="58" ht="22.5" customHeight="1" s="236">
      <c r="A58" s="243" t="n">
        <v>57</v>
      </c>
      <c r="B58" s="244" t="inlineStr">
        <is>
          <t>Манометр технический</t>
        </is>
      </c>
      <c r="C58" s="245" t="inlineStr">
        <is>
          <t>МП3-УУ2</t>
        </is>
      </c>
      <c r="D58" s="273" t="inlineStr">
        <is>
          <t>212027942</t>
        </is>
      </c>
      <c r="E58" s="245" t="inlineStr"/>
      <c r="F58" s="245" t="inlineStr">
        <is>
          <t>0…16 МПа</t>
        </is>
      </c>
      <c r="G58" s="276" t="inlineStr">
        <is>
          <t>1</t>
        </is>
      </c>
      <c r="H58" s="243" t="inlineStr">
        <is>
          <t>P г на входе установки</t>
        </is>
      </c>
      <c r="I58" s="245" t="inlineStr">
        <is>
          <t>АВОГ 72</t>
        </is>
      </c>
      <c r="J58" s="243" t="inlineStr">
        <is>
          <t>АСУ,А и ТМ (КЦ № 7)</t>
        </is>
      </c>
      <c r="K58" s="243" t="inlineStr"/>
      <c r="L58" s="243" t="inlineStr">
        <is>
          <t>12</t>
        </is>
      </c>
      <c r="M58" s="246" t="inlineStr">
        <is>
          <t>2К26</t>
        </is>
      </c>
      <c r="N58" s="245" t="inlineStr">
        <is>
          <t>К</t>
        </is>
      </c>
      <c r="O58" s="350" t="n"/>
    </row>
    <row r="59" ht="22.5" customHeight="1" s="236">
      <c r="A59" s="243" t="n">
        <v>58</v>
      </c>
      <c r="B59" s="244" t="inlineStr">
        <is>
          <t>Манометр технический</t>
        </is>
      </c>
      <c r="C59" s="245" t="inlineStr">
        <is>
          <t>МП3-УУ2</t>
        </is>
      </c>
      <c r="D59" s="273" t="inlineStr">
        <is>
          <t>212027987</t>
        </is>
      </c>
      <c r="E59" s="245" t="inlineStr"/>
      <c r="F59" s="245" t="inlineStr">
        <is>
          <t>0…16 МПа</t>
        </is>
      </c>
      <c r="G59" s="276" t="inlineStr">
        <is>
          <t>1</t>
        </is>
      </c>
      <c r="H59" s="243" t="inlineStr">
        <is>
          <t>P г на входе установки</t>
        </is>
      </c>
      <c r="I59" s="245" t="inlineStr">
        <is>
          <t>АВОГ 72</t>
        </is>
      </c>
      <c r="J59" s="243" t="inlineStr">
        <is>
          <t>АСУ,А и ТМ (КЦ № 7)</t>
        </is>
      </c>
      <c r="K59" s="243" t="inlineStr"/>
      <c r="L59" s="243" t="inlineStr">
        <is>
          <t>12</t>
        </is>
      </c>
      <c r="M59" s="246" t="inlineStr">
        <is>
          <t>2К26</t>
        </is>
      </c>
      <c r="N59" s="245" t="inlineStr">
        <is>
          <t>К</t>
        </is>
      </c>
      <c r="O59" s="350" t="n"/>
    </row>
    <row r="60" ht="22.5" customHeight="1" s="236">
      <c r="A60" s="243" t="n">
        <v>59</v>
      </c>
      <c r="B60" s="244" t="inlineStr">
        <is>
          <t>Манометр технический</t>
        </is>
      </c>
      <c r="C60" s="245" t="inlineStr">
        <is>
          <t>МП3-УУ2</t>
        </is>
      </c>
      <c r="D60" s="273" t="inlineStr">
        <is>
          <t>212028006</t>
        </is>
      </c>
      <c r="E60" s="245" t="inlineStr"/>
      <c r="F60" s="245" t="inlineStr">
        <is>
          <t>0…16 МПа</t>
        </is>
      </c>
      <c r="G60" s="276" t="inlineStr">
        <is>
          <t>1</t>
        </is>
      </c>
      <c r="H60" s="243" t="inlineStr">
        <is>
          <t>P г на входе установки</t>
        </is>
      </c>
      <c r="I60" s="245" t="inlineStr">
        <is>
          <t>АВОГ 72</t>
        </is>
      </c>
      <c r="J60" s="243" t="inlineStr">
        <is>
          <t>АСУ,А и ТМ (КЦ № 7)</t>
        </is>
      </c>
      <c r="K60" s="243" t="inlineStr"/>
      <c r="L60" s="243" t="inlineStr">
        <is>
          <t>12</t>
        </is>
      </c>
      <c r="M60" s="246" t="inlineStr">
        <is>
          <t>2К26</t>
        </is>
      </c>
      <c r="N60" s="245" t="inlineStr">
        <is>
          <t>К</t>
        </is>
      </c>
      <c r="O60" s="350" t="n"/>
    </row>
    <row r="61" ht="22.5" customHeight="1" s="236">
      <c r="A61" s="243" t="n">
        <v>60</v>
      </c>
      <c r="B61" s="244" t="inlineStr">
        <is>
          <t>Манометр технический</t>
        </is>
      </c>
      <c r="C61" s="245" t="inlineStr">
        <is>
          <t>МП3-УУ2</t>
        </is>
      </c>
      <c r="D61" s="273" t="inlineStr">
        <is>
          <t>212027918</t>
        </is>
      </c>
      <c r="E61" s="245" t="inlineStr"/>
      <c r="F61" s="245" t="inlineStr">
        <is>
          <t>0…16 МПа</t>
        </is>
      </c>
      <c r="G61" s="276" t="inlineStr">
        <is>
          <t>1</t>
        </is>
      </c>
      <c r="H61" s="243" t="inlineStr">
        <is>
          <t>P г на входе установки</t>
        </is>
      </c>
      <c r="I61" s="245" t="inlineStr">
        <is>
          <t>АВОГ 72</t>
        </is>
      </c>
      <c r="J61" s="243" t="inlineStr">
        <is>
          <t>АСУ,А и ТМ (КЦ № 7)</t>
        </is>
      </c>
      <c r="K61" s="243" t="inlineStr"/>
      <c r="L61" s="243" t="inlineStr">
        <is>
          <t>12</t>
        </is>
      </c>
      <c r="M61" s="246" t="inlineStr">
        <is>
          <t>2К26</t>
        </is>
      </c>
      <c r="N61" s="245" t="inlineStr">
        <is>
          <t>К</t>
        </is>
      </c>
      <c r="O61" s="350" t="n"/>
    </row>
    <row r="62" ht="22.5" customHeight="1" s="236">
      <c r="A62" s="243" t="n">
        <v>61</v>
      </c>
      <c r="B62" s="244" t="inlineStr">
        <is>
          <t>Манометр технический</t>
        </is>
      </c>
      <c r="C62" s="245" t="inlineStr">
        <is>
          <t>МП3-УУ2</t>
        </is>
      </c>
      <c r="D62" s="273" t="inlineStr">
        <is>
          <t>212027930</t>
        </is>
      </c>
      <c r="E62" s="245" t="inlineStr"/>
      <c r="F62" s="245" t="inlineStr">
        <is>
          <t>0…16 МПа</t>
        </is>
      </c>
      <c r="G62" s="276" t="inlineStr">
        <is>
          <t>1</t>
        </is>
      </c>
      <c r="H62" s="243" t="inlineStr">
        <is>
          <t>P г на входе установки</t>
        </is>
      </c>
      <c r="I62" s="245" t="inlineStr">
        <is>
          <t>АВОГ 72</t>
        </is>
      </c>
      <c r="J62" s="243" t="inlineStr">
        <is>
          <t>АСУ,А и ТМ (КЦ № 7)</t>
        </is>
      </c>
      <c r="K62" s="243" t="inlineStr"/>
      <c r="L62" s="243" t="inlineStr">
        <is>
          <t>12</t>
        </is>
      </c>
      <c r="M62" s="246" t="inlineStr">
        <is>
          <t>2К26</t>
        </is>
      </c>
      <c r="N62" s="245" t="inlineStr">
        <is>
          <t>К</t>
        </is>
      </c>
      <c r="O62" s="350" t="n"/>
    </row>
    <row r="63" ht="22.5" customHeight="1" s="236">
      <c r="A63" s="243" t="n">
        <v>62</v>
      </c>
      <c r="B63" s="244" t="inlineStr">
        <is>
          <t>Манометр технический</t>
        </is>
      </c>
      <c r="C63" s="245" t="inlineStr">
        <is>
          <t>МП3-УУ2</t>
        </is>
      </c>
      <c r="D63" s="273" t="inlineStr">
        <is>
          <t>212028007</t>
        </is>
      </c>
      <c r="E63" s="245" t="inlineStr"/>
      <c r="F63" s="245" t="inlineStr">
        <is>
          <t>0…16 МПа</t>
        </is>
      </c>
      <c r="G63" s="276" t="inlineStr">
        <is>
          <t>1</t>
        </is>
      </c>
      <c r="H63" s="243" t="inlineStr">
        <is>
          <t>P г на входе установки</t>
        </is>
      </c>
      <c r="I63" s="245" t="inlineStr">
        <is>
          <t>АВОГ 72</t>
        </is>
      </c>
      <c r="J63" s="243" t="inlineStr">
        <is>
          <t>АСУ,А и ТМ (КЦ № 7)</t>
        </is>
      </c>
      <c r="K63" s="243" t="inlineStr"/>
      <c r="L63" s="243" t="inlineStr">
        <is>
          <t>12</t>
        </is>
      </c>
      <c r="M63" s="246" t="inlineStr">
        <is>
          <t>2К26</t>
        </is>
      </c>
      <c r="N63" s="245" t="inlineStr">
        <is>
          <t>К</t>
        </is>
      </c>
      <c r="O63" s="350" t="n"/>
    </row>
    <row r="64" ht="22.5" customHeight="1" s="236">
      <c r="A64" s="243" t="n">
        <v>63</v>
      </c>
      <c r="B64" s="244" t="inlineStr">
        <is>
          <t>Манометр технический</t>
        </is>
      </c>
      <c r="C64" s="245" t="inlineStr">
        <is>
          <t>МП3-УУ2</t>
        </is>
      </c>
      <c r="D64" s="273" t="inlineStr">
        <is>
          <t>212027986</t>
        </is>
      </c>
      <c r="E64" s="245" t="inlineStr"/>
      <c r="F64" s="245" t="inlineStr">
        <is>
          <t>0…16 МПа</t>
        </is>
      </c>
      <c r="G64" s="276" t="inlineStr">
        <is>
          <t>1</t>
        </is>
      </c>
      <c r="H64" s="243" t="inlineStr">
        <is>
          <t>P г на входе установки</t>
        </is>
      </c>
      <c r="I64" s="245" t="inlineStr">
        <is>
          <t>АВОГ 72</t>
        </is>
      </c>
      <c r="J64" s="243" t="inlineStr">
        <is>
          <t>АСУ,А и ТМ (КЦ № 7)</t>
        </is>
      </c>
      <c r="K64" s="243" t="inlineStr"/>
      <c r="L64" s="243" t="inlineStr">
        <is>
          <t>12</t>
        </is>
      </c>
      <c r="M64" s="246" t="inlineStr">
        <is>
          <t>2К26</t>
        </is>
      </c>
      <c r="N64" s="245" t="inlineStr">
        <is>
          <t>К</t>
        </is>
      </c>
      <c r="O64" s="350" t="n"/>
    </row>
    <row r="65" ht="22.5" customHeight="1" s="236">
      <c r="A65" s="243" t="n">
        <v>64</v>
      </c>
      <c r="B65" s="244" t="inlineStr">
        <is>
          <t>Манометр технический</t>
        </is>
      </c>
      <c r="C65" s="245" t="inlineStr">
        <is>
          <t>МП3-УУ2</t>
        </is>
      </c>
      <c r="D65" s="273" t="inlineStr">
        <is>
          <t>212027984</t>
        </is>
      </c>
      <c r="E65" s="245" t="inlineStr"/>
      <c r="F65" s="245" t="inlineStr">
        <is>
          <t>0…16 МПа</t>
        </is>
      </c>
      <c r="G65" s="276" t="inlineStr">
        <is>
          <t>1</t>
        </is>
      </c>
      <c r="H65" s="243" t="inlineStr">
        <is>
          <t>P г на входе установки</t>
        </is>
      </c>
      <c r="I65" s="245" t="inlineStr">
        <is>
          <t>АВОГ 72</t>
        </is>
      </c>
      <c r="J65" s="243" t="inlineStr">
        <is>
          <t>АСУ,А и ТМ (КЦ № 7)</t>
        </is>
      </c>
      <c r="K65" s="243" t="inlineStr"/>
      <c r="L65" s="243" t="inlineStr">
        <is>
          <t>12</t>
        </is>
      </c>
      <c r="M65" s="246" t="inlineStr">
        <is>
          <t>2К26</t>
        </is>
      </c>
      <c r="N65" s="245" t="inlineStr">
        <is>
          <t>К</t>
        </is>
      </c>
      <c r="O65" s="350" t="n"/>
    </row>
    <row r="66" ht="22.5" customHeight="1" s="236">
      <c r="A66" s="243" t="n">
        <v>65</v>
      </c>
      <c r="B66" s="244" t="inlineStr">
        <is>
          <t>Манометр технический</t>
        </is>
      </c>
      <c r="C66" s="245" t="inlineStr">
        <is>
          <t>МП4-УУХЛ1</t>
        </is>
      </c>
      <c r="D66" s="273" t="inlineStr">
        <is>
          <t>2097324</t>
        </is>
      </c>
      <c r="E66" s="245" t="inlineStr"/>
      <c r="F66" s="245" t="inlineStr">
        <is>
          <t>0…16 МПа</t>
        </is>
      </c>
      <c r="G66" s="276" t="inlineStr">
        <is>
          <t>1</t>
        </is>
      </c>
      <c r="H66" s="243" t="inlineStr">
        <is>
          <t>P имп г крана 6к</t>
        </is>
      </c>
      <c r="I66" s="245" t="inlineStr">
        <is>
          <t>ГПА 72</t>
        </is>
      </c>
      <c r="J66" s="243" t="inlineStr">
        <is>
          <t>АСУ,А и ТМ (КЦ № 7)</t>
        </is>
      </c>
      <c r="K66" s="243" t="inlineStr"/>
      <c r="L66" s="243" t="inlineStr">
        <is>
          <t>12</t>
        </is>
      </c>
      <c r="M66" s="246" t="inlineStr">
        <is>
          <t>2К26</t>
        </is>
      </c>
      <c r="N66" s="245" t="inlineStr">
        <is>
          <t>К</t>
        </is>
      </c>
      <c r="O66" s="350" t="n"/>
    </row>
    <row r="67" ht="22.5" customHeight="1" s="236">
      <c r="A67" s="243" t="n">
        <v>66</v>
      </c>
      <c r="B67" s="249" t="inlineStr">
        <is>
          <t>Термометр биметаллический</t>
        </is>
      </c>
      <c r="C67" s="245" t="inlineStr">
        <is>
          <t>ТБ-2р ухл2</t>
        </is>
      </c>
      <c r="D67" s="273" t="inlineStr">
        <is>
          <t>7317</t>
        </is>
      </c>
      <c r="E67" s="245" t="inlineStr"/>
      <c r="F67" s="245" t="inlineStr">
        <is>
          <t>0…100 °С</t>
        </is>
      </c>
      <c r="G67" s="276" t="inlineStr">
        <is>
          <t>1.5</t>
        </is>
      </c>
      <c r="H67" s="243" t="inlineStr">
        <is>
          <t>T в до фильтра</t>
        </is>
      </c>
      <c r="I67" s="245" t="inlineStr">
        <is>
          <t>ГПА 72</t>
        </is>
      </c>
      <c r="J67" s="243" t="inlineStr">
        <is>
          <t>АСУ,А и ТМ (КЦ № 7)</t>
        </is>
      </c>
      <c r="K67" s="243" t="inlineStr"/>
      <c r="L67" s="243" t="inlineStr">
        <is>
          <t>24</t>
        </is>
      </c>
      <c r="M67" s="246" t="inlineStr">
        <is>
          <t>2К26</t>
        </is>
      </c>
      <c r="N67" s="245" t="inlineStr">
        <is>
          <t>К</t>
        </is>
      </c>
      <c r="O67" s="350" t="n"/>
    </row>
    <row r="68" ht="22.5" customHeight="1" s="236">
      <c r="A68" s="243" t="n">
        <v>67</v>
      </c>
      <c r="B68" s="249" t="inlineStr">
        <is>
          <t>Термометр биметаллический</t>
        </is>
      </c>
      <c r="C68" s="245" t="inlineStr">
        <is>
          <t>ТБ-2</t>
        </is>
      </c>
      <c r="D68" s="273" t="inlineStr">
        <is>
          <t>8572</t>
        </is>
      </c>
      <c r="E68" s="245" t="inlineStr"/>
      <c r="F68" s="245" t="inlineStr">
        <is>
          <t>-50…100 °С</t>
        </is>
      </c>
      <c r="G68" s="276" t="inlineStr">
        <is>
          <t>1</t>
        </is>
      </c>
      <c r="H68" s="243" t="inlineStr">
        <is>
          <t>T г на выходе установки</t>
        </is>
      </c>
      <c r="I68" s="245" t="inlineStr">
        <is>
          <t>АВОГ 72</t>
        </is>
      </c>
      <c r="J68" s="243" t="inlineStr">
        <is>
          <t>АСУ,А и ТМ (КЦ № 7)</t>
        </is>
      </c>
      <c r="K68" s="243" t="inlineStr"/>
      <c r="L68" s="243" t="inlineStr">
        <is>
          <t>24</t>
        </is>
      </c>
      <c r="M68" s="246" t="inlineStr">
        <is>
          <t>2к26</t>
        </is>
      </c>
      <c r="N68" s="245" t="inlineStr">
        <is>
          <t>К</t>
        </is>
      </c>
      <c r="O68" s="350" t="n"/>
    </row>
    <row r="69" ht="22.5" customHeight="1" s="236">
      <c r="A69" s="243" t="n">
        <v>68</v>
      </c>
      <c r="B69" s="249" t="inlineStr">
        <is>
          <t>Термометр биметаллический</t>
        </is>
      </c>
      <c r="C69" s="245" t="inlineStr">
        <is>
          <t>ТБ-2</t>
        </is>
      </c>
      <c r="D69" s="273" t="inlineStr">
        <is>
          <t>8528</t>
        </is>
      </c>
      <c r="E69" s="245" t="inlineStr"/>
      <c r="F69" s="245" t="inlineStr">
        <is>
          <t>-50…100 °С</t>
        </is>
      </c>
      <c r="G69" s="276" t="inlineStr">
        <is>
          <t>1</t>
        </is>
      </c>
      <c r="H69" s="243" t="inlineStr">
        <is>
          <t>T г на выходе установки</t>
        </is>
      </c>
      <c r="I69" s="245" t="inlineStr">
        <is>
          <t>АВОГ 72</t>
        </is>
      </c>
      <c r="J69" s="243" t="inlineStr">
        <is>
          <t>АСУ,А и ТМ (КЦ № 7)</t>
        </is>
      </c>
      <c r="K69" s="243" t="inlineStr"/>
      <c r="L69" s="243" t="inlineStr">
        <is>
          <t>24</t>
        </is>
      </c>
      <c r="M69" s="246" t="inlineStr">
        <is>
          <t>2к26</t>
        </is>
      </c>
      <c r="N69" s="245" t="inlineStr">
        <is>
          <t>К</t>
        </is>
      </c>
      <c r="O69" s="350" t="n"/>
    </row>
    <row r="70" ht="22.5" customHeight="1" s="236">
      <c r="A70" s="243" t="n">
        <v>69</v>
      </c>
      <c r="B70" s="249" t="inlineStr">
        <is>
          <t>Термометр биметаллический</t>
        </is>
      </c>
      <c r="C70" s="245" t="inlineStr">
        <is>
          <t>ТБ-2</t>
        </is>
      </c>
      <c r="D70" s="273" t="inlineStr">
        <is>
          <t>8533</t>
        </is>
      </c>
      <c r="E70" s="245" t="inlineStr"/>
      <c r="F70" s="245" t="inlineStr">
        <is>
          <t>-50…100 °С</t>
        </is>
      </c>
      <c r="G70" s="276" t="inlineStr">
        <is>
          <t>1</t>
        </is>
      </c>
      <c r="H70" s="243" t="inlineStr">
        <is>
          <t>T г на выходе установки</t>
        </is>
      </c>
      <c r="I70" s="245" t="inlineStr">
        <is>
          <t>АВОГ 72</t>
        </is>
      </c>
      <c r="J70" s="243" t="inlineStr">
        <is>
          <t>АСУ,А и ТМ (КЦ № 7)</t>
        </is>
      </c>
      <c r="K70" s="243" t="inlineStr"/>
      <c r="L70" s="243" t="inlineStr">
        <is>
          <t>24</t>
        </is>
      </c>
      <c r="M70" s="246" t="inlineStr">
        <is>
          <t>2к26</t>
        </is>
      </c>
      <c r="N70" s="245" t="inlineStr">
        <is>
          <t>К</t>
        </is>
      </c>
      <c r="O70" s="350" t="n"/>
    </row>
    <row r="71" ht="22.5" customHeight="1" s="236">
      <c r="A71" s="243" t="n">
        <v>70</v>
      </c>
      <c r="B71" s="249" t="inlineStr">
        <is>
          <t>Термометр биметаллический</t>
        </is>
      </c>
      <c r="C71" s="245" t="inlineStr">
        <is>
          <t>ТБ-2</t>
        </is>
      </c>
      <c r="D71" s="273" t="inlineStr">
        <is>
          <t>8567</t>
        </is>
      </c>
      <c r="E71" s="245" t="inlineStr"/>
      <c r="F71" s="245" t="inlineStr">
        <is>
          <t>-50…100 °С</t>
        </is>
      </c>
      <c r="G71" s="276" t="inlineStr">
        <is>
          <t>1</t>
        </is>
      </c>
      <c r="H71" s="243" t="inlineStr">
        <is>
          <t>T г на выходе установки</t>
        </is>
      </c>
      <c r="I71" s="245" t="inlineStr">
        <is>
          <t>АВОГ 72</t>
        </is>
      </c>
      <c r="J71" s="243" t="inlineStr">
        <is>
          <t>АСУ,А и ТМ (КЦ № 7)</t>
        </is>
      </c>
      <c r="K71" s="243" t="inlineStr"/>
      <c r="L71" s="243" t="inlineStr">
        <is>
          <t>24</t>
        </is>
      </c>
      <c r="M71" s="246" t="inlineStr">
        <is>
          <t>2к26</t>
        </is>
      </c>
      <c r="N71" s="245" t="inlineStr">
        <is>
          <t>К</t>
        </is>
      </c>
      <c r="O71" s="350" t="n"/>
    </row>
    <row r="72" ht="22.5" customHeight="1" s="236">
      <c r="A72" s="243" t="n">
        <v>71</v>
      </c>
      <c r="B72" s="249" t="inlineStr">
        <is>
          <t>Термометр биметаллический</t>
        </is>
      </c>
      <c r="C72" s="245" t="inlineStr">
        <is>
          <t>ТБ-2</t>
        </is>
      </c>
      <c r="D72" s="273" t="inlineStr">
        <is>
          <t>8559</t>
        </is>
      </c>
      <c r="E72" s="245" t="inlineStr"/>
      <c r="F72" s="245" t="inlineStr">
        <is>
          <t>-50…100 °С</t>
        </is>
      </c>
      <c r="G72" s="276" t="inlineStr">
        <is>
          <t>1</t>
        </is>
      </c>
      <c r="H72" s="243" t="inlineStr">
        <is>
          <t>T г на выходе установки</t>
        </is>
      </c>
      <c r="I72" s="245" t="inlineStr">
        <is>
          <t>АВОГ 72</t>
        </is>
      </c>
      <c r="J72" s="243" t="inlineStr">
        <is>
          <t>АСУ,А и ТМ (КЦ № 7)</t>
        </is>
      </c>
      <c r="K72" s="243" t="inlineStr"/>
      <c r="L72" s="243" t="inlineStr">
        <is>
          <t>24</t>
        </is>
      </c>
      <c r="M72" s="246" t="inlineStr">
        <is>
          <t>2к26</t>
        </is>
      </c>
      <c r="N72" s="245" t="inlineStr">
        <is>
          <t>К</t>
        </is>
      </c>
      <c r="O72" s="350" t="n"/>
    </row>
    <row r="73" ht="22.5" customHeight="1" s="236">
      <c r="A73" s="243" t="n">
        <v>72</v>
      </c>
      <c r="B73" s="249" t="inlineStr">
        <is>
          <t>Термометр биметаллический</t>
        </is>
      </c>
      <c r="C73" s="245" t="inlineStr">
        <is>
          <t>ТБ-2</t>
        </is>
      </c>
      <c r="D73" s="273" t="inlineStr">
        <is>
          <t>8535</t>
        </is>
      </c>
      <c r="E73" s="245" t="inlineStr"/>
      <c r="F73" s="245" t="inlineStr">
        <is>
          <t>-50…100 °С</t>
        </is>
      </c>
      <c r="G73" s="276" t="inlineStr">
        <is>
          <t>1</t>
        </is>
      </c>
      <c r="H73" s="243" t="inlineStr">
        <is>
          <t>T г на выходе установки</t>
        </is>
      </c>
      <c r="I73" s="245" t="inlineStr">
        <is>
          <t>АВОГ 72</t>
        </is>
      </c>
      <c r="J73" s="243" t="inlineStr">
        <is>
          <t>АСУ,А и ТМ (КЦ № 7)</t>
        </is>
      </c>
      <c r="K73" s="243" t="inlineStr"/>
      <c r="L73" s="243" t="inlineStr">
        <is>
          <t>24</t>
        </is>
      </c>
      <c r="M73" s="246" t="inlineStr">
        <is>
          <t>2к26</t>
        </is>
      </c>
      <c r="N73" s="245" t="inlineStr">
        <is>
          <t>К</t>
        </is>
      </c>
      <c r="O73" s="350" t="n"/>
    </row>
    <row r="74" ht="22.5" customHeight="1" s="236">
      <c r="A74" s="243" t="n">
        <v>73</v>
      </c>
      <c r="B74" s="249" t="inlineStr">
        <is>
          <t>Термометр биметаллический</t>
        </is>
      </c>
      <c r="C74" s="245" t="inlineStr">
        <is>
          <t>ТБ-2</t>
        </is>
      </c>
      <c r="D74" s="273" t="inlineStr">
        <is>
          <t>8565</t>
        </is>
      </c>
      <c r="E74" s="245" t="inlineStr"/>
      <c r="F74" s="245" t="inlineStr">
        <is>
          <t>-50…100 °С</t>
        </is>
      </c>
      <c r="G74" s="276" t="inlineStr">
        <is>
          <t>1</t>
        </is>
      </c>
      <c r="H74" s="243" t="inlineStr">
        <is>
          <t>T г на выходе установки</t>
        </is>
      </c>
      <c r="I74" s="245" t="inlineStr">
        <is>
          <t>АВОГ 72</t>
        </is>
      </c>
      <c r="J74" s="243" t="inlineStr">
        <is>
          <t>АСУ,А и ТМ (КЦ № 7)</t>
        </is>
      </c>
      <c r="K74" s="243" t="inlineStr"/>
      <c r="L74" s="243" t="inlineStr">
        <is>
          <t>24</t>
        </is>
      </c>
      <c r="M74" s="246" t="inlineStr">
        <is>
          <t>2к26</t>
        </is>
      </c>
      <c r="N74" s="245" t="inlineStr">
        <is>
          <t>К</t>
        </is>
      </c>
      <c r="O74" s="350" t="n"/>
    </row>
    <row r="75" ht="22.5" customHeight="1" s="236">
      <c r="A75" s="243" t="n">
        <v>74</v>
      </c>
      <c r="B75" s="249" t="inlineStr">
        <is>
          <t>Термометр биметаллический</t>
        </is>
      </c>
      <c r="C75" s="245" t="inlineStr">
        <is>
          <t>ТБ-2</t>
        </is>
      </c>
      <c r="D75" s="273" t="inlineStr">
        <is>
          <t>8570</t>
        </is>
      </c>
      <c r="E75" s="245" t="inlineStr"/>
      <c r="F75" s="245" t="inlineStr">
        <is>
          <t>-50…100 °С</t>
        </is>
      </c>
      <c r="G75" s="276" t="inlineStr">
        <is>
          <t>1</t>
        </is>
      </c>
      <c r="H75" s="243" t="inlineStr">
        <is>
          <t>T г на выходе установки</t>
        </is>
      </c>
      <c r="I75" s="245" t="inlineStr">
        <is>
          <t>АВОГ 72</t>
        </is>
      </c>
      <c r="J75" s="243" t="inlineStr">
        <is>
          <t>АСУ,А и ТМ (КЦ № 7)</t>
        </is>
      </c>
      <c r="K75" s="243" t="inlineStr"/>
      <c r="L75" s="243" t="inlineStr">
        <is>
          <t>24</t>
        </is>
      </c>
      <c r="M75" s="246" t="inlineStr">
        <is>
          <t>2к26</t>
        </is>
      </c>
      <c r="N75" s="245" t="inlineStr">
        <is>
          <t>К</t>
        </is>
      </c>
      <c r="O75" s="350" t="n"/>
    </row>
    <row r="76" ht="22.5" customHeight="1" s="236">
      <c r="A76" s="243" t="n">
        <v>75</v>
      </c>
      <c r="B76" s="249" t="inlineStr">
        <is>
          <t>Расходомер</t>
        </is>
      </c>
      <c r="C76" s="245" t="inlineStr">
        <is>
          <t>Yokogawa D-79664</t>
        </is>
      </c>
      <c r="D76" s="273" t="inlineStr">
        <is>
          <t>D1U302285</t>
        </is>
      </c>
      <c r="E76" s="245" t="inlineStr">
        <is>
          <t>2018</t>
        </is>
      </c>
      <c r="F76" s="245" t="inlineStr">
        <is>
          <t>1200 м3/ч</t>
        </is>
      </c>
      <c r="G76" s="276" t="inlineStr"/>
      <c r="H76" s="243" t="inlineStr">
        <is>
          <t>Qбг на входе в ГДУ ПКВ</t>
        </is>
      </c>
      <c r="I76" s="245" t="inlineStr">
        <is>
          <t>ГПА 72</t>
        </is>
      </c>
      <c r="J76" s="243" t="inlineStr">
        <is>
          <t>АСУ,А и ТМ (КЦ № 7)</t>
        </is>
      </c>
      <c r="K76" s="243" t="inlineStr"/>
      <c r="L76" s="243" t="inlineStr">
        <is>
          <t>60</t>
        </is>
      </c>
      <c r="M76" s="246" t="inlineStr"/>
      <c r="N76" s="245" t="inlineStr"/>
      <c r="O76" s="350" t="n"/>
    </row>
    <row r="77" ht="22.5" customHeight="1" s="236">
      <c r="A77" s="243" t="n">
        <v>76</v>
      </c>
      <c r="B77" s="249" t="inlineStr">
        <is>
          <t>Расходомер</t>
        </is>
      </c>
      <c r="C77" s="245" t="inlineStr">
        <is>
          <t>Yokogawa D-79664</t>
        </is>
      </c>
      <c r="D77" s="273" t="inlineStr">
        <is>
          <t>D1U302284</t>
        </is>
      </c>
      <c r="E77" s="245" t="inlineStr">
        <is>
          <t>2018</t>
        </is>
      </c>
      <c r="F77" s="245" t="inlineStr">
        <is>
          <t>1200 м3/ч</t>
        </is>
      </c>
      <c r="G77" s="276" t="inlineStr"/>
      <c r="H77" s="243" t="inlineStr">
        <is>
          <t>Qбг на входе в ГДУ ЗКВ</t>
        </is>
      </c>
      <c r="I77" s="245" t="inlineStr">
        <is>
          <t>ГПА 72</t>
        </is>
      </c>
      <c r="J77" s="243" t="inlineStr">
        <is>
          <t>АСУ,А и ТМ (КЦ № 7)</t>
        </is>
      </c>
      <c r="K77" s="243" t="inlineStr"/>
      <c r="L77" s="243" t="inlineStr">
        <is>
          <t>60</t>
        </is>
      </c>
      <c r="M77" s="246" t="inlineStr"/>
      <c r="N77" s="245" t="inlineStr"/>
      <c r="O77" s="350" t="n"/>
    </row>
    <row r="78" ht="22.5" customHeight="1" s="236">
      <c r="A78" s="243" t="n">
        <v>77</v>
      </c>
      <c r="B78" s="249" t="inlineStr">
        <is>
          <t>Расходомер</t>
        </is>
      </c>
      <c r="C78" s="245" t="inlineStr">
        <is>
          <t>Yokogawa D-79664</t>
        </is>
      </c>
      <c r="D78" s="273" t="inlineStr">
        <is>
          <t>D1U402343</t>
        </is>
      </c>
      <c r="E78" s="245" t="inlineStr">
        <is>
          <t>2018</t>
        </is>
      </c>
      <c r="F78" s="245" t="inlineStr">
        <is>
          <t>20 м3/ч</t>
        </is>
      </c>
      <c r="G78" s="276" t="inlineStr"/>
      <c r="H78" s="243" t="inlineStr">
        <is>
          <t>Qбг в линии утечек 1-ой ступени ГДУ ПКВ</t>
        </is>
      </c>
      <c r="I78" s="245" t="inlineStr">
        <is>
          <t>ГПА 72</t>
        </is>
      </c>
      <c r="J78" s="243" t="inlineStr">
        <is>
          <t>АСУ,А и ТМ (КЦ № 7)</t>
        </is>
      </c>
      <c r="K78" s="243" t="inlineStr"/>
      <c r="L78" s="243" t="inlineStr">
        <is>
          <t>60</t>
        </is>
      </c>
      <c r="M78" s="246" t="inlineStr"/>
      <c r="N78" s="245" t="inlineStr"/>
      <c r="O78" s="350" t="n"/>
    </row>
    <row r="79" ht="22.5" customHeight="1" s="236">
      <c r="A79" s="243" t="n">
        <v>78</v>
      </c>
      <c r="B79" s="249" t="inlineStr">
        <is>
          <t>Расходомер</t>
        </is>
      </c>
      <c r="C79" s="245" t="inlineStr">
        <is>
          <t>Yokogawa D-79664</t>
        </is>
      </c>
      <c r="D79" s="273" t="inlineStr">
        <is>
          <t>D1U402344</t>
        </is>
      </c>
      <c r="E79" s="245" t="inlineStr">
        <is>
          <t>2018</t>
        </is>
      </c>
      <c r="F79" s="245" t="inlineStr">
        <is>
          <t>20 м3/ч</t>
        </is>
      </c>
      <c r="G79" s="276" t="inlineStr"/>
      <c r="H79" s="243" t="inlineStr">
        <is>
          <t>Qбг в линии утечек 1-ой ступени ГДУ ЗКВ</t>
        </is>
      </c>
      <c r="I79" s="245" t="inlineStr">
        <is>
          <t>ГПА 72</t>
        </is>
      </c>
      <c r="J79" s="243" t="inlineStr">
        <is>
          <t>АСУ,А и ТМ (КЦ № 7)</t>
        </is>
      </c>
      <c r="K79" s="243" t="inlineStr"/>
      <c r="L79" s="243" t="inlineStr">
        <is>
          <t>60</t>
        </is>
      </c>
      <c r="M79" s="246" t="inlineStr"/>
      <c r="N79" s="245" t="inlineStr"/>
      <c r="O79" s="350" t="n"/>
    </row>
    <row r="80" ht="22.5" customHeight="1" s="236">
      <c r="A80" s="243" t="n">
        <v>79</v>
      </c>
      <c r="B80" s="249" t="inlineStr">
        <is>
          <t>Расходомер</t>
        </is>
      </c>
      <c r="C80" s="245" t="inlineStr">
        <is>
          <t>Turbo Flow UFG-F</t>
        </is>
      </c>
      <c r="D80" s="273" t="inlineStr">
        <is>
          <t>90651</t>
        </is>
      </c>
      <c r="E80" s="245" t="inlineStr">
        <is>
          <t>2018</t>
        </is>
      </c>
      <c r="F80" s="245" t="inlineStr">
        <is>
          <t>2,2…440 м3/ч</t>
        </is>
      </c>
      <c r="G80" s="276" t="inlineStr">
        <is>
          <t>2%</t>
        </is>
      </c>
      <c r="H80" s="243" t="inlineStr">
        <is>
          <t>Расход топл. газа</t>
        </is>
      </c>
      <c r="I80" s="245" t="inlineStr">
        <is>
          <t>ГПА 72</t>
        </is>
      </c>
      <c r="J80" s="243" t="inlineStr">
        <is>
          <t>АСУ,А и ТМ (КЦ № 7)</t>
        </is>
      </c>
      <c r="K80" s="243" t="inlineStr"/>
      <c r="L80" s="243" t="inlineStr">
        <is>
          <t>60</t>
        </is>
      </c>
      <c r="M80" s="246" t="inlineStr"/>
      <c r="N80" s="245" t="inlineStr"/>
      <c r="O80" s="350" t="n"/>
    </row>
    <row r="81" ht="22.5" customHeight="1" s="236">
      <c r="A81" s="243" t="n">
        <v>80</v>
      </c>
      <c r="B81" s="248" t="inlineStr">
        <is>
          <t>Корректор объёма газа</t>
        </is>
      </c>
      <c r="C81" s="245" t="inlineStr">
        <is>
          <t>ЕК270</t>
        </is>
      </c>
      <c r="D81" s="273" t="inlineStr">
        <is>
          <t>1119090075</t>
        </is>
      </c>
      <c r="E81" s="245" t="inlineStr">
        <is>
          <t>2019</t>
        </is>
      </c>
      <c r="F81" s="245" t="inlineStr"/>
      <c r="G81" s="276" t="inlineStr"/>
      <c r="H81" s="243" t="inlineStr">
        <is>
          <t>коммерческий учет газа</t>
        </is>
      </c>
      <c r="I81" s="245" t="inlineStr">
        <is>
          <t>АВГМ 72</t>
        </is>
      </c>
      <c r="J81" s="243" t="inlineStr">
        <is>
          <t>АСУ,А и ТМ (КЦ № 7)</t>
        </is>
      </c>
      <c r="K81" s="243" t="inlineStr"/>
      <c r="L81" s="243" t="inlineStr">
        <is>
          <t>60</t>
        </is>
      </c>
      <c r="M81" s="246" t="inlineStr"/>
      <c r="N81" s="245" t="inlineStr"/>
      <c r="O81" s="350" t="n"/>
    </row>
    <row r="82" ht="22.5" customHeight="1" s="236">
      <c r="A82" s="243" t="n">
        <v>81</v>
      </c>
      <c r="B82" s="244" t="inlineStr">
        <is>
          <t>Комплекс для измерения количества газа</t>
        </is>
      </c>
      <c r="C82" s="245" t="inlineStr">
        <is>
          <t>СГ-ЭК-Вз-Р-0,2-160/1,6</t>
        </is>
      </c>
      <c r="D82" s="273" t="inlineStr">
        <is>
          <t>1519090070</t>
        </is>
      </c>
      <c r="E82" s="245" t="inlineStr">
        <is>
          <t>2019</t>
        </is>
      </c>
      <c r="F82" s="245" t="inlineStr"/>
      <c r="G82" s="276" t="inlineStr"/>
      <c r="H82" s="243" t="inlineStr">
        <is>
          <t>коммерческий учет газа</t>
        </is>
      </c>
      <c r="I82" s="245" t="inlineStr">
        <is>
          <t>АВГМ 72</t>
        </is>
      </c>
      <c r="J82" s="243" t="inlineStr">
        <is>
          <t>АСУ,А и ТМ (КЦ № 7)</t>
        </is>
      </c>
      <c r="K82" s="243" t="inlineStr"/>
      <c r="L82" s="243" t="inlineStr">
        <is>
          <t>60</t>
        </is>
      </c>
      <c r="M82" s="246" t="inlineStr"/>
      <c r="N82" s="245" t="inlineStr"/>
      <c r="O82" s="350" t="n"/>
    </row>
    <row r="83" ht="22.5" customHeight="1" s="236">
      <c r="A83" s="243" t="n">
        <v>82</v>
      </c>
      <c r="B83" s="244" t="inlineStr">
        <is>
          <t>Счётчик газа</t>
        </is>
      </c>
      <c r="C83" s="245" t="inlineStr">
        <is>
          <t>RVG G100</t>
        </is>
      </c>
      <c r="D83" s="273" t="inlineStr">
        <is>
          <t>1219090052</t>
        </is>
      </c>
      <c r="E83" s="245" t="inlineStr">
        <is>
          <t>2019</t>
        </is>
      </c>
      <c r="F83" s="245" t="inlineStr">
        <is>
          <t>3…160 м3/ч</t>
        </is>
      </c>
      <c r="G83" s="276" t="inlineStr">
        <is>
          <t>1%</t>
        </is>
      </c>
      <c r="H83" s="243" t="inlineStr">
        <is>
          <t>коммерческий учет газа</t>
        </is>
      </c>
      <c r="I83" s="245" t="inlineStr">
        <is>
          <t>АВГМ 72</t>
        </is>
      </c>
      <c r="J83" s="243" t="inlineStr">
        <is>
          <t>АСУ,А и ТМ (КЦ № 7)</t>
        </is>
      </c>
      <c r="K83" s="243" t="inlineStr"/>
      <c r="L83" s="243" t="inlineStr">
        <is>
          <t>60</t>
        </is>
      </c>
      <c r="M83" s="246" t="inlineStr"/>
      <c r="N83" s="245" t="inlineStr"/>
      <c r="O83" s="350" t="n"/>
    </row>
    <row r="84" ht="22.5" customHeight="1" s="236">
      <c r="A84" s="243" t="n">
        <v>83</v>
      </c>
      <c r="B84" s="244" t="inlineStr">
        <is>
          <t>Газоанализатор оптический</t>
        </is>
      </c>
      <c r="C84" s="245" t="inlineStr">
        <is>
          <t>ОГС-ПГП/М</t>
        </is>
      </c>
      <c r="D84" s="273" t="inlineStr">
        <is>
          <t>15320</t>
        </is>
      </c>
      <c r="E84" s="245" t="inlineStr">
        <is>
          <t>2021</t>
        </is>
      </c>
      <c r="F84" s="245" t="inlineStr"/>
      <c r="G84" s="276" t="inlineStr"/>
      <c r="H84" s="243" t="inlineStr">
        <is>
          <t>Измерение уровня загазованности</t>
        </is>
      </c>
      <c r="I84" s="245" t="inlineStr">
        <is>
          <t>АВГМ 72</t>
        </is>
      </c>
      <c r="J84" s="243" t="inlineStr">
        <is>
          <t>АСУ,А и ТМ (КЦ № 7)</t>
        </is>
      </c>
      <c r="K84" s="243" t="inlineStr"/>
      <c r="L84" s="243" t="inlineStr">
        <is>
          <t>60</t>
        </is>
      </c>
      <c r="M84" s="246" t="inlineStr"/>
      <c r="N84" s="245" t="inlineStr"/>
      <c r="O84" s="350" t="n"/>
    </row>
    <row r="85" ht="22.5" customHeight="1" s="236">
      <c r="A85" s="243" t="n">
        <v>84</v>
      </c>
      <c r="B85" s="244" t="inlineStr">
        <is>
          <t>Газоанализатор оптический</t>
        </is>
      </c>
      <c r="C85" s="245" t="inlineStr">
        <is>
          <t>ОГС-ПГП/М</t>
        </is>
      </c>
      <c r="D85" s="273" t="inlineStr">
        <is>
          <t>15353</t>
        </is>
      </c>
      <c r="E85" s="245" t="inlineStr">
        <is>
          <t>2021</t>
        </is>
      </c>
      <c r="F85" s="245" t="inlineStr"/>
      <c r="G85" s="276" t="inlineStr"/>
      <c r="H85" s="243" t="inlineStr">
        <is>
          <t>Измерение уровня загазованности</t>
        </is>
      </c>
      <c r="I85" s="245" t="inlineStr">
        <is>
          <t>АВГМ 72</t>
        </is>
      </c>
      <c r="J85" s="243" t="inlineStr">
        <is>
          <t>АСУ,А и ТМ (КЦ № 7)</t>
        </is>
      </c>
      <c r="K85" s="243" t="inlineStr"/>
      <c r="L85" s="243" t="inlineStr">
        <is>
          <t>60</t>
        </is>
      </c>
      <c r="M85" s="246" t="inlineStr"/>
      <c r="N85" s="245" t="inlineStr"/>
      <c r="O85" s="350" t="n"/>
    </row>
    <row r="86" ht="22.5" customHeight="1" s="236">
      <c r="A86" s="243" t="n">
        <v>85</v>
      </c>
      <c r="B86" s="244" t="inlineStr">
        <is>
          <t>Преобразователь давления</t>
        </is>
      </c>
      <c r="C86" s="245" t="inlineStr">
        <is>
          <t>ПД100И-ДИ 0,0016-811-1,0</t>
        </is>
      </c>
      <c r="D86" s="273" t="inlineStr">
        <is>
          <t>74625190446018237</t>
        </is>
      </c>
      <c r="E86" s="245" t="inlineStr">
        <is>
          <t>2018</t>
        </is>
      </c>
      <c r="F86" s="245" t="inlineStr">
        <is>
          <t>0…1,6 кПа</t>
        </is>
      </c>
      <c r="G86" s="276" t="inlineStr"/>
      <c r="H86" s="243" t="inlineStr">
        <is>
          <t>Давление воздуха в воздуховоде на ангар ГПА</t>
        </is>
      </c>
      <c r="I86" s="245" t="inlineStr">
        <is>
          <t>АВГМ 72</t>
        </is>
      </c>
      <c r="J86" s="243" t="inlineStr">
        <is>
          <t>АСУ,А и ТМ (КЦ № 7)</t>
        </is>
      </c>
      <c r="K86" s="243" t="inlineStr"/>
      <c r="L86" s="243" t="inlineStr">
        <is>
          <t>60</t>
        </is>
      </c>
      <c r="M86" s="246" t="inlineStr"/>
      <c r="N86" s="245" t="inlineStr"/>
      <c r="O86" s="350" t="n"/>
    </row>
    <row r="87" ht="22.5" customHeight="1" s="236">
      <c r="A87" s="243" t="n">
        <v>86</v>
      </c>
      <c r="B87" s="244" t="inlineStr">
        <is>
          <t>Термометр сопротивления</t>
        </is>
      </c>
      <c r="C87" s="245" t="inlineStr">
        <is>
          <t>ДТС145-PT100.В3.180</t>
        </is>
      </c>
      <c r="D87" s="273" t="inlineStr">
        <is>
          <t>52199190444135110</t>
        </is>
      </c>
      <c r="E87" s="245" t="inlineStr">
        <is>
          <t>2019</t>
        </is>
      </c>
      <c r="F87" s="245" t="inlineStr">
        <is>
          <t>-60…500 °С</t>
        </is>
      </c>
      <c r="G87" s="276" t="inlineStr"/>
      <c r="H87" s="243" t="inlineStr">
        <is>
          <t>Температура нагретого воздуха</t>
        </is>
      </c>
      <c r="I87" s="245" t="inlineStr">
        <is>
          <t>АВГМ 72</t>
        </is>
      </c>
      <c r="J87" s="243" t="inlineStr">
        <is>
          <t>АСУ,А и ТМ (КЦ № 7)</t>
        </is>
      </c>
      <c r="K87" s="243" t="inlineStr"/>
      <c r="L87" s="243" t="inlineStr"/>
      <c r="M87" s="246" t="inlineStr"/>
      <c r="N87" s="245" t="inlineStr"/>
      <c r="O87" s="350" t="n"/>
    </row>
    <row r="88" ht="22.5" customHeight="1" s="236">
      <c r="A88" s="239">
        <f>IF(B88&lt;&gt;"", COUNTA($B$2:B88), "")</f>
        <v/>
      </c>
      <c r="B88" s="241" t="inlineStr">
        <is>
          <t>Преобразователь давления</t>
        </is>
      </c>
      <c r="C88" s="251" t="inlineStr">
        <is>
          <t>ПД100-ДИ 0,04-111-1,0</t>
        </is>
      </c>
      <c r="D88" s="301" t="inlineStr">
        <is>
          <t>42770190446018210</t>
        </is>
      </c>
      <c r="E88" s="242" t="n">
        <v>2018</v>
      </c>
      <c r="F88" s="242" t="inlineStr">
        <is>
          <t>0…40 кПа</t>
        </is>
      </c>
      <c r="G88" s="275" t="n"/>
      <c r="H88" s="251" t="inlineStr">
        <is>
          <t>Давление газа после регулятора давления</t>
        </is>
      </c>
      <c r="I88" s="242" t="inlineStr">
        <is>
          <t>АВГМ 72</t>
        </is>
      </c>
      <c r="J88" s="239" t="inlineStr">
        <is>
          <t>АСУ,А и ТМ (КЦ № 7)</t>
        </is>
      </c>
      <c r="K88" s="239" t="n"/>
      <c r="L88" s="239" t="n">
        <v>60</v>
      </c>
      <c r="M88" s="240" t="n"/>
      <c r="N88" s="242" t="n"/>
      <c r="O88" s="350" t="n"/>
    </row>
    <row r="89" ht="22.5" customHeight="1" s="236">
      <c r="A89" s="243" t="n">
        <v>88</v>
      </c>
      <c r="B89" s="244" t="inlineStr">
        <is>
          <t>Термометр сопротивления</t>
        </is>
      </c>
      <c r="C89" s="248" t="inlineStr">
        <is>
          <t>ТСПУ-Л-22322 УХЛ3,1</t>
        </is>
      </c>
      <c r="D89" s="302" t="inlineStr">
        <is>
          <t>004</t>
        </is>
      </c>
      <c r="E89" s="245" t="inlineStr">
        <is>
          <t>2019</t>
        </is>
      </c>
      <c r="F89" s="245" t="inlineStr">
        <is>
          <t>-50…350 °С</t>
        </is>
      </c>
      <c r="G89" s="276" t="inlineStr"/>
      <c r="H89" s="248" t="inlineStr">
        <is>
          <t>Температура теплообменника №1</t>
        </is>
      </c>
      <c r="I89" s="245" t="inlineStr">
        <is>
          <t>АВГМ 72</t>
        </is>
      </c>
      <c r="J89" s="243" t="inlineStr">
        <is>
          <t>АСУ,А и ТМ (КЦ № 7)</t>
        </is>
      </c>
      <c r="K89" s="243" t="inlineStr"/>
      <c r="L89" s="243" t="inlineStr"/>
      <c r="M89" s="246" t="inlineStr"/>
      <c r="N89" s="245" t="inlineStr"/>
      <c r="O89" s="350" t="n"/>
    </row>
    <row r="90" ht="22.5" customHeight="1" s="236">
      <c r="A90" s="243" t="n">
        <v>89</v>
      </c>
      <c r="B90" s="244" t="inlineStr">
        <is>
          <t>Датчик давления микропроцессорный</t>
        </is>
      </c>
      <c r="C90" s="248" t="inlineStr">
        <is>
          <t>ДДМ-03-МИ</t>
        </is>
      </c>
      <c r="D90" s="302" t="inlineStr">
        <is>
          <t>808260</t>
        </is>
      </c>
      <c r="E90" s="245" t="inlineStr"/>
      <c r="F90" s="245" t="inlineStr">
        <is>
          <t>0…40 кПа</t>
        </is>
      </c>
      <c r="G90" s="276" t="inlineStr"/>
      <c r="H90" s="248" t="inlineStr">
        <is>
          <t>Давление газа перед газовой горелкой №2</t>
        </is>
      </c>
      <c r="I90" s="245" t="inlineStr">
        <is>
          <t>АВГМ 72</t>
        </is>
      </c>
      <c r="J90" s="243" t="inlineStr">
        <is>
          <t>АСУ,А и ТМ (КЦ № 7)</t>
        </is>
      </c>
      <c r="K90" s="243" t="inlineStr"/>
      <c r="L90" s="243" t="inlineStr"/>
      <c r="M90" s="246" t="inlineStr"/>
      <c r="N90" s="245" t="inlineStr"/>
      <c r="O90" s="350" t="n"/>
    </row>
    <row r="91" ht="22.5" customHeight="1" s="236">
      <c r="A91" s="243" t="n">
        <v>90</v>
      </c>
      <c r="B91" s="244" t="inlineStr">
        <is>
          <t>Преобразователь давления</t>
        </is>
      </c>
      <c r="C91" s="248" t="inlineStr">
        <is>
          <t>ПД100-ДИ 1,0-111-1,0</t>
        </is>
      </c>
      <c r="D91" s="302" t="inlineStr">
        <is>
          <t>42219190446016686</t>
        </is>
      </c>
      <c r="E91" s="245" t="inlineStr">
        <is>
          <t>2018</t>
        </is>
      </c>
      <c r="F91" s="245" t="inlineStr">
        <is>
          <t>0…1 МПа</t>
        </is>
      </c>
      <c r="G91" s="276" t="inlineStr"/>
      <c r="H91" s="248" t="inlineStr">
        <is>
          <t>Давление газа на входе</t>
        </is>
      </c>
      <c r="I91" s="245" t="inlineStr">
        <is>
          <t>АВГМ 72</t>
        </is>
      </c>
      <c r="J91" s="243" t="inlineStr">
        <is>
          <t>АСУ,А и ТМ (КЦ № 7)</t>
        </is>
      </c>
      <c r="K91" s="243" t="inlineStr"/>
      <c r="L91" s="243" t="inlineStr"/>
      <c r="M91" s="246" t="inlineStr"/>
      <c r="N91" s="245" t="inlineStr"/>
      <c r="O91" s="350" t="n"/>
    </row>
    <row r="92" ht="22.5" customHeight="1" s="236">
      <c r="A92" s="243" t="n">
        <v>91</v>
      </c>
      <c r="B92" s="244" t="inlineStr">
        <is>
          <t>Термометр сопротивления</t>
        </is>
      </c>
      <c r="C92" s="248" t="inlineStr">
        <is>
          <t>ДТС145-PT100.В3.120</t>
        </is>
      </c>
      <c r="D92" s="302" t="inlineStr">
        <is>
          <t>1106818114233323</t>
        </is>
      </c>
      <c r="E92" s="245" t="inlineStr">
        <is>
          <t>2018</t>
        </is>
      </c>
      <c r="F92" s="245" t="inlineStr">
        <is>
          <t>-50…500 °С</t>
        </is>
      </c>
      <c r="G92" s="276" t="inlineStr"/>
      <c r="H92" s="248" t="inlineStr">
        <is>
          <t>Температура газа на входе</t>
        </is>
      </c>
      <c r="I92" s="245" t="inlineStr">
        <is>
          <t>АВГМ 72</t>
        </is>
      </c>
      <c r="J92" s="243" t="inlineStr">
        <is>
          <t>АСУ,А и ТМ (КЦ № 7)</t>
        </is>
      </c>
      <c r="K92" s="243" t="inlineStr"/>
      <c r="L92" s="243" t="inlineStr"/>
      <c r="M92" s="246" t="inlineStr"/>
      <c r="N92" s="245" t="inlineStr"/>
      <c r="O92" s="350" t="n"/>
    </row>
    <row r="93" ht="22.5" customHeight="1" s="236">
      <c r="A93" s="243" t="n">
        <v>92</v>
      </c>
      <c r="B93" s="244" t="inlineStr">
        <is>
          <t>Термометр сопротивления</t>
        </is>
      </c>
      <c r="C93" s="248" t="inlineStr">
        <is>
          <t>ДТС145-PT100.В3.120</t>
        </is>
      </c>
      <c r="D93" s="302" t="inlineStr">
        <is>
          <t>09190190444135118</t>
        </is>
      </c>
      <c r="E93" s="245" t="inlineStr">
        <is>
          <t>2018</t>
        </is>
      </c>
      <c r="F93" s="245" t="inlineStr">
        <is>
          <t>-60…500 °С</t>
        </is>
      </c>
      <c r="G93" s="276" t="inlineStr"/>
      <c r="H93" s="248" t="inlineStr">
        <is>
          <t>Температура в секции обслуживания</t>
        </is>
      </c>
      <c r="I93" s="245" t="inlineStr">
        <is>
          <t>АВГМ 72</t>
        </is>
      </c>
      <c r="J93" s="243" t="inlineStr">
        <is>
          <t>АСУ,А и ТМ (КЦ № 7)</t>
        </is>
      </c>
      <c r="K93" s="243" t="inlineStr"/>
      <c r="L93" s="243" t="inlineStr"/>
      <c r="M93" s="246" t="inlineStr"/>
      <c r="N93" s="245" t="inlineStr"/>
      <c r="O93" s="350" t="n"/>
    </row>
    <row r="94" ht="22.5" customHeight="1" s="236">
      <c r="A94" s="243" t="n">
        <v>93</v>
      </c>
      <c r="B94" s="244" t="inlineStr">
        <is>
          <t>Датчик давления микропроцессорный</t>
        </is>
      </c>
      <c r="C94" s="248" t="inlineStr">
        <is>
          <t>ДДМ-03-ДИ-МИ</t>
        </is>
      </c>
      <c r="D94" s="302" t="inlineStr">
        <is>
          <t>808261</t>
        </is>
      </c>
      <c r="E94" s="245" t="inlineStr"/>
      <c r="F94" s="245" t="inlineStr">
        <is>
          <t>0…40 кПа</t>
        </is>
      </c>
      <c r="G94" s="276" t="inlineStr"/>
      <c r="H94" s="248" t="inlineStr">
        <is>
          <t>Давление газа перед газовой горелкой №1</t>
        </is>
      </c>
      <c r="I94" s="245" t="inlineStr">
        <is>
          <t>АВГМ 72</t>
        </is>
      </c>
      <c r="J94" s="243" t="inlineStr">
        <is>
          <t>АСУ,А и ТМ (КЦ № 7)</t>
        </is>
      </c>
      <c r="K94" s="243" t="inlineStr"/>
      <c r="L94" s="243" t="inlineStr"/>
      <c r="M94" s="246" t="inlineStr"/>
      <c r="N94" s="245" t="inlineStr"/>
      <c r="O94" s="350" t="n"/>
    </row>
    <row r="95" ht="22.5" customHeight="1" s="236">
      <c r="A95" s="243" t="n">
        <v>94</v>
      </c>
      <c r="B95" s="244" t="inlineStr">
        <is>
          <t>Термометр сопротивления</t>
        </is>
      </c>
      <c r="C95" s="248" t="inlineStr">
        <is>
          <t>ТСПУ-Л-22322 УХЛ3,1</t>
        </is>
      </c>
      <c r="D95" s="302" t="inlineStr">
        <is>
          <t>019</t>
        </is>
      </c>
      <c r="E95" s="245" t="inlineStr">
        <is>
          <t>2019</t>
        </is>
      </c>
      <c r="F95" s="245" t="inlineStr">
        <is>
          <t>-50…350 °С</t>
        </is>
      </c>
      <c r="G95" s="276" t="inlineStr"/>
      <c r="H95" s="248" t="inlineStr">
        <is>
          <t>Температура теплообменника №2</t>
        </is>
      </c>
      <c r="I95" s="245" t="inlineStr">
        <is>
          <t>АВГМ 72</t>
        </is>
      </c>
      <c r="J95" s="243" t="inlineStr">
        <is>
          <t>АСУ,А и ТМ (КЦ № 7)</t>
        </is>
      </c>
      <c r="K95" s="243" t="inlineStr"/>
      <c r="L95" s="243" t="inlineStr"/>
      <c r="M95" s="246" t="inlineStr"/>
      <c r="N95" s="245" t="inlineStr"/>
      <c r="O95" s="350" t="n"/>
    </row>
    <row r="96" ht="22.5" customHeight="1" s="236">
      <c r="A96" s="239">
        <f>IF(B96&lt;&gt;"", COUNTA($B$2:B96), "")</f>
        <v/>
      </c>
      <c r="B96" s="241" t="inlineStr">
        <is>
          <t>Реле давления</t>
        </is>
      </c>
      <c r="C96" s="251" t="inlineStr">
        <is>
          <t>GW 150 A6</t>
        </is>
      </c>
      <c r="D96" s="301" t="inlineStr">
        <is>
          <t>CE-0085AO3220-15T70</t>
        </is>
      </c>
      <c r="E96" s="242" t="n"/>
      <c r="F96" s="242" t="inlineStr">
        <is>
          <t>0…500 мбар</t>
        </is>
      </c>
      <c r="G96" s="275" t="n"/>
      <c r="H96" s="251" t="inlineStr">
        <is>
          <t>Давление газа между предохранительно-запорными клапанами Y1 и Y2 горелки №2</t>
        </is>
      </c>
      <c r="I96" s="242" t="inlineStr">
        <is>
          <t>АВГМ 72</t>
        </is>
      </c>
      <c r="J96" s="239" t="inlineStr">
        <is>
          <t>АСУ,А и ТМ (КЦ № 7)</t>
        </is>
      </c>
      <c r="K96" s="239" t="n"/>
      <c r="L96" s="239" t="n"/>
      <c r="M96" s="240" t="n"/>
      <c r="N96" s="242" t="n"/>
      <c r="O96" s="350" t="n"/>
      <c r="P96" s="291" t="inlineStr">
        <is>
          <t>Не является СИ</t>
        </is>
      </c>
    </row>
    <row r="97" ht="22.5" customHeight="1" s="236">
      <c r="A97" s="243" t="n">
        <v>96</v>
      </c>
      <c r="B97" s="244" t="inlineStr">
        <is>
          <t>Реле давления</t>
        </is>
      </c>
      <c r="C97" s="248" t="inlineStr">
        <is>
          <t>РД-016</t>
        </is>
      </c>
      <c r="D97" s="302" t="inlineStr">
        <is>
          <t>808065</t>
        </is>
      </c>
      <c r="E97" s="245" t="inlineStr"/>
      <c r="F97" s="245" t="inlineStr">
        <is>
          <t>0…40 кПа</t>
        </is>
      </c>
      <c r="G97" s="276" t="inlineStr"/>
      <c r="H97" s="248" t="inlineStr">
        <is>
          <t>Давление газа перед предохранительно-запорным клапаном горелки №1</t>
        </is>
      </c>
      <c r="I97" s="245" t="inlineStr">
        <is>
          <t>АВГМ 72</t>
        </is>
      </c>
      <c r="J97" s="243" t="inlineStr">
        <is>
          <t>АСУ,А и ТМ (КЦ № 7)</t>
        </is>
      </c>
      <c r="K97" s="243" t="inlineStr"/>
      <c r="L97" s="243" t="inlineStr"/>
      <c r="M97" s="246" t="inlineStr"/>
      <c r="N97" s="245" t="inlineStr"/>
      <c r="O97" s="350" t="n"/>
      <c r="P97" s="291" t="inlineStr">
        <is>
          <t>Не является СИ</t>
        </is>
      </c>
    </row>
    <row r="98" ht="15" customHeight="1" s="236">
      <c r="A98" s="243" t="n">
        <v>97</v>
      </c>
      <c r="B98" s="244" t="inlineStr">
        <is>
          <t>Реле давления</t>
        </is>
      </c>
      <c r="C98" s="248" t="inlineStr">
        <is>
          <t>РД-016</t>
        </is>
      </c>
      <c r="D98" s="302" t="inlineStr">
        <is>
          <t>808061</t>
        </is>
      </c>
      <c r="E98" s="245" t="inlineStr"/>
      <c r="F98" s="245" t="inlineStr">
        <is>
          <t>0…40 кПа</t>
        </is>
      </c>
      <c r="G98" s="276" t="inlineStr"/>
      <c r="H98" s="248" t="inlineStr">
        <is>
          <t>давление газа после газовой заслонки R2</t>
        </is>
      </c>
      <c r="I98" s="245" t="inlineStr">
        <is>
          <t>АВГМ 72</t>
        </is>
      </c>
      <c r="J98" s="243" t="inlineStr">
        <is>
          <t>АСУ,А и ТМ (КЦ № 7)</t>
        </is>
      </c>
      <c r="K98" s="243" t="inlineStr"/>
      <c r="L98" s="243" t="inlineStr"/>
      <c r="M98" s="246" t="inlineStr"/>
      <c r="N98" s="245" t="inlineStr"/>
      <c r="O98" s="350" t="n"/>
      <c r="P98" s="291" t="inlineStr">
        <is>
          <t>Не является СИ</t>
        </is>
      </c>
    </row>
    <row r="99" ht="22.5" customHeight="1" s="236">
      <c r="A99" s="243" t="n">
        <v>98</v>
      </c>
      <c r="B99" s="244" t="inlineStr">
        <is>
          <t>Реле давления</t>
        </is>
      </c>
      <c r="C99" s="248" t="inlineStr">
        <is>
          <t>GW 150 A6</t>
        </is>
      </c>
      <c r="D99" s="302" t="inlineStr">
        <is>
          <t>CE-0085AO3220-15T70</t>
        </is>
      </c>
      <c r="E99" s="245" t="inlineStr"/>
      <c r="F99" s="245" t="inlineStr">
        <is>
          <t>0…500 мбар</t>
        </is>
      </c>
      <c r="G99" s="276" t="inlineStr"/>
      <c r="H99" s="248" t="inlineStr">
        <is>
          <t>Давление газа между предохранительно-запорными клапанами Y1 и Y2 горелки №1</t>
        </is>
      </c>
      <c r="I99" s="245" t="inlineStr">
        <is>
          <t>АВГМ 72</t>
        </is>
      </c>
      <c r="J99" s="243" t="inlineStr">
        <is>
          <t>АСУ,А и ТМ (КЦ № 7)</t>
        </is>
      </c>
      <c r="K99" s="243" t="inlineStr"/>
      <c r="L99" s="243" t="inlineStr"/>
      <c r="M99" s="246" t="inlineStr"/>
      <c r="N99" s="245" t="inlineStr"/>
      <c r="O99" s="350" t="n"/>
      <c r="P99" s="291" t="inlineStr">
        <is>
          <t>Не является СИ</t>
        </is>
      </c>
    </row>
    <row r="100" ht="22.5" customHeight="1" s="236">
      <c r="A100" s="243" t="n">
        <v>99</v>
      </c>
      <c r="B100" s="244" t="inlineStr">
        <is>
          <t>Реле давления</t>
        </is>
      </c>
      <c r="C100" s="248" t="inlineStr">
        <is>
          <t>РД-016</t>
        </is>
      </c>
      <c r="D100" s="302" t="inlineStr">
        <is>
          <t>42770190446018210</t>
        </is>
      </c>
      <c r="E100" s="245" t="inlineStr"/>
      <c r="F100" s="245" t="inlineStr">
        <is>
          <t>0…40 кПа</t>
        </is>
      </c>
      <c r="G100" s="276" t="inlineStr"/>
      <c r="H100" s="248" t="inlineStr">
        <is>
          <t>Давление газа перед предохранительно-запорным клапаном горелки №2</t>
        </is>
      </c>
      <c r="I100" s="245" t="inlineStr">
        <is>
          <t>АВГМ 72</t>
        </is>
      </c>
      <c r="J100" s="243" t="inlineStr">
        <is>
          <t>АСУ,А и ТМ (КЦ № 7)</t>
        </is>
      </c>
      <c r="K100" s="243" t="inlineStr"/>
      <c r="L100" s="243" t="inlineStr"/>
      <c r="M100" s="246" t="inlineStr"/>
      <c r="N100" s="245" t="inlineStr"/>
      <c r="O100" s="350" t="n"/>
      <c r="P100" s="291" t="inlineStr">
        <is>
          <t>Не является СИ</t>
        </is>
      </c>
    </row>
    <row r="101" ht="20.25" customHeight="1" s="236">
      <c r="A101" s="243" t="n">
        <v>100</v>
      </c>
      <c r="B101" s="249" t="inlineStr">
        <is>
          <t>Преобразователь избыточного давления</t>
        </is>
      </c>
      <c r="C101" s="248" t="inlineStr">
        <is>
          <t>Метран 150 TG</t>
        </is>
      </c>
      <c r="D101" s="302" t="inlineStr">
        <is>
          <t>6178295</t>
        </is>
      </c>
      <c r="E101" s="245" t="inlineStr">
        <is>
          <t>May.21</t>
        </is>
      </c>
      <c r="F101" s="245" t="inlineStr">
        <is>
          <t>0…1 МПа</t>
        </is>
      </c>
      <c r="G101" s="276" t="inlineStr">
        <is>
          <t>0.1</t>
        </is>
      </c>
      <c r="H101" s="248" t="inlineStr">
        <is>
          <t>Pм на выходе из двигателя</t>
        </is>
      </c>
      <c r="I101" s="245" t="inlineStr">
        <is>
          <t>Масленая консоль</t>
        </is>
      </c>
      <c r="J101" s="243" t="inlineStr">
        <is>
          <t>АСУ,А и ТМ (КЦ № 7)</t>
        </is>
      </c>
      <c r="K101" s="243" t="inlineStr"/>
      <c r="L101" s="243" t="inlineStr"/>
      <c r="M101" s="246" t="inlineStr"/>
      <c r="N101" s="245" t="inlineStr"/>
      <c r="O101" s="350" t="n"/>
    </row>
    <row r="102" ht="22.5" customHeight="1" s="236">
      <c r="A102" s="243" t="n">
        <v>101</v>
      </c>
      <c r="B102" s="249" t="inlineStr">
        <is>
          <t>Преобразователь избыточного давления</t>
        </is>
      </c>
      <c r="C102" s="248" t="inlineStr">
        <is>
          <t>Метран 150 TG</t>
        </is>
      </c>
      <c r="D102" s="302" t="inlineStr">
        <is>
          <t>6178289</t>
        </is>
      </c>
      <c r="E102" s="245" t="inlineStr"/>
      <c r="F102" s="245" t="inlineStr">
        <is>
          <t>0…1 МПа</t>
        </is>
      </c>
      <c r="G102" s="276" t="inlineStr">
        <is>
          <t>0.1</t>
        </is>
      </c>
      <c r="H102" s="248" t="inlineStr">
        <is>
          <t>Pм в линий откачки от СТ</t>
        </is>
      </c>
      <c r="I102" s="245" t="inlineStr">
        <is>
          <t>Масленая консоль</t>
        </is>
      </c>
      <c r="J102" s="243" t="inlineStr">
        <is>
          <t>АСУ,А и ТМ (КЦ № 7)</t>
        </is>
      </c>
      <c r="K102" s="243" t="inlineStr"/>
      <c r="L102" s="243" t="inlineStr"/>
      <c r="M102" s="246" t="inlineStr"/>
      <c r="N102" s="245" t="inlineStr"/>
      <c r="O102" s="350" t="n"/>
    </row>
    <row r="103" ht="22.5" customHeight="1" s="236">
      <c r="A103" s="243" t="n">
        <v>102</v>
      </c>
      <c r="B103" s="249" t="inlineStr">
        <is>
          <t>Преобразователь избыточного давления</t>
        </is>
      </c>
      <c r="C103" s="248" t="inlineStr">
        <is>
          <t>Метран 150 CD</t>
        </is>
      </c>
      <c r="D103" s="302" t="inlineStr">
        <is>
          <t>6178329</t>
        </is>
      </c>
      <c r="E103" s="245" t="inlineStr"/>
      <c r="F103" s="245" t="inlineStr">
        <is>
          <t>0…250 кПа</t>
        </is>
      </c>
      <c r="G103" s="276" t="inlineStr">
        <is>
          <t>0.1</t>
        </is>
      </c>
      <c r="H103" s="248" t="inlineStr">
        <is>
          <t>∆Рм на фтльтрах БМФ1</t>
        </is>
      </c>
      <c r="I103" s="245" t="inlineStr">
        <is>
          <t>Масленая консоль</t>
        </is>
      </c>
      <c r="J103" s="243" t="inlineStr">
        <is>
          <t>АСУ,А и ТМ (КЦ № 7)</t>
        </is>
      </c>
      <c r="K103" s="243" t="inlineStr"/>
      <c r="L103" s="243" t="inlineStr"/>
      <c r="M103" s="246" t="inlineStr"/>
      <c r="N103" s="245" t="inlineStr"/>
      <c r="O103" s="350" t="n"/>
    </row>
    <row r="104" ht="22.5" customHeight="1" s="236">
      <c r="A104" s="243" t="n">
        <v>103</v>
      </c>
      <c r="B104" s="249" t="inlineStr">
        <is>
          <t>Преобразователь избыточного давления</t>
        </is>
      </c>
      <c r="C104" s="248" t="inlineStr">
        <is>
          <t>Метран 150 CD</t>
        </is>
      </c>
      <c r="D104" s="302" t="inlineStr">
        <is>
          <t>6178303</t>
        </is>
      </c>
      <c r="E104" s="245" t="inlineStr"/>
      <c r="F104" s="245" t="inlineStr">
        <is>
          <t>0…250 кПа</t>
        </is>
      </c>
      <c r="G104" s="276" t="inlineStr">
        <is>
          <t>0.1</t>
        </is>
      </c>
      <c r="H104" s="248" t="inlineStr">
        <is>
          <t>∆Рм на фтльтрах БМФ2</t>
        </is>
      </c>
      <c r="I104" s="245" t="inlineStr">
        <is>
          <t>Масленая консоль</t>
        </is>
      </c>
      <c r="J104" s="243" t="inlineStr">
        <is>
          <t>АСУ,А и ТМ (КЦ № 7)</t>
        </is>
      </c>
      <c r="K104" s="243" t="inlineStr"/>
      <c r="L104" s="243" t="inlineStr"/>
      <c r="M104" s="246" t="inlineStr"/>
      <c r="N104" s="245" t="inlineStr"/>
      <c r="O104" s="350" t="n"/>
    </row>
    <row r="105" ht="22.5" customHeight="1" s="236">
      <c r="A105" s="243" t="n">
        <v>104</v>
      </c>
      <c r="B105" s="249" t="inlineStr">
        <is>
          <t>Преобразователь избыточного давления</t>
        </is>
      </c>
      <c r="C105" s="248" t="inlineStr">
        <is>
          <t>Метран 150 CD</t>
        </is>
      </c>
      <c r="D105" s="302" t="inlineStr">
        <is>
          <t>6178371</t>
        </is>
      </c>
      <c r="E105" s="245" t="inlineStr"/>
      <c r="F105" s="245" t="inlineStr">
        <is>
          <t>0…250 кПа</t>
        </is>
      </c>
      <c r="G105" s="276" t="inlineStr">
        <is>
          <t>0.1</t>
        </is>
      </c>
      <c r="H105" s="248" t="inlineStr">
        <is>
          <t>∆Рм на фтльтрах ГМТ</t>
        </is>
      </c>
      <c r="I105" s="245" t="inlineStr">
        <is>
          <t>Масленая консоль</t>
        </is>
      </c>
      <c r="J105" s="243" t="inlineStr">
        <is>
          <t>АСУ,А и ТМ (КЦ № 7)</t>
        </is>
      </c>
      <c r="K105" s="243" t="inlineStr"/>
      <c r="L105" s="243" t="inlineStr"/>
      <c r="M105" s="246" t="inlineStr"/>
      <c r="N105" s="245" t="inlineStr"/>
      <c r="O105" s="350" t="n"/>
    </row>
    <row r="106" ht="22.5" customHeight="1" s="236">
      <c r="A106" s="243" t="n">
        <v>105</v>
      </c>
      <c r="B106" s="249" t="inlineStr">
        <is>
          <t>Преобразователь избыточного давления</t>
        </is>
      </c>
      <c r="C106" s="248" t="inlineStr">
        <is>
          <t>Метран 150 CG</t>
        </is>
      </c>
      <c r="D106" s="302" t="inlineStr">
        <is>
          <t>6178275</t>
        </is>
      </c>
      <c r="E106" s="245" t="inlineStr"/>
      <c r="F106" s="245" t="inlineStr">
        <is>
          <t>0…63 кПа</t>
        </is>
      </c>
      <c r="G106" s="276" t="inlineStr">
        <is>
          <t>0.1</t>
        </is>
      </c>
      <c r="H106" s="248" t="inlineStr">
        <is>
          <t>Р воздушно-масляной смеси в маслобаке двигателя</t>
        </is>
      </c>
      <c r="I106" s="245" t="inlineStr">
        <is>
          <t>Масленая консоль</t>
        </is>
      </c>
      <c r="J106" s="243" t="inlineStr">
        <is>
          <t>АСУ,А и ТМ (КЦ № 7)</t>
        </is>
      </c>
      <c r="K106" s="243" t="inlineStr"/>
      <c r="L106" s="243" t="inlineStr"/>
      <c r="M106" s="246" t="inlineStr"/>
      <c r="N106" s="245" t="inlineStr"/>
      <c r="O106" s="350" t="n"/>
    </row>
    <row r="107" ht="22.5" customHeight="1" s="236">
      <c r="A107" s="243" t="n">
        <v>106</v>
      </c>
      <c r="B107" s="249" t="inlineStr">
        <is>
          <t>Преобразователь избыточного давления</t>
        </is>
      </c>
      <c r="C107" s="248" t="inlineStr">
        <is>
          <t>Метран 150 CD</t>
        </is>
      </c>
      <c r="D107" s="302" t="inlineStr">
        <is>
          <t>6095173</t>
        </is>
      </c>
      <c r="E107" s="245" t="inlineStr"/>
      <c r="F107" s="245" t="inlineStr">
        <is>
          <t>0…6,3 кПа</t>
        </is>
      </c>
      <c r="G107" s="276" t="inlineStr">
        <is>
          <t>0.1</t>
        </is>
      </c>
      <c r="H107" s="248" t="inlineStr">
        <is>
          <t>Избыточное давление воздуха в блоке силовом</t>
        </is>
      </c>
      <c r="I107" s="245" t="inlineStr">
        <is>
          <t>Укрытие</t>
        </is>
      </c>
      <c r="J107" s="243" t="inlineStr">
        <is>
          <t>АСУ,А и ТМ (КЦ № 7)</t>
        </is>
      </c>
      <c r="K107" s="243" t="inlineStr"/>
      <c r="L107" s="243" t="inlineStr"/>
      <c r="M107" s="246" t="inlineStr"/>
      <c r="N107" s="245" t="inlineStr"/>
      <c r="O107" s="350" t="n"/>
    </row>
    <row r="108" ht="22.5" customHeight="1" s="236">
      <c r="A108" s="243" t="n">
        <v>107</v>
      </c>
      <c r="B108" s="249" t="inlineStr">
        <is>
          <t>Преобразователь избыточного давления</t>
        </is>
      </c>
      <c r="C108" s="248" t="inlineStr">
        <is>
          <t>Метран 150 CG</t>
        </is>
      </c>
      <c r="D108" s="302" t="inlineStr">
        <is>
          <t>6104418</t>
        </is>
      </c>
      <c r="E108" s="245" t="inlineStr"/>
      <c r="F108" s="245" t="inlineStr">
        <is>
          <t>0…6,3 кПа</t>
        </is>
      </c>
      <c r="G108" s="276" t="inlineStr">
        <is>
          <t>0.1</t>
        </is>
      </c>
      <c r="H108" s="248" t="inlineStr">
        <is>
          <t>Рв охлаждения кожуха муфты</t>
        </is>
      </c>
      <c r="I108" s="245" t="inlineStr">
        <is>
          <t>Укрытие</t>
        </is>
      </c>
      <c r="J108" s="243" t="inlineStr">
        <is>
          <t>АСУ,А и ТМ (КЦ № 7)</t>
        </is>
      </c>
      <c r="K108" s="243" t="inlineStr"/>
      <c r="L108" s="243" t="inlineStr"/>
      <c r="M108" s="246" t="inlineStr"/>
      <c r="N108" s="245" t="inlineStr"/>
      <c r="O108" s="350" t="n"/>
    </row>
    <row r="109" ht="22.5" customHeight="1" s="236">
      <c r="A109" s="243" t="n">
        <v>108</v>
      </c>
      <c r="B109" s="249" t="inlineStr">
        <is>
          <t>Преобразователь избыточного давления</t>
        </is>
      </c>
      <c r="C109" s="248" t="inlineStr">
        <is>
          <t>Метран 150 TG</t>
        </is>
      </c>
      <c r="D109" s="302" t="inlineStr">
        <is>
          <t>6072973</t>
        </is>
      </c>
      <c r="E109" s="245" t="inlineStr"/>
      <c r="F109" s="245" t="inlineStr">
        <is>
          <t>0…25 МПа</t>
        </is>
      </c>
      <c r="G109" s="276" t="inlineStr">
        <is>
          <t>0.1</t>
        </is>
      </c>
      <c r="H109" s="248" t="inlineStr">
        <is>
          <t>Ртг на входе ГПА</t>
        </is>
      </c>
      <c r="I109" s="245" t="inlineStr">
        <is>
          <t>Укрытие</t>
        </is>
      </c>
      <c r="J109" s="243" t="inlineStr">
        <is>
          <t>АСУ,А и ТМ (КЦ № 7)</t>
        </is>
      </c>
      <c r="K109" s="243" t="inlineStr"/>
      <c r="L109" s="243" t="inlineStr"/>
      <c r="M109" s="246" t="inlineStr"/>
      <c r="N109" s="245" t="inlineStr"/>
      <c r="O109" s="350" t="n"/>
    </row>
    <row r="110" ht="22.5" customHeight="1" s="236">
      <c r="A110" s="243" t="n">
        <v>109</v>
      </c>
      <c r="B110" s="249" t="inlineStr">
        <is>
          <t>Преобразователь избыточного давления</t>
        </is>
      </c>
      <c r="C110" s="248" t="inlineStr">
        <is>
          <t>Метран 150 TG</t>
        </is>
      </c>
      <c r="D110" s="302" t="inlineStr">
        <is>
          <t>6072979</t>
        </is>
      </c>
      <c r="E110" s="245" t="inlineStr"/>
      <c r="F110" s="245" t="inlineStr">
        <is>
          <t>0…6 МПа</t>
        </is>
      </c>
      <c r="G110" s="276" t="inlineStr">
        <is>
          <t>0.1</t>
        </is>
      </c>
      <c r="H110" s="248" t="inlineStr">
        <is>
          <t>Ртг на выходе из блока фильтров</t>
        </is>
      </c>
      <c r="I110" s="245" t="inlineStr">
        <is>
          <t>Укрытие</t>
        </is>
      </c>
      <c r="J110" s="243" t="inlineStr">
        <is>
          <t>АСУ,А и ТМ (КЦ № 7)</t>
        </is>
      </c>
      <c r="K110" s="243" t="inlineStr"/>
      <c r="L110" s="243" t="inlineStr"/>
      <c r="M110" s="246" t="inlineStr"/>
      <c r="N110" s="245" t="inlineStr"/>
      <c r="O110" s="350" t="n"/>
    </row>
    <row r="111" ht="22.5" customHeight="1" s="236">
      <c r="A111" s="243" t="n">
        <v>110</v>
      </c>
      <c r="B111" s="249" t="inlineStr">
        <is>
          <t>Преобразователь избыточного давления</t>
        </is>
      </c>
      <c r="C111" s="248" t="inlineStr">
        <is>
          <t>Метран 150 TG</t>
        </is>
      </c>
      <c r="D111" s="302" t="inlineStr">
        <is>
          <t>6072983</t>
        </is>
      </c>
      <c r="E111" s="245" t="inlineStr"/>
      <c r="F111" s="245" t="inlineStr">
        <is>
          <t>0…6 МПа</t>
        </is>
      </c>
      <c r="G111" s="276" t="inlineStr">
        <is>
          <t>0.1</t>
        </is>
      </c>
      <c r="H111" s="248" t="inlineStr">
        <is>
          <t>Ртг на входе турбоблок</t>
        </is>
      </c>
      <c r="I111" s="245" t="inlineStr"/>
      <c r="J111" s="243" t="inlineStr">
        <is>
          <t>АСУ,А и ТМ (КЦ № 7)</t>
        </is>
      </c>
      <c r="K111" s="243" t="inlineStr"/>
      <c r="L111" s="243" t="inlineStr"/>
      <c r="M111" s="246" t="inlineStr"/>
      <c r="N111" s="245" t="inlineStr"/>
      <c r="O111" s="350" t="n"/>
    </row>
    <row r="112" ht="22.5" customHeight="1" s="236">
      <c r="A112" s="243" t="n">
        <v>111</v>
      </c>
      <c r="B112" s="249" t="inlineStr">
        <is>
          <t>Преобразователь избыточного давления</t>
        </is>
      </c>
      <c r="C112" s="248" t="inlineStr">
        <is>
          <t>Метран 150 TG</t>
        </is>
      </c>
      <c r="D112" s="302" t="inlineStr">
        <is>
          <t>6072996</t>
        </is>
      </c>
      <c r="E112" s="245" t="inlineStr"/>
      <c r="F112" s="245" t="inlineStr">
        <is>
          <t>0…1 МПа</t>
        </is>
      </c>
      <c r="G112" s="276" t="inlineStr">
        <is>
          <t>0.1</t>
        </is>
      </c>
      <c r="H112" s="248" t="inlineStr">
        <is>
          <t>Ртг в буферной полоскости ГМТ</t>
        </is>
      </c>
      <c r="I112" s="245" t="inlineStr"/>
      <c r="J112" s="243" t="inlineStr">
        <is>
          <t>АСУ,А и ТМ (КЦ № 7)</t>
        </is>
      </c>
      <c r="K112" s="243" t="inlineStr"/>
      <c r="L112" s="243" t="inlineStr"/>
      <c r="M112" s="246" t="inlineStr"/>
      <c r="N112" s="245" t="inlineStr"/>
      <c r="O112" s="350" t="n"/>
    </row>
    <row r="113" ht="22.5" customHeight="1" s="236">
      <c r="A113" s="243" t="n">
        <v>112</v>
      </c>
      <c r="B113" s="249" t="inlineStr">
        <is>
          <t>Преобразователь избыточного давления</t>
        </is>
      </c>
      <c r="C113" s="248" t="inlineStr">
        <is>
          <t>Метран 150 CD</t>
        </is>
      </c>
      <c r="D113" s="302" t="inlineStr">
        <is>
          <t>6090618</t>
        </is>
      </c>
      <c r="E113" s="245" t="inlineStr"/>
      <c r="F113" s="245" t="inlineStr">
        <is>
          <t>0…250 кПа</t>
        </is>
      </c>
      <c r="G113" s="276" t="inlineStr">
        <is>
          <t>0.1</t>
        </is>
      </c>
      <c r="H113" s="248" t="inlineStr">
        <is>
          <t>∆Рм на фильтрах</t>
        </is>
      </c>
      <c r="I113" s="245" t="inlineStr"/>
      <c r="J113" s="243" t="inlineStr">
        <is>
          <t>АСУ,А и ТМ (КЦ № 7)</t>
        </is>
      </c>
      <c r="K113" s="243" t="inlineStr"/>
      <c r="L113" s="243" t="inlineStr"/>
      <c r="M113" s="246" t="inlineStr"/>
      <c r="N113" s="245" t="inlineStr"/>
      <c r="O113" s="350" t="n"/>
    </row>
    <row r="114" ht="22.5" customHeight="1" s="236">
      <c r="A114" s="243" t="n">
        <v>113</v>
      </c>
      <c r="B114" s="249" t="inlineStr">
        <is>
          <t>Преобразователь избыточного давления</t>
        </is>
      </c>
      <c r="C114" s="248" t="inlineStr">
        <is>
          <t>Метран 150 CD</t>
        </is>
      </c>
      <c r="D114" s="302" t="inlineStr">
        <is>
          <t>6067669</t>
        </is>
      </c>
      <c r="E114" s="245" t="inlineStr">
        <is>
          <t>2018</t>
        </is>
      </c>
      <c r="F114" s="245" t="inlineStr">
        <is>
          <t>0…6,3 кПа</t>
        </is>
      </c>
      <c r="G114" s="276" t="inlineStr">
        <is>
          <t>0.1</t>
        </is>
      </c>
      <c r="H114" s="248" t="inlineStr">
        <is>
          <t>Разрежение воздуха на фильтрах ВОУ</t>
        </is>
      </c>
      <c r="I114" s="245" t="inlineStr"/>
      <c r="J114" s="243" t="inlineStr">
        <is>
          <t>АСУ,А и ТМ (КЦ № 7)</t>
        </is>
      </c>
      <c r="K114" s="243" t="inlineStr"/>
      <c r="L114" s="243" t="inlineStr"/>
      <c r="M114" s="246" t="inlineStr"/>
      <c r="N114" s="245" t="inlineStr"/>
      <c r="O114" s="350" t="n"/>
    </row>
    <row r="115" ht="22.5" customHeight="1" s="236">
      <c r="A115" s="243" t="n">
        <v>114</v>
      </c>
      <c r="B115" s="249" t="inlineStr">
        <is>
          <t>Преобразователь избыточного давления</t>
        </is>
      </c>
      <c r="C115" s="248" t="inlineStr">
        <is>
          <t>Метран 150 CD</t>
        </is>
      </c>
      <c r="D115" s="302" t="inlineStr">
        <is>
          <t>6067672</t>
        </is>
      </c>
      <c r="E115" s="245" t="inlineStr"/>
      <c r="F115" s="245" t="inlineStr">
        <is>
          <t>0…6,3 кПа</t>
        </is>
      </c>
      <c r="G115" s="276" t="inlineStr">
        <is>
          <t>0.1</t>
        </is>
      </c>
      <c r="H115" s="248" t="inlineStr">
        <is>
          <t>Разрежение воздуха в камере всасывания</t>
        </is>
      </c>
      <c r="I115" s="245" t="inlineStr"/>
      <c r="J115" s="243" t="inlineStr">
        <is>
          <t>АСУ,А и ТМ (КЦ № 7)</t>
        </is>
      </c>
      <c r="K115" s="243" t="inlineStr"/>
      <c r="L115" s="243" t="inlineStr"/>
      <c r="M115" s="246" t="inlineStr"/>
      <c r="N115" s="245" t="inlineStr"/>
      <c r="O115" s="350" t="n"/>
    </row>
    <row r="116" ht="22.5" customHeight="1" s="236">
      <c r="A116" s="243" t="n">
        <v>115</v>
      </c>
      <c r="B116" s="249" t="inlineStr">
        <is>
          <t>Преобразователь избыточного давления</t>
        </is>
      </c>
      <c r="C116" s="248" t="inlineStr">
        <is>
          <t>Метран 150 CD</t>
        </is>
      </c>
      <c r="D116" s="302" t="inlineStr">
        <is>
          <t>6129351</t>
        </is>
      </c>
      <c r="E116" s="245" t="inlineStr"/>
      <c r="F116" s="245" t="inlineStr">
        <is>
          <t>0…6,3 кПа</t>
        </is>
      </c>
      <c r="G116" s="276" t="inlineStr">
        <is>
          <t>0.1</t>
        </is>
      </c>
      <c r="H116" s="248" t="inlineStr">
        <is>
          <t>∆Р между давлением на выходе из улитки и атмосферой</t>
        </is>
      </c>
      <c r="I116" s="245" t="inlineStr"/>
      <c r="J116" s="243" t="inlineStr">
        <is>
          <t>АСУ,А и ТМ (КЦ № 7)</t>
        </is>
      </c>
      <c r="K116" s="243" t="inlineStr"/>
      <c r="L116" s="243" t="inlineStr"/>
      <c r="M116" s="246" t="inlineStr"/>
      <c r="N116" s="245" t="inlineStr"/>
      <c r="O116" s="350" t="n"/>
    </row>
    <row r="117" ht="22.5" customHeight="1" s="236">
      <c r="A117" s="243" t="n">
        <v>116</v>
      </c>
      <c r="B117" s="249" t="inlineStr">
        <is>
          <t>Преобразователь избыточного давления</t>
        </is>
      </c>
      <c r="C117" s="248" t="inlineStr">
        <is>
          <t>Метран 150 ТА</t>
        </is>
      </c>
      <c r="D117" s="302" t="inlineStr">
        <is>
          <t>6080901</t>
        </is>
      </c>
      <c r="E117" s="245" t="inlineStr"/>
      <c r="F117" s="245" t="inlineStr">
        <is>
          <t>0…160 кПа</t>
        </is>
      </c>
      <c r="G117" s="276" t="inlineStr">
        <is>
          <t>0.1</t>
        </is>
      </c>
      <c r="H117" s="248" t="inlineStr">
        <is>
          <t>барометрическое давление</t>
        </is>
      </c>
      <c r="I117" s="245" t="inlineStr">
        <is>
          <t>САУ</t>
        </is>
      </c>
      <c r="J117" s="243" t="inlineStr">
        <is>
          <t>АСУ,А и ТМ (КЦ № 7)</t>
        </is>
      </c>
      <c r="K117" s="243" t="inlineStr"/>
      <c r="L117" s="243" t="inlineStr"/>
      <c r="M117" s="246" t="inlineStr"/>
      <c r="N117" s="245" t="inlineStr"/>
      <c r="O117" s="350" t="n"/>
    </row>
    <row r="118" ht="22.5" customHeight="1" s="236">
      <c r="A118" s="243" t="n">
        <v>117</v>
      </c>
      <c r="B118" s="249" t="inlineStr">
        <is>
          <t>Преобразователь избыточного давления</t>
        </is>
      </c>
      <c r="C118" s="248" t="inlineStr">
        <is>
          <t>Метран 150 TG</t>
        </is>
      </c>
      <c r="D118" s="302" t="inlineStr">
        <is>
          <t>6071972</t>
        </is>
      </c>
      <c r="E118" s="245" t="inlineStr"/>
      <c r="F118" s="245" t="inlineStr">
        <is>
          <t>0…1 МПа</t>
        </is>
      </c>
      <c r="G118" s="276" t="inlineStr">
        <is>
          <t>0.1</t>
        </is>
      </c>
      <c r="H118" s="248" t="inlineStr">
        <is>
          <t>Р защитного воздуха из блока подготовки воздуха</t>
        </is>
      </c>
      <c r="I118" s="245" t="inlineStr">
        <is>
          <t>Укрытие</t>
        </is>
      </c>
      <c r="J118" s="243" t="inlineStr">
        <is>
          <t>АСУ,А и ТМ (КЦ № 7)</t>
        </is>
      </c>
      <c r="K118" s="243" t="inlineStr"/>
      <c r="L118" s="243" t="inlineStr"/>
      <c r="M118" s="246" t="inlineStr"/>
      <c r="N118" s="245" t="inlineStr"/>
      <c r="O118" s="350" t="n"/>
    </row>
    <row r="119" ht="22.5" customHeight="1" s="236">
      <c r="A119" s="243" t="n">
        <v>118</v>
      </c>
      <c r="B119" s="249" t="inlineStr">
        <is>
          <t>Преобразователь избыточного давления</t>
        </is>
      </c>
      <c r="C119" s="248" t="inlineStr">
        <is>
          <t>Метран 150 TG</t>
        </is>
      </c>
      <c r="D119" s="302" t="inlineStr">
        <is>
          <t>6071981</t>
        </is>
      </c>
      <c r="E119" s="245" t="inlineStr"/>
      <c r="F119" s="245" t="inlineStr">
        <is>
          <t>0…160 кПа</t>
        </is>
      </c>
      <c r="G119" s="276" t="inlineStr">
        <is>
          <t>0.1</t>
        </is>
      </c>
      <c r="H119" s="248" t="inlineStr">
        <is>
          <t>Р воздуха на выходе из ГТД</t>
        </is>
      </c>
      <c r="I119" s="245" t="inlineStr">
        <is>
          <t>Укрытие</t>
        </is>
      </c>
      <c r="J119" s="243" t="inlineStr">
        <is>
          <t>АСУ,А и ТМ (КЦ № 7)</t>
        </is>
      </c>
      <c r="K119" s="243" t="inlineStr"/>
      <c r="L119" s="243" t="inlineStr"/>
      <c r="M119" s="246" t="inlineStr"/>
      <c r="N119" s="245" t="inlineStr"/>
      <c r="O119" s="350" t="n"/>
    </row>
    <row r="120" ht="22.5" customHeight="1" s="236">
      <c r="A120" s="243" t="n">
        <v>119</v>
      </c>
      <c r="B120" s="249" t="inlineStr">
        <is>
          <t>Преобразователь избыточного давления</t>
        </is>
      </c>
      <c r="C120" s="248" t="inlineStr">
        <is>
          <t>Метран 150 CD</t>
        </is>
      </c>
      <c r="D120" s="302" t="inlineStr">
        <is>
          <t>6071982</t>
        </is>
      </c>
      <c r="E120" s="245" t="inlineStr"/>
      <c r="F120" s="245" t="inlineStr">
        <is>
          <t>0…25 МПа</t>
        </is>
      </c>
      <c r="G120" s="276" t="inlineStr">
        <is>
          <t>0.1</t>
        </is>
      </c>
      <c r="H120" s="248" t="inlineStr">
        <is>
          <t>∆Р воздуха на фильтре в линии подвода на охлаждение опор ГТД</t>
        </is>
      </c>
      <c r="I120" s="245" t="inlineStr">
        <is>
          <t>Укрытие</t>
        </is>
      </c>
      <c r="J120" s="243" t="inlineStr">
        <is>
          <t>АСУ,А и ТМ (КЦ № 7)</t>
        </is>
      </c>
      <c r="K120" s="243" t="inlineStr"/>
      <c r="L120" s="243" t="inlineStr"/>
      <c r="M120" s="246" t="inlineStr"/>
      <c r="N120" s="245" t="inlineStr"/>
      <c r="O120" s="350" t="n"/>
    </row>
    <row r="121" ht="22.5" customHeight="1" s="236">
      <c r="A121" s="243" t="n">
        <v>120</v>
      </c>
      <c r="B121" s="249" t="inlineStr">
        <is>
          <t>Преобразователь избыточного давления</t>
        </is>
      </c>
      <c r="C121" s="248" t="inlineStr">
        <is>
          <t>Метран 150 TG</t>
        </is>
      </c>
      <c r="D121" s="302" t="inlineStr">
        <is>
          <t>6077554</t>
        </is>
      </c>
      <c r="E121" s="245" t="inlineStr"/>
      <c r="F121" s="245" t="inlineStr">
        <is>
          <t>0…160 кПа</t>
        </is>
      </c>
      <c r="G121" s="276" t="inlineStr">
        <is>
          <t>0.1</t>
        </is>
      </c>
      <c r="H121" s="248" t="inlineStr">
        <is>
          <t>Р воздуха на выходе из оболочки радиального подшипника (ПКВ)</t>
        </is>
      </c>
      <c r="I121" s="245" t="inlineStr">
        <is>
          <t>Укрытие</t>
        </is>
      </c>
      <c r="J121" s="243" t="inlineStr">
        <is>
          <t>АСУ,А и ТМ (КЦ № 7)</t>
        </is>
      </c>
      <c r="K121" s="243" t="inlineStr"/>
      <c r="L121" s="243" t="inlineStr"/>
      <c r="M121" s="246" t="inlineStr"/>
      <c r="N121" s="245" t="inlineStr"/>
      <c r="O121" s="350" t="n"/>
    </row>
    <row r="122" ht="22.5" customHeight="1" s="236">
      <c r="A122" s="243" t="n">
        <v>121</v>
      </c>
      <c r="B122" s="249" t="inlineStr">
        <is>
          <t>Преобразователь избыточного давления</t>
        </is>
      </c>
      <c r="C122" s="248" t="inlineStr">
        <is>
          <t>Метран 150 TG</t>
        </is>
      </c>
      <c r="D122" s="302" t="inlineStr">
        <is>
          <t>607755</t>
        </is>
      </c>
      <c r="E122" s="245" t="inlineStr"/>
      <c r="F122" s="245" t="inlineStr">
        <is>
          <t>0…160 кПа</t>
        </is>
      </c>
      <c r="G122" s="276" t="inlineStr">
        <is>
          <t>0.1</t>
        </is>
      </c>
      <c r="H122" s="248" t="inlineStr">
        <is>
          <t>Р воздуха на выходе из оболочки радиального подшипника (ЗКВ)</t>
        </is>
      </c>
      <c r="I122" s="245" t="inlineStr">
        <is>
          <t>Укрытие</t>
        </is>
      </c>
      <c r="J122" s="243" t="inlineStr">
        <is>
          <t>АСУ,А и ТМ (КЦ № 7)</t>
        </is>
      </c>
      <c r="K122" s="243" t="inlineStr"/>
      <c r="L122" s="243" t="inlineStr"/>
      <c r="M122" s="246" t="inlineStr"/>
      <c r="N122" s="245" t="inlineStr"/>
      <c r="O122" s="350" t="n"/>
    </row>
    <row r="123" ht="33.75" customHeight="1" s="236">
      <c r="A123" s="243" t="n">
        <v>122</v>
      </c>
      <c r="B123" s="249" t="inlineStr">
        <is>
          <t>Преобразователь избыточного давления</t>
        </is>
      </c>
      <c r="C123" s="248" t="inlineStr">
        <is>
          <t>Метран 150 CD</t>
        </is>
      </c>
      <c r="D123" s="302" t="inlineStr">
        <is>
          <t>6077535</t>
        </is>
      </c>
      <c r="E123" s="245" t="inlineStr"/>
      <c r="F123" s="245" t="inlineStr">
        <is>
          <t>0…250 кПа</t>
        </is>
      </c>
      <c r="G123" s="276" t="inlineStr">
        <is>
          <t>0.1</t>
        </is>
      </c>
      <c r="H123" s="248" t="inlineStr">
        <is>
          <t>∆Р между оболочкой радиального подшипника и второй ступенью ГДУ ( ПКВ)</t>
        </is>
      </c>
      <c r="I123" s="245" t="inlineStr">
        <is>
          <t>Укрытие</t>
        </is>
      </c>
      <c r="J123" s="243" t="inlineStr">
        <is>
          <t>АСУ,А и ТМ (КЦ № 7)</t>
        </is>
      </c>
      <c r="K123" s="243" t="inlineStr"/>
      <c r="L123" s="243" t="inlineStr"/>
      <c r="M123" s="246" t="inlineStr"/>
      <c r="N123" s="245" t="inlineStr"/>
      <c r="O123" s="350" t="n"/>
    </row>
    <row r="124" ht="33.75" customHeight="1" s="236">
      <c r="A124" s="243" t="n">
        <v>123</v>
      </c>
      <c r="B124" s="249" t="inlineStr">
        <is>
          <t>Преобразователь избыточного давления</t>
        </is>
      </c>
      <c r="C124" s="248" t="inlineStr">
        <is>
          <t>Метран 150 CD</t>
        </is>
      </c>
      <c r="D124" s="302" t="inlineStr">
        <is>
          <t>6077541</t>
        </is>
      </c>
      <c r="E124" s="245" t="inlineStr"/>
      <c r="F124" s="245" t="inlineStr">
        <is>
          <t>0…250 кПа</t>
        </is>
      </c>
      <c r="G124" s="276" t="inlineStr">
        <is>
          <t>0.1</t>
        </is>
      </c>
      <c r="H124" s="248" t="inlineStr">
        <is>
          <t>∆Р между оболочкой радиального подшипника и второй ступенью ГДУ ( ЗКВ)</t>
        </is>
      </c>
      <c r="I124" s="245" t="inlineStr">
        <is>
          <t>Укрытие</t>
        </is>
      </c>
      <c r="J124" s="243" t="inlineStr">
        <is>
          <t>АСУ,А и ТМ (КЦ № 7)</t>
        </is>
      </c>
      <c r="K124" s="243" t="inlineStr"/>
      <c r="L124" s="243" t="inlineStr"/>
      <c r="M124" s="246" t="inlineStr"/>
      <c r="N124" s="245" t="inlineStr"/>
      <c r="O124" s="350" t="n"/>
    </row>
    <row r="125" ht="22.5" customHeight="1" s="236">
      <c r="A125" s="243" t="n">
        <v>124</v>
      </c>
      <c r="B125" s="249" t="inlineStr">
        <is>
          <t>Преобразователь избыточного давления</t>
        </is>
      </c>
      <c r="C125" s="248" t="inlineStr">
        <is>
          <t>Метран 150 CD</t>
        </is>
      </c>
      <c r="D125" s="302" t="inlineStr">
        <is>
          <t>6071986</t>
        </is>
      </c>
      <c r="E125" s="245" t="inlineStr"/>
      <c r="F125" s="245" t="inlineStr">
        <is>
          <t>0…250 кПа</t>
        </is>
      </c>
      <c r="G125" s="276" t="inlineStr">
        <is>
          <t>0.1</t>
        </is>
      </c>
      <c r="H125" s="248" t="inlineStr">
        <is>
          <t>∆Р воздуха на фильтре в линии подвода к МП</t>
        </is>
      </c>
      <c r="I125" s="245" t="inlineStr"/>
      <c r="J125" s="243" t="inlineStr">
        <is>
          <t>АСУ,А и ТМ (КЦ № 7)</t>
        </is>
      </c>
      <c r="K125" s="243" t="inlineStr"/>
      <c r="L125" s="243" t="inlineStr"/>
      <c r="M125" s="246" t="inlineStr"/>
      <c r="N125" s="245" t="inlineStr"/>
      <c r="O125" s="350" t="n"/>
    </row>
    <row r="126" ht="22.5" customHeight="1" s="236">
      <c r="A126" s="243" t="n">
        <v>125</v>
      </c>
      <c r="B126" s="249" t="inlineStr">
        <is>
          <t>Преобразователь избыточного давления</t>
        </is>
      </c>
      <c r="C126" s="248" t="inlineStr">
        <is>
          <t>Метран 150 CD</t>
        </is>
      </c>
      <c r="D126" s="302" t="inlineStr">
        <is>
          <t>6072439</t>
        </is>
      </c>
      <c r="E126" s="245" t="inlineStr"/>
      <c r="F126" s="245" t="inlineStr">
        <is>
          <t>0…250 кПа</t>
        </is>
      </c>
      <c r="G126" s="276" t="inlineStr">
        <is>
          <t>0.1</t>
        </is>
      </c>
      <c r="H126" s="248" t="inlineStr">
        <is>
          <t>∆Р буферного газа на фильтре грубой очистки</t>
        </is>
      </c>
      <c r="I126" s="245" t="inlineStr"/>
      <c r="J126" s="243" t="inlineStr">
        <is>
          <t>АСУ,А и ТМ (КЦ № 7)</t>
        </is>
      </c>
      <c r="K126" s="243" t="inlineStr"/>
      <c r="L126" s="243" t="inlineStr"/>
      <c r="M126" s="246" t="inlineStr"/>
      <c r="N126" s="245" t="inlineStr"/>
      <c r="O126" s="350" t="n"/>
    </row>
    <row r="127" ht="22.5" customHeight="1" s="236">
      <c r="A127" s="243" t="n">
        <v>126</v>
      </c>
      <c r="B127" s="249" t="inlineStr">
        <is>
          <t>Преобразователь избыточного давления</t>
        </is>
      </c>
      <c r="C127" s="248" t="inlineStr">
        <is>
          <t>Метран 150 CD</t>
        </is>
      </c>
      <c r="D127" s="302" t="inlineStr">
        <is>
          <t>6074032</t>
        </is>
      </c>
      <c r="E127" s="245" t="inlineStr"/>
      <c r="F127" s="245" t="inlineStr">
        <is>
          <t>0…250 кПа</t>
        </is>
      </c>
      <c r="G127" s="276" t="inlineStr">
        <is>
          <t>0.1</t>
        </is>
      </c>
      <c r="H127" s="248" t="inlineStr">
        <is>
          <t>∆Рбг на фильтре тонкой очистки</t>
        </is>
      </c>
      <c r="I127" s="245" t="inlineStr"/>
      <c r="J127" s="243" t="inlineStr">
        <is>
          <t>АСУ,А и ТМ (КЦ № 7)</t>
        </is>
      </c>
      <c r="K127" s="243" t="inlineStr"/>
      <c r="L127" s="243" t="inlineStr"/>
      <c r="M127" s="246" t="inlineStr"/>
      <c r="N127" s="245" t="inlineStr"/>
      <c r="O127" s="350" t="n"/>
    </row>
    <row r="128" ht="22.5" customHeight="1" s="236">
      <c r="A128" s="243" t="n">
        <v>127</v>
      </c>
      <c r="B128" s="249" t="inlineStr">
        <is>
          <t>Преобразователь избыточного давления</t>
        </is>
      </c>
      <c r="C128" s="248" t="inlineStr">
        <is>
          <t>Метран 150 CD</t>
        </is>
      </c>
      <c r="D128" s="302" t="inlineStr">
        <is>
          <t>6074028</t>
        </is>
      </c>
      <c r="E128" s="245" t="inlineStr"/>
      <c r="F128" s="245" t="inlineStr">
        <is>
          <t>0…250 кПа</t>
        </is>
      </c>
      <c r="G128" s="276" t="inlineStr">
        <is>
          <t>0.1</t>
        </is>
      </c>
      <c r="H128" s="248" t="inlineStr">
        <is>
          <t>∆Р газ-газ в линии ПКВ</t>
        </is>
      </c>
      <c r="I128" s="245" t="inlineStr">
        <is>
          <t>Укрытие</t>
        </is>
      </c>
      <c r="J128" s="243" t="inlineStr">
        <is>
          <t>АСУ,А и ТМ (КЦ № 7)</t>
        </is>
      </c>
      <c r="K128" s="243" t="inlineStr"/>
      <c r="L128" s="243" t="inlineStr"/>
      <c r="M128" s="246" t="inlineStr"/>
      <c r="N128" s="245" t="inlineStr"/>
      <c r="O128" s="350" t="n"/>
    </row>
    <row r="129" ht="22.5" customHeight="1" s="236">
      <c r="A129" s="243" t="n">
        <v>128</v>
      </c>
      <c r="B129" s="249" t="inlineStr">
        <is>
          <t>Преобразователь избыточного давления</t>
        </is>
      </c>
      <c r="C129" s="248" t="inlineStr">
        <is>
          <t>Метран 150 CD</t>
        </is>
      </c>
      <c r="D129" s="302" t="inlineStr">
        <is>
          <t>6074026</t>
        </is>
      </c>
      <c r="E129" s="245" t="inlineStr"/>
      <c r="F129" s="245" t="inlineStr">
        <is>
          <t>0…250 кПа</t>
        </is>
      </c>
      <c r="G129" s="276" t="inlineStr">
        <is>
          <t>0.1</t>
        </is>
      </c>
      <c r="H129" s="248" t="inlineStr">
        <is>
          <t>∆Р газ-газ в линии ЗКВ</t>
        </is>
      </c>
      <c r="I129" s="245" t="inlineStr">
        <is>
          <t>Укрытие</t>
        </is>
      </c>
      <c r="J129" s="243" t="inlineStr">
        <is>
          <t>АСУ,А и ТМ (КЦ № 7)</t>
        </is>
      </c>
      <c r="K129" s="243" t="inlineStr"/>
      <c r="L129" s="243" t="inlineStr"/>
      <c r="M129" s="246" t="inlineStr"/>
      <c r="N129" s="245" t="inlineStr"/>
      <c r="O129" s="350" t="n"/>
    </row>
    <row r="130" ht="22.5" customHeight="1" s="236">
      <c r="A130" s="243" t="n">
        <v>129</v>
      </c>
      <c r="B130" s="249" t="inlineStr">
        <is>
          <t>Преобразователь избыточного давления</t>
        </is>
      </c>
      <c r="C130" s="248" t="inlineStr">
        <is>
          <t>Метран 150 TG</t>
        </is>
      </c>
      <c r="D130" s="302" t="inlineStr">
        <is>
          <t>6072454</t>
        </is>
      </c>
      <c r="E130" s="245" t="inlineStr"/>
      <c r="F130" s="245" t="inlineStr">
        <is>
          <t>0…1 МПа</t>
        </is>
      </c>
      <c r="G130" s="276" t="inlineStr">
        <is>
          <t>0.1</t>
        </is>
      </c>
      <c r="H130" s="248" t="inlineStr">
        <is>
          <t>Р в линии утечек 1-ой ступени ГДУ ПКВ</t>
        </is>
      </c>
      <c r="I130" s="245" t="inlineStr">
        <is>
          <t>Укрытие</t>
        </is>
      </c>
      <c r="J130" s="243" t="inlineStr">
        <is>
          <t>АСУ,А и ТМ (КЦ № 7)</t>
        </is>
      </c>
      <c r="K130" s="243" t="inlineStr"/>
      <c r="L130" s="243" t="inlineStr"/>
      <c r="M130" s="246" t="inlineStr"/>
      <c r="N130" s="245" t="inlineStr"/>
      <c r="O130" s="350" t="n"/>
    </row>
    <row r="131" ht="22.5" customHeight="1" s="236">
      <c r="A131" s="243" t="n">
        <v>130</v>
      </c>
      <c r="B131" s="249" t="inlineStr">
        <is>
          <t>Преобразователь избыточного давления</t>
        </is>
      </c>
      <c r="C131" s="248" t="inlineStr">
        <is>
          <t>Метран 150 TG</t>
        </is>
      </c>
      <c r="D131" s="302" t="inlineStr">
        <is>
          <t>6071590</t>
        </is>
      </c>
      <c r="E131" s="245" t="inlineStr"/>
      <c r="F131" s="245" t="inlineStr">
        <is>
          <t>0…1 МПа</t>
        </is>
      </c>
      <c r="G131" s="276" t="inlineStr">
        <is>
          <t>0.1</t>
        </is>
      </c>
      <c r="H131" s="248" t="inlineStr">
        <is>
          <t>Р в линии утечек 1-ой ступени ГДУ ЗКВ</t>
        </is>
      </c>
      <c r="I131" s="245" t="inlineStr">
        <is>
          <t>Укрытие</t>
        </is>
      </c>
      <c r="J131" s="243" t="inlineStr">
        <is>
          <t>АСУ,А и ТМ (КЦ № 7)</t>
        </is>
      </c>
      <c r="K131" s="243" t="inlineStr"/>
      <c r="L131" s="243" t="inlineStr"/>
      <c r="M131" s="246" t="inlineStr"/>
      <c r="N131" s="245" t="inlineStr"/>
      <c r="O131" s="350" t="n"/>
    </row>
    <row r="132" ht="22.5" customHeight="1" s="236">
      <c r="A132" s="243" t="n">
        <v>131</v>
      </c>
      <c r="B132" s="249" t="inlineStr">
        <is>
          <t>Преобразователь избыточного давления</t>
        </is>
      </c>
      <c r="C132" s="248" t="inlineStr">
        <is>
          <t>Метран 150 TG</t>
        </is>
      </c>
      <c r="D132" s="302" t="inlineStr">
        <is>
          <t>6129374</t>
        </is>
      </c>
      <c r="E132" s="245" t="inlineStr"/>
      <c r="F132" s="245" t="inlineStr">
        <is>
          <t>0…25 МПа</t>
        </is>
      </c>
      <c r="G132" s="276" t="inlineStr">
        <is>
          <t>0.1</t>
        </is>
      </c>
      <c r="H132" s="248" t="inlineStr">
        <is>
          <t>Рг перед конфузором</t>
        </is>
      </c>
      <c r="I132" s="245" t="inlineStr">
        <is>
          <t>Укрытие</t>
        </is>
      </c>
      <c r="J132" s="243" t="inlineStr">
        <is>
          <t>АСУ,А и ТМ (КЦ № 7)</t>
        </is>
      </c>
      <c r="K132" s="243" t="inlineStr"/>
      <c r="L132" s="243" t="inlineStr"/>
      <c r="M132" s="246" t="inlineStr"/>
      <c r="N132" s="245" t="inlineStr"/>
      <c r="O132" s="350" t="n"/>
    </row>
    <row r="133" ht="22.5" customHeight="1" s="236">
      <c r="A133" s="243" t="n">
        <v>132</v>
      </c>
      <c r="B133" s="249" t="inlineStr">
        <is>
          <t>Преобразователь избыточного давления</t>
        </is>
      </c>
      <c r="C133" s="248" t="inlineStr">
        <is>
          <t>Метран 150 TG</t>
        </is>
      </c>
      <c r="D133" s="302" t="inlineStr">
        <is>
          <t>6129378</t>
        </is>
      </c>
      <c r="E133" s="245" t="inlineStr"/>
      <c r="F133" s="245" t="inlineStr">
        <is>
          <t>0…25 МПа</t>
        </is>
      </c>
      <c r="G133" s="276" t="inlineStr">
        <is>
          <t>0.1</t>
        </is>
      </c>
      <c r="H133" s="248" t="inlineStr">
        <is>
          <t>Рг на входе в компрессор ( после конфузора)</t>
        </is>
      </c>
      <c r="I133" s="245" t="inlineStr">
        <is>
          <t>Укрытие</t>
        </is>
      </c>
      <c r="J133" s="243" t="inlineStr">
        <is>
          <t>АСУ,А и ТМ (КЦ № 7)</t>
        </is>
      </c>
      <c r="K133" s="243" t="inlineStr"/>
      <c r="L133" s="243" t="inlineStr"/>
      <c r="M133" s="246" t="inlineStr"/>
      <c r="N133" s="245" t="inlineStr"/>
      <c r="O133" s="350" t="n"/>
    </row>
    <row r="134" ht="22.5" customHeight="1" s="236">
      <c r="A134" s="243" t="n">
        <v>133</v>
      </c>
      <c r="B134" s="249" t="inlineStr">
        <is>
          <t>Преобразователь избыточного давления</t>
        </is>
      </c>
      <c r="C134" s="248" t="inlineStr">
        <is>
          <t>Метран 150 TG</t>
        </is>
      </c>
      <c r="D134" s="302" t="inlineStr">
        <is>
          <t>6129372</t>
        </is>
      </c>
      <c r="E134" s="245" t="inlineStr"/>
      <c r="F134" s="245" t="inlineStr">
        <is>
          <t>0…25 МПа</t>
        </is>
      </c>
      <c r="G134" s="276" t="inlineStr">
        <is>
          <t>0.1</t>
        </is>
      </c>
      <c r="H134" s="248" t="inlineStr">
        <is>
          <t>Рг на выходе из компрессора</t>
        </is>
      </c>
      <c r="I134" s="245" t="inlineStr">
        <is>
          <t>Укрытие</t>
        </is>
      </c>
      <c r="J134" s="243" t="inlineStr">
        <is>
          <t>АСУ,А и ТМ (КЦ № 7)</t>
        </is>
      </c>
      <c r="K134" s="243" t="inlineStr"/>
      <c r="L134" s="243" t="inlineStr"/>
      <c r="M134" s="246" t="inlineStr"/>
      <c r="N134" s="245" t="inlineStr"/>
      <c r="O134" s="350" t="n"/>
    </row>
    <row r="135" ht="22.5" customHeight="1" s="236">
      <c r="A135" s="243" t="n">
        <v>134</v>
      </c>
      <c r="B135" s="249" t="inlineStr">
        <is>
          <t>Преобразователь избыточного давления</t>
        </is>
      </c>
      <c r="C135" s="248" t="inlineStr">
        <is>
          <t>YOKOGAWA EJA110E</t>
        </is>
      </c>
      <c r="D135" s="302" t="inlineStr">
        <is>
          <t>91V907131</t>
        </is>
      </c>
      <c r="E135" s="245" t="inlineStr"/>
      <c r="F135" s="245" t="inlineStr">
        <is>
          <t>0…16 МПа</t>
        </is>
      </c>
      <c r="G135" s="276" t="inlineStr">
        <is>
          <t>0.1</t>
        </is>
      </c>
      <c r="H135" s="248" t="inlineStr">
        <is>
          <t>∆Рг на конфузоре</t>
        </is>
      </c>
      <c r="I135" s="245" t="inlineStr">
        <is>
          <t>Укрытие</t>
        </is>
      </c>
      <c r="J135" s="243" t="inlineStr">
        <is>
          <t>АСУ,А и ТМ (КЦ № 7)</t>
        </is>
      </c>
      <c r="K135" s="243" t="inlineStr"/>
      <c r="L135" s="243" t="inlineStr"/>
      <c r="M135" s="246" t="inlineStr"/>
      <c r="N135" s="245" t="inlineStr"/>
      <c r="O135" s="350" t="n"/>
    </row>
    <row r="136" ht="22.5" customHeight="1" s="236">
      <c r="A136" s="243" t="n">
        <v>135</v>
      </c>
      <c r="B136" s="249" t="inlineStr">
        <is>
          <t>Преобразователь избыточного давления</t>
        </is>
      </c>
      <c r="C136" s="248" t="inlineStr">
        <is>
          <t>YOKOGAWA EJA530E</t>
        </is>
      </c>
      <c r="D136" s="302" t="inlineStr">
        <is>
          <t>91TC20783</t>
        </is>
      </c>
      <c r="E136" s="245" t="inlineStr">
        <is>
          <t>2018</t>
        </is>
      </c>
      <c r="F136" s="245" t="inlineStr">
        <is>
          <t>0…2 МПа</t>
        </is>
      </c>
      <c r="G136" s="276" t="inlineStr">
        <is>
          <t>0.1</t>
        </is>
      </c>
      <c r="H136" s="248" t="inlineStr">
        <is>
          <t>Давление воздуха после ВВТ1 агрегата БВВТ25</t>
        </is>
      </c>
      <c r="I136" s="245" t="inlineStr">
        <is>
          <t>Укрытие</t>
        </is>
      </c>
      <c r="J136" s="243" t="inlineStr">
        <is>
          <t>АСУ,А и ТМ (КЦ № 7)</t>
        </is>
      </c>
      <c r="K136" s="243" t="inlineStr"/>
      <c r="L136" s="243" t="inlineStr"/>
      <c r="M136" s="246" t="inlineStr"/>
      <c r="N136" s="245" t="inlineStr"/>
      <c r="O136" s="350" t="n"/>
    </row>
    <row r="137" ht="22.5" customHeight="1" s="236">
      <c r="A137" s="243" t="n">
        <v>136</v>
      </c>
      <c r="B137" s="249" t="inlineStr">
        <is>
          <t>Преобразователь избыточного давления</t>
        </is>
      </c>
      <c r="C137" s="248" t="inlineStr">
        <is>
          <t>Метран 150 TG</t>
        </is>
      </c>
      <c r="D137" s="302" t="inlineStr">
        <is>
          <t>1635006</t>
        </is>
      </c>
      <c r="E137" s="245" t="inlineStr"/>
      <c r="F137" s="245" t="inlineStr">
        <is>
          <t>0…16 МПа</t>
        </is>
      </c>
      <c r="G137" s="276" t="inlineStr">
        <is>
          <t>0.1</t>
        </is>
      </c>
      <c r="H137" s="248" t="inlineStr">
        <is>
          <t>Рг на выходе АВО газа</t>
        </is>
      </c>
      <c r="I137" s="245" t="inlineStr">
        <is>
          <t>КЦ</t>
        </is>
      </c>
      <c r="J137" s="243" t="inlineStr">
        <is>
          <t>АСУ,А и ТМ (КЦ № 7)</t>
        </is>
      </c>
      <c r="K137" s="243" t="inlineStr"/>
      <c r="L137" s="243" t="inlineStr"/>
      <c r="M137" s="246" t="inlineStr"/>
      <c r="N137" s="245" t="inlineStr"/>
      <c r="O137" s="350" t="n"/>
    </row>
    <row r="138" ht="22.5" customHeight="1" s="236">
      <c r="A138" s="243" t="n">
        <v>137</v>
      </c>
      <c r="B138" s="249" t="inlineStr">
        <is>
          <t>Преобразователь избыточного давления</t>
        </is>
      </c>
      <c r="C138" s="248" t="inlineStr">
        <is>
          <t>Метран 150 TG</t>
        </is>
      </c>
      <c r="D138" s="302" t="inlineStr">
        <is>
          <t>1635009</t>
        </is>
      </c>
      <c r="E138" s="245" t="inlineStr"/>
      <c r="F138" s="245" t="inlineStr">
        <is>
          <t>0…16 МПа</t>
        </is>
      </c>
      <c r="G138" s="276" t="inlineStr">
        <is>
          <t>0.1</t>
        </is>
      </c>
      <c r="H138" s="248" t="inlineStr">
        <is>
          <t>Рг после крана 2-1</t>
        </is>
      </c>
      <c r="I138" s="245" t="inlineStr">
        <is>
          <t>КЦ</t>
        </is>
      </c>
      <c r="J138" s="243" t="inlineStr">
        <is>
          <t>АСУ,А и ТМ (КЦ № 7)</t>
        </is>
      </c>
      <c r="K138" s="243" t="inlineStr"/>
      <c r="L138" s="243" t="inlineStr"/>
      <c r="M138" s="246" t="inlineStr"/>
      <c r="N138" s="245" t="inlineStr"/>
      <c r="O138" s="350" t="n"/>
    </row>
    <row r="139" ht="22.5" customHeight="1" s="236">
      <c r="A139" s="243" t="n">
        <v>138</v>
      </c>
      <c r="B139" s="249" t="inlineStr">
        <is>
          <t>Преобразователь избыточного давления</t>
        </is>
      </c>
      <c r="C139" s="248" t="inlineStr">
        <is>
          <t>Метран 150 TG</t>
        </is>
      </c>
      <c r="D139" s="302" t="inlineStr">
        <is>
          <t>1635003</t>
        </is>
      </c>
      <c r="E139" s="245" t="inlineStr"/>
      <c r="F139" s="245" t="inlineStr">
        <is>
          <t>0…16 МПа</t>
        </is>
      </c>
      <c r="G139" s="276" t="inlineStr">
        <is>
          <t>0.1</t>
        </is>
      </c>
      <c r="H139" s="248" t="inlineStr">
        <is>
          <t>Рг перед краном 2-1</t>
        </is>
      </c>
      <c r="I139" s="245" t="inlineStr">
        <is>
          <t>КЦ</t>
        </is>
      </c>
      <c r="J139" s="243" t="inlineStr">
        <is>
          <t>АСУ,А и ТМ (КЦ № 7)</t>
        </is>
      </c>
      <c r="K139" s="243" t="inlineStr"/>
      <c r="L139" s="243" t="inlineStr"/>
      <c r="M139" s="246" t="inlineStr"/>
      <c r="N139" s="245" t="inlineStr"/>
      <c r="O139" s="350" t="n"/>
    </row>
    <row r="140" ht="22.5" customHeight="1" s="236">
      <c r="A140" s="243" t="n">
        <v>139</v>
      </c>
      <c r="B140" s="249" t="inlineStr">
        <is>
          <t>Преобразователь избыточного давления</t>
        </is>
      </c>
      <c r="C140" s="248" t="inlineStr">
        <is>
          <t>Метран 150 CD</t>
        </is>
      </c>
      <c r="D140" s="302" t="inlineStr">
        <is>
          <t>1634472</t>
        </is>
      </c>
      <c r="E140" s="245" t="inlineStr"/>
      <c r="F140" s="245" t="inlineStr">
        <is>
          <t>0…10 МПа</t>
        </is>
      </c>
      <c r="G140" s="276" t="inlineStr">
        <is>
          <t>0.1</t>
        </is>
      </c>
      <c r="H140" s="248" t="inlineStr">
        <is>
          <t>∆Рг на кране 1-1</t>
        </is>
      </c>
      <c r="I140" s="245" t="inlineStr">
        <is>
          <t>КЦ</t>
        </is>
      </c>
      <c r="J140" s="243" t="inlineStr">
        <is>
          <t>АСУ,А и ТМ (КЦ № 7)</t>
        </is>
      </c>
      <c r="K140" s="243" t="inlineStr"/>
      <c r="L140" s="243" t="inlineStr"/>
      <c r="M140" s="246" t="inlineStr"/>
      <c r="N140" s="245" t="inlineStr"/>
      <c r="O140" s="350" t="n"/>
    </row>
    <row r="141" ht="22.5" customHeight="1" s="236">
      <c r="A141" s="243" t="n">
        <v>140</v>
      </c>
      <c r="B141" s="249" t="inlineStr">
        <is>
          <t>Преобразователь избыточного давления</t>
        </is>
      </c>
      <c r="C141" s="248" t="inlineStr">
        <is>
          <t>Метран 150 CD</t>
        </is>
      </c>
      <c r="D141" s="302" t="inlineStr">
        <is>
          <t>1634471</t>
        </is>
      </c>
      <c r="E141" s="245" t="inlineStr"/>
      <c r="F141" s="245" t="inlineStr">
        <is>
          <t>0…10 МПа</t>
        </is>
      </c>
      <c r="G141" s="276" t="inlineStr">
        <is>
          <t>0.1</t>
        </is>
      </c>
      <c r="H141" s="248" t="inlineStr">
        <is>
          <t>∆Рг на кране 1</t>
        </is>
      </c>
      <c r="I141" s="245" t="inlineStr">
        <is>
          <t>КЦ</t>
        </is>
      </c>
      <c r="J141" s="243" t="inlineStr">
        <is>
          <t>АСУ,А и ТМ (КЦ № 7)</t>
        </is>
      </c>
      <c r="K141" s="243" t="inlineStr"/>
      <c r="L141" s="243" t="inlineStr"/>
      <c r="M141" s="246" t="inlineStr"/>
      <c r="N141" s="245" t="inlineStr"/>
      <c r="O141" s="350" t="n"/>
    </row>
    <row r="142" ht="22.5" customHeight="1" s="236">
      <c r="A142" s="243" t="n">
        <v>141</v>
      </c>
      <c r="B142" s="249" t="inlineStr">
        <is>
          <t>Преобразователь избыточного давления</t>
        </is>
      </c>
      <c r="C142" s="248" t="inlineStr">
        <is>
          <t>Метран 150 CD</t>
        </is>
      </c>
      <c r="D142" s="302" t="inlineStr">
        <is>
          <t>1634571</t>
        </is>
      </c>
      <c r="E142" s="245" t="inlineStr"/>
      <c r="F142" s="245" t="inlineStr">
        <is>
          <t>0…160 кПа</t>
        </is>
      </c>
      <c r="G142" s="276" t="inlineStr">
        <is>
          <t>0.1</t>
        </is>
      </c>
      <c r="H142" s="248" t="inlineStr">
        <is>
          <t>∆Рг на защитной решетке перед компрессором</t>
        </is>
      </c>
      <c r="I142" s="245" t="inlineStr">
        <is>
          <t>КЦ</t>
        </is>
      </c>
      <c r="J142" s="243" t="inlineStr">
        <is>
          <t>АСУ,А и ТМ (КЦ № 7)</t>
        </is>
      </c>
      <c r="K142" s="243" t="inlineStr"/>
      <c r="L142" s="243" t="inlineStr"/>
      <c r="M142" s="246" t="inlineStr"/>
      <c r="N142" s="245" t="inlineStr"/>
      <c r="O142" s="350" t="n"/>
    </row>
    <row r="143" ht="22.5" customHeight="1" s="236">
      <c r="A143" s="243" t="n">
        <v>142</v>
      </c>
      <c r="B143" s="249" t="inlineStr">
        <is>
          <t>Преобразователь избыточного давления</t>
        </is>
      </c>
      <c r="C143" s="248" t="inlineStr">
        <is>
          <t>Метран 150 CD</t>
        </is>
      </c>
      <c r="D143" s="302" t="inlineStr">
        <is>
          <t>1634574</t>
        </is>
      </c>
      <c r="E143" s="245" t="inlineStr"/>
      <c r="F143" s="245" t="inlineStr">
        <is>
          <t>0…160 кПа</t>
        </is>
      </c>
      <c r="G143" s="276" t="inlineStr">
        <is>
          <t>0.1</t>
        </is>
      </c>
      <c r="H143" s="248" t="inlineStr">
        <is>
          <t>∆Рг на АВО газа</t>
        </is>
      </c>
      <c r="I143" s="245" t="inlineStr">
        <is>
          <t>КЦ</t>
        </is>
      </c>
      <c r="J143" s="243" t="inlineStr">
        <is>
          <t>АСУ,А и ТМ (КЦ № 7)</t>
        </is>
      </c>
      <c r="K143" s="243" t="inlineStr"/>
      <c r="L143" s="243" t="inlineStr"/>
      <c r="M143" s="246" t="inlineStr"/>
      <c r="N143" s="245" t="inlineStr"/>
      <c r="O143" s="350" t="n"/>
    </row>
    <row r="144" ht="22.5" customHeight="1" s="236">
      <c r="A144" s="243" t="n">
        <v>143</v>
      </c>
      <c r="B144" s="249" t="inlineStr">
        <is>
          <t>Преобразователь давления корабельный</t>
        </is>
      </c>
      <c r="C144" s="248" t="inlineStr">
        <is>
          <t>ВАЛКОМ ПДК-ВО-Д-250К-А-2-Б04-Н-01-Д20</t>
        </is>
      </c>
      <c r="D144" s="302" t="inlineStr">
        <is>
          <t>8К10994</t>
        </is>
      </c>
      <c r="E144" s="245" t="inlineStr"/>
      <c r="F144" s="245" t="inlineStr">
        <is>
          <t>0…250 кПа</t>
        </is>
      </c>
      <c r="G144" s="276" t="inlineStr">
        <is>
          <t>0.25</t>
        </is>
      </c>
      <c r="H144" s="248" t="inlineStr">
        <is>
          <t>∆Р на фильтре №1 БФТГ</t>
        </is>
      </c>
      <c r="I144" s="245" t="inlineStr">
        <is>
          <t>КЦ</t>
        </is>
      </c>
      <c r="J144" s="243" t="inlineStr">
        <is>
          <t>АСУ,А и ТМ (КЦ № 7)</t>
        </is>
      </c>
      <c r="K144" s="243" t="inlineStr"/>
      <c r="L144" s="243" t="inlineStr"/>
      <c r="M144" s="246" t="inlineStr"/>
      <c r="N144" s="245" t="inlineStr"/>
      <c r="O144" s="350" t="n"/>
    </row>
    <row r="145" ht="22.5" customHeight="1" s="236">
      <c r="A145" s="243" t="n">
        <v>144</v>
      </c>
      <c r="B145" s="249" t="inlineStr">
        <is>
          <t>Преобразователь давления корабельный</t>
        </is>
      </c>
      <c r="C145" s="248" t="inlineStr">
        <is>
          <t>ВАЛКОМ ПДК-ВО-Д-250К-А-2-Б04-Н-01-Д20</t>
        </is>
      </c>
      <c r="D145" s="302" t="inlineStr">
        <is>
          <t>8К11000</t>
        </is>
      </c>
      <c r="E145" s="245" t="inlineStr"/>
      <c r="F145" s="245" t="inlineStr">
        <is>
          <t>0…250 кПа</t>
        </is>
      </c>
      <c r="G145" s="276" t="inlineStr">
        <is>
          <t>0.25</t>
        </is>
      </c>
      <c r="H145" s="248" t="inlineStr">
        <is>
          <t>∆Р на фильтре №2 БФТГ</t>
        </is>
      </c>
      <c r="I145" s="245" t="inlineStr">
        <is>
          <t>КЦ</t>
        </is>
      </c>
      <c r="J145" s="243" t="inlineStr">
        <is>
          <t>АСУ,А и ТМ (КЦ № 7)</t>
        </is>
      </c>
      <c r="K145" s="243" t="inlineStr"/>
      <c r="L145" s="243" t="inlineStr"/>
      <c r="M145" s="246" t="inlineStr"/>
      <c r="N145" s="245" t="inlineStr"/>
      <c r="O145" s="350" t="n"/>
    </row>
    <row r="146" ht="22.5" customHeight="1" s="236">
      <c r="A146" s="243" t="n">
        <v>145</v>
      </c>
      <c r="B146" s="249" t="inlineStr">
        <is>
          <t>Преобразователь давления корабельный</t>
        </is>
      </c>
      <c r="C146" s="248" t="inlineStr">
        <is>
          <t>ВАЛКОМ ПДК-ВО-Д-250К-А-2-Б04-Н-01-Д20</t>
        </is>
      </c>
      <c r="D146" s="302" t="inlineStr">
        <is>
          <t>8К10987</t>
        </is>
      </c>
      <c r="E146" s="245" t="inlineStr"/>
      <c r="F146" s="245" t="inlineStr">
        <is>
          <t>0…250 кПа</t>
        </is>
      </c>
      <c r="G146" s="276" t="inlineStr">
        <is>
          <t>0.25</t>
        </is>
      </c>
      <c r="H146" s="248" t="inlineStr">
        <is>
          <t>∆Р на фильтре №1 БФБГ</t>
        </is>
      </c>
      <c r="I146" s="245" t="inlineStr">
        <is>
          <t>КЦ</t>
        </is>
      </c>
      <c r="J146" s="243" t="inlineStr">
        <is>
          <t>АСУ,А и ТМ (КЦ № 7)</t>
        </is>
      </c>
      <c r="K146" s="243" t="inlineStr"/>
      <c r="L146" s="243" t="inlineStr"/>
      <c r="M146" s="246" t="inlineStr"/>
      <c r="N146" s="245" t="inlineStr"/>
      <c r="O146" s="350" t="n"/>
    </row>
    <row r="147" ht="22.5" customHeight="1" s="236">
      <c r="A147" s="243" t="n">
        <v>146</v>
      </c>
      <c r="B147" s="249" t="inlineStr">
        <is>
          <t>Преобразователь давления корабельный</t>
        </is>
      </c>
      <c r="C147" s="248" t="inlineStr">
        <is>
          <t>ВАЛКОМ ПДК-ВО-Д-250К-А-2-Б04-Н-01-Д20</t>
        </is>
      </c>
      <c r="D147" s="302" t="inlineStr">
        <is>
          <t>8К10979</t>
        </is>
      </c>
      <c r="E147" s="245" t="inlineStr"/>
      <c r="F147" s="245" t="inlineStr">
        <is>
          <t>0…250 кПа</t>
        </is>
      </c>
      <c r="G147" s="276" t="inlineStr">
        <is>
          <t>0.25</t>
        </is>
      </c>
      <c r="H147" s="248" t="inlineStr">
        <is>
          <t>∆Р на фильтре №2 БФБГ</t>
        </is>
      </c>
      <c r="I147" s="245" t="inlineStr">
        <is>
          <t>КЦ</t>
        </is>
      </c>
      <c r="J147" s="243" t="inlineStr">
        <is>
          <t>АСУ,А и ТМ (КЦ № 7)</t>
        </is>
      </c>
      <c r="K147" s="243" t="inlineStr"/>
      <c r="L147" s="243" t="inlineStr"/>
      <c r="M147" s="246" t="inlineStr"/>
      <c r="N147" s="245" t="inlineStr"/>
      <c r="O147" s="350" t="n"/>
    </row>
    <row r="148" ht="22.5" customHeight="1" s="236">
      <c r="A148" s="243" t="n">
        <v>147</v>
      </c>
      <c r="B148" s="249" t="inlineStr">
        <is>
          <t>Преобразователь избыточного давления</t>
        </is>
      </c>
      <c r="C148" s="248" t="inlineStr">
        <is>
          <t>Метран 150 CD</t>
        </is>
      </c>
      <c r="D148" s="302" t="inlineStr">
        <is>
          <t>6064458</t>
        </is>
      </c>
      <c r="E148" s="245" t="inlineStr"/>
      <c r="F148" s="245" t="inlineStr">
        <is>
          <t>0…250 кПа</t>
        </is>
      </c>
      <c r="G148" s="276" t="inlineStr">
        <is>
          <t>0.1</t>
        </is>
      </c>
      <c r="H148" s="248" t="inlineStr">
        <is>
          <t>∆Рбг на сепараторе СГУ</t>
        </is>
      </c>
      <c r="I148" s="245" t="inlineStr"/>
      <c r="J148" s="243" t="inlineStr">
        <is>
          <t>АСУ,А и ТМ (КЦ № 7)</t>
        </is>
      </c>
      <c r="K148" s="243" t="inlineStr"/>
      <c r="L148" s="243" t="inlineStr"/>
      <c r="M148" s="246" t="inlineStr"/>
      <c r="N148" s="245" t="inlineStr"/>
      <c r="O148" s="350" t="n"/>
    </row>
    <row r="149" ht="22.5" customHeight="1" s="236">
      <c r="A149" s="243" t="n">
        <v>148</v>
      </c>
      <c r="B149" s="249" t="inlineStr">
        <is>
          <t>Преобразователь избыточного давления</t>
        </is>
      </c>
      <c r="C149" s="248" t="inlineStr">
        <is>
          <t>Метран 150 CD</t>
        </is>
      </c>
      <c r="D149" s="302" t="inlineStr">
        <is>
          <t>6074033</t>
        </is>
      </c>
      <c r="E149" s="245" t="inlineStr"/>
      <c r="F149" s="245" t="inlineStr">
        <is>
          <t>0…250 кПа</t>
        </is>
      </c>
      <c r="G149" s="276" t="inlineStr">
        <is>
          <t>0.1</t>
        </is>
      </c>
      <c r="H149" s="248" t="inlineStr">
        <is>
          <t>∆Рбг на фильтре-сепараторе</t>
        </is>
      </c>
      <c r="I149" s="245" t="inlineStr"/>
      <c r="J149" s="243" t="inlineStr">
        <is>
          <t>АСУ,А и ТМ (КЦ № 7)</t>
        </is>
      </c>
      <c r="K149" s="243" t="inlineStr"/>
      <c r="L149" s="243" t="inlineStr"/>
      <c r="M149" s="246" t="inlineStr"/>
      <c r="N149" s="245" t="inlineStr"/>
      <c r="O149" s="350" t="n"/>
    </row>
    <row r="150" ht="22.5" customHeight="1" s="236">
      <c r="A150" s="243" t="n">
        <v>149</v>
      </c>
      <c r="B150" s="249" t="inlineStr">
        <is>
          <t>Преобразователь избыточного давления</t>
        </is>
      </c>
      <c r="C150" s="248" t="inlineStr">
        <is>
          <t>Метран 150 TG</t>
        </is>
      </c>
      <c r="D150" s="302" t="inlineStr">
        <is>
          <t>6077575</t>
        </is>
      </c>
      <c r="E150" s="245" t="inlineStr"/>
      <c r="F150" s="245" t="inlineStr">
        <is>
          <t>0…160 кПа</t>
        </is>
      </c>
      <c r="G150" s="276" t="inlineStr">
        <is>
          <t>0.1</t>
        </is>
      </c>
      <c r="H150" s="248" t="inlineStr">
        <is>
          <t>Рв в установке воздухонагнетателя №1</t>
        </is>
      </c>
      <c r="I150" s="245" t="inlineStr">
        <is>
          <t>БКВ</t>
        </is>
      </c>
      <c r="J150" s="243" t="inlineStr">
        <is>
          <t>АСУ,А и ТМ (КЦ № 7)</t>
        </is>
      </c>
      <c r="K150" s="243" t="inlineStr"/>
      <c r="L150" s="243" t="inlineStr"/>
      <c r="M150" s="246" t="inlineStr"/>
      <c r="N150" s="245" t="inlineStr"/>
      <c r="O150" s="353" t="n"/>
    </row>
    <row r="151" ht="22.5" customHeight="1" s="236">
      <c r="A151" s="243" t="n">
        <v>150</v>
      </c>
      <c r="B151" s="249" t="inlineStr">
        <is>
          <t>Преобразователь избыточного давления</t>
        </is>
      </c>
      <c r="C151" s="248" t="inlineStr">
        <is>
          <t>Метран 150 TG</t>
        </is>
      </c>
      <c r="D151" s="302" t="inlineStr">
        <is>
          <t>6085983</t>
        </is>
      </c>
      <c r="E151" s="245" t="inlineStr"/>
      <c r="F151" s="245" t="inlineStr">
        <is>
          <t>0…6 МПа</t>
        </is>
      </c>
      <c r="G151" s="276" t="inlineStr">
        <is>
          <t>0.1</t>
        </is>
      </c>
      <c r="H151" s="248" t="inlineStr">
        <is>
          <t>Давление воздуха на линии подвода к ресиверу</t>
        </is>
      </c>
      <c r="I151" s="245" t="inlineStr">
        <is>
          <t>БКВ</t>
        </is>
      </c>
      <c r="J151" s="243" t="inlineStr">
        <is>
          <t>АСУ,А и ТМ (КЦ № 7)</t>
        </is>
      </c>
      <c r="K151" s="243" t="inlineStr"/>
      <c r="L151" s="243" t="inlineStr"/>
      <c r="M151" s="246" t="inlineStr"/>
      <c r="N151" s="245" t="inlineStr"/>
      <c r="O151" s="350" t="n"/>
    </row>
    <row r="152" ht="22.5" customHeight="1" s="236">
      <c r="A152" s="243" t="n">
        <v>151</v>
      </c>
      <c r="B152" s="249" t="inlineStr">
        <is>
          <t>Преобразователь избыточного давления</t>
        </is>
      </c>
      <c r="C152" s="248" t="inlineStr">
        <is>
          <t>Метран 150 TG</t>
        </is>
      </c>
      <c r="D152" s="302" t="inlineStr">
        <is>
          <t>6081378</t>
        </is>
      </c>
      <c r="E152" s="245" t="inlineStr"/>
      <c r="F152" s="245" t="inlineStr">
        <is>
          <t>0…160 кПа</t>
        </is>
      </c>
      <c r="G152" s="276" t="inlineStr">
        <is>
          <t>0.1</t>
        </is>
      </c>
      <c r="H152" s="248" t="inlineStr">
        <is>
          <t>Рв в установке воздухонагнетателя №2</t>
        </is>
      </c>
      <c r="I152" s="245" t="inlineStr">
        <is>
          <t>БКВ</t>
        </is>
      </c>
      <c r="J152" s="243" t="inlineStr">
        <is>
          <t>АСУ,А и ТМ (КЦ № 7)</t>
        </is>
      </c>
      <c r="K152" s="243" t="inlineStr"/>
      <c r="L152" s="243" t="inlineStr"/>
      <c r="M152" s="246" t="inlineStr"/>
      <c r="N152" s="245" t="inlineStr"/>
      <c r="O152" s="350" t="n"/>
    </row>
    <row r="153" ht="22.5" customHeight="1" s="236">
      <c r="A153" s="243" t="n">
        <v>152</v>
      </c>
      <c r="B153" s="249" t="inlineStr">
        <is>
          <t>Преобразователь избыточного давления</t>
        </is>
      </c>
      <c r="C153" s="248" t="inlineStr">
        <is>
          <t>Метран 150 TG</t>
        </is>
      </c>
      <c r="D153" s="302" t="inlineStr">
        <is>
          <t>6085990</t>
        </is>
      </c>
      <c r="E153" s="245" t="inlineStr"/>
      <c r="F153" s="245" t="inlineStr">
        <is>
          <t>0…160 кПа</t>
        </is>
      </c>
      <c r="G153" s="276" t="inlineStr">
        <is>
          <t>0.1</t>
        </is>
      </c>
      <c r="H153" s="248" t="inlineStr">
        <is>
          <t>Рв на выходе из БКВ к укрытию ГПА</t>
        </is>
      </c>
      <c r="I153" s="245" t="inlineStr">
        <is>
          <t>БКВ</t>
        </is>
      </c>
      <c r="J153" s="243" t="inlineStr">
        <is>
          <t>АСУ,А и ТМ (КЦ № 7)</t>
        </is>
      </c>
      <c r="K153" s="243" t="inlineStr"/>
      <c r="L153" s="243" t="inlineStr"/>
      <c r="M153" s="246" t="inlineStr"/>
      <c r="N153" s="245" t="inlineStr"/>
      <c r="O153" s="350" t="n"/>
    </row>
    <row r="154" ht="22.5" customHeight="1" s="236">
      <c r="A154" s="243" t="n">
        <v>153</v>
      </c>
      <c r="B154" s="249" t="inlineStr">
        <is>
          <t>Преобразователь избыточного давления</t>
        </is>
      </c>
      <c r="C154" s="248" t="inlineStr">
        <is>
          <t>Метран 150 CD</t>
        </is>
      </c>
      <c r="D154" s="302" t="inlineStr">
        <is>
          <t>61060411</t>
        </is>
      </c>
      <c r="E154" s="245" t="inlineStr"/>
      <c r="F154" s="245" t="inlineStr">
        <is>
          <t>0…6,3 кПа</t>
        </is>
      </c>
      <c r="G154" s="276" t="inlineStr">
        <is>
          <t>0.1</t>
        </is>
      </c>
      <c r="H154" s="248" t="inlineStr">
        <is>
          <t>∆Р воздуха в выходном воздуховоде БС</t>
        </is>
      </c>
      <c r="I154" s="245" t="inlineStr"/>
      <c r="J154" s="243" t="inlineStr">
        <is>
          <t>АСУ,А и ТМ (КЦ № 7)</t>
        </is>
      </c>
      <c r="K154" s="243" t="inlineStr"/>
      <c r="L154" s="243" t="inlineStr"/>
      <c r="M154" s="246" t="inlineStr"/>
      <c r="N154" s="245" t="inlineStr"/>
      <c r="O154" s="350" t="n"/>
    </row>
    <row r="155" ht="22.5" customHeight="1" s="236">
      <c r="A155" s="243" t="n">
        <v>154</v>
      </c>
      <c r="B155" s="249" t="inlineStr">
        <is>
          <t>Термометр сопротивления</t>
        </is>
      </c>
      <c r="C155" s="248" t="inlineStr">
        <is>
          <t>ИПТВ-206</t>
        </is>
      </c>
      <c r="D155" s="302" t="inlineStr">
        <is>
          <t>09-5142</t>
        </is>
      </c>
      <c r="E155" s="245" t="inlineStr">
        <is>
          <t>2015</t>
        </is>
      </c>
      <c r="F155" s="245" t="inlineStr">
        <is>
          <t>-60…110 °С 0…100%</t>
        </is>
      </c>
      <c r="G155" s="276" t="inlineStr">
        <is>
          <t>± 2%</t>
        </is>
      </c>
      <c r="H155" s="248" t="inlineStr">
        <is>
          <t>Температура и влажность наружного воздуха (МТ2051)</t>
        </is>
      </c>
      <c r="I155" s="245" t="inlineStr">
        <is>
          <t>КЦ</t>
        </is>
      </c>
      <c r="J155" s="243" t="inlineStr">
        <is>
          <t>АСУ,А и ТМ (КЦ № 7)</t>
        </is>
      </c>
      <c r="K155" s="243" t="inlineStr"/>
      <c r="L155" s="243" t="inlineStr"/>
      <c r="M155" s="246" t="inlineStr"/>
      <c r="N155" s="245" t="inlineStr"/>
      <c r="O155" s="350" t="n"/>
    </row>
    <row r="156" ht="22.5" customHeight="1" s="236">
      <c r="A156" s="243" t="n">
        <v>155</v>
      </c>
      <c r="B156" s="249" t="inlineStr">
        <is>
          <t>Термометр сопротивления</t>
        </is>
      </c>
      <c r="C156" s="248" t="inlineStr">
        <is>
          <t>ТСП 012.60</t>
        </is>
      </c>
      <c r="D156" s="302" t="inlineStr">
        <is>
          <t>1117</t>
        </is>
      </c>
      <c r="E156" s="245" t="inlineStr"/>
      <c r="F156" s="245" t="inlineStr">
        <is>
          <t>-60…200 °С 120 мм</t>
        </is>
      </c>
      <c r="G156" s="276" t="inlineStr"/>
      <c r="H156" s="248" t="inlineStr">
        <is>
          <t>Температура масла на входе в ГМТ (ТЕ6003)</t>
        </is>
      </c>
      <c r="I156" s="245" t="inlineStr">
        <is>
          <t>Масленая консоль</t>
        </is>
      </c>
      <c r="J156" s="243" t="inlineStr">
        <is>
          <t>АСУ,А и ТМ (КЦ № 7)</t>
        </is>
      </c>
      <c r="K156" s="243" t="inlineStr"/>
      <c r="L156" s="243" t="inlineStr"/>
      <c r="M156" s="246" t="inlineStr"/>
      <c r="N156" s="245" t="inlineStr"/>
      <c r="O156" s="350" t="n"/>
    </row>
    <row r="157" ht="22.5" customHeight="1" s="236">
      <c r="A157" s="243" t="n">
        <v>156</v>
      </c>
      <c r="B157" s="249" t="inlineStr">
        <is>
          <t>Термометр сопротивления</t>
        </is>
      </c>
      <c r="C157" s="248" t="inlineStr">
        <is>
          <t>ТСП 012.60</t>
        </is>
      </c>
      <c r="D157" s="302" t="inlineStr">
        <is>
          <t>1118</t>
        </is>
      </c>
      <c r="E157" s="245" t="inlineStr"/>
      <c r="F157" s="245" t="inlineStr">
        <is>
          <t>-60…200 °С 120 мм</t>
        </is>
      </c>
      <c r="G157" s="276" t="inlineStr"/>
      <c r="H157" s="248" t="inlineStr">
        <is>
          <t>Тм после ГМТ (ТЕ6004)</t>
        </is>
      </c>
      <c r="I157" s="245" t="inlineStr">
        <is>
          <t>Масленая консоль</t>
        </is>
      </c>
      <c r="J157" s="243" t="inlineStr">
        <is>
          <t>АСУ,А и ТМ (КЦ № 7)</t>
        </is>
      </c>
      <c r="K157" s="243" t="inlineStr"/>
      <c r="L157" s="243" t="inlineStr"/>
      <c r="M157" s="246" t="inlineStr"/>
      <c r="N157" s="245" t="inlineStr"/>
      <c r="O157" s="350" t="n"/>
    </row>
    <row r="158" ht="22.5" customHeight="1" s="236">
      <c r="A158" s="243" t="n">
        <v>157</v>
      </c>
      <c r="B158" s="249" t="inlineStr">
        <is>
          <t>Термометр сопротивления</t>
        </is>
      </c>
      <c r="C158" s="248" t="inlineStr">
        <is>
          <t>ТСП 012.60</t>
        </is>
      </c>
      <c r="D158" s="302" t="inlineStr">
        <is>
          <t>1115</t>
        </is>
      </c>
      <c r="E158" s="245" t="inlineStr"/>
      <c r="F158" s="245" t="inlineStr">
        <is>
          <t>-60…200 °С 120 мм</t>
        </is>
      </c>
      <c r="G158" s="276" t="inlineStr"/>
      <c r="H158" s="248" t="inlineStr">
        <is>
          <t>Тм в баке двигателя (ТЕ6005)</t>
        </is>
      </c>
      <c r="I158" s="245" t="inlineStr">
        <is>
          <t>Масленая консоль</t>
        </is>
      </c>
      <c r="J158" s="243" t="inlineStr">
        <is>
          <t>АСУ,А и ТМ (КЦ № 7)</t>
        </is>
      </c>
      <c r="K158" s="243" t="inlineStr"/>
      <c r="L158" s="243" t="inlineStr"/>
      <c r="M158" s="246" t="inlineStr"/>
      <c r="N158" s="245" t="inlineStr"/>
      <c r="O158" s="350" t="n"/>
    </row>
    <row r="159" ht="22.5" customHeight="1" s="236">
      <c r="A159" s="243" t="n">
        <v>158</v>
      </c>
      <c r="B159" s="249" t="inlineStr">
        <is>
          <t>Термометр сопротивления</t>
        </is>
      </c>
      <c r="C159" s="248" t="inlineStr">
        <is>
          <t>ТСП 012.60</t>
        </is>
      </c>
      <c r="D159" s="302" t="inlineStr">
        <is>
          <t>34</t>
        </is>
      </c>
      <c r="E159" s="245" t="inlineStr"/>
      <c r="F159" s="245" t="inlineStr">
        <is>
          <t>-60…200 °С 320 мм</t>
        </is>
      </c>
      <c r="G159" s="276" t="inlineStr"/>
      <c r="H159" s="248" t="inlineStr">
        <is>
          <t>Т воздуха в выходном воздуховоде блока силового (ТЕ4001)</t>
        </is>
      </c>
      <c r="I159" s="245" t="inlineStr"/>
      <c r="J159" s="243" t="inlineStr">
        <is>
          <t>АСУ,А и ТМ (КЦ № 7)</t>
        </is>
      </c>
      <c r="K159" s="243" t="inlineStr"/>
      <c r="L159" s="243" t="inlineStr"/>
      <c r="M159" s="246" t="inlineStr"/>
      <c r="N159" s="245" t="inlineStr"/>
      <c r="O159" s="350" t="n"/>
    </row>
    <row r="160" ht="22.5" customHeight="1" s="236">
      <c r="A160" s="243" t="n">
        <v>159</v>
      </c>
      <c r="B160" s="249" t="inlineStr">
        <is>
          <t>Термометр сопротивления</t>
        </is>
      </c>
      <c r="C160" s="248" t="inlineStr">
        <is>
          <t>ТСП 012.60</t>
        </is>
      </c>
      <c r="D160" s="302" t="inlineStr">
        <is>
          <t>803</t>
        </is>
      </c>
      <c r="E160" s="245" t="inlineStr"/>
      <c r="F160" s="245" t="inlineStr">
        <is>
          <t>-60…200 °С 100 мм</t>
        </is>
      </c>
      <c r="G160" s="276" t="inlineStr"/>
      <c r="H160" s="248" t="inlineStr">
        <is>
          <t>Тг на входе в ГПА (ТЕ5101)</t>
        </is>
      </c>
      <c r="I160" s="245" t="inlineStr"/>
      <c r="J160" s="243" t="inlineStr">
        <is>
          <t>АСУ,А и ТМ (КЦ № 7)</t>
        </is>
      </c>
      <c r="K160" s="243" t="inlineStr"/>
      <c r="L160" s="243" t="inlineStr"/>
      <c r="M160" s="246" t="inlineStr"/>
      <c r="N160" s="245" t="inlineStr"/>
      <c r="O160" s="350" t="n"/>
    </row>
    <row r="161" ht="22.5" customHeight="1" s="236">
      <c r="A161" s="243" t="n">
        <v>160</v>
      </c>
      <c r="B161" s="249" t="inlineStr">
        <is>
          <t>Термометр сопротивления</t>
        </is>
      </c>
      <c r="C161" s="248" t="inlineStr">
        <is>
          <t>ТСП 012.60</t>
        </is>
      </c>
      <c r="D161" s="302" t="inlineStr">
        <is>
          <t>802</t>
        </is>
      </c>
      <c r="E161" s="245" t="inlineStr"/>
      <c r="F161" s="245" t="inlineStr">
        <is>
          <t>-60…200 °С 100 мм</t>
        </is>
      </c>
      <c r="G161" s="276" t="inlineStr"/>
      <c r="H161" s="248" t="inlineStr">
        <is>
          <t>Тг на входе в турбоблок (ТЕ5102)</t>
        </is>
      </c>
      <c r="I161" s="245" t="inlineStr"/>
      <c r="J161" s="243" t="inlineStr">
        <is>
          <t>АСУ,А и ТМ (КЦ № 7)</t>
        </is>
      </c>
      <c r="K161" s="243" t="inlineStr"/>
      <c r="L161" s="243" t="inlineStr"/>
      <c r="M161" s="246" t="inlineStr"/>
      <c r="N161" s="245" t="inlineStr"/>
      <c r="O161" s="350" t="n"/>
    </row>
    <row r="162" ht="22.5" customHeight="1" s="236">
      <c r="A162" s="243" t="n">
        <v>161</v>
      </c>
      <c r="B162" s="249" t="inlineStr">
        <is>
          <t>Термометр сопротивления</t>
        </is>
      </c>
      <c r="C162" s="248" t="inlineStr">
        <is>
          <t>ТСП 012.60</t>
        </is>
      </c>
      <c r="D162" s="302" t="inlineStr">
        <is>
          <t>808</t>
        </is>
      </c>
      <c r="E162" s="245" t="inlineStr"/>
      <c r="F162" s="245" t="inlineStr">
        <is>
          <t>-60…200 °С 100 мм</t>
        </is>
      </c>
      <c r="G162" s="276" t="inlineStr"/>
      <c r="H162" s="248" t="inlineStr">
        <is>
          <t>Тг на выходе подогревателя (ТЕ5103)</t>
        </is>
      </c>
      <c r="I162" s="245" t="inlineStr"/>
      <c r="J162" s="243" t="inlineStr">
        <is>
          <t>АСУ,А и ТМ (КЦ № 7)</t>
        </is>
      </c>
      <c r="K162" s="243" t="inlineStr"/>
      <c r="L162" s="243" t="inlineStr"/>
      <c r="M162" s="246" t="inlineStr"/>
      <c r="N162" s="245" t="inlineStr"/>
      <c r="O162" s="350" t="n"/>
    </row>
    <row r="163" ht="22.5" customHeight="1" s="236">
      <c r="A163" s="243" t="n">
        <v>162</v>
      </c>
      <c r="B163" s="249" t="inlineStr">
        <is>
          <t>Термометр сопротивления</t>
        </is>
      </c>
      <c r="C163" s="248" t="inlineStr">
        <is>
          <t>ТСП 012.60</t>
        </is>
      </c>
      <c r="D163" s="302" t="inlineStr">
        <is>
          <t>730</t>
        </is>
      </c>
      <c r="E163" s="245" t="inlineStr">
        <is>
          <t>Apr.18</t>
        </is>
      </c>
      <c r="F163" s="245" t="inlineStr">
        <is>
          <t>-60…200 °С 400 мм</t>
        </is>
      </c>
      <c r="G163" s="276" t="inlineStr"/>
      <c r="H163" s="248" t="inlineStr">
        <is>
          <t>Тв во всасывающей камере (ТЕ2031)</t>
        </is>
      </c>
      <c r="I163" s="245" t="inlineStr"/>
      <c r="J163" s="243" t="inlineStr">
        <is>
          <t>АСУ,А и ТМ (КЦ № 7)</t>
        </is>
      </c>
      <c r="K163" s="243" t="inlineStr"/>
      <c r="L163" s="243" t="inlineStr"/>
      <c r="M163" s="246" t="inlineStr"/>
      <c r="N163" s="245" t="inlineStr"/>
      <c r="O163" s="350" t="n"/>
    </row>
    <row r="164" ht="22.5" customHeight="1" s="236">
      <c r="A164" s="239">
        <f>IF(B164&lt;&gt;"", COUNTA($B$2:B164), "")</f>
        <v/>
      </c>
      <c r="B164" s="342" t="inlineStr">
        <is>
          <t>Термометр сопротивления</t>
        </is>
      </c>
      <c r="C164" s="251" t="inlineStr">
        <is>
          <t>ТСП 012.08</t>
        </is>
      </c>
      <c r="D164" s="242" t="n">
        <v>597</v>
      </c>
      <c r="E164" s="242" t="n"/>
      <c r="F164" s="252" t="inlineStr">
        <is>
          <t>-60…200 °С
80 мм</t>
        </is>
      </c>
      <c r="G164" s="242" t="n"/>
      <c r="H164" s="239" t="inlineStr">
        <is>
          <t>Тв на выходе из БКВ к укрытию ГПА (ТЕ5302)</t>
        </is>
      </c>
      <c r="I164" s="242" t="n"/>
      <c r="J164" s="344" t="inlineStr">
        <is>
          <t>АСУ,А и ТМ (КЦ № 7)</t>
        </is>
      </c>
      <c r="K164" s="239" t="n"/>
      <c r="L164" s="239" t="n"/>
      <c r="M164" s="240" t="n"/>
      <c r="N164" s="242" t="n"/>
      <c r="O164" s="350" t="n"/>
    </row>
    <row r="165" ht="22.5" customHeight="1" s="236">
      <c r="A165" s="243" t="n">
        <v>164</v>
      </c>
      <c r="B165" s="346" t="inlineStr">
        <is>
          <t>Термометр сопротивления</t>
        </is>
      </c>
      <c r="C165" s="248" t="inlineStr">
        <is>
          <t>ТСП 012.60</t>
        </is>
      </c>
      <c r="D165" s="245" t="inlineStr">
        <is>
          <t>814</t>
        </is>
      </c>
      <c r="E165" s="245" t="inlineStr"/>
      <c r="F165" s="254" t="inlineStr">
        <is>
          <t>-60…200 °С 60 мм</t>
        </is>
      </c>
      <c r="G165" s="245" t="inlineStr"/>
      <c r="H165" s="243" t="inlineStr">
        <is>
          <t>Тв из блока подоготовки на входе в оболчки МП (ТЕ5304)</t>
        </is>
      </c>
      <c r="I165" s="245" t="inlineStr"/>
      <c r="J165" s="348" t="inlineStr">
        <is>
          <t>АСУ,А и ТМ (КЦ № 7)</t>
        </is>
      </c>
      <c r="K165" s="243" t="inlineStr"/>
      <c r="L165" s="243" t="inlineStr"/>
      <c r="M165" s="246" t="inlineStr"/>
      <c r="N165" s="245" t="inlineStr"/>
      <c r="O165" s="353" t="n"/>
    </row>
    <row r="166" ht="22.5" customHeight="1" s="236">
      <c r="A166" s="239">
        <f>IF(B166&lt;&gt;"", COUNTA($B$2:B166), "")</f>
        <v/>
      </c>
      <c r="B166" s="342" t="inlineStr">
        <is>
          <t>Термометр сопротивления</t>
        </is>
      </c>
      <c r="C166" s="251" t="inlineStr">
        <is>
          <t>ТСП 012.60</t>
        </is>
      </c>
      <c r="D166" s="242" t="n">
        <v>364</v>
      </c>
      <c r="E166" s="242" t="n"/>
      <c r="F166" s="252" t="inlineStr">
        <is>
          <t>-60…200 °С
80 мм</t>
        </is>
      </c>
      <c r="G166" s="242" t="n"/>
      <c r="H166" s="239" t="inlineStr">
        <is>
          <t>Тв на выходе из узла отбора (ТЕ5303)</t>
        </is>
      </c>
      <c r="I166" s="242" t="n"/>
      <c r="J166" s="344" t="inlineStr">
        <is>
          <t>АСУ,А и ТМ (КЦ № 7)</t>
        </is>
      </c>
      <c r="K166" s="239" t="n"/>
      <c r="L166" s="239" t="n"/>
      <c r="M166" s="240" t="n"/>
      <c r="N166" s="242" t="n"/>
      <c r="O166" s="350" t="n"/>
    </row>
    <row r="167" ht="22.5" customHeight="1" s="236">
      <c r="A167" s="243" t="n">
        <v>166</v>
      </c>
      <c r="B167" s="346" t="inlineStr">
        <is>
          <t>Термометр сопротивления</t>
        </is>
      </c>
      <c r="C167" s="248" t="inlineStr">
        <is>
          <t>ТСП 012.60</t>
        </is>
      </c>
      <c r="D167" s="245" t="inlineStr">
        <is>
          <t>914</t>
        </is>
      </c>
      <c r="E167" s="245" t="inlineStr"/>
      <c r="F167" s="254" t="inlineStr">
        <is>
          <t>-60…200 °С 60 мм</t>
        </is>
      </c>
      <c r="G167" s="245" t="inlineStr"/>
      <c r="H167" s="243" t="inlineStr">
        <is>
          <t>Тбг на входе в ГДУ ПКВ (ТЕ5203)</t>
        </is>
      </c>
      <c r="I167" s="245" t="inlineStr"/>
      <c r="J167" s="348" t="inlineStr">
        <is>
          <t>АСУ,А и ТМ (КЦ № 7)</t>
        </is>
      </c>
      <c r="K167" s="243" t="inlineStr"/>
      <c r="L167" s="243" t="inlineStr"/>
      <c r="M167" s="246" t="inlineStr"/>
      <c r="N167" s="245" t="inlineStr"/>
      <c r="O167" s="353" t="n"/>
    </row>
    <row r="168" ht="22.5" customHeight="1" s="236">
      <c r="A168" s="243" t="n">
        <v>167</v>
      </c>
      <c r="B168" s="346" t="inlineStr">
        <is>
          <t>Термометр сопротивления</t>
        </is>
      </c>
      <c r="C168" s="248" t="inlineStr">
        <is>
          <t>ТСП 012.60</t>
        </is>
      </c>
      <c r="D168" s="245" t="inlineStr">
        <is>
          <t>913</t>
        </is>
      </c>
      <c r="E168" s="245" t="inlineStr"/>
      <c r="F168" s="254" t="inlineStr">
        <is>
          <t>-60…200 °С 60 мм</t>
        </is>
      </c>
      <c r="G168" s="245" t="inlineStr"/>
      <c r="H168" s="243" t="inlineStr">
        <is>
          <t>Тбг на входе в ГДУ ЗКВ (ТЕ5204)</t>
        </is>
      </c>
      <c r="I168" s="245" t="inlineStr"/>
      <c r="J168" s="348" t="inlineStr">
        <is>
          <t>АСУ,А и ТМ (КЦ № 7)</t>
        </is>
      </c>
      <c r="K168" s="243" t="inlineStr"/>
      <c r="L168" s="243" t="inlineStr"/>
      <c r="M168" s="246" t="inlineStr"/>
      <c r="N168" s="245" t="inlineStr"/>
      <c r="O168" s="350" t="n"/>
    </row>
    <row r="169" ht="22.5" customHeight="1" s="236">
      <c r="A169" s="243" t="n">
        <v>168</v>
      </c>
      <c r="B169" s="346" t="inlineStr">
        <is>
          <t>Термометр сопротивления</t>
        </is>
      </c>
      <c r="C169" s="248" t="inlineStr">
        <is>
          <t>ДТС 214</t>
        </is>
      </c>
      <c r="D169" s="245" t="inlineStr">
        <is>
          <t>61216180507116380</t>
        </is>
      </c>
      <c r="E169" s="245" t="inlineStr">
        <is>
          <t>2018</t>
        </is>
      </c>
      <c r="F169" s="254" t="inlineStr">
        <is>
          <t>-60…250 °С</t>
        </is>
      </c>
      <c r="G169" s="245" t="inlineStr"/>
      <c r="H169" s="243" t="inlineStr">
        <is>
          <t>Т алюминиевого блока подогревателя топливного газа (ТЕ5104)</t>
        </is>
      </c>
      <c r="I169" s="245" t="inlineStr"/>
      <c r="J169" s="348" t="inlineStr">
        <is>
          <t>АСУ,А и ТМ (КЦ № 7)</t>
        </is>
      </c>
      <c r="K169" s="243" t="inlineStr"/>
      <c r="L169" s="243" t="inlineStr"/>
      <c r="M169" s="246" t="inlineStr"/>
      <c r="N169" s="245" t="inlineStr"/>
      <c r="O169" s="353" t="n"/>
    </row>
    <row r="170" ht="22.5" customHeight="1" s="236">
      <c r="A170" s="243" t="n">
        <v>169</v>
      </c>
      <c r="B170" s="346" t="inlineStr">
        <is>
          <t>Термометр сопротивления</t>
        </is>
      </c>
      <c r="C170" s="248" t="inlineStr">
        <is>
          <t>ТСП 012.60</t>
        </is>
      </c>
      <c r="D170" s="245" t="inlineStr">
        <is>
          <t>1071</t>
        </is>
      </c>
      <c r="E170" s="245" t="inlineStr"/>
      <c r="F170" s="254" t="inlineStr">
        <is>
          <t>-60…200 °С 100 мм</t>
        </is>
      </c>
      <c r="G170" s="245" t="inlineStr"/>
      <c r="H170" s="243" t="inlineStr">
        <is>
          <t>Тв на выходе из оболочки радиального подшипника (ПКВ) (ТЕ5205)</t>
        </is>
      </c>
      <c r="I170" s="245" t="inlineStr"/>
      <c r="J170" s="348" t="inlineStr">
        <is>
          <t>АСУ,А и ТМ (КЦ № 7)</t>
        </is>
      </c>
      <c r="K170" s="243" t="inlineStr"/>
      <c r="L170" s="243" t="inlineStr"/>
      <c r="M170" s="246" t="inlineStr"/>
      <c r="N170" s="245" t="inlineStr"/>
      <c r="O170" s="350" t="n"/>
    </row>
    <row r="171" ht="22.5" customHeight="1" s="236">
      <c r="A171" s="243" t="n">
        <v>170</v>
      </c>
      <c r="B171" s="346" t="inlineStr">
        <is>
          <t>Термометр сопротивления</t>
        </is>
      </c>
      <c r="C171" s="248" t="inlineStr">
        <is>
          <t>ТСП 012.52В</t>
        </is>
      </c>
      <c r="D171" s="245" t="inlineStr">
        <is>
          <t>46</t>
        </is>
      </c>
      <c r="E171" s="245" t="inlineStr"/>
      <c r="F171" s="254" t="inlineStr">
        <is>
          <t>-60…200 °С 160 мм</t>
        </is>
      </c>
      <c r="G171" s="245" t="inlineStr"/>
      <c r="H171" s="243" t="inlineStr">
        <is>
          <t>Тв на выходе из оболочки радиального подшипника ЗКВ (ТЕ5206)</t>
        </is>
      </c>
      <c r="I171" s="245" t="inlineStr"/>
      <c r="J171" s="348" t="inlineStr">
        <is>
          <t>АСУ,А и ТМ (КЦ № 7)</t>
        </is>
      </c>
      <c r="K171" s="243" t="inlineStr"/>
      <c r="L171" s="243" t="inlineStr"/>
      <c r="M171" s="246" t="inlineStr"/>
      <c r="N171" s="245" t="inlineStr"/>
      <c r="O171" s="350" t="n"/>
    </row>
    <row r="172" ht="22.5" customHeight="1" s="236">
      <c r="A172" s="243" t="n">
        <v>171</v>
      </c>
      <c r="B172" s="346" t="inlineStr">
        <is>
          <t>Термометр сопротивления</t>
        </is>
      </c>
      <c r="C172" s="248" t="inlineStr">
        <is>
          <t>ТСП 012.60</t>
        </is>
      </c>
      <c r="D172" s="245" t="inlineStr">
        <is>
          <t>1576</t>
        </is>
      </c>
      <c r="E172" s="245" t="inlineStr"/>
      <c r="F172" s="254" t="inlineStr">
        <is>
          <t>-60…200 °С 400 мм</t>
        </is>
      </c>
      <c r="G172" s="245" t="inlineStr"/>
      <c r="H172" s="243" t="inlineStr">
        <is>
          <t>Тг на входе в компрессор (ТЕ8001)</t>
        </is>
      </c>
      <c r="I172" s="245" t="inlineStr"/>
      <c r="J172" s="348" t="inlineStr">
        <is>
          <t>АСУ,А и ТМ (КЦ № 7)</t>
        </is>
      </c>
      <c r="K172" s="243" t="inlineStr"/>
      <c r="L172" s="243" t="inlineStr"/>
      <c r="M172" s="246" t="inlineStr"/>
      <c r="N172" s="245" t="inlineStr"/>
      <c r="O172" s="350" t="n"/>
    </row>
    <row r="173" ht="22.5" customHeight="1" s="236">
      <c r="A173" s="243" t="n">
        <v>172</v>
      </c>
      <c r="B173" s="346" t="inlineStr">
        <is>
          <t>Термометр сопротивления</t>
        </is>
      </c>
      <c r="C173" s="248" t="inlineStr">
        <is>
          <t>ТСП 012.60</t>
        </is>
      </c>
      <c r="D173" s="245" t="inlineStr">
        <is>
          <t>1583</t>
        </is>
      </c>
      <c r="E173" s="245" t="inlineStr"/>
      <c r="F173" s="254" t="inlineStr">
        <is>
          <t>-60…200 °С 100 мм</t>
        </is>
      </c>
      <c r="G173" s="245" t="inlineStr"/>
      <c r="H173" s="243" t="inlineStr">
        <is>
          <t>Тг на выходе из компрессор (ТЕ8002)</t>
        </is>
      </c>
      <c r="I173" s="245" t="inlineStr"/>
      <c r="J173" s="348" t="inlineStr">
        <is>
          <t>АСУ,А и ТМ (КЦ № 7)</t>
        </is>
      </c>
      <c r="K173" s="243" t="inlineStr"/>
      <c r="L173" s="243" t="inlineStr"/>
      <c r="M173" s="246" t="inlineStr"/>
      <c r="N173" s="245" t="inlineStr"/>
      <c r="O173" s="350" t="n"/>
    </row>
    <row r="174" ht="22.5" customHeight="1" s="236">
      <c r="A174" s="243" t="n">
        <v>173</v>
      </c>
      <c r="B174" s="346" t="inlineStr">
        <is>
          <t>Термометр сопротивления</t>
        </is>
      </c>
      <c r="C174" s="248" t="inlineStr">
        <is>
          <t>ТСП 012.СП</t>
        </is>
      </c>
      <c r="D174" s="245" t="inlineStr">
        <is>
          <t>601</t>
        </is>
      </c>
      <c r="E174" s="245" t="inlineStr"/>
      <c r="F174" s="254" t="inlineStr">
        <is>
          <t>-60…200 °С 80 мм</t>
        </is>
      </c>
      <c r="G174" s="245" t="inlineStr"/>
      <c r="H174" s="243" t="inlineStr">
        <is>
          <t>Тв в БКВ (ТЕ5301)</t>
        </is>
      </c>
      <c r="I174" s="245" t="inlineStr"/>
      <c r="J174" s="348" t="inlineStr">
        <is>
          <t>АСУ,А и ТМ (КЦ № 7)</t>
        </is>
      </c>
      <c r="K174" s="243" t="inlineStr"/>
      <c r="L174" s="243" t="inlineStr"/>
      <c r="M174" s="246" t="inlineStr"/>
      <c r="N174" s="245" t="inlineStr"/>
      <c r="O174" s="350" t="n"/>
    </row>
    <row r="175" ht="22.5" customHeight="1" s="236">
      <c r="A175" s="243" t="n">
        <v>174</v>
      </c>
      <c r="B175" s="346" t="inlineStr">
        <is>
          <t>Термометр сопротивления</t>
        </is>
      </c>
      <c r="C175" s="248" t="inlineStr">
        <is>
          <t>ТСП 012.02</t>
        </is>
      </c>
      <c r="D175" s="245" t="inlineStr">
        <is>
          <t>633</t>
        </is>
      </c>
      <c r="E175" s="245" t="inlineStr"/>
      <c r="F175" s="254" t="inlineStr">
        <is>
          <t>-60…200 °С 60 мм</t>
        </is>
      </c>
      <c r="G175" s="245" t="inlineStr"/>
      <c r="H175" s="243" t="inlineStr">
        <is>
          <t>Тв в отсеке САУ (ТЕ8101)</t>
        </is>
      </c>
      <c r="I175" s="245" t="inlineStr"/>
      <c r="J175" s="348" t="inlineStr">
        <is>
          <t>АСУ,А и ТМ (КЦ № 7)</t>
        </is>
      </c>
      <c r="K175" s="243" t="inlineStr"/>
      <c r="L175" s="243" t="inlineStr"/>
      <c r="M175" s="246" t="inlineStr"/>
      <c r="N175" s="245" t="inlineStr"/>
      <c r="O175" s="350" t="n"/>
    </row>
    <row r="176" ht="22.5" customHeight="1" s="236">
      <c r="A176" s="243" t="n">
        <v>175</v>
      </c>
      <c r="B176" s="346" t="inlineStr">
        <is>
          <t>Термометр сопротивления</t>
        </is>
      </c>
      <c r="C176" s="248" t="inlineStr">
        <is>
          <t>ТСП 012.60</t>
        </is>
      </c>
      <c r="D176" s="245" t="inlineStr">
        <is>
          <t>632</t>
        </is>
      </c>
      <c r="E176" s="245" t="inlineStr"/>
      <c r="F176" s="254" t="inlineStr">
        <is>
          <t>-60…200 °С 60 мм</t>
        </is>
      </c>
      <c r="G176" s="245" t="inlineStr"/>
      <c r="H176" s="243" t="inlineStr">
        <is>
          <t>Тв в БЭТ (ТЕ8102)</t>
        </is>
      </c>
      <c r="I176" s="245" t="inlineStr"/>
      <c r="J176" s="348" t="inlineStr">
        <is>
          <t>АСУ,А и ТМ (КЦ № 7)</t>
        </is>
      </c>
      <c r="K176" s="243" t="inlineStr"/>
      <c r="L176" s="243" t="inlineStr"/>
      <c r="M176" s="246" t="inlineStr"/>
      <c r="N176" s="245" t="inlineStr"/>
      <c r="O176" s="350" t="n"/>
    </row>
    <row r="177" ht="22.5" customHeight="1" s="236">
      <c r="A177" s="243" t="n">
        <v>176</v>
      </c>
      <c r="B177" s="346" t="inlineStr">
        <is>
          <t>Термометр сопротивления</t>
        </is>
      </c>
      <c r="C177" s="248" t="inlineStr">
        <is>
          <t>ТСП 012.60</t>
        </is>
      </c>
      <c r="D177" s="245" t="inlineStr">
        <is>
          <t>1116</t>
        </is>
      </c>
      <c r="E177" s="245" t="inlineStr"/>
      <c r="F177" s="254" t="inlineStr">
        <is>
          <t>-60…200 °С 400 мм</t>
        </is>
      </c>
      <c r="G177" s="245" t="inlineStr"/>
      <c r="H177" s="243" t="inlineStr">
        <is>
          <t>Тм на выходе из двигателя (ТЕ6002)</t>
        </is>
      </c>
      <c r="I177" s="245" t="inlineStr"/>
      <c r="J177" s="348" t="inlineStr">
        <is>
          <t>АСУ,А и ТМ (КЦ № 7)</t>
        </is>
      </c>
      <c r="K177" s="243" t="inlineStr"/>
      <c r="L177" s="243" t="inlineStr"/>
      <c r="M177" s="246" t="inlineStr"/>
      <c r="N177" s="245" t="inlineStr"/>
      <c r="O177" s="350" t="n"/>
    </row>
    <row r="178" ht="22.5" customHeight="1" s="236">
      <c r="A178" s="243" t="n">
        <v>177</v>
      </c>
      <c r="B178" s="346" t="inlineStr">
        <is>
          <t>Термометр сопротивления</t>
        </is>
      </c>
      <c r="C178" s="248" t="inlineStr">
        <is>
          <t>ТСП 012.60</t>
        </is>
      </c>
      <c r="D178" s="245" t="inlineStr">
        <is>
          <t>74</t>
        </is>
      </c>
      <c r="E178" s="245" t="inlineStr"/>
      <c r="F178" s="254" t="inlineStr">
        <is>
          <t>-50…150 °С 250 мм</t>
        </is>
      </c>
      <c r="G178" s="245" t="inlineStr">
        <is>
          <t>0.50%</t>
        </is>
      </c>
      <c r="H178" s="243" t="inlineStr">
        <is>
          <t>Тбг после подогревателя в стойке СГУ (ТТ5202)</t>
        </is>
      </c>
      <c r="I178" s="245" t="inlineStr"/>
      <c r="J178" s="348" t="inlineStr">
        <is>
          <t>АСУ,А и ТМ (КЦ № 7)</t>
        </is>
      </c>
      <c r="K178" s="243" t="inlineStr"/>
      <c r="L178" s="243" t="inlineStr"/>
      <c r="M178" s="246" t="inlineStr"/>
      <c r="N178" s="245" t="inlineStr"/>
      <c r="O178" s="350" t="n"/>
    </row>
    <row r="179" ht="33.75" customHeight="1" s="236">
      <c r="A179" s="243" t="n">
        <v>178</v>
      </c>
      <c r="B179" s="346" t="inlineStr">
        <is>
          <t>Термометр сопротивления</t>
        </is>
      </c>
      <c r="C179" s="248" t="inlineStr">
        <is>
          <t>ДТС 214</t>
        </is>
      </c>
      <c r="D179" s="245" t="inlineStr">
        <is>
          <t>58861200244052276</t>
        </is>
      </c>
      <c r="E179" s="245" t="inlineStr">
        <is>
          <t>Nov.18</t>
        </is>
      </c>
      <c r="F179" s="254" t="inlineStr">
        <is>
          <t>-60…250 °С</t>
        </is>
      </c>
      <c r="G179" s="245" t="inlineStr"/>
      <c r="H179" s="243" t="inlineStr">
        <is>
          <t>Т алюминиевого блока подогревателя предпусковой подготовки буферного газа (ТТ5206)</t>
        </is>
      </c>
      <c r="I179" s="245" t="inlineStr"/>
      <c r="J179" s="348" t="inlineStr">
        <is>
          <t>АСУ,А и ТМ (КЦ № 7)</t>
        </is>
      </c>
      <c r="K179" s="243" t="inlineStr"/>
      <c r="L179" s="243" t="inlineStr"/>
      <c r="M179" s="246" t="inlineStr"/>
      <c r="N179" s="245" t="inlineStr"/>
      <c r="O179" s="353" t="n"/>
    </row>
    <row r="180" ht="22.5" customHeight="1" s="236">
      <c r="A180" s="243" t="n">
        <v>179</v>
      </c>
      <c r="B180" s="346" t="inlineStr">
        <is>
          <t>Термометр сопротивления</t>
        </is>
      </c>
      <c r="C180" s="248" t="inlineStr">
        <is>
          <t>ТСП 012.60</t>
        </is>
      </c>
      <c r="D180" s="245" t="inlineStr">
        <is>
          <t>1804</t>
        </is>
      </c>
      <c r="E180" s="245" t="inlineStr">
        <is>
          <t>2018</t>
        </is>
      </c>
      <c r="F180" s="254" t="inlineStr">
        <is>
          <t>-60…200 °С 120 мм</t>
        </is>
      </c>
      <c r="G180" s="245" t="inlineStr"/>
      <c r="H180" s="243" t="inlineStr">
        <is>
          <t>Тв в блоке маслоочистителя (ТЕ6006)</t>
        </is>
      </c>
      <c r="I180" s="245" t="inlineStr"/>
      <c r="J180" s="348" t="inlineStr">
        <is>
          <t>АСУ,А и ТМ (КЦ № 7)</t>
        </is>
      </c>
      <c r="K180" s="243" t="inlineStr"/>
      <c r="L180" s="243" t="inlineStr"/>
      <c r="M180" s="246" t="inlineStr"/>
      <c r="N180" s="245" t="inlineStr"/>
      <c r="O180" s="350" t="n"/>
    </row>
    <row r="181" ht="22.5" customHeight="1" s="236">
      <c r="A181" s="243" t="n">
        <v>180</v>
      </c>
      <c r="B181" s="346" t="inlineStr">
        <is>
          <t>Термометр сопротивления</t>
        </is>
      </c>
      <c r="C181" s="248" t="inlineStr">
        <is>
          <t>ТСП 012.02</t>
        </is>
      </c>
      <c r="D181" s="245" t="inlineStr">
        <is>
          <t>645</t>
        </is>
      </c>
      <c r="E181" s="245" t="inlineStr">
        <is>
          <t>2018</t>
        </is>
      </c>
      <c r="F181" s="254" t="inlineStr">
        <is>
          <t>-60…200 °С 60 мм</t>
        </is>
      </c>
      <c r="G181" s="245" t="inlineStr"/>
      <c r="H181" s="243" t="inlineStr">
        <is>
          <t>Тв в БЭТ АВОГ (ТЕ8201)</t>
        </is>
      </c>
      <c r="I181" s="245" t="inlineStr"/>
      <c r="J181" s="348" t="inlineStr">
        <is>
          <t>АСУ,А и ТМ (КЦ № 7)</t>
        </is>
      </c>
      <c r="K181" s="243" t="inlineStr"/>
      <c r="L181" s="243" t="inlineStr"/>
      <c r="M181" s="246" t="inlineStr"/>
      <c r="N181" s="245" t="inlineStr"/>
      <c r="O181" s="350" t="n"/>
    </row>
    <row r="182" ht="22.5" customHeight="1" s="236">
      <c r="A182" s="243" t="n">
        <v>181</v>
      </c>
      <c r="B182" s="346" t="inlineStr">
        <is>
          <t>Термометр сопротивления</t>
        </is>
      </c>
      <c r="C182" s="248" t="inlineStr">
        <is>
          <t>ТСП 012.60</t>
        </is>
      </c>
      <c r="D182" s="245" t="inlineStr">
        <is>
          <t>1864</t>
        </is>
      </c>
      <c r="E182" s="245" t="inlineStr">
        <is>
          <t>2018</t>
        </is>
      </c>
      <c r="F182" s="254" t="inlineStr">
        <is>
          <t>-60…200 °С 60 мм</t>
        </is>
      </c>
      <c r="G182" s="245" t="inlineStr">
        <is>
          <t>В</t>
        </is>
      </c>
      <c r="H182" s="243" t="inlineStr">
        <is>
          <t>Ттг перед ДГ</t>
        </is>
      </c>
      <c r="I182" s="245" t="inlineStr"/>
      <c r="J182" s="348" t="inlineStr"/>
      <c r="K182" s="243" t="inlineStr"/>
      <c r="L182" s="243" t="inlineStr"/>
      <c r="M182" s="246" t="inlineStr"/>
      <c r="N182" s="245" t="inlineStr"/>
      <c r="O182" s="350" t="n"/>
    </row>
    <row r="183" ht="22.5" customHeight="1" s="236">
      <c r="A183" s="243" t="n">
        <v>182</v>
      </c>
      <c r="B183" s="346" t="inlineStr">
        <is>
          <t>Термометр сопротивления</t>
        </is>
      </c>
      <c r="C183" s="248" t="inlineStr">
        <is>
          <t>Метран-2700</t>
        </is>
      </c>
      <c r="D183" s="245" t="inlineStr">
        <is>
          <t>2433631</t>
        </is>
      </c>
      <c r="E183" s="245" t="inlineStr">
        <is>
          <t>Apr.18</t>
        </is>
      </c>
      <c r="F183" s="254" t="inlineStr">
        <is>
          <t>-50…300 °С 60 мм</t>
        </is>
      </c>
      <c r="G183" s="245" t="inlineStr">
        <is>
          <t>0.25%</t>
        </is>
      </c>
      <c r="H183" s="243" t="inlineStr">
        <is>
          <t>Тбг на подогревателе СГУ</t>
        </is>
      </c>
      <c r="I183" s="245" t="inlineStr"/>
      <c r="J183" s="348" t="inlineStr">
        <is>
          <t>АСУ,А и ТМ (КЦ № 7)</t>
        </is>
      </c>
      <c r="K183" s="243" t="inlineStr"/>
      <c r="L183" s="243" t="inlineStr"/>
      <c r="M183" s="246" t="inlineStr"/>
      <c r="N183" s="245" t="inlineStr"/>
      <c r="O183" s="350" t="n"/>
    </row>
    <row r="184" ht="22.5" customHeight="1" s="236">
      <c r="A184" s="243" t="n">
        <v>183</v>
      </c>
      <c r="B184" s="346" t="inlineStr">
        <is>
          <t>Термометр сопротивления</t>
        </is>
      </c>
      <c r="C184" s="248" t="inlineStr">
        <is>
          <t>ТСП 012.60</t>
        </is>
      </c>
      <c r="D184" s="245" t="inlineStr">
        <is>
          <t>795</t>
        </is>
      </c>
      <c r="E184" s="245" t="inlineStr"/>
      <c r="F184" s="254" t="inlineStr">
        <is>
          <t>-60…200 °С 100 мм</t>
        </is>
      </c>
      <c r="G184" s="245" t="inlineStr"/>
      <c r="H184" s="243" t="inlineStr">
        <is>
          <t>Тбг после подогревателя предпусковой подготовки (ТЕ5208)</t>
        </is>
      </c>
      <c r="I184" s="245" t="inlineStr"/>
      <c r="J184" s="348" t="inlineStr">
        <is>
          <t>АСУ,А и ТМ (КЦ № 7)</t>
        </is>
      </c>
      <c r="K184" s="243" t="inlineStr"/>
      <c r="L184" s="243" t="inlineStr"/>
      <c r="M184" s="246" t="inlineStr"/>
      <c r="N184" s="245" t="inlineStr"/>
      <c r="O184" s="350" t="n"/>
    </row>
    <row r="185" ht="22.5" customHeight="1" s="236">
      <c r="A185" s="239">
        <f>IF(B185&lt;&gt;"", COUNTA($B$2:B185), "")</f>
        <v/>
      </c>
      <c r="B185" s="342" t="inlineStr">
        <is>
          <t>Термометр сопротивления</t>
        </is>
      </c>
      <c r="C185" s="251" t="inlineStr">
        <is>
          <t>ТСП 012.08</t>
        </is>
      </c>
      <c r="D185" s="242" t="n">
        <v>590</v>
      </c>
      <c r="E185" s="277" t="n"/>
      <c r="F185" s="252" t="inlineStr">
        <is>
          <t>-60…200 °С
80 мм</t>
        </is>
      </c>
      <c r="G185" s="242" t="n"/>
      <c r="H185" s="239" t="inlineStr">
        <is>
          <t>Тв подоваемого в воздуходовки (ТЕ5306)</t>
        </is>
      </c>
      <c r="I185" s="242" t="n"/>
      <c r="J185" s="344" t="inlineStr">
        <is>
          <t>АСУ,А и ТМ (КЦ № 7)</t>
        </is>
      </c>
      <c r="K185" s="239" t="n"/>
      <c r="L185" s="239" t="n"/>
      <c r="M185" s="270" t="n"/>
      <c r="N185" s="242" t="n"/>
      <c r="O185" s="350" t="n"/>
    </row>
    <row r="186" ht="22.5" customHeight="1" s="236">
      <c r="A186" s="243" t="n">
        <v>185</v>
      </c>
      <c r="B186" s="346" t="inlineStr">
        <is>
          <t>Термометр сопротивления</t>
        </is>
      </c>
      <c r="C186" s="248" t="inlineStr">
        <is>
          <t>ТСПУ 031 СК</t>
        </is>
      </c>
      <c r="D186" s="245" t="inlineStr">
        <is>
          <t>105</t>
        </is>
      </c>
      <c r="E186" s="273" t="inlineStr">
        <is>
          <t>2018</t>
        </is>
      </c>
      <c r="F186" s="254" t="inlineStr">
        <is>
          <t>-50…200 °С 250 мм</t>
        </is>
      </c>
      <c r="G186" s="245" t="inlineStr"/>
      <c r="H186" s="243" t="inlineStr">
        <is>
          <t>Тг на выходе АВО перед клапаном 6к (ТТ2)</t>
        </is>
      </c>
      <c r="I186" s="245" t="inlineStr"/>
      <c r="J186" s="348" t="inlineStr"/>
      <c r="K186" s="243" t="inlineStr"/>
      <c r="L186" s="243" t="inlineStr"/>
      <c r="M186" s="272" t="inlineStr"/>
      <c r="N186" s="245" t="inlineStr"/>
      <c r="O186" s="350" t="n"/>
    </row>
    <row r="187" ht="22.5" customHeight="1" s="236">
      <c r="A187" s="243" t="n">
        <v>186</v>
      </c>
      <c r="B187" s="346" t="inlineStr">
        <is>
          <t>Термометр сопротивления</t>
        </is>
      </c>
      <c r="C187" s="248" t="inlineStr">
        <is>
          <t>ТСПУ 031 СК</t>
        </is>
      </c>
      <c r="D187" s="245" t="inlineStr">
        <is>
          <t>100</t>
        </is>
      </c>
      <c r="E187" s="273" t="inlineStr">
        <is>
          <t>2018</t>
        </is>
      </c>
      <c r="F187" s="254" t="inlineStr">
        <is>
          <t>-50…200 °С 250 мм</t>
        </is>
      </c>
      <c r="G187" s="245" t="inlineStr">
        <is>
          <t>0.3</t>
        </is>
      </c>
      <c r="H187" s="243" t="inlineStr">
        <is>
          <t>Тг на выходе АВО перед клапаном 2 (ТТ1)</t>
        </is>
      </c>
      <c r="I187" s="245" t="inlineStr"/>
      <c r="J187" s="348" t="inlineStr"/>
      <c r="K187" s="243" t="inlineStr"/>
      <c r="L187" s="243" t="inlineStr"/>
      <c r="M187" s="272" t="inlineStr"/>
      <c r="N187" s="245" t="inlineStr"/>
      <c r="O187" s="350" t="n"/>
    </row>
    <row r="188" ht="22.5" customHeight="1" s="236">
      <c r="A188" s="243" t="n">
        <v>187</v>
      </c>
      <c r="B188" s="346" t="inlineStr">
        <is>
          <t>Термометр сопротивления</t>
        </is>
      </c>
      <c r="C188" s="248" t="inlineStr">
        <is>
          <t>ТСП 012.08</t>
        </is>
      </c>
      <c r="D188" s="245" t="inlineStr">
        <is>
          <t>590</t>
        </is>
      </c>
      <c r="E188" s="273" t="inlineStr">
        <is>
          <t>2018</t>
        </is>
      </c>
      <c r="F188" s="254" t="inlineStr">
        <is>
          <t>-50…150 °С 80 мм</t>
        </is>
      </c>
      <c r="G188" s="245" t="inlineStr">
        <is>
          <t>0.25%</t>
        </is>
      </c>
      <c r="H188" s="243" t="inlineStr">
        <is>
          <t>Тв в общем колекторе</t>
        </is>
      </c>
      <c r="I188" s="245" t="inlineStr"/>
      <c r="J188" s="348" t="inlineStr">
        <is>
          <t>АСУ,А и ТМ (КЦ № 7)</t>
        </is>
      </c>
      <c r="K188" s="243" t="inlineStr"/>
      <c r="L188" s="243" t="inlineStr"/>
      <c r="M188" s="272" t="inlineStr"/>
      <c r="N188" s="245" t="inlineStr"/>
      <c r="O188" s="350" t="n"/>
    </row>
    <row r="189" ht="22.5" customHeight="1" s="236">
      <c r="A189" s="243" t="n">
        <v>188</v>
      </c>
      <c r="B189" s="346" t="inlineStr">
        <is>
          <t>Термометр сопротивления</t>
        </is>
      </c>
      <c r="C189" s="248" t="inlineStr">
        <is>
          <t>ТСПУ014.12</t>
        </is>
      </c>
      <c r="D189" s="245" t="inlineStr">
        <is>
          <t>365</t>
        </is>
      </c>
      <c r="E189" s="273" t="inlineStr">
        <is>
          <t>2018</t>
        </is>
      </c>
      <c r="F189" s="254" t="inlineStr">
        <is>
          <t>-60…200 °С 80 мм</t>
        </is>
      </c>
      <c r="G189" s="245" t="inlineStr">
        <is>
          <t>В</t>
        </is>
      </c>
      <c r="H189" s="243" t="inlineStr">
        <is>
          <t>Тв в общем колекторе</t>
        </is>
      </c>
      <c r="I189" s="245" t="inlineStr"/>
      <c r="J189" s="348" t="inlineStr">
        <is>
          <t>АСУ,А и ТМ (КЦ № 7)</t>
        </is>
      </c>
      <c r="K189" s="243" t="inlineStr"/>
      <c r="L189" s="243" t="inlineStr"/>
      <c r="M189" s="272" t="inlineStr"/>
      <c r="N189" s="245" t="inlineStr"/>
      <c r="O189" s="350" t="n"/>
    </row>
    <row r="190" ht="22.5" customHeight="1" s="236">
      <c r="A190" s="243" t="n">
        <v>189</v>
      </c>
      <c r="B190" s="346" t="inlineStr">
        <is>
          <t>Термометр сопротивления</t>
        </is>
      </c>
      <c r="C190" s="248" t="inlineStr">
        <is>
          <t>Метран-2000 А02 НСХ</t>
        </is>
      </c>
      <c r="D190" s="245" t="inlineStr">
        <is>
          <t>2444273</t>
        </is>
      </c>
      <c r="E190" s="273" t="inlineStr">
        <is>
          <t>2018</t>
        </is>
      </c>
      <c r="F190" s="254" t="inlineStr">
        <is>
          <t>-50…200 °С 60 мм</t>
        </is>
      </c>
      <c r="G190" s="245" t="inlineStr"/>
      <c r="H190" s="243" t="inlineStr">
        <is>
          <t>Тв на выходе ресивера ГШ5301</t>
        </is>
      </c>
      <c r="I190" s="245" t="inlineStr"/>
      <c r="J190" s="348" t="inlineStr">
        <is>
          <t>АСУ,А и ТМ (КЦ № 7)</t>
        </is>
      </c>
      <c r="K190" s="243" t="inlineStr"/>
      <c r="L190" s="243" t="inlineStr"/>
      <c r="M190" s="272" t="inlineStr"/>
      <c r="N190" s="245" t="inlineStr"/>
      <c r="O190" s="350" t="n"/>
    </row>
    <row r="191" ht="22.5" customHeight="1" s="236">
      <c r="A191" s="243" t="n">
        <v>190</v>
      </c>
      <c r="B191" s="346" t="inlineStr">
        <is>
          <t>Термометр сопротивления</t>
        </is>
      </c>
      <c r="C191" s="248" t="inlineStr">
        <is>
          <t>Метран-2000 А02 НСХ</t>
        </is>
      </c>
      <c r="D191" s="245" t="inlineStr">
        <is>
          <t>2444562</t>
        </is>
      </c>
      <c r="E191" s="273" t="inlineStr">
        <is>
          <t>2018</t>
        </is>
      </c>
      <c r="F191" s="254" t="inlineStr">
        <is>
          <t>-50…200 °С 60 мм</t>
        </is>
      </c>
      <c r="G191" s="245" t="inlineStr"/>
      <c r="H191" s="243" t="inlineStr">
        <is>
          <t>Тм подшипника ВК2 В5301</t>
        </is>
      </c>
      <c r="I191" s="245" t="inlineStr"/>
      <c r="J191" s="348" t="inlineStr">
        <is>
          <t>АСУ,А и ТМ (КЦ № 7)</t>
        </is>
      </c>
      <c r="K191" s="243" t="inlineStr"/>
      <c r="L191" s="243" t="inlineStr"/>
      <c r="M191" s="272" t="inlineStr"/>
      <c r="N191" s="245" t="inlineStr"/>
      <c r="O191" s="350" t="n"/>
    </row>
    <row r="192" ht="22.5" customHeight="1" s="236">
      <c r="A192" s="243" t="n">
        <v>191</v>
      </c>
      <c r="B192" s="346" t="inlineStr">
        <is>
          <t>Термометр сопротивления</t>
        </is>
      </c>
      <c r="C192" s="248" t="inlineStr">
        <is>
          <t>Метран-2000 А02 НСХ</t>
        </is>
      </c>
      <c r="D192" s="245" t="inlineStr">
        <is>
          <t>2421627</t>
        </is>
      </c>
      <c r="E192" s="273" t="inlineStr">
        <is>
          <t>Jul.18</t>
        </is>
      </c>
      <c r="F192" s="254" t="inlineStr">
        <is>
          <t>-50…200 °С 60 мм</t>
        </is>
      </c>
      <c r="G192" s="245" t="inlineStr"/>
      <c r="H192" s="243" t="inlineStr">
        <is>
          <t>Тмподшипника ВК3 В5301</t>
        </is>
      </c>
      <c r="I192" s="245" t="inlineStr"/>
      <c r="J192" s="348" t="inlineStr">
        <is>
          <t>АСУ,А и ТМ (КЦ № 7)</t>
        </is>
      </c>
      <c r="K192" s="243" t="inlineStr"/>
      <c r="L192" s="243" t="inlineStr"/>
      <c r="M192" s="272" t="inlineStr"/>
      <c r="N192" s="245" t="inlineStr"/>
      <c r="O192" s="350" t="n"/>
    </row>
    <row r="193" ht="22.5" customHeight="1" s="236">
      <c r="A193" s="243" t="n">
        <v>192</v>
      </c>
      <c r="B193" s="346" t="inlineStr">
        <is>
          <t>Термометр сопротивления</t>
        </is>
      </c>
      <c r="C193" s="248" t="inlineStr">
        <is>
          <t>Метран-2000 А02 НСХ</t>
        </is>
      </c>
      <c r="D193" s="245" t="inlineStr">
        <is>
          <t>2444270</t>
        </is>
      </c>
      <c r="E193" s="273" t="inlineStr">
        <is>
          <t>Jul.18</t>
        </is>
      </c>
      <c r="F193" s="254" t="inlineStr">
        <is>
          <t>-50…200 °С 60 мм</t>
        </is>
      </c>
      <c r="G193" s="245" t="inlineStr"/>
      <c r="H193" s="243" t="inlineStr">
        <is>
          <t>Тв на выходе ресивера ГШ5302</t>
        </is>
      </c>
      <c r="I193" s="245" t="inlineStr"/>
      <c r="J193" s="348" t="inlineStr">
        <is>
          <t>АСУ,А и ТМ (КЦ № 7)</t>
        </is>
      </c>
      <c r="K193" s="243" t="inlineStr"/>
      <c r="L193" s="243" t="inlineStr"/>
      <c r="M193" s="272" t="inlineStr"/>
      <c r="N193" s="245" t="inlineStr"/>
      <c r="O193" s="350" t="n"/>
    </row>
    <row r="194" ht="22.5" customHeight="1" s="236">
      <c r="A194" s="243" t="n">
        <v>193</v>
      </c>
      <c r="B194" s="346" t="inlineStr">
        <is>
          <t>Термометр сопротивления</t>
        </is>
      </c>
      <c r="C194" s="248" t="inlineStr">
        <is>
          <t>Метран-2000 А02 НСХ</t>
        </is>
      </c>
      <c r="D194" s="245" t="inlineStr">
        <is>
          <t>2428406</t>
        </is>
      </c>
      <c r="E194" s="273" t="inlineStr">
        <is>
          <t>Jul.18</t>
        </is>
      </c>
      <c r="F194" s="254" t="inlineStr">
        <is>
          <t>-50…200 °С 60 мм</t>
        </is>
      </c>
      <c r="G194" s="245" t="inlineStr"/>
      <c r="H194" s="243" t="inlineStr">
        <is>
          <t>Тм подшипника ВК2 В5302</t>
        </is>
      </c>
      <c r="I194" s="245" t="inlineStr"/>
      <c r="J194" s="348" t="inlineStr">
        <is>
          <t>АСУ,А и ТМ (КЦ № 7)</t>
        </is>
      </c>
      <c r="K194" s="243" t="inlineStr"/>
      <c r="L194" s="243" t="inlineStr"/>
      <c r="M194" s="272" t="inlineStr"/>
      <c r="N194" s="245" t="inlineStr"/>
      <c r="O194" s="350" t="n"/>
    </row>
    <row r="195" ht="22.5" customHeight="1" s="236">
      <c r="A195" s="243" t="n">
        <v>194</v>
      </c>
      <c r="B195" s="346" t="inlineStr">
        <is>
          <t>Термометр сопротивления</t>
        </is>
      </c>
      <c r="C195" s="248" t="inlineStr">
        <is>
          <t>Метран-2000 А02 НСХ</t>
        </is>
      </c>
      <c r="D195" s="245" t="inlineStr">
        <is>
          <t>2428412</t>
        </is>
      </c>
      <c r="E195" s="273" t="inlineStr">
        <is>
          <t>Jul.18</t>
        </is>
      </c>
      <c r="F195" s="254" t="inlineStr">
        <is>
          <t>-50…200 °С 60 мм</t>
        </is>
      </c>
      <c r="G195" s="245" t="inlineStr"/>
      <c r="H195" s="243" t="inlineStr">
        <is>
          <t>Тм подшипника ВК3 В5302</t>
        </is>
      </c>
      <c r="I195" s="245" t="inlineStr"/>
      <c r="J195" s="348" t="inlineStr">
        <is>
          <t>АСУ,А и ТМ (КЦ № 7)</t>
        </is>
      </c>
      <c r="K195" s="243" t="inlineStr"/>
      <c r="L195" s="243" t="inlineStr"/>
      <c r="M195" s="272" t="inlineStr"/>
      <c r="N195" s="245" t="inlineStr"/>
      <c r="O195" s="350" t="n"/>
    </row>
    <row r="196" ht="22.5" customHeight="1" s="236">
      <c r="A196" s="243" t="n">
        <v>195</v>
      </c>
      <c r="B196" s="243" t="inlineStr">
        <is>
          <t>Расходомер</t>
        </is>
      </c>
      <c r="C196" s="248" t="inlineStr">
        <is>
          <t>Эмис-Вихрь 200 ЭВ-200</t>
        </is>
      </c>
      <c r="D196" s="245" t="inlineStr">
        <is>
          <t>22321</t>
        </is>
      </c>
      <c r="E196" s="273" t="inlineStr">
        <is>
          <t>Jul.18</t>
        </is>
      </c>
      <c r="F196" s="254" t="inlineStr">
        <is>
          <t>18…480 м³/ч</t>
        </is>
      </c>
      <c r="G196" s="245" t="inlineStr"/>
      <c r="H196" s="243" t="inlineStr">
        <is>
          <t>Qв на выходе из оболочки радиального подшипника ( ПКВ)</t>
        </is>
      </c>
      <c r="I196" s="245" t="inlineStr">
        <is>
          <t>Укрытие</t>
        </is>
      </c>
      <c r="J196" s="348" t="inlineStr">
        <is>
          <t>АСУ,А и ТМ (КЦ № 7)</t>
        </is>
      </c>
      <c r="K196" s="243" t="inlineStr"/>
      <c r="L196" s="243" t="inlineStr"/>
      <c r="M196" s="272" t="inlineStr"/>
      <c r="N196" s="245" t="inlineStr"/>
      <c r="O196" s="350" t="n"/>
    </row>
    <row r="197" ht="22.5" customHeight="1" s="236">
      <c r="A197" s="243" t="n">
        <v>196</v>
      </c>
      <c r="B197" s="243" t="inlineStr">
        <is>
          <t>Расходомер</t>
        </is>
      </c>
      <c r="C197" s="248" t="inlineStr">
        <is>
          <t>Эмис-Вихрь 200 ЭВ-200</t>
        </is>
      </c>
      <c r="D197" s="245" t="inlineStr">
        <is>
          <t>22333</t>
        </is>
      </c>
      <c r="E197" s="273" t="inlineStr">
        <is>
          <t>Jul.18</t>
        </is>
      </c>
      <c r="F197" s="254" t="inlineStr">
        <is>
          <t>18…480 м³/ч</t>
        </is>
      </c>
      <c r="G197" s="245" t="inlineStr"/>
      <c r="H197" s="243" t="inlineStr">
        <is>
          <t>Qв на выходе из оболочки радиального подшипника ( ЗКВ)</t>
        </is>
      </c>
      <c r="I197" s="245" t="inlineStr">
        <is>
          <t>Укрытие</t>
        </is>
      </c>
      <c r="J197" s="348" t="inlineStr">
        <is>
          <t>АСУ,А и ТМ (КЦ № 7)</t>
        </is>
      </c>
      <c r="K197" s="243" t="inlineStr"/>
      <c r="L197" s="243" t="inlineStr"/>
      <c r="M197" s="272" t="inlineStr"/>
      <c r="N197" s="245" t="inlineStr"/>
      <c r="O197" s="350" t="n"/>
    </row>
    <row r="198" ht="22.5" customHeight="1" s="236">
      <c r="A198" s="243" t="n">
        <v>197</v>
      </c>
      <c r="B198" s="346" t="inlineStr">
        <is>
          <t>Термометр сопротивления</t>
        </is>
      </c>
      <c r="C198" s="248" t="inlineStr">
        <is>
          <t>ТСП 012.08</t>
        </is>
      </c>
      <c r="D198" s="245" t="inlineStr">
        <is>
          <t>597</t>
        </is>
      </c>
      <c r="E198" s="273" t="inlineStr">
        <is>
          <t>2018</t>
        </is>
      </c>
      <c r="F198" s="254" t="inlineStr">
        <is>
          <t>-60…200 °С 80 мм</t>
        </is>
      </c>
      <c r="G198" s="245" t="inlineStr">
        <is>
          <t>В</t>
        </is>
      </c>
      <c r="H198" s="243" t="inlineStr">
        <is>
          <t>Тв подоваемого из воздуходовки</t>
        </is>
      </c>
      <c r="I198" s="245" t="inlineStr"/>
      <c r="J198" s="348" t="inlineStr"/>
      <c r="K198" s="243" t="inlineStr"/>
      <c r="L198" s="243" t="inlineStr"/>
      <c r="M198" s="272" t="inlineStr"/>
      <c r="N198" s="245" t="inlineStr"/>
      <c r="O198" s="350" t="n"/>
    </row>
    <row r="199" ht="22.5" customHeight="1" s="236">
      <c r="A199" s="243" t="n">
        <v>198</v>
      </c>
      <c r="B199" s="243" t="inlineStr">
        <is>
          <t>Сигнализатор уровня</t>
        </is>
      </c>
      <c r="C199" s="248" t="inlineStr">
        <is>
          <t>Валком</t>
        </is>
      </c>
      <c r="D199" s="245" t="inlineStr">
        <is>
          <t>8A10710</t>
        </is>
      </c>
      <c r="E199" s="273" t="inlineStr">
        <is>
          <t>2018</t>
        </is>
      </c>
      <c r="F199" s="254" t="inlineStr">
        <is>
          <t>200 мм</t>
        </is>
      </c>
      <c r="G199" s="245" t="inlineStr"/>
      <c r="H199" s="243" t="inlineStr">
        <is>
          <t>БФБГ-1 (верхний)</t>
        </is>
      </c>
      <c r="I199" s="245" t="inlineStr">
        <is>
          <t>КЦ</t>
        </is>
      </c>
      <c r="J199" s="348" t="inlineStr">
        <is>
          <t>АСУ,А и ТМ (КЦ № 7)</t>
        </is>
      </c>
      <c r="K199" s="243" t="inlineStr"/>
      <c r="L199" s="243" t="inlineStr"/>
      <c r="M199" s="272" t="inlineStr"/>
      <c r="N199" s="245" t="inlineStr"/>
      <c r="O199" s="353" t="n"/>
      <c r="P199" s="354" t="inlineStr">
        <is>
          <t>не является СИ</t>
        </is>
      </c>
    </row>
    <row r="200" ht="22.5" customHeight="1" s="236">
      <c r="A200" s="243" t="n">
        <v>199</v>
      </c>
      <c r="B200" s="243" t="inlineStr">
        <is>
          <t>Сигнализатор уровня</t>
        </is>
      </c>
      <c r="C200" s="248" t="inlineStr">
        <is>
          <t>Валком</t>
        </is>
      </c>
      <c r="D200" s="245" t="inlineStr">
        <is>
          <t>8A10721</t>
        </is>
      </c>
      <c r="E200" s="273" t="inlineStr">
        <is>
          <t>2018</t>
        </is>
      </c>
      <c r="F200" s="254" t="inlineStr">
        <is>
          <t>200 мм</t>
        </is>
      </c>
      <c r="G200" s="245" t="inlineStr"/>
      <c r="H200" s="243" t="inlineStr">
        <is>
          <t>БФБГ-1 (нижний)</t>
        </is>
      </c>
      <c r="I200" s="245" t="inlineStr">
        <is>
          <t>КЦ</t>
        </is>
      </c>
      <c r="J200" s="348" t="inlineStr">
        <is>
          <t>АСУ,А и ТМ (КЦ № 7)</t>
        </is>
      </c>
      <c r="K200" s="243" t="inlineStr"/>
      <c r="L200" s="243" t="inlineStr"/>
      <c r="M200" s="272" t="inlineStr"/>
      <c r="N200" s="245" t="inlineStr"/>
      <c r="O200" s="353" t="n"/>
      <c r="P200" s="354" t="inlineStr">
        <is>
          <t>не является СИ</t>
        </is>
      </c>
    </row>
    <row r="201" ht="22.5" customHeight="1" s="236">
      <c r="A201" s="243" t="n">
        <v>200</v>
      </c>
      <c r="B201" s="243" t="inlineStr">
        <is>
          <t>Сигнализатор уровня</t>
        </is>
      </c>
      <c r="C201" s="248" t="inlineStr">
        <is>
          <t>Валком</t>
        </is>
      </c>
      <c r="D201" s="245" t="inlineStr">
        <is>
          <t>8A10728</t>
        </is>
      </c>
      <c r="E201" s="273" t="inlineStr">
        <is>
          <t>2018</t>
        </is>
      </c>
      <c r="F201" s="254" t="inlineStr">
        <is>
          <t>200 мм</t>
        </is>
      </c>
      <c r="G201" s="245" t="inlineStr"/>
      <c r="H201" s="243" t="inlineStr">
        <is>
          <t>БФБГ-2 (верхний)</t>
        </is>
      </c>
      <c r="I201" s="245" t="inlineStr">
        <is>
          <t>КЦ</t>
        </is>
      </c>
      <c r="J201" s="348" t="inlineStr">
        <is>
          <t>АСУ,А и ТМ (КЦ № 7)</t>
        </is>
      </c>
      <c r="K201" s="243" t="inlineStr"/>
      <c r="L201" s="243" t="inlineStr"/>
      <c r="M201" s="272" t="inlineStr"/>
      <c r="N201" s="245" t="inlineStr"/>
      <c r="O201" s="353" t="n"/>
      <c r="P201" s="354" t="inlineStr">
        <is>
          <t>не является СИ</t>
        </is>
      </c>
    </row>
    <row r="202" ht="22.5" customHeight="1" s="236">
      <c r="A202" s="243" t="n">
        <v>201</v>
      </c>
      <c r="B202" s="243" t="inlineStr">
        <is>
          <t>Сигнализатор уровня</t>
        </is>
      </c>
      <c r="C202" s="248" t="inlineStr">
        <is>
          <t>Валком</t>
        </is>
      </c>
      <c r="D202" s="245" t="inlineStr">
        <is>
          <t>8A10729</t>
        </is>
      </c>
      <c r="E202" s="273" t="inlineStr">
        <is>
          <t>2018</t>
        </is>
      </c>
      <c r="F202" s="254" t="inlineStr">
        <is>
          <t>200 мм</t>
        </is>
      </c>
      <c r="G202" s="245" t="inlineStr"/>
      <c r="H202" s="243" t="inlineStr">
        <is>
          <t>БФБГ-2 (нижний)</t>
        </is>
      </c>
      <c r="I202" s="245" t="inlineStr">
        <is>
          <t>КЦ</t>
        </is>
      </c>
      <c r="J202" s="348" t="inlineStr">
        <is>
          <t>АСУ,А и ТМ (КЦ № 7)</t>
        </is>
      </c>
      <c r="K202" s="243" t="inlineStr"/>
      <c r="L202" s="243" t="inlineStr"/>
      <c r="M202" s="272" t="inlineStr"/>
      <c r="N202" s="245" t="inlineStr"/>
      <c r="O202" s="353" t="n"/>
      <c r="P202" s="354" t="inlineStr">
        <is>
          <t>не является СИ</t>
        </is>
      </c>
    </row>
    <row r="203" ht="22.5" customHeight="1" s="236">
      <c r="A203" s="243" t="n">
        <v>202</v>
      </c>
      <c r="B203" s="243" t="inlineStr">
        <is>
          <t>Сигнализатор уровня</t>
        </is>
      </c>
      <c r="C203" s="248" t="inlineStr">
        <is>
          <t>Валком</t>
        </is>
      </c>
      <c r="D203" s="245" t="inlineStr">
        <is>
          <t>8A10742</t>
        </is>
      </c>
      <c r="E203" s="273" t="inlineStr">
        <is>
          <t>2018</t>
        </is>
      </c>
      <c r="F203" s="254" t="inlineStr">
        <is>
          <t>200 мм</t>
        </is>
      </c>
      <c r="G203" s="245" t="inlineStr"/>
      <c r="H203" s="243" t="inlineStr">
        <is>
          <t>БФТГ-1 (верхний)</t>
        </is>
      </c>
      <c r="I203" s="245" t="inlineStr">
        <is>
          <t>КЦ</t>
        </is>
      </c>
      <c r="J203" s="348" t="inlineStr">
        <is>
          <t>АСУ,А и ТМ (КЦ № 7)</t>
        </is>
      </c>
      <c r="K203" s="243" t="inlineStr"/>
      <c r="L203" s="243" t="inlineStr"/>
      <c r="M203" s="272" t="inlineStr"/>
      <c r="N203" s="245" t="inlineStr"/>
      <c r="O203" s="353" t="n"/>
      <c r="P203" s="354" t="inlineStr">
        <is>
          <t>не является СИ</t>
        </is>
      </c>
    </row>
    <row r="204" ht="22.5" customHeight="1" s="236">
      <c r="A204" s="243" t="n">
        <v>203</v>
      </c>
      <c r="B204" s="243" t="inlineStr">
        <is>
          <t>Сигнализатор уровня</t>
        </is>
      </c>
      <c r="C204" s="248" t="inlineStr">
        <is>
          <t>Валком</t>
        </is>
      </c>
      <c r="D204" s="245" t="inlineStr">
        <is>
          <t>8A10751</t>
        </is>
      </c>
      <c r="E204" s="273" t="inlineStr">
        <is>
          <t>2018</t>
        </is>
      </c>
      <c r="F204" s="254" t="inlineStr">
        <is>
          <t>200 мм</t>
        </is>
      </c>
      <c r="G204" s="245" t="inlineStr"/>
      <c r="H204" s="243" t="inlineStr">
        <is>
          <t>БФТГ-1 (нижний)</t>
        </is>
      </c>
      <c r="I204" s="245" t="inlineStr">
        <is>
          <t>КЦ</t>
        </is>
      </c>
      <c r="J204" s="348" t="inlineStr">
        <is>
          <t>АСУ,А и ТМ (КЦ № 7)</t>
        </is>
      </c>
      <c r="K204" s="243" t="inlineStr"/>
      <c r="L204" s="243" t="inlineStr"/>
      <c r="M204" s="272" t="inlineStr"/>
      <c r="N204" s="245" t="inlineStr"/>
      <c r="O204" s="353" t="n"/>
      <c r="P204" s="354" t="inlineStr">
        <is>
          <t>не является СИ</t>
        </is>
      </c>
    </row>
    <row r="205" ht="22.5" customHeight="1" s="236">
      <c r="A205" s="243" t="n">
        <v>204</v>
      </c>
      <c r="B205" s="243" t="inlineStr">
        <is>
          <t>Сигнализатор уровня</t>
        </is>
      </c>
      <c r="C205" s="248" t="inlineStr">
        <is>
          <t>Валком</t>
        </is>
      </c>
      <c r="D205" s="245" t="inlineStr">
        <is>
          <t>8К10996</t>
        </is>
      </c>
      <c r="E205" s="273" t="inlineStr">
        <is>
          <t>2018</t>
        </is>
      </c>
      <c r="F205" s="254" t="inlineStr">
        <is>
          <t>200 мм</t>
        </is>
      </c>
      <c r="G205" s="245" t="inlineStr"/>
      <c r="H205" s="243" t="inlineStr">
        <is>
          <t>БФТГ-2 (верхний)</t>
        </is>
      </c>
      <c r="I205" s="245" t="inlineStr">
        <is>
          <t>КЦ</t>
        </is>
      </c>
      <c r="J205" s="348" t="inlineStr">
        <is>
          <t>АСУ,А и ТМ (КЦ № 7)</t>
        </is>
      </c>
      <c r="K205" s="243" t="inlineStr"/>
      <c r="L205" s="243" t="inlineStr"/>
      <c r="M205" s="272" t="inlineStr"/>
      <c r="N205" s="245" t="inlineStr"/>
      <c r="O205" s="353" t="n"/>
      <c r="P205" s="354" t="inlineStr">
        <is>
          <t>не является СИ</t>
        </is>
      </c>
    </row>
    <row r="206" ht="22.5" customHeight="1" s="236">
      <c r="A206" s="243" t="n">
        <v>205</v>
      </c>
      <c r="B206" s="243" t="inlineStr">
        <is>
          <t>Сигнализатор уровня</t>
        </is>
      </c>
      <c r="C206" s="248" t="inlineStr">
        <is>
          <t>Валком</t>
        </is>
      </c>
      <c r="D206" s="245" t="inlineStr">
        <is>
          <t>8A10750</t>
        </is>
      </c>
      <c r="E206" s="273" t="inlineStr">
        <is>
          <t>2018</t>
        </is>
      </c>
      <c r="F206" s="254" t="inlineStr">
        <is>
          <t>200 мм</t>
        </is>
      </c>
      <c r="G206" s="245" t="inlineStr"/>
      <c r="H206" s="243" t="inlineStr">
        <is>
          <t>БФТГ-2 (нижний)</t>
        </is>
      </c>
      <c r="I206" s="245" t="inlineStr">
        <is>
          <t>КЦ</t>
        </is>
      </c>
      <c r="J206" s="348" t="inlineStr">
        <is>
          <t>АСУ,А и ТМ (КЦ № 7)</t>
        </is>
      </c>
      <c r="K206" s="243" t="inlineStr"/>
      <c r="L206" s="243" t="inlineStr"/>
      <c r="M206" s="272" t="inlineStr"/>
      <c r="N206" s="245" t="inlineStr"/>
      <c r="O206" s="353" t="n"/>
      <c r="P206" s="354" t="inlineStr">
        <is>
          <t>не является СИ</t>
        </is>
      </c>
    </row>
    <row r="207" ht="22.5" customFormat="1" customHeight="1" s="250">
      <c r="A207" s="293">
        <f>IF(B207&lt;&gt;"", COUNTA($B$2:B207), "")</f>
        <v/>
      </c>
      <c r="B207" s="293" t="inlineStr">
        <is>
          <t>Сигнализатор давления</t>
        </is>
      </c>
      <c r="C207" s="355" t="inlineStr">
        <is>
          <t>Садко 107</t>
        </is>
      </c>
      <c r="D207" s="293" t="n"/>
      <c r="E207" s="293" t="n">
        <v>2018</v>
      </c>
      <c r="F207" s="293" t="inlineStr">
        <is>
          <t>0,09…0,5 МПа</t>
        </is>
      </c>
      <c r="G207" s="356" t="n"/>
      <c r="H207" s="293" t="inlineStr">
        <is>
          <t>PКПВ КВД (А61)</t>
        </is>
      </c>
      <c r="I207" s="295" t="inlineStr">
        <is>
          <t>КЦ</t>
        </is>
      </c>
      <c r="J207" s="357" t="inlineStr">
        <is>
          <t>АСУ,А и ТМ (КЦ № 7)</t>
        </is>
      </c>
      <c r="K207" s="293" t="n"/>
      <c r="L207" s="293" t="n"/>
      <c r="M207" s="296" t="n"/>
      <c r="N207" s="295" t="n"/>
      <c r="O207" s="358" t="n"/>
    </row>
    <row r="208" ht="22.5" customFormat="1" customHeight="1" s="250">
      <c r="A208" s="293">
        <f>IF(B208&lt;&gt;"", COUNTA($B$2:B208), "")</f>
        <v/>
      </c>
      <c r="B208" s="293" t="inlineStr">
        <is>
          <t>Сигнализатор давления</t>
        </is>
      </c>
      <c r="C208" s="355" t="inlineStr">
        <is>
          <t>Садко 107</t>
        </is>
      </c>
      <c r="D208" s="293" t="n"/>
      <c r="E208" s="293" t="n">
        <v>2019</v>
      </c>
      <c r="F208" s="293" t="inlineStr">
        <is>
          <t>0,04…0,1 МПа</t>
        </is>
      </c>
      <c r="G208" s="356" t="n"/>
      <c r="H208" s="293" t="inlineStr">
        <is>
          <t>Pкпвз (А31)</t>
        </is>
      </c>
      <c r="I208" s="295" t="inlineStr">
        <is>
          <t>КЦ</t>
        </is>
      </c>
      <c r="J208" s="357" t="inlineStr">
        <is>
          <t>АСУ,А и ТМ (КЦ № 7)</t>
        </is>
      </c>
      <c r="K208" s="293" t="n"/>
      <c r="L208" s="293" t="n"/>
      <c r="M208" s="296" t="n"/>
      <c r="N208" s="295" t="n"/>
      <c r="O208" s="358" t="n"/>
    </row>
    <row r="209" ht="22.5" customHeight="1" s="236">
      <c r="A209" s="297" t="n">
        <v>208</v>
      </c>
      <c r="B209" s="297" t="inlineStr">
        <is>
          <t>Преобразователь давления</t>
        </is>
      </c>
      <c r="C209" s="359" t="inlineStr">
        <is>
          <t>Yokogawa EJA530E</t>
        </is>
      </c>
      <c r="D209" s="297" t="inlineStr">
        <is>
          <t>91UB38695</t>
        </is>
      </c>
      <c r="E209" s="297" t="inlineStr">
        <is>
          <t>2018</t>
        </is>
      </c>
      <c r="F209" s="297" t="inlineStr">
        <is>
          <t>0…0,6 МПа</t>
        </is>
      </c>
      <c r="G209" s="360" t="inlineStr"/>
      <c r="H209" s="297" t="inlineStr">
        <is>
          <t>Pквд (A71)</t>
        </is>
      </c>
      <c r="I209" s="299" t="inlineStr">
        <is>
          <t>КЦ</t>
        </is>
      </c>
      <c r="J209" s="361" t="inlineStr">
        <is>
          <t>АСУ,А и ТМ (КЦ № 7)</t>
        </is>
      </c>
      <c r="K209" s="297" t="inlineStr"/>
      <c r="L209" s="297" t="inlineStr"/>
      <c r="M209" s="300" t="inlineStr"/>
      <c r="N209" s="299" t="inlineStr"/>
      <c r="O209" s="350" t="n"/>
    </row>
    <row r="210" ht="22.5" customHeight="1" s="236">
      <c r="A210" s="297" t="n">
        <v>209</v>
      </c>
      <c r="B210" s="297" t="inlineStr">
        <is>
          <t>Преобразователь давления</t>
        </is>
      </c>
      <c r="C210" s="359" t="inlineStr">
        <is>
          <t>Yokogawa EJA530E</t>
        </is>
      </c>
      <c r="D210" s="297" t="inlineStr">
        <is>
          <t>91UC19421</t>
        </is>
      </c>
      <c r="E210" s="297" t="inlineStr">
        <is>
          <t>2018</t>
        </is>
      </c>
      <c r="F210" s="297" t="inlineStr">
        <is>
          <t>0…0,2 МПа</t>
        </is>
      </c>
      <c r="G210" s="360" t="inlineStr"/>
      <c r="H210" s="297" t="inlineStr">
        <is>
          <t>Pрп квд (A33)</t>
        </is>
      </c>
      <c r="I210" s="299" t="inlineStr">
        <is>
          <t>КЦ</t>
        </is>
      </c>
      <c r="J210" s="361" t="inlineStr">
        <is>
          <t>АСУ,А и ТМ (КЦ № 7)</t>
        </is>
      </c>
      <c r="K210" s="297" t="inlineStr"/>
      <c r="L210" s="297" t="inlineStr"/>
      <c r="M210" s="300" t="inlineStr"/>
      <c r="N210" s="299" t="inlineStr"/>
      <c r="O210" s="350" t="n"/>
    </row>
    <row r="211" ht="22.5" customHeight="1" s="236">
      <c r="A211" s="297" t="n">
        <v>210</v>
      </c>
      <c r="B211" s="297" t="inlineStr">
        <is>
          <t>Преобразователь давления</t>
        </is>
      </c>
      <c r="C211" s="359" t="inlineStr">
        <is>
          <t>Yokogawa EJA530E</t>
        </is>
      </c>
      <c r="D211" s="297" t="inlineStr">
        <is>
          <t>91UC19451</t>
        </is>
      </c>
      <c r="E211" s="297" t="inlineStr">
        <is>
          <t>2018</t>
        </is>
      </c>
      <c r="F211" s="297" t="inlineStr">
        <is>
          <t>0…2 МПа</t>
        </is>
      </c>
      <c r="G211" s="360" t="inlineStr"/>
      <c r="H211" s="297" t="inlineStr">
        <is>
          <t>P*тнд (A87)</t>
        </is>
      </c>
      <c r="I211" s="299" t="inlineStr">
        <is>
          <t>КЦ</t>
        </is>
      </c>
      <c r="J211" s="361" t="inlineStr">
        <is>
          <t>АСУ,А и ТМ (КЦ № 7)</t>
        </is>
      </c>
      <c r="K211" s="297" t="inlineStr"/>
      <c r="L211" s="297" t="inlineStr"/>
      <c r="M211" s="300" t="inlineStr"/>
      <c r="N211" s="299" t="inlineStr"/>
      <c r="O211" s="350" t="n"/>
    </row>
    <row r="212" ht="22.5" customHeight="1" s="236">
      <c r="A212" s="297" t="n">
        <v>211</v>
      </c>
      <c r="B212" s="297" t="inlineStr">
        <is>
          <t>Преобразователь давления</t>
        </is>
      </c>
      <c r="C212" s="359" t="inlineStr">
        <is>
          <t>Yokogawa EJA530E</t>
        </is>
      </c>
      <c r="D212" s="297" t="inlineStr">
        <is>
          <t>91T812737</t>
        </is>
      </c>
      <c r="E212" s="297" t="inlineStr">
        <is>
          <t>2018</t>
        </is>
      </c>
      <c r="F212" s="297" t="inlineStr">
        <is>
          <t>0…0,2 МПа</t>
        </is>
      </c>
      <c r="G212" s="360" t="inlineStr"/>
      <c r="H212" s="297" t="inlineStr">
        <is>
          <t>P*охл. тнд (A88)</t>
        </is>
      </c>
      <c r="I212" s="299" t="inlineStr">
        <is>
          <t>КЦ</t>
        </is>
      </c>
      <c r="J212" s="361" t="inlineStr">
        <is>
          <t>АСУ,А и ТМ (КЦ № 7)</t>
        </is>
      </c>
      <c r="K212" s="297" t="inlineStr"/>
      <c r="L212" s="297" t="inlineStr"/>
      <c r="M212" s="300" t="inlineStr"/>
      <c r="N212" s="299" t="inlineStr"/>
      <c r="O212" s="350" t="n"/>
    </row>
    <row r="213" ht="22.5" customHeight="1" s="236">
      <c r="A213" s="297" t="n">
        <v>212</v>
      </c>
      <c r="B213" s="297" t="inlineStr">
        <is>
          <t>Преобразователь давления</t>
        </is>
      </c>
      <c r="C213" s="359" t="inlineStr">
        <is>
          <t>Yokogawa EJA530E</t>
        </is>
      </c>
      <c r="D213" s="297" t="inlineStr">
        <is>
          <t>91UB37823</t>
        </is>
      </c>
      <c r="E213" s="297" t="inlineStr">
        <is>
          <t>2018</t>
        </is>
      </c>
      <c r="F213" s="297" t="inlineStr">
        <is>
          <t>0…2 МПа</t>
        </is>
      </c>
      <c r="G213" s="360" t="inlineStr"/>
      <c r="H213" s="297" t="inlineStr">
        <is>
          <t>P*твд (A39)</t>
        </is>
      </c>
      <c r="I213" s="299" t="inlineStr">
        <is>
          <t>КЦ</t>
        </is>
      </c>
      <c r="J213" s="361" t="inlineStr">
        <is>
          <t>АСУ,А и ТМ (КЦ № 7)</t>
        </is>
      </c>
      <c r="K213" s="297" t="inlineStr"/>
      <c r="L213" s="297" t="inlineStr"/>
      <c r="M213" s="300" t="inlineStr"/>
      <c r="N213" s="299" t="inlineStr"/>
      <c r="O213" s="350" t="n"/>
    </row>
    <row r="214" ht="22.5" customHeight="1" s="236">
      <c r="A214" s="297" t="n">
        <v>213</v>
      </c>
      <c r="B214" s="297" t="inlineStr">
        <is>
          <t>Преобразователь давления</t>
        </is>
      </c>
      <c r="C214" s="359" t="inlineStr">
        <is>
          <t>Yokogawa EJA530E</t>
        </is>
      </c>
      <c r="D214" s="297" t="inlineStr">
        <is>
          <t>91UB38714</t>
        </is>
      </c>
      <c r="E214" s="297" t="inlineStr">
        <is>
          <t>2018</t>
        </is>
      </c>
      <c r="F214" s="297" t="inlineStr">
        <is>
          <t>0…2 МПа</t>
        </is>
      </c>
      <c r="G214" s="360" t="inlineStr"/>
      <c r="H214" s="297" t="inlineStr">
        <is>
          <t>Pрп ст (A30)</t>
        </is>
      </c>
      <c r="I214" s="299" t="inlineStr">
        <is>
          <t>КЦ</t>
        </is>
      </c>
      <c r="J214" s="361" t="inlineStr">
        <is>
          <t>АСУ,А и ТМ (КЦ № 7)</t>
        </is>
      </c>
      <c r="K214" s="297" t="inlineStr"/>
      <c r="L214" s="297" t="inlineStr"/>
      <c r="M214" s="300" t="inlineStr"/>
      <c r="N214" s="299" t="inlineStr"/>
      <c r="O214" s="350" t="n"/>
    </row>
    <row r="215" ht="22.5" customHeight="1" s="236">
      <c r="A215" s="297" t="n">
        <v>214</v>
      </c>
      <c r="B215" s="297" t="inlineStr">
        <is>
          <t>Преобразователь давления</t>
        </is>
      </c>
      <c r="C215" s="359" t="inlineStr">
        <is>
          <t>Yokogawa EJA530E</t>
        </is>
      </c>
      <c r="D215" s="297" t="inlineStr">
        <is>
          <t>91UC19362</t>
        </is>
      </c>
      <c r="E215" s="297" t="inlineStr">
        <is>
          <t>2018</t>
        </is>
      </c>
      <c r="F215" s="297" t="inlineStr">
        <is>
          <t>0…16 кПа</t>
        </is>
      </c>
      <c r="G215" s="360" t="inlineStr"/>
      <c r="H215" s="297" t="inlineStr">
        <is>
          <t>P*ст (A81)</t>
        </is>
      </c>
      <c r="I215" s="299" t="inlineStr">
        <is>
          <t>КЦ</t>
        </is>
      </c>
      <c r="J215" s="361" t="inlineStr">
        <is>
          <t>АСУ,А и ТМ (КЦ № 7)</t>
        </is>
      </c>
      <c r="K215" s="297" t="inlineStr"/>
      <c r="L215" s="297" t="inlineStr"/>
      <c r="M215" s="300" t="inlineStr"/>
      <c r="N215" s="299" t="inlineStr"/>
      <c r="O215" s="350" t="n"/>
    </row>
    <row r="216" ht="22.5" customHeight="1" s="236">
      <c r="A216" s="297" t="n">
        <v>215</v>
      </c>
      <c r="B216" s="297" t="inlineStr">
        <is>
          <t>Преобразователь давления</t>
        </is>
      </c>
      <c r="C216" s="359" t="inlineStr">
        <is>
          <t>Yokogawa EJA530E</t>
        </is>
      </c>
      <c r="D216" s="297" t="inlineStr">
        <is>
          <t>91UC16296</t>
        </is>
      </c>
      <c r="E216" s="297" t="inlineStr">
        <is>
          <t>2018</t>
        </is>
      </c>
      <c r="F216" s="297" t="inlineStr">
        <is>
          <t>0…16 МПа</t>
        </is>
      </c>
      <c r="G216" s="360" t="inlineStr"/>
      <c r="H216" s="297" t="inlineStr">
        <is>
          <t>Перепад между атмосферным давлением и полным давлением воздуха на входе КНД</t>
        </is>
      </c>
      <c r="I216" s="299" t="inlineStr">
        <is>
          <t>КЦ</t>
        </is>
      </c>
      <c r="J216" s="361" t="inlineStr">
        <is>
          <t>АСУ,А и ТМ (КЦ № 7)</t>
        </is>
      </c>
      <c r="K216" s="297" t="inlineStr"/>
      <c r="L216" s="297" t="inlineStr"/>
      <c r="M216" s="300" t="inlineStr"/>
      <c r="N216" s="299" t="inlineStr"/>
      <c r="O216" s="350" t="n"/>
    </row>
    <row r="217" ht="33.75" customHeight="1" s="236">
      <c r="A217" s="297" t="n">
        <v>216</v>
      </c>
      <c r="B217" s="297" t="inlineStr">
        <is>
          <t>Преобразователь давления</t>
        </is>
      </c>
      <c r="C217" s="359" t="inlineStr">
        <is>
          <t>Yokogawa EJA530E</t>
        </is>
      </c>
      <c r="D217" s="297" t="inlineStr">
        <is>
          <t>91UC16306</t>
        </is>
      </c>
      <c r="E217" s="297" t="inlineStr">
        <is>
          <t>2018</t>
        </is>
      </c>
      <c r="F217" s="297" t="inlineStr">
        <is>
          <t>0…16 МПа</t>
        </is>
      </c>
      <c r="G217" s="360" t="inlineStr"/>
      <c r="H217" s="297" t="inlineStr">
        <is>
          <t>Перепад между атмосферным давлением и статистическим давлением воздуха на входе КНД</t>
        </is>
      </c>
      <c r="I217" s="299" t="inlineStr">
        <is>
          <t>КЦ</t>
        </is>
      </c>
      <c r="J217" s="361" t="inlineStr">
        <is>
          <t>АСУ,А и ТМ (КЦ № 7)</t>
        </is>
      </c>
      <c r="K217" s="297" t="inlineStr"/>
      <c r="L217" s="297" t="inlineStr"/>
      <c r="M217" s="300" t="inlineStr"/>
      <c r="N217" s="299" t="inlineStr"/>
      <c r="O217" s="350" t="n"/>
    </row>
    <row r="218" ht="22.5" customHeight="1" s="236">
      <c r="A218" s="297" t="n">
        <v>217</v>
      </c>
      <c r="B218" s="297" t="inlineStr">
        <is>
          <t>Преобразователь давления</t>
        </is>
      </c>
      <c r="C218" s="359" t="inlineStr">
        <is>
          <t>Yokogawa EJA530E</t>
        </is>
      </c>
      <c r="D218" s="297" t="inlineStr">
        <is>
          <t>91UC18519</t>
        </is>
      </c>
      <c r="E218" s="297" t="inlineStr">
        <is>
          <t>2018</t>
        </is>
      </c>
      <c r="F218" s="297" t="inlineStr">
        <is>
          <t>0…10 МПа</t>
        </is>
      </c>
      <c r="G218" s="360" t="inlineStr"/>
      <c r="H218" s="297" t="inlineStr">
        <is>
          <t>Ртг передд ДГ (А72)</t>
        </is>
      </c>
      <c r="I218" s="299" t="inlineStr">
        <is>
          <t>КЦ</t>
        </is>
      </c>
      <c r="J218" s="361" t="inlineStr">
        <is>
          <t>АСУ,А и ТМ (КЦ № 7)</t>
        </is>
      </c>
      <c r="K218" s="297" t="inlineStr"/>
      <c r="L218" s="297" t="inlineStr"/>
      <c r="M218" s="300" t="inlineStr"/>
      <c r="N218" s="299" t="inlineStr"/>
      <c r="O218" s="350" t="n"/>
    </row>
    <row r="219" ht="22.5" customHeight="1" s="236">
      <c r="A219" s="297" t="n">
        <v>218</v>
      </c>
      <c r="B219" s="297" t="inlineStr">
        <is>
          <t>Преобразователь давления</t>
        </is>
      </c>
      <c r="C219" s="359" t="inlineStr">
        <is>
          <t>Yokogawa EJA530E</t>
        </is>
      </c>
      <c r="D219" s="297" t="inlineStr">
        <is>
          <t>91UC18517</t>
        </is>
      </c>
      <c r="E219" s="297" t="inlineStr">
        <is>
          <t>2018</t>
        </is>
      </c>
      <c r="F219" s="297" t="inlineStr">
        <is>
          <t>0…10 МПа</t>
        </is>
      </c>
      <c r="G219" s="360" t="inlineStr"/>
      <c r="H219" s="297" t="inlineStr">
        <is>
          <t>Ртг передд СК (А73)</t>
        </is>
      </c>
      <c r="I219" s="299" t="inlineStr">
        <is>
          <t>КЦ</t>
        </is>
      </c>
      <c r="J219" s="361" t="inlineStr">
        <is>
          <t>АСУ,А и ТМ (КЦ № 7)</t>
        </is>
      </c>
      <c r="K219" s="297" t="inlineStr"/>
      <c r="L219" s="297" t="inlineStr"/>
      <c r="M219" s="300" t="inlineStr"/>
      <c r="N219" s="299" t="inlineStr"/>
      <c r="O219" s="350" t="n"/>
    </row>
    <row r="220" ht="22.5" customHeight="1" s="236">
      <c r="A220" s="297" t="n">
        <v>219</v>
      </c>
      <c r="B220" s="297" t="inlineStr">
        <is>
          <t>Преобразователь давления</t>
        </is>
      </c>
      <c r="C220" s="359" t="inlineStr">
        <is>
          <t>Yokogawa EJA530E</t>
        </is>
      </c>
      <c r="D220" s="297" t="inlineStr">
        <is>
          <t>91UC19431</t>
        </is>
      </c>
      <c r="E220" s="297" t="inlineStr">
        <is>
          <t>2018</t>
        </is>
      </c>
      <c r="F220" s="297" t="inlineStr">
        <is>
          <t>0…0,2 МПа</t>
        </is>
      </c>
      <c r="G220" s="360" t="inlineStr"/>
      <c r="H220" s="297" t="inlineStr">
        <is>
          <t>Рв полное за КНД (А86)</t>
        </is>
      </c>
      <c r="I220" s="299" t="inlineStr">
        <is>
          <t>КЦ</t>
        </is>
      </c>
      <c r="J220" s="361" t="inlineStr">
        <is>
          <t>АСУ,А и ТМ (КЦ № 7)</t>
        </is>
      </c>
      <c r="K220" s="297" t="inlineStr"/>
      <c r="L220" s="297" t="inlineStr"/>
      <c r="M220" s="300" t="inlineStr"/>
      <c r="N220" s="299" t="inlineStr"/>
      <c r="O220" s="350" t="n"/>
    </row>
    <row r="221" ht="22.5" customHeight="1" s="236">
      <c r="A221" s="297" t="n">
        <v>220</v>
      </c>
      <c r="B221" s="297" t="inlineStr">
        <is>
          <t>Преобразователь давления</t>
        </is>
      </c>
      <c r="C221" s="359" t="inlineStr">
        <is>
          <t>Yokogawa EJA530E</t>
        </is>
      </c>
      <c r="D221" s="297" t="inlineStr">
        <is>
          <t>91V114304</t>
        </is>
      </c>
      <c r="E221" s="297" t="inlineStr">
        <is>
          <t>2018</t>
        </is>
      </c>
      <c r="F221" s="297" t="inlineStr">
        <is>
          <t>0…2 МПа</t>
        </is>
      </c>
      <c r="G221" s="360" t="inlineStr"/>
      <c r="H221" s="297" t="inlineStr">
        <is>
          <t>Рм на входе в двигатель (А40)</t>
        </is>
      </c>
      <c r="I221" s="299" t="inlineStr">
        <is>
          <t>КЦ</t>
        </is>
      </c>
      <c r="J221" s="361" t="inlineStr">
        <is>
          <t>АСУ,А и ТМ (КЦ № 7)</t>
        </is>
      </c>
      <c r="K221" s="297" t="inlineStr"/>
      <c r="L221" s="297" t="inlineStr"/>
      <c r="M221" s="300" t="inlineStr"/>
      <c r="N221" s="299" t="inlineStr"/>
      <c r="O221" s="350" t="n"/>
    </row>
    <row r="222" ht="22.5" customHeight="1" s="236">
      <c r="A222" s="297" t="n">
        <v>221</v>
      </c>
      <c r="B222" s="297" t="inlineStr">
        <is>
          <t>Преобразователь давления</t>
        </is>
      </c>
      <c r="C222" s="359" t="inlineStr">
        <is>
          <t>Yokogawa EJA530E</t>
        </is>
      </c>
      <c r="D222" s="297" t="inlineStr">
        <is>
          <t>91UC19516</t>
        </is>
      </c>
      <c r="E222" s="297" t="inlineStr">
        <is>
          <t>2018</t>
        </is>
      </c>
      <c r="F222" s="297" t="inlineStr">
        <is>
          <t>0…0,2 кПа</t>
        </is>
      </c>
      <c r="G222" s="360" t="inlineStr"/>
      <c r="H222" s="297" t="inlineStr">
        <is>
          <t>Давление суфлирования (А43)</t>
        </is>
      </c>
      <c r="I222" s="299" t="inlineStr">
        <is>
          <t>КЦ</t>
        </is>
      </c>
      <c r="J222" s="361" t="inlineStr">
        <is>
          <t>АСУ,А и ТМ (КЦ № 7)</t>
        </is>
      </c>
      <c r="K222" s="297" t="inlineStr"/>
      <c r="L222" s="297" t="inlineStr"/>
      <c r="M222" s="300" t="inlineStr"/>
      <c r="N222" s="299" t="inlineStr"/>
      <c r="O222" s="350" t="n"/>
    </row>
    <row r="223" ht="22.5" customHeight="1" s="236">
      <c r="A223" s="297" t="n">
        <v>222</v>
      </c>
      <c r="B223" s="362" t="inlineStr">
        <is>
          <t>Термометр сопротивления</t>
        </is>
      </c>
      <c r="C223" s="359" t="inlineStr">
        <is>
          <t>ТСП 012.52В</t>
        </is>
      </c>
      <c r="D223" s="297" t="inlineStr">
        <is>
          <t>24</t>
        </is>
      </c>
      <c r="E223" s="297" t="inlineStr">
        <is>
          <t>May.18</t>
        </is>
      </c>
      <c r="F223" s="297" t="inlineStr">
        <is>
          <t>-60…200 °С 100 мм</t>
        </is>
      </c>
      <c r="G223" s="360" t="inlineStr"/>
      <c r="H223" s="297" t="inlineStr">
        <is>
          <t>Тв на выходе из осевого подшипника</t>
        </is>
      </c>
      <c r="I223" s="299" t="inlineStr"/>
      <c r="J223" s="361" t="inlineStr">
        <is>
          <t>АСУ,А и ТМ (КЦ № 7)</t>
        </is>
      </c>
      <c r="K223" s="297" t="inlineStr"/>
      <c r="L223" s="297" t="inlineStr"/>
      <c r="M223" s="300" t="inlineStr"/>
      <c r="N223" s="299" t="inlineStr"/>
      <c r="O223" s="350" t="n"/>
    </row>
    <row r="224" ht="22.5" customHeight="1" s="236">
      <c r="A224" s="297" t="n">
        <v>223</v>
      </c>
      <c r="B224" s="362" t="inlineStr">
        <is>
          <t>Термометр сопротивления</t>
        </is>
      </c>
      <c r="C224" s="359" t="inlineStr">
        <is>
          <t>ТСПУ 014.12</t>
        </is>
      </c>
      <c r="D224" s="297" t="inlineStr">
        <is>
          <t>364</t>
        </is>
      </c>
      <c r="E224" s="297" t="inlineStr">
        <is>
          <t>2018</t>
        </is>
      </c>
      <c r="F224" s="297" t="inlineStr">
        <is>
          <t>-50…150 °С 80 мм</t>
        </is>
      </c>
      <c r="G224" s="360" t="inlineStr">
        <is>
          <t>0.25%</t>
        </is>
      </c>
      <c r="H224" s="297" t="inlineStr">
        <is>
          <t>Температура воздуха после доохладителя</t>
        </is>
      </c>
      <c r="I224" s="299" t="inlineStr">
        <is>
          <t>БКК 72</t>
        </is>
      </c>
      <c r="J224" s="361" t="inlineStr">
        <is>
          <t>АСУ,А и ТМ (КЦ № 7)</t>
        </is>
      </c>
      <c r="K224" s="297" t="inlineStr"/>
      <c r="L224" s="297" t="inlineStr"/>
      <c r="M224" s="300" t="inlineStr"/>
      <c r="N224" s="299" t="inlineStr"/>
      <c r="O224" s="350" t="n"/>
    </row>
    <row r="225" ht="33.75" customHeight="1" s="236">
      <c r="A225" s="297" t="n">
        <v>224</v>
      </c>
      <c r="B225" s="297" t="inlineStr">
        <is>
          <t>Газоанализатор оптический стационарный</t>
        </is>
      </c>
      <c r="C225" s="359" t="inlineStr">
        <is>
          <t>ОГС-ПГП/М</t>
        </is>
      </c>
      <c r="D225" s="297" t="inlineStr">
        <is>
          <t>15340</t>
        </is>
      </c>
      <c r="E225" s="297" t="inlineStr">
        <is>
          <t>2021</t>
        </is>
      </c>
      <c r="F225" s="297" t="inlineStr"/>
      <c r="G225" s="360" t="inlineStr"/>
      <c r="H225" s="297" t="inlineStr">
        <is>
          <t>Измерение уровня загазованности</t>
        </is>
      </c>
      <c r="I225" s="299" t="inlineStr">
        <is>
          <t>ГПА 71 (вход КШТ)</t>
        </is>
      </c>
      <c r="J225" s="361" t="inlineStr">
        <is>
          <t>АСУ,А и ТМ (КЦ № 7)</t>
        </is>
      </c>
      <c r="K225" s="297" t="inlineStr"/>
      <c r="L225" s="297" t="inlineStr">
        <is>
          <t>60</t>
        </is>
      </c>
      <c r="M225" s="300" t="inlineStr"/>
      <c r="N225" s="299" t="inlineStr"/>
      <c r="O225" s="350" t="n"/>
    </row>
    <row r="226" ht="33.75" customHeight="1" s="236">
      <c r="A226" s="297" t="n">
        <v>225</v>
      </c>
      <c r="B226" s="297" t="inlineStr">
        <is>
          <t>Газоанализатор оптический стационарный</t>
        </is>
      </c>
      <c r="C226" s="359" t="inlineStr">
        <is>
          <t>ОГС-ПГП/М</t>
        </is>
      </c>
      <c r="D226" s="297" t="inlineStr">
        <is>
          <t>15328</t>
        </is>
      </c>
      <c r="E226" s="297" t="inlineStr">
        <is>
          <t>2021</t>
        </is>
      </c>
      <c r="F226" s="297" t="inlineStr"/>
      <c r="G226" s="360" t="inlineStr"/>
      <c r="H226" s="297" t="inlineStr">
        <is>
          <t>Измерение уровня загазованности</t>
        </is>
      </c>
      <c r="I226" s="299" t="inlineStr">
        <is>
          <t>ГПА 71 (выход КШТ)</t>
        </is>
      </c>
      <c r="J226" s="361" t="inlineStr">
        <is>
          <t>АСУ,А и ТМ (КЦ № 7)</t>
        </is>
      </c>
      <c r="K226" s="297" t="inlineStr"/>
      <c r="L226" s="297" t="inlineStr">
        <is>
          <t>61</t>
        </is>
      </c>
      <c r="M226" s="300" t="inlineStr"/>
      <c r="N226" s="299" t="inlineStr"/>
      <c r="O226" s="350" t="n"/>
    </row>
    <row r="227" ht="33.75" customHeight="1" s="236">
      <c r="A227" s="297" t="n">
        <v>226</v>
      </c>
      <c r="B227" s="297" t="inlineStr">
        <is>
          <t>Газоанализатор оптический стационарный</t>
        </is>
      </c>
      <c r="C227" s="359" t="inlineStr">
        <is>
          <t>ОГС-ПГП/М</t>
        </is>
      </c>
      <c r="D227" s="297" t="inlineStr">
        <is>
          <t>15315</t>
        </is>
      </c>
      <c r="E227" s="297" t="inlineStr">
        <is>
          <t>2021</t>
        </is>
      </c>
      <c r="F227" s="297" t="inlineStr"/>
      <c r="G227" s="360" t="inlineStr"/>
      <c r="H227" s="297" t="inlineStr">
        <is>
          <t>Измерение уровня загазованности</t>
        </is>
      </c>
      <c r="I227" s="299" t="inlineStr">
        <is>
          <t>ГПА 71</t>
        </is>
      </c>
      <c r="J227" s="361" t="inlineStr">
        <is>
          <t>АСУ,А и ТМ (КЦ № 7)</t>
        </is>
      </c>
      <c r="K227" s="297" t="inlineStr"/>
      <c r="L227" s="297" t="inlineStr">
        <is>
          <t>62</t>
        </is>
      </c>
      <c r="M227" s="300" t="inlineStr"/>
      <c r="N227" s="299" t="inlineStr"/>
      <c r="O227" s="350" t="n"/>
    </row>
    <row r="228" ht="33.75" customHeight="1" s="236">
      <c r="A228" s="297" t="n">
        <v>227</v>
      </c>
      <c r="B228" s="297" t="inlineStr">
        <is>
          <t>Газоанализатор оптический стационарный</t>
        </is>
      </c>
      <c r="C228" s="359" t="inlineStr">
        <is>
          <t>ОГС-ПГП/М</t>
        </is>
      </c>
      <c r="D228" s="297" t="inlineStr">
        <is>
          <t>15355</t>
        </is>
      </c>
      <c r="E228" s="297" t="inlineStr">
        <is>
          <t>2021</t>
        </is>
      </c>
      <c r="F228" s="297" t="inlineStr"/>
      <c r="G228" s="360" t="inlineStr"/>
      <c r="H228" s="297" t="inlineStr">
        <is>
          <t>Измерение уровня загазованности</t>
        </is>
      </c>
      <c r="I228" s="299" t="inlineStr">
        <is>
          <t>ГПА 71</t>
        </is>
      </c>
      <c r="J228" s="361" t="inlineStr">
        <is>
          <t>АСУ,А и ТМ (КЦ № 7)</t>
        </is>
      </c>
      <c r="K228" s="297" t="inlineStr"/>
      <c r="L228" s="297" t="inlineStr">
        <is>
          <t>63</t>
        </is>
      </c>
      <c r="M228" s="300" t="inlineStr"/>
      <c r="N228" s="299" t="inlineStr"/>
      <c r="O228" s="350" t="n"/>
    </row>
    <row r="229" ht="33.75" customHeight="1" s="236">
      <c r="A229" s="297" t="n">
        <v>228</v>
      </c>
      <c r="B229" s="297" t="inlineStr">
        <is>
          <t>Газоанализатор оптический стационарный</t>
        </is>
      </c>
      <c r="C229" s="359" t="inlineStr">
        <is>
          <t>ОГС-ПГП/М</t>
        </is>
      </c>
      <c r="D229" s="297" t="inlineStr">
        <is>
          <t>15339</t>
        </is>
      </c>
      <c r="E229" s="297" t="inlineStr">
        <is>
          <t>2021</t>
        </is>
      </c>
      <c r="F229" s="297" t="inlineStr"/>
      <c r="G229" s="360" t="inlineStr"/>
      <c r="H229" s="297" t="inlineStr">
        <is>
          <t>Измерение уровня загазованности</t>
        </is>
      </c>
      <c r="I229" s="299" t="inlineStr">
        <is>
          <t>ГПА 71</t>
        </is>
      </c>
      <c r="J229" s="361" t="inlineStr">
        <is>
          <t>АСУ,А и ТМ (КЦ № 7)</t>
        </is>
      </c>
      <c r="K229" s="297" t="inlineStr"/>
      <c r="L229" s="297" t="inlineStr">
        <is>
          <t>64</t>
        </is>
      </c>
      <c r="M229" s="300" t="inlineStr"/>
      <c r="N229" s="299" t="inlineStr"/>
      <c r="O229" s="350" t="n"/>
    </row>
    <row r="230">
      <c r="A230" s="243" t="n">
        <v>206</v>
      </c>
      <c r="B230" s="248" t="inlineStr">
        <is>
          <t>Сигнализатор давления</t>
        </is>
      </c>
      <c r="C230" s="276" t="inlineStr">
        <is>
          <t>Садко 107</t>
        </is>
      </c>
      <c r="D230" s="363" t="inlineStr"/>
      <c r="E230" s="245" t="inlineStr">
        <is>
          <t>2018</t>
        </is>
      </c>
      <c r="F230" s="246" t="inlineStr">
        <is>
          <t>0,09…0,5 МПа</t>
        </is>
      </c>
      <c r="G230" s="276" t="inlineStr"/>
      <c r="H230" s="248" t="inlineStr">
        <is>
          <t>PКПВ КВД (А61)</t>
        </is>
      </c>
      <c r="I230" s="245" t="inlineStr">
        <is>
          <t>КЦ</t>
        </is>
      </c>
      <c r="J230" s="243" t="inlineStr">
        <is>
          <t>АСУ,А и ТМ (КЦ № 7)</t>
        </is>
      </c>
      <c r="K230" s="243" t="inlineStr"/>
      <c r="L230" s="243" t="inlineStr"/>
      <c r="M230" s="246" t="inlineStr"/>
      <c r="N230" s="245" t="inlineStr"/>
    </row>
    <row r="231">
      <c r="A231" s="243" t="n">
        <v>207</v>
      </c>
      <c r="B231" s="248" t="inlineStr">
        <is>
          <t>Сигнализатор давления</t>
        </is>
      </c>
      <c r="C231" s="276" t="inlineStr">
        <is>
          <t>Садко 107</t>
        </is>
      </c>
      <c r="D231" s="363" t="inlineStr"/>
      <c r="E231" s="245" t="inlineStr">
        <is>
          <t>2019</t>
        </is>
      </c>
      <c r="F231" s="246" t="inlineStr">
        <is>
          <t>0,04…0,1 МПа</t>
        </is>
      </c>
      <c r="G231" s="276" t="inlineStr"/>
      <c r="H231" s="248" t="inlineStr">
        <is>
          <t>Pкпвз (А31)</t>
        </is>
      </c>
      <c r="I231" s="245" t="inlineStr">
        <is>
          <t>КЦ</t>
        </is>
      </c>
      <c r="J231" s="243" t="inlineStr">
        <is>
          <t>АСУ,А и ТМ (КЦ № 7)</t>
        </is>
      </c>
      <c r="K231" s="243" t="inlineStr"/>
      <c r="L231" s="243" t="inlineStr"/>
      <c r="M231" s="246" t="inlineStr"/>
      <c r="N231" s="245" t="inlineStr"/>
    </row>
  </sheetData>
  <conditionalFormatting sqref="M1:M1048576">
    <cfRule type="expression" rank="0" priority="2" equalAverage="0" aboveAverage="0" dxfId="1" text="" percent="0" bottom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O232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A84" activeCellId="0" sqref="A84"/>
    </sheetView>
  </sheetViews>
  <sheetFormatPr baseColWidth="8" defaultColWidth="9.15625" defaultRowHeight="15" zeroHeight="0" outlineLevelRow="0"/>
  <cols>
    <col width="3.57" customWidth="1" style="364" min="1" max="1"/>
    <col width="18" customWidth="1" style="364" min="2" max="2"/>
    <col width="20.86" customWidth="1" style="364" min="3" max="3"/>
    <col width="18.14" customWidth="1" style="364" min="4" max="4"/>
    <col width="6.57" customWidth="1" style="364" min="5" max="5"/>
    <col width="12.71" customWidth="1" style="364" min="6" max="6"/>
    <col width="7.42" customWidth="1" style="364" min="7" max="7"/>
    <col width="31.7" customWidth="1" style="364" min="8" max="8"/>
    <col width="14.01" customWidth="1" style="364" min="9" max="9"/>
    <col width="11.14" customWidth="1" style="364" min="10" max="10"/>
    <col width="8" customWidth="1" style="364" min="11" max="11"/>
    <col width="9.85" customWidth="1" style="364" min="12" max="12"/>
    <col width="8.859999999999999" customWidth="1" style="364" min="13" max="13"/>
    <col width="9.85" customWidth="1" style="364" min="14" max="14"/>
    <col width="31.57" customWidth="1" style="364" min="15" max="15"/>
    <col width="9.140000000000001" customWidth="1" style="364" min="16" max="1024"/>
  </cols>
  <sheetData>
    <row r="1" ht="45" customHeight="1" s="236">
      <c r="A1" s="239" t="inlineStr">
        <is>
          <t>№ п/п</t>
        </is>
      </c>
      <c r="B1" s="239" t="inlineStr">
        <is>
          <t>Наименование</t>
        </is>
      </c>
      <c r="C1" s="239" t="inlineStr">
        <is>
          <t>Тип</t>
        </is>
      </c>
      <c r="D1" s="239" t="inlineStr">
        <is>
          <t>Заводской номер</t>
        </is>
      </c>
      <c r="E1" s="240" t="inlineStr">
        <is>
          <t>Год 
выпуска</t>
        </is>
      </c>
      <c r="F1" s="239" t="inlineStr">
        <is>
          <t>Диапазон измерений</t>
        </is>
      </c>
      <c r="G1" s="239" t="inlineStr">
        <is>
          <t>Класс точности</t>
        </is>
      </c>
      <c r="H1" s="239" t="inlineStr">
        <is>
          <t>Место установки СИ</t>
        </is>
      </c>
      <c r="I1" s="239" t="inlineStr">
        <is>
          <t>Объект установки</t>
        </is>
      </c>
      <c r="J1" s="239" t="inlineStr">
        <is>
          <t>Подразделение</t>
        </is>
      </c>
      <c r="K1" s="239" t="inlineStr">
        <is>
          <t>Дата установки</t>
        </is>
      </c>
      <c r="L1" s="239" t="inlineStr">
        <is>
          <t>Межповерочный интервал, мес.</t>
        </is>
      </c>
      <c r="M1" s="240" t="inlineStr">
        <is>
          <t>Дата последней поверки / калибровки</t>
        </is>
      </c>
      <c r="N1" s="239" t="inlineStr">
        <is>
          <t>Поверка (П)/ Калибровка (К)</t>
        </is>
      </c>
      <c r="O1" s="365" t="n"/>
    </row>
    <row r="2" ht="22.5" customHeight="1" s="236">
      <c r="A2" s="239" t="n">
        <v>1</v>
      </c>
      <c r="B2" s="241" t="inlineStr">
        <is>
          <t>Манометр технический</t>
        </is>
      </c>
      <c r="C2" s="239" t="inlineStr">
        <is>
          <t>МП4-УУ2</t>
        </is>
      </c>
      <c r="D2" s="239" t="inlineStr">
        <is>
          <t>700026</t>
        </is>
      </c>
      <c r="E2" s="239" t="inlineStr"/>
      <c r="F2" s="242" t="inlineStr">
        <is>
          <t>0…16 МПа</t>
        </is>
      </c>
      <c r="G2" s="239" t="inlineStr">
        <is>
          <t>1</t>
        </is>
      </c>
      <c r="H2" s="239" t="inlineStr">
        <is>
          <t>P газа на выходе нагнетателя</t>
        </is>
      </c>
      <c r="I2" s="239" t="inlineStr">
        <is>
          <t>ГПА 73</t>
        </is>
      </c>
      <c r="J2" s="239" t="inlineStr">
        <is>
          <t>АСУ,А и ТМ (КЦ № 7)</t>
        </is>
      </c>
      <c r="K2" s="239" t="inlineStr"/>
      <c r="L2" s="239" t="inlineStr">
        <is>
          <t>12</t>
        </is>
      </c>
      <c r="M2" s="240" t="inlineStr">
        <is>
          <t>2К26</t>
        </is>
      </c>
      <c r="N2" s="239" t="inlineStr">
        <is>
          <t>К</t>
        </is>
      </c>
      <c r="O2" s="365" t="n"/>
    </row>
    <row r="3" ht="22.5" customHeight="1" s="236">
      <c r="A3" s="243" t="n">
        <v>2</v>
      </c>
      <c r="B3" s="244" t="inlineStr">
        <is>
          <t>Манометр технический</t>
        </is>
      </c>
      <c r="C3" s="243" t="inlineStr">
        <is>
          <t>МП4-УУХЛ1</t>
        </is>
      </c>
      <c r="D3" s="243" t="inlineStr">
        <is>
          <t>700075</t>
        </is>
      </c>
      <c r="E3" s="243" t="inlineStr"/>
      <c r="F3" s="245" t="inlineStr">
        <is>
          <t>0…6 МПа</t>
        </is>
      </c>
      <c r="G3" s="243" t="inlineStr">
        <is>
          <t>1</t>
        </is>
      </c>
      <c r="H3" s="243" t="inlineStr">
        <is>
          <t>P т.г. после РД5101</t>
        </is>
      </c>
      <c r="I3" s="243" t="inlineStr">
        <is>
          <t>ГПА 73</t>
        </is>
      </c>
      <c r="J3" s="243" t="inlineStr">
        <is>
          <t>АСУ,А и ТМ (КЦ № 7)</t>
        </is>
      </c>
      <c r="K3" s="243" t="inlineStr"/>
      <c r="L3" s="243" t="inlineStr">
        <is>
          <t>12</t>
        </is>
      </c>
      <c r="M3" s="246" t="inlineStr">
        <is>
          <t>2К26</t>
        </is>
      </c>
      <c r="N3" s="243" t="inlineStr">
        <is>
          <t>К</t>
        </is>
      </c>
      <c r="O3" s="365" t="n"/>
    </row>
    <row r="4" ht="22.5" customHeight="1" s="236">
      <c r="A4" s="243" t="n">
        <v>3</v>
      </c>
      <c r="B4" s="244" t="inlineStr">
        <is>
          <t>Манометр технический</t>
        </is>
      </c>
      <c r="C4" s="243" t="inlineStr">
        <is>
          <t>МП4-УУХЛ1</t>
        </is>
      </c>
      <c r="D4" s="243" t="inlineStr">
        <is>
          <t>700073</t>
        </is>
      </c>
      <c r="E4" s="243" t="inlineStr"/>
      <c r="F4" s="245" t="inlineStr">
        <is>
          <t>0…6 МПа</t>
        </is>
      </c>
      <c r="G4" s="243" t="inlineStr">
        <is>
          <t>1</t>
        </is>
      </c>
      <c r="H4" s="243" t="inlineStr">
        <is>
          <t>P т.г. после РД5102</t>
        </is>
      </c>
      <c r="I4" s="243" t="inlineStr">
        <is>
          <t>ГПА 73</t>
        </is>
      </c>
      <c r="J4" s="243" t="inlineStr">
        <is>
          <t>АСУ,А и ТМ (КЦ № 7)</t>
        </is>
      </c>
      <c r="K4" s="243" t="inlineStr"/>
      <c r="L4" s="243" t="inlineStr">
        <is>
          <t>12</t>
        </is>
      </c>
      <c r="M4" s="246" t="inlineStr">
        <is>
          <t>2К26</t>
        </is>
      </c>
      <c r="N4" s="243" t="inlineStr">
        <is>
          <t>К</t>
        </is>
      </c>
      <c r="O4" s="365" t="n"/>
    </row>
    <row r="5" ht="22.5" customHeight="1" s="236">
      <c r="A5" s="243" t="n">
        <v>4</v>
      </c>
      <c r="B5" s="244" t="inlineStr">
        <is>
          <t>Манометр технический</t>
        </is>
      </c>
      <c r="C5" s="243" t="inlineStr">
        <is>
          <t>МП4-УУХЛ1</t>
        </is>
      </c>
      <c r="D5" s="243" t="inlineStr">
        <is>
          <t>700092</t>
        </is>
      </c>
      <c r="E5" s="243" t="inlineStr"/>
      <c r="F5" s="245" t="inlineStr">
        <is>
          <t>0…10 МПа</t>
        </is>
      </c>
      <c r="G5" s="243" t="inlineStr">
        <is>
          <t>1</t>
        </is>
      </c>
      <c r="H5" s="243" t="inlineStr">
        <is>
          <t>P т.г. после фильтра-сепаратора</t>
        </is>
      </c>
      <c r="I5" s="243" t="inlineStr">
        <is>
          <t>ГПА 73</t>
        </is>
      </c>
      <c r="J5" s="243" t="inlineStr">
        <is>
          <t>АСУ,А и ТМ (КЦ № 7)</t>
        </is>
      </c>
      <c r="K5" s="243" t="inlineStr"/>
      <c r="L5" s="243" t="inlineStr">
        <is>
          <t>12</t>
        </is>
      </c>
      <c r="M5" s="246" t="inlineStr">
        <is>
          <t>2К26</t>
        </is>
      </c>
      <c r="N5" s="243" t="inlineStr">
        <is>
          <t>К</t>
        </is>
      </c>
      <c r="O5" s="365" t="n"/>
    </row>
    <row r="6" ht="22.5" customHeight="1" s="236">
      <c r="A6" s="243" t="n">
        <v>5</v>
      </c>
      <c r="B6" s="244" t="inlineStr">
        <is>
          <t>Манометр технический</t>
        </is>
      </c>
      <c r="C6" s="243" t="inlineStr">
        <is>
          <t>МП4-УУ2</t>
        </is>
      </c>
      <c r="D6" s="243" t="inlineStr">
        <is>
          <t>15654</t>
        </is>
      </c>
      <c r="E6" s="243" t="inlineStr"/>
      <c r="F6" s="245" t="inlineStr">
        <is>
          <t>0…1,6 кгс/см2</t>
        </is>
      </c>
      <c r="G6" s="243" t="inlineStr">
        <is>
          <t>1.5</t>
        </is>
      </c>
      <c r="H6" s="243" t="inlineStr">
        <is>
          <t>P з.в. после РД5303</t>
        </is>
      </c>
      <c r="I6" s="243" t="inlineStr">
        <is>
          <t>ГПА 73</t>
        </is>
      </c>
      <c r="J6" s="243" t="inlineStr">
        <is>
          <t>АСУ,А и ТМ (КЦ № 7)</t>
        </is>
      </c>
      <c r="K6" s="243" t="inlineStr"/>
      <c r="L6" s="243" t="inlineStr">
        <is>
          <t>12</t>
        </is>
      </c>
      <c r="M6" s="246" t="inlineStr">
        <is>
          <t>2К26</t>
        </is>
      </c>
      <c r="N6" s="243" t="inlineStr">
        <is>
          <t>К</t>
        </is>
      </c>
      <c r="O6" s="365" t="n"/>
    </row>
    <row r="7" ht="22.5" customHeight="1" s="236">
      <c r="A7" s="243" t="n">
        <v>6</v>
      </c>
      <c r="B7" s="244" t="inlineStr">
        <is>
          <t>Манометр технический</t>
        </is>
      </c>
      <c r="C7" s="243" t="inlineStr">
        <is>
          <t>МП4-УФ БС УХЛ1</t>
        </is>
      </c>
      <c r="D7" s="243" t="inlineStr">
        <is>
          <t>А0810195</t>
        </is>
      </c>
      <c r="E7" s="243" t="inlineStr"/>
      <c r="F7" s="245" t="inlineStr">
        <is>
          <t>0…100 кПа</t>
        </is>
      </c>
      <c r="G7" s="243" t="inlineStr">
        <is>
          <t>1</t>
        </is>
      </c>
      <c r="H7" s="243" t="inlineStr">
        <is>
          <t>P з.в. после ФВ-100</t>
        </is>
      </c>
      <c r="I7" s="243" t="inlineStr">
        <is>
          <t>ГПА 73</t>
        </is>
      </c>
      <c r="J7" s="243" t="inlineStr">
        <is>
          <t>АСУ,А и ТМ (КЦ № 7)</t>
        </is>
      </c>
      <c r="K7" s="243" t="inlineStr"/>
      <c r="L7" s="243" t="inlineStr">
        <is>
          <t>12</t>
        </is>
      </c>
      <c r="M7" s="246" t="inlineStr">
        <is>
          <t>2К26</t>
        </is>
      </c>
      <c r="N7" s="243" t="inlineStr">
        <is>
          <t>К</t>
        </is>
      </c>
      <c r="O7" s="365" t="n"/>
    </row>
    <row r="8" ht="22.5" customHeight="1" s="236">
      <c r="A8" s="243" t="n">
        <v>7</v>
      </c>
      <c r="B8" s="244" t="inlineStr">
        <is>
          <t>Манометр технический</t>
        </is>
      </c>
      <c r="C8" s="243" t="inlineStr">
        <is>
          <t>МП4-УУ2</t>
        </is>
      </c>
      <c r="D8" s="243" t="inlineStr">
        <is>
          <t>40233</t>
        </is>
      </c>
      <c r="E8" s="243" t="inlineStr"/>
      <c r="F8" s="245" t="inlineStr">
        <is>
          <t>0…1,6 кгс/см2</t>
        </is>
      </c>
      <c r="G8" s="243" t="inlineStr">
        <is>
          <t>1.5</t>
        </is>
      </c>
      <c r="H8" s="243" t="inlineStr">
        <is>
          <t>P з.в. после РД5301</t>
        </is>
      </c>
      <c r="I8" s="243" t="inlineStr">
        <is>
          <t>ГПА 73</t>
        </is>
      </c>
      <c r="J8" s="243" t="inlineStr">
        <is>
          <t>АСУ,А и ТМ (КЦ № 7)</t>
        </is>
      </c>
      <c r="K8" s="243" t="inlineStr"/>
      <c r="L8" s="243" t="inlineStr">
        <is>
          <t>12</t>
        </is>
      </c>
      <c r="M8" s="246" t="inlineStr">
        <is>
          <t>2К26</t>
        </is>
      </c>
      <c r="N8" s="243" t="inlineStr">
        <is>
          <t>К</t>
        </is>
      </c>
      <c r="O8" s="365" t="n"/>
    </row>
    <row r="9" ht="22.5" customFormat="1" customHeight="1" s="366">
      <c r="A9" s="243" t="n">
        <v>8</v>
      </c>
      <c r="B9" s="244" t="inlineStr">
        <is>
          <t>Манометр технический</t>
        </is>
      </c>
      <c r="C9" s="243" t="inlineStr">
        <is>
          <t>МП4-УУ2</t>
        </is>
      </c>
      <c r="D9" s="243" t="inlineStr">
        <is>
          <t>212032126</t>
        </is>
      </c>
      <c r="E9" s="243" t="inlineStr"/>
      <c r="F9" s="245" t="inlineStr">
        <is>
          <t>0…160 кгс/см2</t>
        </is>
      </c>
      <c r="G9" s="243" t="inlineStr">
        <is>
          <t>1.5</t>
        </is>
      </c>
      <c r="H9" s="243" t="inlineStr">
        <is>
          <t>P б.г. в фильтре-сепараторе</t>
        </is>
      </c>
      <c r="I9" s="243" t="inlineStr">
        <is>
          <t>ГПА 73</t>
        </is>
      </c>
      <c r="J9" s="243" t="inlineStr">
        <is>
          <t>АСУ,А и ТМ (КЦ № 7)</t>
        </is>
      </c>
      <c r="K9" s="243" t="inlineStr"/>
      <c r="L9" s="243" t="inlineStr">
        <is>
          <t>12</t>
        </is>
      </c>
      <c r="M9" s="246" t="inlineStr">
        <is>
          <t>26ДЯУ</t>
        </is>
      </c>
      <c r="N9" s="243" t="inlineStr">
        <is>
          <t>П</t>
        </is>
      </c>
      <c r="O9" s="367" t="n"/>
    </row>
    <row r="10" ht="22.5" customHeight="1" s="236">
      <c r="A10" s="243" t="n">
        <v>9</v>
      </c>
      <c r="B10" s="244" t="inlineStr">
        <is>
          <t>Манометр технический</t>
        </is>
      </c>
      <c r="C10" s="243" t="inlineStr">
        <is>
          <t>EN 837-1</t>
        </is>
      </c>
      <c r="D10" s="243" t="inlineStr">
        <is>
          <t>860008BM</t>
        </is>
      </c>
      <c r="E10" s="243" t="inlineStr"/>
      <c r="F10" s="245" t="inlineStr">
        <is>
          <t>0…160 кгс/см2</t>
        </is>
      </c>
      <c r="G10" s="243" t="inlineStr">
        <is>
          <t>1</t>
        </is>
      </c>
      <c r="H10" s="243" t="inlineStr">
        <is>
          <t>P б.г. после фильтра PI1</t>
        </is>
      </c>
      <c r="I10" s="243" t="inlineStr">
        <is>
          <t>ГПА 73</t>
        </is>
      </c>
      <c r="J10" s="243" t="inlineStr">
        <is>
          <t>АСУ,А и ТМ (КЦ № 7)</t>
        </is>
      </c>
      <c r="K10" s="243" t="inlineStr"/>
      <c r="L10" s="243" t="inlineStr">
        <is>
          <t>12</t>
        </is>
      </c>
      <c r="M10" s="246" t="inlineStr">
        <is>
          <t>2К26</t>
        </is>
      </c>
      <c r="N10" s="243" t="inlineStr">
        <is>
          <t>К</t>
        </is>
      </c>
      <c r="O10" s="365" t="n"/>
    </row>
    <row r="11" ht="22.5" customHeight="1" s="236">
      <c r="A11" s="243" t="n">
        <v>10</v>
      </c>
      <c r="B11" s="244" t="inlineStr">
        <is>
          <t>Манометр технический</t>
        </is>
      </c>
      <c r="C11" s="243" t="inlineStr">
        <is>
          <t>EN 837-1</t>
        </is>
      </c>
      <c r="D11" s="243" t="inlineStr">
        <is>
          <t>860008B4</t>
        </is>
      </c>
      <c r="E11" s="243" t="inlineStr"/>
      <c r="F11" s="245" t="inlineStr">
        <is>
          <t>0…160 кгс/см2</t>
        </is>
      </c>
      <c r="G11" s="243" t="inlineStr">
        <is>
          <t>1</t>
        </is>
      </c>
      <c r="H11" s="243" t="inlineStr">
        <is>
          <t>P б.г. после фильтра PI2</t>
        </is>
      </c>
      <c r="I11" s="243" t="inlineStr">
        <is>
          <t>ГПА 73</t>
        </is>
      </c>
      <c r="J11" s="243" t="inlineStr">
        <is>
          <t>АСУ,А и ТМ (КЦ № 7)</t>
        </is>
      </c>
      <c r="K11" s="243" t="inlineStr"/>
      <c r="L11" s="243" t="inlineStr">
        <is>
          <t>12</t>
        </is>
      </c>
      <c r="M11" s="246" t="inlineStr">
        <is>
          <t>2К26</t>
        </is>
      </c>
      <c r="N11" s="243" t="inlineStr">
        <is>
          <t>К</t>
        </is>
      </c>
      <c r="O11" s="365" t="n"/>
    </row>
    <row r="12" ht="22.5" customHeight="1" s="236">
      <c r="A12" s="243" t="n">
        <v>11</v>
      </c>
      <c r="B12" s="244" t="inlineStr">
        <is>
          <t>Манометр технический</t>
        </is>
      </c>
      <c r="C12" s="243" t="inlineStr">
        <is>
          <t>EN 837-1</t>
        </is>
      </c>
      <c r="D12" s="243" t="inlineStr">
        <is>
          <t>860008BP</t>
        </is>
      </c>
      <c r="E12" s="243" t="inlineStr"/>
      <c r="F12" s="245" t="inlineStr">
        <is>
          <t>0…160 кгс/см2</t>
        </is>
      </c>
      <c r="G12" s="243" t="inlineStr">
        <is>
          <t>1</t>
        </is>
      </c>
      <c r="H12" s="243" t="inlineStr">
        <is>
          <t>P б.г. после фильтра PI3</t>
        </is>
      </c>
      <c r="I12" s="243" t="inlineStr">
        <is>
          <t>ГПА 73</t>
        </is>
      </c>
      <c r="J12" s="243" t="inlineStr">
        <is>
          <t>АСУ,А и ТМ (КЦ № 7)</t>
        </is>
      </c>
      <c r="K12" s="243" t="inlineStr"/>
      <c r="L12" s="243" t="inlineStr">
        <is>
          <t>12</t>
        </is>
      </c>
      <c r="M12" s="246" t="inlineStr">
        <is>
          <t>2К26</t>
        </is>
      </c>
      <c r="N12" s="243" t="inlineStr">
        <is>
          <t>К</t>
        </is>
      </c>
      <c r="O12" s="365" t="n"/>
    </row>
    <row r="13" ht="22.5" customHeight="1" s="236">
      <c r="A13" s="243" t="n">
        <v>12</v>
      </c>
      <c r="B13" s="244" t="inlineStr">
        <is>
          <t>Манометр технический</t>
        </is>
      </c>
      <c r="C13" s="243" t="inlineStr">
        <is>
          <t>EN 837-1</t>
        </is>
      </c>
      <c r="D13" s="243" t="inlineStr">
        <is>
          <t>860008BL</t>
        </is>
      </c>
      <c r="E13" s="243" t="inlineStr"/>
      <c r="F13" s="245" t="inlineStr">
        <is>
          <t>0…160 кгс/см2</t>
        </is>
      </c>
      <c r="G13" s="243" t="inlineStr">
        <is>
          <t>1</t>
        </is>
      </c>
      <c r="H13" s="243" t="inlineStr">
        <is>
          <t>P б.г. после фильтра PI4</t>
        </is>
      </c>
      <c r="I13" s="243" t="inlineStr">
        <is>
          <t>ГПА 73</t>
        </is>
      </c>
      <c r="J13" s="243" t="inlineStr">
        <is>
          <t>АСУ,А и ТМ (КЦ № 7)</t>
        </is>
      </c>
      <c r="K13" s="243" t="inlineStr"/>
      <c r="L13" s="243" t="inlineStr">
        <is>
          <t>12</t>
        </is>
      </c>
      <c r="M13" s="246" t="inlineStr">
        <is>
          <t>2К26</t>
        </is>
      </c>
      <c r="N13" s="243" t="inlineStr">
        <is>
          <t>К</t>
        </is>
      </c>
      <c r="O13" s="365" t="n"/>
    </row>
    <row r="14" ht="22.5" customHeight="1" s="236">
      <c r="A14" s="243" t="n">
        <v>13</v>
      </c>
      <c r="B14" s="244" t="inlineStr">
        <is>
          <t>Манометр технический</t>
        </is>
      </c>
      <c r="C14" s="243" t="inlineStr">
        <is>
          <t>МП4-УУ2</t>
        </is>
      </c>
      <c r="D14" s="243" t="inlineStr">
        <is>
          <t>700036</t>
        </is>
      </c>
      <c r="E14" s="243" t="inlineStr"/>
      <c r="F14" s="245" t="inlineStr">
        <is>
          <t>0…16 МПа</t>
        </is>
      </c>
      <c r="G14" s="243" t="inlineStr">
        <is>
          <t>1</t>
        </is>
      </c>
      <c r="H14" s="243" t="inlineStr">
        <is>
          <t>P газа на входе в нагнетатель</t>
        </is>
      </c>
      <c r="I14" s="243" t="inlineStr">
        <is>
          <t>ГПА 73</t>
        </is>
      </c>
      <c r="J14" s="243" t="inlineStr">
        <is>
          <t>АСУ,А и ТМ (КЦ № 7)</t>
        </is>
      </c>
      <c r="K14" s="243" t="inlineStr"/>
      <c r="L14" s="243" t="inlineStr">
        <is>
          <t>12</t>
        </is>
      </c>
      <c r="M14" s="246" t="inlineStr">
        <is>
          <t>2К26</t>
        </is>
      </c>
      <c r="N14" s="243" t="inlineStr">
        <is>
          <t>К</t>
        </is>
      </c>
      <c r="O14" s="365" t="n"/>
    </row>
    <row r="15" ht="22.5" customHeight="1" s="236">
      <c r="A15" s="243" t="n">
        <v>14</v>
      </c>
      <c r="B15" s="244" t="inlineStr">
        <is>
          <t>Манометр технический</t>
        </is>
      </c>
      <c r="C15" s="243" t="inlineStr">
        <is>
          <t>МП4-УУ2</t>
        </is>
      </c>
      <c r="D15" s="243" t="inlineStr">
        <is>
          <t>1900</t>
        </is>
      </c>
      <c r="E15" s="243" t="inlineStr">
        <is>
          <t>2018</t>
        </is>
      </c>
      <c r="F15" s="245" t="inlineStr">
        <is>
          <t>0…100 кгс/см2</t>
        </is>
      </c>
      <c r="G15" s="243" t="inlineStr">
        <is>
          <t>1.5</t>
        </is>
      </c>
      <c r="H15" s="243" t="inlineStr">
        <is>
          <t>P т.г. в фильтре ФГ-80 №3-2</t>
        </is>
      </c>
      <c r="I15" s="243" t="inlineStr">
        <is>
          <t>ГПА 73</t>
        </is>
      </c>
      <c r="J15" s="243" t="inlineStr">
        <is>
          <t>АСУ,А и ТМ (КЦ № 7)</t>
        </is>
      </c>
      <c r="K15" s="243" t="inlineStr"/>
      <c r="L15" s="243" t="inlineStr">
        <is>
          <t>12</t>
        </is>
      </c>
      <c r="M15" s="246" t="inlineStr">
        <is>
          <t>26ДЯУ</t>
        </is>
      </c>
      <c r="N15" s="243" t="inlineStr">
        <is>
          <t>П</t>
        </is>
      </c>
      <c r="O15" s="365" t="n"/>
    </row>
    <row r="16" ht="22.5" customHeight="1" s="236">
      <c r="A16" s="243" t="n">
        <v>15</v>
      </c>
      <c r="B16" s="244" t="inlineStr">
        <is>
          <t>Манометр технический</t>
        </is>
      </c>
      <c r="C16" s="243" t="inlineStr">
        <is>
          <t>МП4-УУ2</t>
        </is>
      </c>
      <c r="D16" s="243" t="inlineStr">
        <is>
          <t>2302</t>
        </is>
      </c>
      <c r="E16" s="243" t="inlineStr">
        <is>
          <t>2018</t>
        </is>
      </c>
      <c r="F16" s="245" t="inlineStr">
        <is>
          <t>0…100 кгс/см2</t>
        </is>
      </c>
      <c r="G16" s="243" t="inlineStr">
        <is>
          <t>1.5</t>
        </is>
      </c>
      <c r="H16" s="243" t="inlineStr">
        <is>
          <t>P т.г. в фильтре ФГ-80 №3-1</t>
        </is>
      </c>
      <c r="I16" s="243" t="inlineStr">
        <is>
          <t>ГПА 73</t>
        </is>
      </c>
      <c r="J16" s="243" t="inlineStr">
        <is>
          <t>АСУ,А и ТМ (КЦ № 7)</t>
        </is>
      </c>
      <c r="K16" s="243" t="inlineStr"/>
      <c r="L16" s="243" t="inlineStr">
        <is>
          <t>12</t>
        </is>
      </c>
      <c r="M16" s="246" t="inlineStr">
        <is>
          <t>26ДЯУ</t>
        </is>
      </c>
      <c r="N16" s="243" t="inlineStr">
        <is>
          <t>П</t>
        </is>
      </c>
      <c r="O16" s="365" t="n"/>
    </row>
    <row r="17" ht="22.5" customHeight="1" s="236">
      <c r="A17" s="243" t="n">
        <v>16</v>
      </c>
      <c r="B17" s="244" t="inlineStr">
        <is>
          <t>Манометр технический</t>
        </is>
      </c>
      <c r="C17" s="243" t="inlineStr">
        <is>
          <t>МП4-УУ2</t>
        </is>
      </c>
      <c r="D17" s="243" t="inlineStr">
        <is>
          <t>20227</t>
        </is>
      </c>
      <c r="E17" s="243" t="inlineStr"/>
      <c r="F17" s="245" t="inlineStr">
        <is>
          <t>0…1,6 кгс/см2</t>
        </is>
      </c>
      <c r="G17" s="243" t="inlineStr">
        <is>
          <t>1.5</t>
        </is>
      </c>
      <c r="H17" s="243" t="inlineStr">
        <is>
          <t>Pм для настройки перепускного клапана</t>
        </is>
      </c>
      <c r="I17" s="243" t="inlineStr">
        <is>
          <t>ГПА 73</t>
        </is>
      </c>
      <c r="J17" s="243" t="inlineStr">
        <is>
          <t>АСУ,А и ТМ (КЦ № 7)</t>
        </is>
      </c>
      <c r="K17" s="243" t="inlineStr"/>
      <c r="L17" s="243" t="inlineStr">
        <is>
          <t>12</t>
        </is>
      </c>
      <c r="M17" s="246" t="inlineStr">
        <is>
          <t>2К26</t>
        </is>
      </c>
      <c r="N17" s="243" t="inlineStr">
        <is>
          <t>К</t>
        </is>
      </c>
      <c r="O17" s="365" t="n"/>
    </row>
    <row r="18" ht="22.5" customHeight="1" s="236">
      <c r="A18" s="243" t="n">
        <v>17</v>
      </c>
      <c r="B18" s="244" t="inlineStr">
        <is>
          <t>Манометр технический</t>
        </is>
      </c>
      <c r="C18" s="243" t="inlineStr">
        <is>
          <t>МП4-УУХЛ1</t>
        </is>
      </c>
      <c r="D18" s="243" t="inlineStr">
        <is>
          <t>700084</t>
        </is>
      </c>
      <c r="E18" s="243" t="inlineStr"/>
      <c r="F18" s="245" t="inlineStr">
        <is>
          <t>0…160 кПа</t>
        </is>
      </c>
      <c r="G18" s="243" t="inlineStr">
        <is>
          <t>1</t>
        </is>
      </c>
      <c r="H18" s="243" t="inlineStr">
        <is>
          <t>P м на входе в фильтры БВМФ 6002</t>
        </is>
      </c>
      <c r="I18" s="243" t="inlineStr">
        <is>
          <t>ГПА 73</t>
        </is>
      </c>
      <c r="J18" s="243" t="inlineStr">
        <is>
          <t>АСУ,А и ТМ (КЦ № 7)</t>
        </is>
      </c>
      <c r="K18" s="243" t="inlineStr"/>
      <c r="L18" s="243" t="inlineStr">
        <is>
          <t>12</t>
        </is>
      </c>
      <c r="M18" s="246" t="inlineStr">
        <is>
          <t>2К26</t>
        </is>
      </c>
      <c r="N18" s="243" t="inlineStr">
        <is>
          <t>К</t>
        </is>
      </c>
      <c r="O18" s="365" t="n"/>
    </row>
    <row r="19" ht="22.5" customHeight="1" s="236">
      <c r="A19" s="243" t="n">
        <v>18</v>
      </c>
      <c r="B19" s="244" t="inlineStr">
        <is>
          <t>Манометр технический</t>
        </is>
      </c>
      <c r="C19" s="243" t="inlineStr">
        <is>
          <t>МП4-УУХЛ1</t>
        </is>
      </c>
      <c r="D19" s="243" t="inlineStr">
        <is>
          <t>7000185</t>
        </is>
      </c>
      <c r="E19" s="243" t="inlineStr"/>
      <c r="F19" s="245" t="inlineStr">
        <is>
          <t>0…1,6 МПа</t>
        </is>
      </c>
      <c r="G19" s="243" t="inlineStr">
        <is>
          <t>1.5</t>
        </is>
      </c>
      <c r="H19" s="243" t="inlineStr">
        <is>
          <t>P м на входе в фильтры БВМФ 6001</t>
        </is>
      </c>
      <c r="I19" s="243" t="inlineStr">
        <is>
          <t>ГПА 73</t>
        </is>
      </c>
      <c r="J19" s="243" t="inlineStr">
        <is>
          <t>АСУ,А и ТМ (КЦ № 7)</t>
        </is>
      </c>
      <c r="K19" s="243" t="inlineStr"/>
      <c r="L19" s="243" t="inlineStr">
        <is>
          <t>12</t>
        </is>
      </c>
      <c r="M19" s="246" t="inlineStr">
        <is>
          <t>2К26</t>
        </is>
      </c>
      <c r="N19" s="243" t="inlineStr">
        <is>
          <t>К</t>
        </is>
      </c>
      <c r="O19" s="365" t="n"/>
    </row>
    <row r="20" ht="22.5" customHeight="1" s="236">
      <c r="A20" s="243" t="n">
        <v>19</v>
      </c>
      <c r="B20" s="244" t="inlineStr">
        <is>
          <t>Манометр технический</t>
        </is>
      </c>
      <c r="C20" s="243" t="inlineStr">
        <is>
          <t>МП4-УУХЛ1</t>
        </is>
      </c>
      <c r="D20" s="243" t="inlineStr">
        <is>
          <t>15291</t>
        </is>
      </c>
      <c r="E20" s="243" t="inlineStr"/>
      <c r="F20" s="245" t="inlineStr">
        <is>
          <t>0…16 кгс/см2</t>
        </is>
      </c>
      <c r="G20" s="243" t="inlineStr">
        <is>
          <t>1</t>
        </is>
      </c>
      <c r="H20" s="243" t="inlineStr">
        <is>
          <t>P м на выходе из фильтров БВМФ 6001</t>
        </is>
      </c>
      <c r="I20" s="243" t="inlineStr">
        <is>
          <t>ГПА 73</t>
        </is>
      </c>
      <c r="J20" s="243" t="inlineStr">
        <is>
          <t>АСУ,А и ТМ (КЦ № 7)</t>
        </is>
      </c>
      <c r="K20" s="243" t="inlineStr"/>
      <c r="L20" s="243" t="inlineStr">
        <is>
          <t>12</t>
        </is>
      </c>
      <c r="M20" s="246" t="inlineStr">
        <is>
          <t>2К26</t>
        </is>
      </c>
      <c r="N20" s="243" t="inlineStr">
        <is>
          <t>К</t>
        </is>
      </c>
      <c r="O20" s="365" t="n"/>
    </row>
    <row r="21" ht="22.5" customHeight="1" s="236">
      <c r="A21" s="243" t="n">
        <v>20</v>
      </c>
      <c r="B21" s="244" t="inlineStr">
        <is>
          <t>Манометр технический</t>
        </is>
      </c>
      <c r="C21" s="243" t="inlineStr">
        <is>
          <t>МП4-УУХЛ1</t>
        </is>
      </c>
      <c r="D21" s="243" t="inlineStr">
        <is>
          <t>700094</t>
        </is>
      </c>
      <c r="E21" s="243" t="inlineStr"/>
      <c r="F21" s="245" t="inlineStr">
        <is>
          <t>0…100 кПа</t>
        </is>
      </c>
      <c r="G21" s="243" t="inlineStr">
        <is>
          <t>1</t>
        </is>
      </c>
      <c r="H21" s="243" t="inlineStr">
        <is>
          <t>P м суфлирования полостей двигателя</t>
        </is>
      </c>
      <c r="I21" s="243" t="inlineStr">
        <is>
          <t>ГПА 73</t>
        </is>
      </c>
      <c r="J21" s="243" t="inlineStr">
        <is>
          <t>АСУ,А и ТМ (КЦ № 7)</t>
        </is>
      </c>
      <c r="K21" s="243" t="inlineStr"/>
      <c r="L21" s="243" t="inlineStr">
        <is>
          <t>12</t>
        </is>
      </c>
      <c r="M21" s="246" t="inlineStr">
        <is>
          <t>2К26</t>
        </is>
      </c>
      <c r="N21" s="243" t="inlineStr">
        <is>
          <t>К</t>
        </is>
      </c>
      <c r="O21" s="365" t="n"/>
    </row>
    <row r="22" ht="22.5" customHeight="1" s="236">
      <c r="A22" s="243" t="n">
        <v>21</v>
      </c>
      <c r="B22" s="244" t="inlineStr">
        <is>
          <t>Манометр технический</t>
        </is>
      </c>
      <c r="C22" s="243" t="inlineStr">
        <is>
          <t>МП4-УУ2</t>
        </is>
      </c>
      <c r="D22" s="243" t="inlineStr">
        <is>
          <t>700055</t>
        </is>
      </c>
      <c r="E22" s="243" t="inlineStr"/>
      <c r="F22" s="245" t="inlineStr">
        <is>
          <t>0…600 кПа</t>
        </is>
      </c>
      <c r="G22" s="243" t="inlineStr">
        <is>
          <t>1.5</t>
        </is>
      </c>
      <c r="H22" s="243" t="inlineStr">
        <is>
          <t>P м при пополнении бака маслом</t>
        </is>
      </c>
      <c r="I22" s="243" t="inlineStr">
        <is>
          <t>ГПА 73</t>
        </is>
      </c>
      <c r="J22" s="243" t="inlineStr">
        <is>
          <t>АСУ,А и ТМ (КЦ № 7)</t>
        </is>
      </c>
      <c r="K22" s="243" t="inlineStr"/>
      <c r="L22" s="243" t="inlineStr">
        <is>
          <t>12</t>
        </is>
      </c>
      <c r="M22" s="246" t="inlineStr">
        <is>
          <t>2К26</t>
        </is>
      </c>
      <c r="N22" s="243" t="inlineStr">
        <is>
          <t>К</t>
        </is>
      </c>
      <c r="O22" s="365" t="n"/>
    </row>
    <row r="23" ht="22.5" customHeight="1" s="236">
      <c r="A23" s="243" t="n">
        <v>22</v>
      </c>
      <c r="B23" s="244" t="inlineStr">
        <is>
          <t>Манометр технический</t>
        </is>
      </c>
      <c r="C23" s="243" t="inlineStr">
        <is>
          <t>МП4-УУ2</t>
        </is>
      </c>
      <c r="D23" s="243" t="inlineStr">
        <is>
          <t>15190</t>
        </is>
      </c>
      <c r="E23" s="243" t="inlineStr"/>
      <c r="F23" s="245" t="inlineStr">
        <is>
          <t>0…0,6 кгс/см2</t>
        </is>
      </c>
      <c r="G23" s="243" t="inlineStr">
        <is>
          <t>1.5</t>
        </is>
      </c>
      <c r="H23" s="243" t="inlineStr">
        <is>
          <t>P в на выходе воздуходувок PI5322</t>
        </is>
      </c>
      <c r="I23" s="243" t="inlineStr">
        <is>
          <t>БКК 73</t>
        </is>
      </c>
      <c r="J23" s="243" t="inlineStr">
        <is>
          <t>АСУ,А и ТМ (КЦ № 7)</t>
        </is>
      </c>
      <c r="K23" s="243" t="inlineStr"/>
      <c r="L23" s="243" t="inlineStr">
        <is>
          <t>12</t>
        </is>
      </c>
      <c r="M23" s="246" t="inlineStr">
        <is>
          <t>2К26</t>
        </is>
      </c>
      <c r="N23" s="243" t="inlineStr">
        <is>
          <t>К</t>
        </is>
      </c>
      <c r="O23" s="365" t="n"/>
    </row>
    <row r="24" ht="22.5" customHeight="1" s="236">
      <c r="A24" s="243" t="n">
        <v>23</v>
      </c>
      <c r="B24" s="244" t="inlineStr">
        <is>
          <t>Манометр технический</t>
        </is>
      </c>
      <c r="C24" s="243" t="inlineStr">
        <is>
          <t>ТМ5</t>
        </is>
      </c>
      <c r="D24" s="243" t="inlineStr">
        <is>
          <t>7000201</t>
        </is>
      </c>
      <c r="E24" s="243" t="inlineStr">
        <is>
          <t>2020</t>
        </is>
      </c>
      <c r="F24" s="245" t="inlineStr">
        <is>
          <t>0…1,6 МПа</t>
        </is>
      </c>
      <c r="G24" s="243" t="inlineStr">
        <is>
          <t>1.5</t>
        </is>
      </c>
      <c r="H24" s="243" t="inlineStr">
        <is>
          <t>P в в 1 адсорбере PI5314</t>
        </is>
      </c>
      <c r="I24" s="243" t="inlineStr">
        <is>
          <t>БКК 73</t>
        </is>
      </c>
      <c r="J24" s="243" t="inlineStr">
        <is>
          <t>АСУ,А и ТМ (КЦ № 7)</t>
        </is>
      </c>
      <c r="K24" s="243" t="inlineStr"/>
      <c r="L24" s="243" t="inlineStr">
        <is>
          <t>12</t>
        </is>
      </c>
      <c r="M24" s="246" t="inlineStr">
        <is>
          <t>26ДЯУ</t>
        </is>
      </c>
      <c r="N24" s="243" t="inlineStr">
        <is>
          <t>П</t>
        </is>
      </c>
      <c r="O24" s="365" t="n"/>
    </row>
    <row r="25" ht="22.5" customHeight="1" s="236">
      <c r="A25" s="243" t="n">
        <v>24</v>
      </c>
      <c r="B25" s="244" t="inlineStr">
        <is>
          <t>Манометр технический</t>
        </is>
      </c>
      <c r="C25" s="243" t="inlineStr">
        <is>
          <t>ТМ5</t>
        </is>
      </c>
      <c r="D25" s="243" t="inlineStr">
        <is>
          <t>7000200</t>
        </is>
      </c>
      <c r="E25" s="243" t="inlineStr">
        <is>
          <t>2020</t>
        </is>
      </c>
      <c r="F25" s="245" t="inlineStr">
        <is>
          <t>0…1,6 МПа</t>
        </is>
      </c>
      <c r="G25" s="243" t="inlineStr">
        <is>
          <t>1.5</t>
        </is>
      </c>
      <c r="H25" s="243" t="inlineStr">
        <is>
          <t>P в во 2 адсорбере PI5315</t>
        </is>
      </c>
      <c r="I25" s="243" t="inlineStr">
        <is>
          <t>БКК 73</t>
        </is>
      </c>
      <c r="J25" s="243" t="inlineStr">
        <is>
          <t>АСУ,А и ТМ (КЦ № 7)</t>
        </is>
      </c>
      <c r="K25" s="243" t="inlineStr"/>
      <c r="L25" s="243" t="inlineStr">
        <is>
          <t>12</t>
        </is>
      </c>
      <c r="M25" s="246" t="inlineStr">
        <is>
          <t>26ДЯУ</t>
        </is>
      </c>
      <c r="N25" s="243" t="inlineStr">
        <is>
          <t>П</t>
        </is>
      </c>
      <c r="O25" s="365" t="n"/>
    </row>
    <row r="26" ht="22.5" customHeight="1" s="236">
      <c r="A26" s="243" t="n">
        <v>25</v>
      </c>
      <c r="B26" s="244" t="inlineStr">
        <is>
          <t>Манометр технический</t>
        </is>
      </c>
      <c r="C26" s="243" t="inlineStr">
        <is>
          <t>МП3-УУ2</t>
        </is>
      </c>
      <c r="D26" s="243" t="inlineStr">
        <is>
          <t>15676</t>
        </is>
      </c>
      <c r="E26" s="243" t="inlineStr">
        <is>
          <t>2004</t>
        </is>
      </c>
      <c r="F26" s="245" t="inlineStr">
        <is>
          <t>0…16 кгс/см2</t>
        </is>
      </c>
      <c r="G26" s="243" t="inlineStr">
        <is>
          <t>1.5</t>
        </is>
      </c>
      <c r="H26" s="243" t="inlineStr">
        <is>
          <t>P в в 3 адсорбере PI5313</t>
        </is>
      </c>
      <c r="I26" s="243" t="inlineStr">
        <is>
          <t>БКК 73</t>
        </is>
      </c>
      <c r="J26" s="243" t="inlineStr">
        <is>
          <t>АСУ,А и ТМ (КЦ № 7)</t>
        </is>
      </c>
      <c r="K26" s="243" t="inlineStr"/>
      <c r="L26" s="243" t="inlineStr">
        <is>
          <t>12</t>
        </is>
      </c>
      <c r="M26" s="246" t="inlineStr">
        <is>
          <t>26ДЯУ</t>
        </is>
      </c>
      <c r="N26" s="243" t="inlineStr">
        <is>
          <t>П</t>
        </is>
      </c>
      <c r="O26" s="365" t="n"/>
    </row>
    <row r="27" ht="22.5" customHeight="1" s="236">
      <c r="A27" s="243" t="n">
        <v>26</v>
      </c>
      <c r="B27" s="244" t="inlineStr">
        <is>
          <t>Манометр технический</t>
        </is>
      </c>
      <c r="C27" s="243" t="inlineStr">
        <is>
          <t>МП3-УУ2</t>
        </is>
      </c>
      <c r="D27" s="243" t="inlineStr">
        <is>
          <t>211222308</t>
        </is>
      </c>
      <c r="E27" s="243" t="inlineStr">
        <is>
          <t>2020</t>
        </is>
      </c>
      <c r="F27" s="245" t="inlineStr">
        <is>
          <t>0…1,6 МПа</t>
        </is>
      </c>
      <c r="G27" s="243" t="inlineStr">
        <is>
          <t>1.5</t>
        </is>
      </c>
      <c r="H27" s="243" t="inlineStr">
        <is>
          <t>P в в 4 адсорбере PI5312</t>
        </is>
      </c>
      <c r="I27" s="243" t="inlineStr">
        <is>
          <t>БКК 73</t>
        </is>
      </c>
      <c r="J27" s="243" t="inlineStr">
        <is>
          <t>АСУ,А и ТМ (КЦ № 7)</t>
        </is>
      </c>
      <c r="K27" s="243" t="inlineStr"/>
      <c r="L27" s="243" t="inlineStr">
        <is>
          <t>12</t>
        </is>
      </c>
      <c r="M27" s="246" t="inlineStr">
        <is>
          <t>26ДЯУ</t>
        </is>
      </c>
      <c r="N27" s="243" t="inlineStr">
        <is>
          <t>П</t>
        </is>
      </c>
      <c r="O27" s="365" t="n"/>
    </row>
    <row r="28" ht="22.5" customHeight="1" s="236">
      <c r="A28" s="243" t="n">
        <v>27</v>
      </c>
      <c r="B28" s="244" t="inlineStr">
        <is>
          <t>Перепад давления ДМ 5301</t>
        </is>
      </c>
      <c r="C28" s="243" t="inlineStr">
        <is>
          <t>Wika</t>
        </is>
      </c>
      <c r="D28" s="243" t="inlineStr">
        <is>
          <t>110BGBZ6</t>
        </is>
      </c>
      <c r="E28" s="243" t="inlineStr"/>
      <c r="F28" s="245" t="inlineStr">
        <is>
          <t>0…0,6 бар</t>
        </is>
      </c>
      <c r="G28" s="243" t="inlineStr"/>
      <c r="H28" s="243" t="inlineStr">
        <is>
          <t>∆P в на фильтре</t>
        </is>
      </c>
      <c r="I28" s="243" t="inlineStr">
        <is>
          <t>БКК 73</t>
        </is>
      </c>
      <c r="J28" s="243" t="inlineStr">
        <is>
          <t>АСУ,А и ТМ (КЦ № 7)</t>
        </is>
      </c>
      <c r="K28" s="243" t="inlineStr"/>
      <c r="L28" s="243" t="inlineStr">
        <is>
          <t>12</t>
        </is>
      </c>
      <c r="M28" s="246" t="inlineStr">
        <is>
          <t>1К26</t>
        </is>
      </c>
      <c r="N28" s="243" t="inlineStr">
        <is>
          <t>К</t>
        </is>
      </c>
      <c r="O28" s="365" t="n"/>
    </row>
    <row r="29" ht="22.5" customHeight="1" s="236">
      <c r="A29" s="243" t="n">
        <v>28</v>
      </c>
      <c r="B29" s="244" t="inlineStr">
        <is>
          <t>Перепад давления ДМ 5302</t>
        </is>
      </c>
      <c r="C29" s="243" t="inlineStr">
        <is>
          <t>Wika</t>
        </is>
      </c>
      <c r="D29" s="243" t="inlineStr">
        <is>
          <t>110BCU5T</t>
        </is>
      </c>
      <c r="E29" s="243" t="inlineStr"/>
      <c r="F29" s="245" t="inlineStr">
        <is>
          <t>0…0,6 бар</t>
        </is>
      </c>
      <c r="G29" s="243" t="inlineStr"/>
      <c r="H29" s="243" t="inlineStr">
        <is>
          <t>∆P в на фильтре</t>
        </is>
      </c>
      <c r="I29" s="243" t="inlineStr">
        <is>
          <t>БКК 73</t>
        </is>
      </c>
      <c r="J29" s="243" t="inlineStr">
        <is>
          <t>АСУ,А и ТМ (КЦ № 7)</t>
        </is>
      </c>
      <c r="K29" s="243" t="inlineStr"/>
      <c r="L29" s="243" t="inlineStr">
        <is>
          <t>12</t>
        </is>
      </c>
      <c r="M29" s="246" t="inlineStr">
        <is>
          <t>1К26</t>
        </is>
      </c>
      <c r="N29" s="243" t="inlineStr">
        <is>
          <t>К</t>
        </is>
      </c>
      <c r="O29" s="365" t="n"/>
    </row>
    <row r="30" ht="22.5" customHeight="1" s="236">
      <c r="A30" s="243" t="n">
        <v>29</v>
      </c>
      <c r="B30" s="244" t="inlineStr">
        <is>
          <t>Перепад давления ДМ 5303</t>
        </is>
      </c>
      <c r="C30" s="243" t="inlineStr">
        <is>
          <t>Wika</t>
        </is>
      </c>
      <c r="D30" s="243" t="inlineStr">
        <is>
          <t>110BGBZK</t>
        </is>
      </c>
      <c r="E30" s="243" t="inlineStr"/>
      <c r="F30" s="245" t="inlineStr">
        <is>
          <t>0…0,6 бар</t>
        </is>
      </c>
      <c r="G30" s="243" t="inlineStr"/>
      <c r="H30" s="243" t="inlineStr">
        <is>
          <t>∆P в на фильтре</t>
        </is>
      </c>
      <c r="I30" s="243" t="inlineStr">
        <is>
          <t>БКК 73</t>
        </is>
      </c>
      <c r="J30" s="243" t="inlineStr">
        <is>
          <t>АСУ,А и ТМ (КЦ № 7)</t>
        </is>
      </c>
      <c r="K30" s="243" t="inlineStr"/>
      <c r="L30" s="243" t="inlineStr">
        <is>
          <t>12</t>
        </is>
      </c>
      <c r="M30" s="246" t="inlineStr">
        <is>
          <t>1К26</t>
        </is>
      </c>
      <c r="N30" s="243" t="inlineStr">
        <is>
          <t>К</t>
        </is>
      </c>
      <c r="O30" s="365" t="n"/>
    </row>
    <row r="31" ht="22.5" customHeight="1" s="236">
      <c r="A31" s="243" t="n">
        <v>30</v>
      </c>
      <c r="B31" s="244" t="inlineStr">
        <is>
          <t>Перепад давления ДМ 5304</t>
        </is>
      </c>
      <c r="C31" s="243" t="inlineStr">
        <is>
          <t>Wika</t>
        </is>
      </c>
      <c r="D31" s="243" t="inlineStr">
        <is>
          <t>110BGBZB</t>
        </is>
      </c>
      <c r="E31" s="243" t="inlineStr"/>
      <c r="F31" s="245" t="inlineStr">
        <is>
          <t>0…0,6 бар</t>
        </is>
      </c>
      <c r="G31" s="243" t="inlineStr"/>
      <c r="H31" s="243" t="inlineStr">
        <is>
          <t>∆P в на фильтре</t>
        </is>
      </c>
      <c r="I31" s="243" t="inlineStr">
        <is>
          <t>БКК 73</t>
        </is>
      </c>
      <c r="J31" s="243" t="inlineStr">
        <is>
          <t>АСУ,А и ТМ (КЦ № 7)</t>
        </is>
      </c>
      <c r="K31" s="243" t="inlineStr"/>
      <c r="L31" s="243" t="inlineStr">
        <is>
          <t>12</t>
        </is>
      </c>
      <c r="M31" s="246" t="inlineStr">
        <is>
          <t>1К26</t>
        </is>
      </c>
      <c r="N31" s="243" t="inlineStr">
        <is>
          <t>К</t>
        </is>
      </c>
      <c r="O31" s="365" t="n"/>
    </row>
    <row r="32" ht="22.5" customHeight="1" s="236">
      <c r="A32" s="243" t="n">
        <v>31</v>
      </c>
      <c r="B32" s="244" t="inlineStr">
        <is>
          <t>Перепад давления ДМ 5305</t>
        </is>
      </c>
      <c r="C32" s="243" t="inlineStr">
        <is>
          <t>Wika</t>
        </is>
      </c>
      <c r="D32" s="243" t="inlineStr">
        <is>
          <t>110BGBZ8</t>
        </is>
      </c>
      <c r="E32" s="243" t="inlineStr"/>
      <c r="F32" s="245" t="inlineStr">
        <is>
          <t>0…0,6 бар</t>
        </is>
      </c>
      <c r="G32" s="243" t="inlineStr"/>
      <c r="H32" s="243" t="inlineStr">
        <is>
          <t>∆P в на фильтре</t>
        </is>
      </c>
      <c r="I32" s="243" t="inlineStr">
        <is>
          <t>БКК 73</t>
        </is>
      </c>
      <c r="J32" s="243" t="inlineStr">
        <is>
          <t>АСУ,А и ТМ (КЦ № 7)</t>
        </is>
      </c>
      <c r="K32" s="243" t="inlineStr"/>
      <c r="L32" s="243" t="inlineStr">
        <is>
          <t>12</t>
        </is>
      </c>
      <c r="M32" s="246" t="inlineStr">
        <is>
          <t>1К26</t>
        </is>
      </c>
      <c r="N32" s="243" t="inlineStr">
        <is>
          <t>К</t>
        </is>
      </c>
      <c r="O32" s="365" t="n"/>
    </row>
    <row r="33" ht="22.5" customHeight="1" s="236">
      <c r="A33" s="243" t="n">
        <v>32</v>
      </c>
      <c r="B33" s="244" t="inlineStr">
        <is>
          <t>Манометр технический</t>
        </is>
      </c>
      <c r="C33" s="243" t="inlineStr">
        <is>
          <t>ТМ3</t>
        </is>
      </c>
      <c r="D33" s="243" t="inlineStr">
        <is>
          <t>7000196</t>
        </is>
      </c>
      <c r="E33" s="243" t="inlineStr"/>
      <c r="F33" s="245" t="inlineStr">
        <is>
          <t>0…0,1 МПа</t>
        </is>
      </c>
      <c r="G33" s="243" t="inlineStr">
        <is>
          <t>1.5</t>
        </is>
      </c>
      <c r="H33" s="243" t="inlineStr">
        <is>
          <t>P в в ГШ 5301</t>
        </is>
      </c>
      <c r="I33" s="243" t="inlineStr">
        <is>
          <t>БКК 73</t>
        </is>
      </c>
      <c r="J33" s="243" t="inlineStr">
        <is>
          <t>АСУ,А и ТМ (КЦ № 7)</t>
        </is>
      </c>
      <c r="K33" s="243" t="inlineStr"/>
      <c r="L33" s="243" t="inlineStr">
        <is>
          <t>12</t>
        </is>
      </c>
      <c r="M33" s="246" t="inlineStr">
        <is>
          <t>1К26</t>
        </is>
      </c>
      <c r="N33" s="243" t="inlineStr">
        <is>
          <t>К</t>
        </is>
      </c>
      <c r="O33" s="365" t="n"/>
    </row>
    <row r="34" ht="22.5" customHeight="1" s="236">
      <c r="A34" s="243" t="n">
        <v>33</v>
      </c>
      <c r="B34" s="244" t="inlineStr">
        <is>
          <t>Манометр технический</t>
        </is>
      </c>
      <c r="C34" s="243" t="inlineStr">
        <is>
          <t>ТМ3</t>
        </is>
      </c>
      <c r="D34" s="243" t="inlineStr">
        <is>
          <t>7000197</t>
        </is>
      </c>
      <c r="E34" s="243" t="inlineStr"/>
      <c r="F34" s="245" t="inlineStr">
        <is>
          <t>0…0,1 МПа</t>
        </is>
      </c>
      <c r="G34" s="243" t="inlineStr">
        <is>
          <t>1.5</t>
        </is>
      </c>
      <c r="H34" s="243" t="inlineStr">
        <is>
          <t>P в в ГШ 5302</t>
        </is>
      </c>
      <c r="I34" s="243" t="inlineStr">
        <is>
          <t>БКК 73</t>
        </is>
      </c>
      <c r="J34" s="243" t="inlineStr">
        <is>
          <t>АСУ,А и ТМ (КЦ № 7)</t>
        </is>
      </c>
      <c r="K34" s="243" t="inlineStr"/>
      <c r="L34" s="243" t="inlineStr">
        <is>
          <t>12</t>
        </is>
      </c>
      <c r="M34" s="246" t="inlineStr">
        <is>
          <t>1К26</t>
        </is>
      </c>
      <c r="N34" s="243" t="inlineStr">
        <is>
          <t>К</t>
        </is>
      </c>
      <c r="O34" s="365" t="n"/>
    </row>
    <row r="35" ht="22.5" customHeight="1" s="236">
      <c r="A35" s="243" t="n">
        <v>34</v>
      </c>
      <c r="B35" s="244" t="inlineStr">
        <is>
          <t>Манометр технический</t>
        </is>
      </c>
      <c r="C35" s="243" t="inlineStr">
        <is>
          <t>МП4-У</t>
        </is>
      </c>
      <c r="D35" s="243" t="inlineStr">
        <is>
          <t>1730</t>
        </is>
      </c>
      <c r="E35" s="243" t="inlineStr">
        <is>
          <t>2018</t>
        </is>
      </c>
      <c r="F35" s="245" t="inlineStr">
        <is>
          <t>0…16 кгс/см2</t>
        </is>
      </c>
      <c r="G35" s="243" t="inlineStr">
        <is>
          <t>1.5</t>
        </is>
      </c>
      <c r="H35" s="243" t="inlineStr">
        <is>
          <t>P в в ресивере</t>
        </is>
      </c>
      <c r="I35" s="243" t="inlineStr">
        <is>
          <t>ГПА 73</t>
        </is>
      </c>
      <c r="J35" s="243" t="inlineStr">
        <is>
          <t>АСУ,А и ТМ (КЦ № 7)</t>
        </is>
      </c>
      <c r="K35" s="243" t="inlineStr"/>
      <c r="L35" s="243" t="inlineStr">
        <is>
          <t>12</t>
        </is>
      </c>
      <c r="M35" s="246" t="inlineStr">
        <is>
          <t>26ДЯУ</t>
        </is>
      </c>
      <c r="N35" s="243" t="inlineStr">
        <is>
          <t>П</t>
        </is>
      </c>
      <c r="O35" s="365" t="n"/>
    </row>
    <row r="36" ht="22.5" customHeight="1" s="236">
      <c r="A36" s="243" t="n">
        <v>35</v>
      </c>
      <c r="B36" s="244" t="inlineStr">
        <is>
          <t>Манометр технический</t>
        </is>
      </c>
      <c r="C36" s="243" t="inlineStr">
        <is>
          <t>МП4-УУ2</t>
        </is>
      </c>
      <c r="D36" s="243" t="inlineStr">
        <is>
          <t>80337</t>
        </is>
      </c>
      <c r="E36" s="243" t="inlineStr"/>
      <c r="F36" s="245" t="inlineStr">
        <is>
          <t>0…160 кгс/см2</t>
        </is>
      </c>
      <c r="G36" s="243" t="inlineStr">
        <is>
          <t>1.5</t>
        </is>
      </c>
      <c r="H36" s="243" t="inlineStr">
        <is>
          <t>P г во 2 фильтроэлементе БФБГ №1</t>
        </is>
      </c>
      <c r="I36" s="243" t="inlineStr">
        <is>
          <t>ГПА 73</t>
        </is>
      </c>
      <c r="J36" s="243" t="inlineStr">
        <is>
          <t>АСУ,А и ТМ (КЦ № 7)</t>
        </is>
      </c>
      <c r="K36" s="243" t="inlineStr"/>
      <c r="L36" s="243" t="inlineStr">
        <is>
          <t>12</t>
        </is>
      </c>
      <c r="M36" s="246" t="inlineStr">
        <is>
          <t>26ДЯУ</t>
        </is>
      </c>
      <c r="N36" s="243" t="inlineStr">
        <is>
          <t>П</t>
        </is>
      </c>
      <c r="O36" s="365" t="n"/>
    </row>
    <row r="37" ht="22.5" customHeight="1" s="236">
      <c r="A37" s="243" t="n">
        <v>36</v>
      </c>
      <c r="B37" s="244" t="inlineStr">
        <is>
          <t>Манометр технический</t>
        </is>
      </c>
      <c r="C37" s="243" t="inlineStr">
        <is>
          <t>МП4-УУ2</t>
        </is>
      </c>
      <c r="D37" s="243" t="inlineStr">
        <is>
          <t>15538</t>
        </is>
      </c>
      <c r="E37" s="243" t="inlineStr"/>
      <c r="F37" s="245" t="inlineStr">
        <is>
          <t>0…160 кгс/см2</t>
        </is>
      </c>
      <c r="G37" s="243" t="inlineStr">
        <is>
          <t>1.5</t>
        </is>
      </c>
      <c r="H37" s="243" t="inlineStr">
        <is>
          <t>P г в 1 фильтроэлементе БФБГ №1</t>
        </is>
      </c>
      <c r="I37" s="243" t="inlineStr">
        <is>
          <t>ГПА 73</t>
        </is>
      </c>
      <c r="J37" s="243" t="inlineStr">
        <is>
          <t>АСУ,А и ТМ (КЦ № 7)</t>
        </is>
      </c>
      <c r="K37" s="243" t="inlineStr"/>
      <c r="L37" s="243" t="inlineStr">
        <is>
          <t>12</t>
        </is>
      </c>
      <c r="M37" s="246" t="inlineStr">
        <is>
          <t>26ДЯУ</t>
        </is>
      </c>
      <c r="N37" s="243" t="inlineStr">
        <is>
          <t>П</t>
        </is>
      </c>
      <c r="O37" s="365" t="n"/>
    </row>
    <row r="38" ht="22.5" customHeight="1" s="236">
      <c r="A38" s="243" t="n">
        <v>37</v>
      </c>
      <c r="B38" s="244" t="inlineStr">
        <is>
          <t>Манометр технический</t>
        </is>
      </c>
      <c r="C38" s="243" t="inlineStr">
        <is>
          <t>МП4-УУ2</t>
        </is>
      </c>
      <c r="D38" s="243" t="inlineStr">
        <is>
          <t>15565</t>
        </is>
      </c>
      <c r="E38" s="243" t="inlineStr"/>
      <c r="F38" s="245" t="inlineStr">
        <is>
          <t>0…16 МПа</t>
        </is>
      </c>
      <c r="G38" s="243" t="inlineStr">
        <is>
          <t>1</t>
        </is>
      </c>
      <c r="H38" s="243" t="inlineStr">
        <is>
          <t>P г во 2 фильтроэлементе БФБГ №2</t>
        </is>
      </c>
      <c r="I38" s="243" t="inlineStr">
        <is>
          <t>ГПА 73</t>
        </is>
      </c>
      <c r="J38" s="243" t="inlineStr">
        <is>
          <t>АСУ,А и ТМ (КЦ № 7)</t>
        </is>
      </c>
      <c r="K38" s="243" t="inlineStr"/>
      <c r="L38" s="243" t="inlineStr">
        <is>
          <t>12</t>
        </is>
      </c>
      <c r="M38" s="246" t="inlineStr">
        <is>
          <t>26ДЯУ</t>
        </is>
      </c>
      <c r="N38" s="243" t="inlineStr">
        <is>
          <t>П</t>
        </is>
      </c>
      <c r="O38" s="365" t="n"/>
    </row>
    <row r="39" ht="22.5" customHeight="1" s="236">
      <c r="A39" s="243" t="n">
        <v>38</v>
      </c>
      <c r="B39" s="244" t="inlineStr">
        <is>
          <t>Манометр технический</t>
        </is>
      </c>
      <c r="C39" s="243" t="inlineStr">
        <is>
          <t>МП4-УУ2</t>
        </is>
      </c>
      <c r="D39" s="243" t="inlineStr">
        <is>
          <t>212032437</t>
        </is>
      </c>
      <c r="E39" s="243" t="inlineStr"/>
      <c r="F39" s="245" t="inlineStr">
        <is>
          <t>0…16 МПа</t>
        </is>
      </c>
      <c r="G39" s="243" t="inlineStr">
        <is>
          <t>1.5</t>
        </is>
      </c>
      <c r="H39" s="243" t="inlineStr">
        <is>
          <t>P г в 1 фильтроэлементе БФБГ №2</t>
        </is>
      </c>
      <c r="I39" s="243" t="inlineStr">
        <is>
          <t>ГПА 73</t>
        </is>
      </c>
      <c r="J39" s="243" t="inlineStr">
        <is>
          <t>АСУ,А и ТМ (КЦ № 7)</t>
        </is>
      </c>
      <c r="K39" s="243" t="inlineStr"/>
      <c r="L39" s="243" t="inlineStr">
        <is>
          <t>12</t>
        </is>
      </c>
      <c r="M39" s="246" t="inlineStr">
        <is>
          <t>26ДЯУ</t>
        </is>
      </c>
      <c r="N39" s="243" t="inlineStr">
        <is>
          <t>П</t>
        </is>
      </c>
      <c r="O39" s="365" t="n"/>
    </row>
    <row r="40" ht="22.5" customHeight="1" s="236">
      <c r="A40" s="243" t="n">
        <v>39</v>
      </c>
      <c r="B40" s="244" t="inlineStr">
        <is>
          <t>Манометр технический</t>
        </is>
      </c>
      <c r="C40" s="243" t="inlineStr">
        <is>
          <t>МП4-УУ2</t>
        </is>
      </c>
      <c r="D40" s="243" t="inlineStr">
        <is>
          <t>1560622</t>
        </is>
      </c>
      <c r="E40" s="243" t="inlineStr"/>
      <c r="F40" s="245" t="inlineStr">
        <is>
          <t>0…160 кгс/см2</t>
        </is>
      </c>
      <c r="G40" s="243" t="inlineStr">
        <is>
          <t>1</t>
        </is>
      </c>
      <c r="H40" s="243" t="inlineStr">
        <is>
          <t>P г во 2 фильтроэлементе БФТГ №1</t>
        </is>
      </c>
      <c r="I40" s="243" t="inlineStr">
        <is>
          <t>ГПА 73</t>
        </is>
      </c>
      <c r="J40" s="243" t="inlineStr">
        <is>
          <t>АСУ,А и ТМ (КЦ № 7)</t>
        </is>
      </c>
      <c r="K40" s="243" t="inlineStr"/>
      <c r="L40" s="243" t="inlineStr">
        <is>
          <t>12</t>
        </is>
      </c>
      <c r="M40" s="246" t="inlineStr">
        <is>
          <t>26ДЯУ</t>
        </is>
      </c>
      <c r="N40" s="243" t="inlineStr">
        <is>
          <t>П</t>
        </is>
      </c>
      <c r="O40" s="365" t="n"/>
    </row>
    <row r="41" ht="22.5" customHeight="1" s="236">
      <c r="A41" s="243" t="n">
        <v>40</v>
      </c>
      <c r="B41" s="244" t="inlineStr">
        <is>
          <t>Манометр технический</t>
        </is>
      </c>
      <c r="C41" s="243" t="inlineStr">
        <is>
          <t>МП4-УУ2</t>
        </is>
      </c>
      <c r="D41" s="243" t="inlineStr">
        <is>
          <t>14598</t>
        </is>
      </c>
      <c r="E41" s="243" t="inlineStr"/>
      <c r="F41" s="245" t="inlineStr">
        <is>
          <t>0…160 кгс/см2</t>
        </is>
      </c>
      <c r="G41" s="243" t="inlineStr">
        <is>
          <t>1.5</t>
        </is>
      </c>
      <c r="H41" s="243" t="inlineStr">
        <is>
          <t>P г в 1 фильтроэлементе БФТГ №1</t>
        </is>
      </c>
      <c r="I41" s="243" t="inlineStr">
        <is>
          <t>ГПА 73</t>
        </is>
      </c>
      <c r="J41" s="243" t="inlineStr">
        <is>
          <t>АСУ,А и ТМ (КЦ № 7)</t>
        </is>
      </c>
      <c r="K41" s="243" t="inlineStr"/>
      <c r="L41" s="243" t="inlineStr">
        <is>
          <t>12</t>
        </is>
      </c>
      <c r="M41" s="246" t="inlineStr">
        <is>
          <t>26ДЯУ</t>
        </is>
      </c>
      <c r="N41" s="243" t="inlineStr">
        <is>
          <t>П</t>
        </is>
      </c>
      <c r="O41" s="365" t="n"/>
    </row>
    <row r="42" ht="22.5" customHeight="1" s="236">
      <c r="A42" s="243" t="n">
        <v>41</v>
      </c>
      <c r="B42" s="244" t="inlineStr">
        <is>
          <t>Манометр технический</t>
        </is>
      </c>
      <c r="C42" s="243" t="inlineStr">
        <is>
          <t>МП4-УУ2</t>
        </is>
      </c>
      <c r="D42" s="243" t="inlineStr">
        <is>
          <t>212032433</t>
        </is>
      </c>
      <c r="E42" s="243" t="inlineStr"/>
      <c r="F42" s="245" t="inlineStr">
        <is>
          <t>0…16 МПа</t>
        </is>
      </c>
      <c r="G42" s="243" t="inlineStr">
        <is>
          <t>1.5</t>
        </is>
      </c>
      <c r="H42" s="243" t="inlineStr">
        <is>
          <t>P г в 1 фильтроэлементе БФТГ №2</t>
        </is>
      </c>
      <c r="I42" s="243" t="inlineStr">
        <is>
          <t>ГПА 73</t>
        </is>
      </c>
      <c r="J42" s="243" t="inlineStr">
        <is>
          <t>АСУ,А и ТМ (КЦ № 7)</t>
        </is>
      </c>
      <c r="K42" s="243" t="inlineStr"/>
      <c r="L42" s="243" t="inlineStr">
        <is>
          <t>12</t>
        </is>
      </c>
      <c r="M42" s="246" t="inlineStr">
        <is>
          <t>26ДЯУ</t>
        </is>
      </c>
      <c r="N42" s="243" t="inlineStr">
        <is>
          <t>П</t>
        </is>
      </c>
      <c r="O42" s="365" t="n"/>
    </row>
    <row r="43" ht="22.5" customHeight="1" s="236">
      <c r="A43" s="243" t="n">
        <v>42</v>
      </c>
      <c r="B43" s="244" t="inlineStr">
        <is>
          <t>Манометр технический</t>
        </is>
      </c>
      <c r="C43" s="243" t="inlineStr">
        <is>
          <t>МП4-УУ2</t>
        </is>
      </c>
      <c r="D43" s="243" t="inlineStr">
        <is>
          <t>212032435</t>
        </is>
      </c>
      <c r="E43" s="243" t="inlineStr"/>
      <c r="F43" s="245" t="inlineStr">
        <is>
          <t>0…16 МПа</t>
        </is>
      </c>
      <c r="G43" s="243" t="inlineStr">
        <is>
          <t>1.5</t>
        </is>
      </c>
      <c r="H43" s="243" t="inlineStr">
        <is>
          <t>P г во 2 фильтроэлементе БФТГ №2</t>
        </is>
      </c>
      <c r="I43" s="243" t="inlineStr">
        <is>
          <t>ГПА 73</t>
        </is>
      </c>
      <c r="J43" s="243" t="inlineStr">
        <is>
          <t>АСУ,А и ТМ (КЦ № 7)</t>
        </is>
      </c>
      <c r="K43" s="243" t="inlineStr"/>
      <c r="L43" s="243" t="inlineStr">
        <is>
          <t>12</t>
        </is>
      </c>
      <c r="M43" s="246" t="inlineStr">
        <is>
          <t>26ДЯУ</t>
        </is>
      </c>
      <c r="N43" s="243" t="inlineStr">
        <is>
          <t>П</t>
        </is>
      </c>
      <c r="O43" s="365" t="n"/>
    </row>
    <row r="44" ht="22.5" customHeight="1" s="236">
      <c r="A44" s="243" t="n">
        <v>43</v>
      </c>
      <c r="B44" s="244" t="inlineStr">
        <is>
          <t>Манометр технический</t>
        </is>
      </c>
      <c r="C44" s="243" t="inlineStr">
        <is>
          <t>МП4-УУ2</t>
        </is>
      </c>
      <c r="D44" s="243" t="inlineStr">
        <is>
          <t>700020</t>
        </is>
      </c>
      <c r="E44" s="243" t="inlineStr"/>
      <c r="F44" s="245" t="inlineStr">
        <is>
          <t>0…16 МПа</t>
        </is>
      </c>
      <c r="G44" s="243" t="inlineStr">
        <is>
          <t>1</t>
        </is>
      </c>
      <c r="H44" s="243" t="inlineStr">
        <is>
          <t>P имп г крана 3бис</t>
        </is>
      </c>
      <c r="I44" s="243" t="inlineStr">
        <is>
          <t>ГПА 73</t>
        </is>
      </c>
      <c r="J44" s="243" t="inlineStr">
        <is>
          <t>АСУ,А и ТМ (КЦ № 7)</t>
        </is>
      </c>
      <c r="K44" s="243" t="inlineStr"/>
      <c r="L44" s="243" t="inlineStr">
        <is>
          <t>12</t>
        </is>
      </c>
      <c r="M44" s="246" t="inlineStr">
        <is>
          <t>2К26</t>
        </is>
      </c>
      <c r="N44" s="243" t="inlineStr">
        <is>
          <t>К</t>
        </is>
      </c>
      <c r="O44" s="365" t="n"/>
    </row>
    <row r="45" ht="22.5" customHeight="1" s="236">
      <c r="A45" s="243" t="n">
        <v>44</v>
      </c>
      <c r="B45" s="244" t="inlineStr">
        <is>
          <t>Манометр технический</t>
        </is>
      </c>
      <c r="C45" s="243" t="inlineStr">
        <is>
          <t>КМ2</t>
        </is>
      </c>
      <c r="D45" s="243" t="inlineStr">
        <is>
          <t>7000285</t>
        </is>
      </c>
      <c r="E45" s="243" t="inlineStr"/>
      <c r="F45" s="245" t="inlineStr">
        <is>
          <t>0…25 кПа</t>
        </is>
      </c>
      <c r="G45" s="243" t="inlineStr">
        <is>
          <t>1.5</t>
        </is>
      </c>
      <c r="H45" s="243" t="inlineStr">
        <is>
          <t>P г после счётчика MH2</t>
        </is>
      </c>
      <c r="I45" s="243" t="inlineStr">
        <is>
          <t>АВГМ 73</t>
        </is>
      </c>
      <c r="J45" s="243" t="inlineStr">
        <is>
          <t>АСУ,А и ТМ (КЦ № 7)</t>
        </is>
      </c>
      <c r="K45" s="243" t="inlineStr"/>
      <c r="L45" s="243" t="inlineStr">
        <is>
          <t>12</t>
        </is>
      </c>
      <c r="M45" s="246" t="inlineStr">
        <is>
          <t>2К26</t>
        </is>
      </c>
      <c r="N45" s="243" t="inlineStr">
        <is>
          <t>К</t>
        </is>
      </c>
      <c r="O45" s="365" t="n"/>
    </row>
    <row r="46" ht="22.5" customHeight="1" s="236">
      <c r="A46" s="243" t="n">
        <v>45</v>
      </c>
      <c r="B46" s="244" t="inlineStr">
        <is>
          <t>Манометр технический</t>
        </is>
      </c>
      <c r="C46" s="243" t="inlineStr">
        <is>
          <t>ТМ5</t>
        </is>
      </c>
      <c r="D46" s="243" t="inlineStr">
        <is>
          <t>7000168</t>
        </is>
      </c>
      <c r="E46" s="243" t="inlineStr"/>
      <c r="F46" s="245" t="inlineStr">
        <is>
          <t>0…1 МПа</t>
        </is>
      </c>
      <c r="G46" s="243" t="inlineStr">
        <is>
          <t>1.5</t>
        </is>
      </c>
      <c r="H46" s="243" t="inlineStr">
        <is>
          <t>P г на входе MH1</t>
        </is>
      </c>
      <c r="I46" s="243" t="inlineStr">
        <is>
          <t>АВГМ 73</t>
        </is>
      </c>
      <c r="J46" s="243" t="inlineStr">
        <is>
          <t>АСУ,А и ТМ (КЦ № 7)</t>
        </is>
      </c>
      <c r="K46" s="243" t="inlineStr"/>
      <c r="L46" s="243" t="inlineStr">
        <is>
          <t>12</t>
        </is>
      </c>
      <c r="M46" s="246" t="inlineStr">
        <is>
          <t>2К26</t>
        </is>
      </c>
      <c r="N46" s="243" t="inlineStr">
        <is>
          <t>К</t>
        </is>
      </c>
      <c r="O46" s="365" t="n"/>
    </row>
    <row r="47" ht="22.5" customHeight="1" s="236">
      <c r="A47" s="243" t="n">
        <v>46</v>
      </c>
      <c r="B47" s="244" t="inlineStr">
        <is>
          <t>Манометр технический</t>
        </is>
      </c>
      <c r="C47" s="243" t="inlineStr">
        <is>
          <t>МП4-УУ2</t>
        </is>
      </c>
      <c r="D47" s="243" t="inlineStr">
        <is>
          <t>7000141</t>
        </is>
      </c>
      <c r="E47" s="243" t="inlineStr"/>
      <c r="F47" s="245" t="inlineStr">
        <is>
          <t>0…16 МПа</t>
        </is>
      </c>
      <c r="G47" s="243" t="inlineStr">
        <is>
          <t>1</t>
        </is>
      </c>
      <c r="H47" s="243" t="inlineStr">
        <is>
          <t>P г после защитной решётки</t>
        </is>
      </c>
      <c r="I47" s="243" t="inlineStr">
        <is>
          <t>ГПА 73</t>
        </is>
      </c>
      <c r="J47" s="243" t="inlineStr">
        <is>
          <t>АСУ,А и ТМ (КЦ № 7)</t>
        </is>
      </c>
      <c r="K47" s="243" t="inlineStr"/>
      <c r="L47" s="243" t="inlineStr">
        <is>
          <t>12</t>
        </is>
      </c>
      <c r="M47" s="246" t="inlineStr">
        <is>
          <t>2К26</t>
        </is>
      </c>
      <c r="N47" s="243" t="inlineStr">
        <is>
          <t>К</t>
        </is>
      </c>
      <c r="O47" s="365" t="n"/>
    </row>
    <row r="48" ht="22.5" customHeight="1" s="236">
      <c r="A48" s="243" t="n">
        <v>47</v>
      </c>
      <c r="B48" s="244" t="inlineStr">
        <is>
          <t>Манометр технический</t>
        </is>
      </c>
      <c r="C48" s="243" t="inlineStr">
        <is>
          <t>МП4-УУ2</t>
        </is>
      </c>
      <c r="D48" s="243" t="inlineStr">
        <is>
          <t>7000129</t>
        </is>
      </c>
      <c r="E48" s="243" t="inlineStr"/>
      <c r="F48" s="245" t="inlineStr">
        <is>
          <t>0…16 МПа</t>
        </is>
      </c>
      <c r="G48" s="243" t="inlineStr">
        <is>
          <t>1</t>
        </is>
      </c>
      <c r="H48" s="243" t="inlineStr">
        <is>
          <t>P г до защитной решётки</t>
        </is>
      </c>
      <c r="I48" s="243" t="inlineStr">
        <is>
          <t>ГПА 73</t>
        </is>
      </c>
      <c r="J48" s="243" t="inlineStr">
        <is>
          <t>АСУ,А и ТМ (КЦ № 7)</t>
        </is>
      </c>
      <c r="K48" s="243" t="inlineStr"/>
      <c r="L48" s="243" t="inlineStr">
        <is>
          <t>12</t>
        </is>
      </c>
      <c r="M48" s="246" t="inlineStr">
        <is>
          <t>2К26</t>
        </is>
      </c>
      <c r="N48" s="243" t="inlineStr">
        <is>
          <t>К</t>
        </is>
      </c>
      <c r="O48" s="365" t="n"/>
    </row>
    <row r="49" ht="22.5" customHeight="1" s="236">
      <c r="A49" s="243" t="n">
        <v>48</v>
      </c>
      <c r="B49" s="244" t="inlineStr">
        <is>
          <t>Манометр технический</t>
        </is>
      </c>
      <c r="C49" s="243" t="inlineStr">
        <is>
          <t>МП4-УУ2</t>
        </is>
      </c>
      <c r="D49" s="243" t="inlineStr">
        <is>
          <t>7000130</t>
        </is>
      </c>
      <c r="E49" s="243" t="inlineStr"/>
      <c r="F49" s="245" t="inlineStr">
        <is>
          <t>0…16 МПа</t>
        </is>
      </c>
      <c r="G49" s="243" t="inlineStr">
        <is>
          <t>1</t>
        </is>
      </c>
      <c r="H49" s="243" t="inlineStr">
        <is>
          <t>P г до крана №1-1</t>
        </is>
      </c>
      <c r="I49" s="243" t="inlineStr">
        <is>
          <t>ГПА 73</t>
        </is>
      </c>
      <c r="J49" s="243" t="inlineStr">
        <is>
          <t>АСУ,А и ТМ (КЦ № 7)</t>
        </is>
      </c>
      <c r="K49" s="243" t="inlineStr"/>
      <c r="L49" s="243" t="inlineStr">
        <is>
          <t>12</t>
        </is>
      </c>
      <c r="M49" s="246" t="inlineStr">
        <is>
          <t>2К26</t>
        </is>
      </c>
      <c r="N49" s="243" t="inlineStr">
        <is>
          <t>К</t>
        </is>
      </c>
      <c r="O49" s="365" t="n"/>
    </row>
    <row r="50" ht="22.5" customHeight="1" s="236">
      <c r="A50" s="243" t="n">
        <v>49</v>
      </c>
      <c r="B50" s="244" t="inlineStr">
        <is>
          <t>Манометр технический</t>
        </is>
      </c>
      <c r="C50" s="243" t="inlineStr">
        <is>
          <t>МП4-УУ2</t>
        </is>
      </c>
      <c r="D50" s="243" t="inlineStr">
        <is>
          <t>7000140</t>
        </is>
      </c>
      <c r="E50" s="243" t="inlineStr"/>
      <c r="F50" s="245" t="inlineStr">
        <is>
          <t>0…16 МПа</t>
        </is>
      </c>
      <c r="G50" s="243" t="inlineStr">
        <is>
          <t>1</t>
        </is>
      </c>
      <c r="H50" s="243" t="inlineStr">
        <is>
          <t>P г после крана №1-1</t>
        </is>
      </c>
      <c r="I50" s="243" t="inlineStr">
        <is>
          <t>ГПА 73</t>
        </is>
      </c>
      <c r="J50" s="243" t="inlineStr">
        <is>
          <t>АСУ,А и ТМ (КЦ № 7)</t>
        </is>
      </c>
      <c r="K50" s="243" t="inlineStr"/>
      <c r="L50" s="243" t="inlineStr">
        <is>
          <t>12</t>
        </is>
      </c>
      <c r="M50" s="246" t="inlineStr">
        <is>
          <t>2К26</t>
        </is>
      </c>
      <c r="N50" s="243" t="inlineStr">
        <is>
          <t>К</t>
        </is>
      </c>
      <c r="O50" s="365" t="n"/>
    </row>
    <row r="51" ht="22.5" customHeight="1" s="236">
      <c r="A51" s="243" t="n">
        <v>50</v>
      </c>
      <c r="B51" s="244" t="inlineStr">
        <is>
          <t>Манометр технический</t>
        </is>
      </c>
      <c r="C51" s="243" t="inlineStr">
        <is>
          <t>МП3-УУХЛ1</t>
        </is>
      </c>
      <c r="D51" s="243" t="inlineStr">
        <is>
          <t>212033564</t>
        </is>
      </c>
      <c r="E51" s="243" t="inlineStr">
        <is>
          <t>2016</t>
        </is>
      </c>
      <c r="F51" s="245" t="inlineStr">
        <is>
          <t>0…16 МПа</t>
        </is>
      </c>
      <c r="G51" s="243" t="inlineStr">
        <is>
          <t>1.5</t>
        </is>
      </c>
      <c r="H51" s="243" t="inlineStr">
        <is>
          <t>P г в ёмкости Е-1</t>
        </is>
      </c>
      <c r="I51" s="243" t="inlineStr">
        <is>
          <t>ГПА 73</t>
        </is>
      </c>
      <c r="J51" s="243" t="inlineStr">
        <is>
          <t>АСУ,А и ТМ (КЦ № 7)</t>
        </is>
      </c>
      <c r="K51" s="243" t="inlineStr"/>
      <c r="L51" s="243" t="inlineStr">
        <is>
          <t>12</t>
        </is>
      </c>
      <c r="M51" s="246" t="inlineStr">
        <is>
          <t>26ДЯУ</t>
        </is>
      </c>
      <c r="N51" s="243" t="inlineStr">
        <is>
          <t>П</t>
        </is>
      </c>
      <c r="O51" s="365" t="n"/>
    </row>
    <row r="52" ht="22.5" customHeight="1" s="236">
      <c r="A52" s="243" t="n">
        <v>51</v>
      </c>
      <c r="B52" s="244" t="inlineStr">
        <is>
          <t>Манометр технический</t>
        </is>
      </c>
      <c r="C52" s="243" t="inlineStr">
        <is>
          <t>МП4-УУ2</t>
        </is>
      </c>
      <c r="D52" s="243" t="inlineStr">
        <is>
          <t>700024</t>
        </is>
      </c>
      <c r="E52" s="243" t="inlineStr"/>
      <c r="F52" s="245" t="inlineStr">
        <is>
          <t>0…16 МПа</t>
        </is>
      </c>
      <c r="G52" s="243" t="inlineStr">
        <is>
          <t>1</t>
        </is>
      </c>
      <c r="H52" s="243" t="inlineStr">
        <is>
          <t>P г до крана №1</t>
        </is>
      </c>
      <c r="I52" s="243" t="inlineStr">
        <is>
          <t>ГПА 73</t>
        </is>
      </c>
      <c r="J52" s="243" t="inlineStr">
        <is>
          <t>АСУ,А и ТМ (КЦ № 7)</t>
        </is>
      </c>
      <c r="K52" s="243" t="inlineStr"/>
      <c r="L52" s="243" t="inlineStr">
        <is>
          <t>12</t>
        </is>
      </c>
      <c r="M52" s="246" t="inlineStr">
        <is>
          <t>2К26</t>
        </is>
      </c>
      <c r="N52" s="243" t="inlineStr">
        <is>
          <t>К</t>
        </is>
      </c>
      <c r="O52" s="365" t="n"/>
    </row>
    <row r="53" ht="22.5" customHeight="1" s="236">
      <c r="A53" s="243" t="n">
        <v>52</v>
      </c>
      <c r="B53" s="244" t="inlineStr">
        <is>
          <t>Манометр технический</t>
        </is>
      </c>
      <c r="C53" s="243" t="inlineStr">
        <is>
          <t>МП4-УУ2</t>
        </is>
      </c>
      <c r="D53" s="243" t="inlineStr">
        <is>
          <t>7000145</t>
        </is>
      </c>
      <c r="E53" s="243" t="inlineStr"/>
      <c r="F53" s="245" t="inlineStr">
        <is>
          <t>0…16 МПа</t>
        </is>
      </c>
      <c r="G53" s="243" t="inlineStr">
        <is>
          <t>1</t>
        </is>
      </c>
      <c r="H53" s="243" t="inlineStr">
        <is>
          <t>P г после крана №1</t>
        </is>
      </c>
      <c r="I53" s="243" t="inlineStr">
        <is>
          <t>ГПА 73</t>
        </is>
      </c>
      <c r="J53" s="243" t="inlineStr">
        <is>
          <t>АСУ,А и ТМ (КЦ № 7)</t>
        </is>
      </c>
      <c r="K53" s="243" t="inlineStr"/>
      <c r="L53" s="243" t="inlineStr">
        <is>
          <t>12</t>
        </is>
      </c>
      <c r="M53" s="246" t="inlineStr">
        <is>
          <t>2К26</t>
        </is>
      </c>
      <c r="N53" s="243" t="inlineStr">
        <is>
          <t>К</t>
        </is>
      </c>
      <c r="O53" s="365" t="n"/>
    </row>
    <row r="54" ht="22.5" customHeight="1" s="236">
      <c r="A54" s="243" t="n">
        <v>53</v>
      </c>
      <c r="B54" s="244" t="inlineStr">
        <is>
          <t>Манометр технический</t>
        </is>
      </c>
      <c r="C54" s="243" t="inlineStr">
        <is>
          <t>МП4-УУ2</t>
        </is>
      </c>
      <c r="D54" s="243" t="inlineStr">
        <is>
          <t>700040</t>
        </is>
      </c>
      <c r="E54" s="243" t="inlineStr"/>
      <c r="F54" s="245" t="inlineStr">
        <is>
          <t>0…16 МПа</t>
        </is>
      </c>
      <c r="G54" s="243" t="inlineStr">
        <is>
          <t>1</t>
        </is>
      </c>
      <c r="H54" s="243" t="inlineStr">
        <is>
          <t>P г на входе в АВОГ</t>
        </is>
      </c>
      <c r="I54" s="243" t="inlineStr">
        <is>
          <t>ГПА 73</t>
        </is>
      </c>
      <c r="J54" s="243" t="inlineStr">
        <is>
          <t>АСУ,А и ТМ (КЦ № 7)</t>
        </is>
      </c>
      <c r="K54" s="243" t="inlineStr"/>
      <c r="L54" s="243" t="inlineStr">
        <is>
          <t>12</t>
        </is>
      </c>
      <c r="M54" s="246" t="inlineStr">
        <is>
          <t>2К26</t>
        </is>
      </c>
      <c r="N54" s="243" t="inlineStr">
        <is>
          <t>К</t>
        </is>
      </c>
      <c r="O54" s="365" t="n"/>
    </row>
    <row r="55" ht="22.5" customHeight="1" s="236">
      <c r="A55" s="243" t="n">
        <v>54</v>
      </c>
      <c r="B55" s="244" t="inlineStr">
        <is>
          <t>Манометр технический</t>
        </is>
      </c>
      <c r="C55" s="243" t="inlineStr">
        <is>
          <t>МП4-УУ2</t>
        </is>
      </c>
      <c r="D55" s="243" t="inlineStr">
        <is>
          <t>7000301</t>
        </is>
      </c>
      <c r="E55" s="243" t="inlineStr"/>
      <c r="F55" s="245" t="inlineStr">
        <is>
          <t>0…16 МПа</t>
        </is>
      </c>
      <c r="G55" s="243" t="inlineStr">
        <is>
          <t>1</t>
        </is>
      </c>
      <c r="H55" s="243" t="inlineStr">
        <is>
          <t>P г на выходе из АВОГ</t>
        </is>
      </c>
      <c r="I55" s="243" t="inlineStr">
        <is>
          <t>ГПА 73</t>
        </is>
      </c>
      <c r="J55" s="243" t="inlineStr">
        <is>
          <t>АСУ,А и ТМ (КЦ № 7)</t>
        </is>
      </c>
      <c r="K55" s="243" t="inlineStr"/>
      <c r="L55" s="243" t="inlineStr">
        <is>
          <t>12</t>
        </is>
      </c>
      <c r="M55" s="246" t="inlineStr">
        <is>
          <t>2К26</t>
        </is>
      </c>
      <c r="N55" s="243" t="inlineStr">
        <is>
          <t>К</t>
        </is>
      </c>
      <c r="O55" s="365" t="n"/>
    </row>
    <row r="56" ht="22.5" customHeight="1" s="236">
      <c r="A56" s="243" t="n">
        <v>55</v>
      </c>
      <c r="B56" s="244" t="inlineStr">
        <is>
          <t>Манометр технический</t>
        </is>
      </c>
      <c r="C56" s="243" t="inlineStr">
        <is>
          <t>МП4-УУ2</t>
        </is>
      </c>
      <c r="D56" s="243" t="inlineStr">
        <is>
          <t>700291</t>
        </is>
      </c>
      <c r="E56" s="243" t="inlineStr"/>
      <c r="F56" s="245" t="inlineStr">
        <is>
          <t>0…16 МПа</t>
        </is>
      </c>
      <c r="G56" s="243" t="inlineStr">
        <is>
          <t>1</t>
        </is>
      </c>
      <c r="H56" s="243" t="inlineStr">
        <is>
          <t>P г перед краном №2</t>
        </is>
      </c>
      <c r="I56" s="243" t="inlineStr">
        <is>
          <t>ГПА 73</t>
        </is>
      </c>
      <c r="J56" s="243" t="inlineStr">
        <is>
          <t>АСУ,А и ТМ (КЦ № 7)</t>
        </is>
      </c>
      <c r="K56" s="243" t="inlineStr"/>
      <c r="L56" s="243" t="inlineStr">
        <is>
          <t>12</t>
        </is>
      </c>
      <c r="M56" s="246" t="inlineStr">
        <is>
          <t>2К26</t>
        </is>
      </c>
      <c r="N56" s="243" t="inlineStr">
        <is>
          <t>К</t>
        </is>
      </c>
      <c r="O56" s="365" t="n"/>
    </row>
    <row r="57" ht="22.5" customHeight="1" s="236">
      <c r="A57" s="243" t="n">
        <v>56</v>
      </c>
      <c r="B57" s="244" t="inlineStr">
        <is>
          <t>Манометр технический</t>
        </is>
      </c>
      <c r="C57" s="243" t="inlineStr">
        <is>
          <t>МП4-УУ2</t>
        </is>
      </c>
      <c r="D57" s="243" t="inlineStr">
        <is>
          <t>7000128</t>
        </is>
      </c>
      <c r="E57" s="243" t="inlineStr"/>
      <c r="F57" s="245" t="inlineStr">
        <is>
          <t>0…16 МПа</t>
        </is>
      </c>
      <c r="G57" s="243" t="inlineStr">
        <is>
          <t>1</t>
        </is>
      </c>
      <c r="H57" s="243" t="inlineStr">
        <is>
          <t>P г после крана №2</t>
        </is>
      </c>
      <c r="I57" s="243" t="inlineStr">
        <is>
          <t>ГПА 73</t>
        </is>
      </c>
      <c r="J57" s="243" t="inlineStr">
        <is>
          <t>АСУ,А и ТМ (КЦ № 7)</t>
        </is>
      </c>
      <c r="K57" s="243" t="inlineStr"/>
      <c r="L57" s="243" t="inlineStr">
        <is>
          <t>12</t>
        </is>
      </c>
      <c r="M57" s="246" t="inlineStr">
        <is>
          <t>2К26</t>
        </is>
      </c>
      <c r="N57" s="243" t="inlineStr">
        <is>
          <t>К</t>
        </is>
      </c>
      <c r="O57" s="365" t="n"/>
    </row>
    <row r="58" ht="22.5" customHeight="1" s="236">
      <c r="A58" s="243" t="n">
        <v>57</v>
      </c>
      <c r="B58" s="244" t="inlineStr">
        <is>
          <t>Манометр технический</t>
        </is>
      </c>
      <c r="C58" s="243" t="inlineStr">
        <is>
          <t>МП3-УУ2</t>
        </is>
      </c>
      <c r="D58" s="243" t="inlineStr">
        <is>
          <t>700002</t>
        </is>
      </c>
      <c r="E58" s="243" t="inlineStr"/>
      <c r="F58" s="245" t="inlineStr">
        <is>
          <t>0…16 МПа</t>
        </is>
      </c>
      <c r="G58" s="243" t="inlineStr">
        <is>
          <t>1.5</t>
        </is>
      </c>
      <c r="H58" s="243" t="inlineStr">
        <is>
          <t>P г на входе установки</t>
        </is>
      </c>
      <c r="I58" s="243" t="inlineStr">
        <is>
          <t>АВОГ 73</t>
        </is>
      </c>
      <c r="J58" s="243" t="inlineStr">
        <is>
          <t>АСУ,А и ТМ (КЦ № 7)</t>
        </is>
      </c>
      <c r="K58" s="243" t="inlineStr"/>
      <c r="L58" s="243" t="inlineStr">
        <is>
          <t>12</t>
        </is>
      </c>
      <c r="M58" s="246" t="inlineStr">
        <is>
          <t>2К26</t>
        </is>
      </c>
      <c r="N58" s="243" t="inlineStr">
        <is>
          <t>К</t>
        </is>
      </c>
      <c r="O58" s="365" t="n"/>
    </row>
    <row r="59" ht="22.5" customHeight="1" s="236">
      <c r="A59" s="243" t="n">
        <v>58</v>
      </c>
      <c r="B59" s="244" t="inlineStr">
        <is>
          <t>Манометр технический</t>
        </is>
      </c>
      <c r="C59" s="243" t="inlineStr">
        <is>
          <t>МП3-УУ2</t>
        </is>
      </c>
      <c r="D59" s="243" t="inlineStr">
        <is>
          <t>700011</t>
        </is>
      </c>
      <c r="E59" s="243" t="inlineStr"/>
      <c r="F59" s="245" t="inlineStr">
        <is>
          <t>0…16 МПа</t>
        </is>
      </c>
      <c r="G59" s="243" t="inlineStr">
        <is>
          <t>1.5</t>
        </is>
      </c>
      <c r="H59" s="243" t="inlineStr">
        <is>
          <t>P г на входе установки</t>
        </is>
      </c>
      <c r="I59" s="243" t="inlineStr">
        <is>
          <t>АВОГ 73</t>
        </is>
      </c>
      <c r="J59" s="243" t="inlineStr">
        <is>
          <t>АСУ,А и ТМ (КЦ № 7)</t>
        </is>
      </c>
      <c r="K59" s="243" t="inlineStr"/>
      <c r="L59" s="243" t="inlineStr">
        <is>
          <t>12</t>
        </is>
      </c>
      <c r="M59" s="246" t="inlineStr">
        <is>
          <t>2К26</t>
        </is>
      </c>
      <c r="N59" s="243" t="inlineStr">
        <is>
          <t>К</t>
        </is>
      </c>
      <c r="O59" s="365" t="n"/>
    </row>
    <row r="60" ht="22.5" customHeight="1" s="236">
      <c r="A60" s="243" t="n">
        <v>59</v>
      </c>
      <c r="B60" s="244" t="inlineStr">
        <is>
          <t>Манометр технический</t>
        </is>
      </c>
      <c r="C60" s="243" t="inlineStr">
        <is>
          <t>МП3-УУ2</t>
        </is>
      </c>
      <c r="D60" s="243" t="inlineStr">
        <is>
          <t>700010</t>
        </is>
      </c>
      <c r="E60" s="243" t="inlineStr"/>
      <c r="F60" s="245" t="inlineStr">
        <is>
          <t>0…16 МПа</t>
        </is>
      </c>
      <c r="G60" s="243" t="inlineStr">
        <is>
          <t>1.5</t>
        </is>
      </c>
      <c r="H60" s="243" t="inlineStr">
        <is>
          <t>P г на входе установки</t>
        </is>
      </c>
      <c r="I60" s="243" t="inlineStr">
        <is>
          <t>АВОГ 73</t>
        </is>
      </c>
      <c r="J60" s="243" t="inlineStr">
        <is>
          <t>АСУ,А и ТМ (КЦ № 7)</t>
        </is>
      </c>
      <c r="K60" s="243" t="inlineStr"/>
      <c r="L60" s="243" t="inlineStr">
        <is>
          <t>12</t>
        </is>
      </c>
      <c r="M60" s="246" t="inlineStr">
        <is>
          <t>2К26</t>
        </is>
      </c>
      <c r="N60" s="243" t="inlineStr">
        <is>
          <t>К</t>
        </is>
      </c>
      <c r="O60" s="365" t="n"/>
    </row>
    <row r="61" ht="22.5" customHeight="1" s="236">
      <c r="A61" s="243" t="n">
        <v>60</v>
      </c>
      <c r="B61" s="244" t="inlineStr">
        <is>
          <t>Манометр технический</t>
        </is>
      </c>
      <c r="C61" s="243" t="inlineStr">
        <is>
          <t>МП3-УУ2</t>
        </is>
      </c>
      <c r="D61" s="243" t="inlineStr">
        <is>
          <t>700008</t>
        </is>
      </c>
      <c r="E61" s="243" t="inlineStr"/>
      <c r="F61" s="245" t="inlineStr">
        <is>
          <t>0…16 МПа</t>
        </is>
      </c>
      <c r="G61" s="243" t="inlineStr">
        <is>
          <t>1.5</t>
        </is>
      </c>
      <c r="H61" s="243" t="inlineStr">
        <is>
          <t>P г на входе установки</t>
        </is>
      </c>
      <c r="I61" s="243" t="inlineStr">
        <is>
          <t>АВОГ 73</t>
        </is>
      </c>
      <c r="J61" s="243" t="inlineStr">
        <is>
          <t>АСУ,А и ТМ (КЦ № 7)</t>
        </is>
      </c>
      <c r="K61" s="243" t="inlineStr"/>
      <c r="L61" s="243" t="inlineStr">
        <is>
          <t>12</t>
        </is>
      </c>
      <c r="M61" s="246" t="inlineStr">
        <is>
          <t>2К26</t>
        </is>
      </c>
      <c r="N61" s="243" t="inlineStr">
        <is>
          <t>К</t>
        </is>
      </c>
      <c r="O61" s="365" t="n"/>
    </row>
    <row r="62" ht="22.5" customHeight="1" s="236">
      <c r="A62" s="243" t="n">
        <v>61</v>
      </c>
      <c r="B62" s="244" t="inlineStr">
        <is>
          <t>Манометр технический</t>
        </is>
      </c>
      <c r="C62" s="243" t="inlineStr">
        <is>
          <t>МП3-УУ2</t>
        </is>
      </c>
      <c r="D62" s="243" t="inlineStr">
        <is>
          <t>700007</t>
        </is>
      </c>
      <c r="E62" s="243" t="inlineStr"/>
      <c r="F62" s="245" t="inlineStr">
        <is>
          <t>0…16 МПа</t>
        </is>
      </c>
      <c r="G62" s="243" t="inlineStr">
        <is>
          <t>1.5</t>
        </is>
      </c>
      <c r="H62" s="243" t="inlineStr">
        <is>
          <t>P г на входе установки</t>
        </is>
      </c>
      <c r="I62" s="243" t="inlineStr">
        <is>
          <t>АВОГ 73</t>
        </is>
      </c>
      <c r="J62" s="243" t="inlineStr">
        <is>
          <t>АСУ,А и ТМ (КЦ № 7)</t>
        </is>
      </c>
      <c r="K62" s="243" t="inlineStr"/>
      <c r="L62" s="243" t="inlineStr">
        <is>
          <t>12</t>
        </is>
      </c>
      <c r="M62" s="246" t="inlineStr">
        <is>
          <t>2К26</t>
        </is>
      </c>
      <c r="N62" s="243" t="inlineStr">
        <is>
          <t>К</t>
        </is>
      </c>
      <c r="O62" s="365" t="n"/>
    </row>
    <row r="63" ht="22.5" customHeight="1" s="236">
      <c r="A63" s="243" t="n">
        <v>62</v>
      </c>
      <c r="B63" s="244" t="inlineStr">
        <is>
          <t>Манометр технический</t>
        </is>
      </c>
      <c r="C63" s="243" t="inlineStr">
        <is>
          <t>МП3-УУ2</t>
        </is>
      </c>
      <c r="D63" s="243" t="inlineStr">
        <is>
          <t>700014</t>
        </is>
      </c>
      <c r="E63" s="243" t="inlineStr"/>
      <c r="F63" s="245" t="inlineStr">
        <is>
          <t>0…16 МПа</t>
        </is>
      </c>
      <c r="G63" s="243" t="inlineStr">
        <is>
          <t>1.5</t>
        </is>
      </c>
      <c r="H63" s="243" t="inlineStr">
        <is>
          <t>P г на входе установки</t>
        </is>
      </c>
      <c r="I63" s="243" t="inlineStr">
        <is>
          <t>АВОГ 73</t>
        </is>
      </c>
      <c r="J63" s="243" t="inlineStr">
        <is>
          <t>АСУ,А и ТМ (КЦ № 7)</t>
        </is>
      </c>
      <c r="K63" s="243" t="inlineStr"/>
      <c r="L63" s="243" t="inlineStr">
        <is>
          <t>12</t>
        </is>
      </c>
      <c r="M63" s="246" t="inlineStr">
        <is>
          <t>2К26</t>
        </is>
      </c>
      <c r="N63" s="243" t="inlineStr">
        <is>
          <t>К</t>
        </is>
      </c>
      <c r="O63" s="365" t="n"/>
    </row>
    <row r="64" ht="22.5" customHeight="1" s="236">
      <c r="A64" s="243" t="n">
        <v>63</v>
      </c>
      <c r="B64" s="244" t="inlineStr">
        <is>
          <t>Манометр технический</t>
        </is>
      </c>
      <c r="C64" s="243" t="inlineStr">
        <is>
          <t>МП3-УУ2</t>
        </is>
      </c>
      <c r="D64" s="243" t="inlineStr">
        <is>
          <t>700012</t>
        </is>
      </c>
      <c r="E64" s="243" t="inlineStr"/>
      <c r="F64" s="245" t="inlineStr">
        <is>
          <t>0…16 МПа</t>
        </is>
      </c>
      <c r="G64" s="243" t="inlineStr">
        <is>
          <t>1.5</t>
        </is>
      </c>
      <c r="H64" s="243" t="inlineStr">
        <is>
          <t>P г на входе установки</t>
        </is>
      </c>
      <c r="I64" s="243" t="inlineStr">
        <is>
          <t>АВОГ 73</t>
        </is>
      </c>
      <c r="J64" s="243" t="inlineStr">
        <is>
          <t>АСУ,А и ТМ (КЦ № 7)</t>
        </is>
      </c>
      <c r="K64" s="243" t="inlineStr"/>
      <c r="L64" s="243" t="inlineStr">
        <is>
          <t>12</t>
        </is>
      </c>
      <c r="M64" s="246" t="inlineStr">
        <is>
          <t>2К26</t>
        </is>
      </c>
      <c r="N64" s="243" t="inlineStr">
        <is>
          <t>К</t>
        </is>
      </c>
      <c r="O64" s="365" t="n"/>
    </row>
    <row r="65" ht="22.5" customHeight="1" s="236">
      <c r="A65" s="243" t="n">
        <v>64</v>
      </c>
      <c r="B65" s="244" t="inlineStr">
        <is>
          <t>Манометр технический</t>
        </is>
      </c>
      <c r="C65" s="243" t="inlineStr">
        <is>
          <t>МП3-УУ2</t>
        </is>
      </c>
      <c r="D65" s="243" t="inlineStr">
        <is>
          <t>700006</t>
        </is>
      </c>
      <c r="E65" s="243" t="inlineStr"/>
      <c r="F65" s="245" t="inlineStr">
        <is>
          <t>0…16 МПа</t>
        </is>
      </c>
      <c r="G65" s="243" t="inlineStr">
        <is>
          <t>1.5</t>
        </is>
      </c>
      <c r="H65" s="243" t="inlineStr">
        <is>
          <t>P г на входе установки</t>
        </is>
      </c>
      <c r="I65" s="243" t="inlineStr">
        <is>
          <t>АВОГ 73</t>
        </is>
      </c>
      <c r="J65" s="243" t="inlineStr">
        <is>
          <t>АСУ,А и ТМ (КЦ № 7)</t>
        </is>
      </c>
      <c r="K65" s="243" t="inlineStr"/>
      <c r="L65" s="243" t="inlineStr">
        <is>
          <t>12</t>
        </is>
      </c>
      <c r="M65" s="246" t="inlineStr">
        <is>
          <t>2К26</t>
        </is>
      </c>
      <c r="N65" s="243" t="inlineStr">
        <is>
          <t>К</t>
        </is>
      </c>
      <c r="O65" s="365" t="n"/>
    </row>
    <row r="66" ht="22.5" customHeight="1" s="236">
      <c r="A66" s="243" t="n">
        <v>65</v>
      </c>
      <c r="B66" s="244" t="inlineStr">
        <is>
          <t>Манометр технический</t>
        </is>
      </c>
      <c r="C66" s="243" t="inlineStr">
        <is>
          <t>МП4-УУ2</t>
        </is>
      </c>
      <c r="D66" s="243" t="inlineStr">
        <is>
          <t>7000300</t>
        </is>
      </c>
      <c r="E66" s="243" t="inlineStr"/>
      <c r="F66" s="245" t="inlineStr">
        <is>
          <t>0…16 МПа</t>
        </is>
      </c>
      <c r="G66" s="243" t="inlineStr">
        <is>
          <t>1</t>
        </is>
      </c>
      <c r="H66" s="243" t="inlineStr">
        <is>
          <t>P имп г крана 6к</t>
        </is>
      </c>
      <c r="I66" s="243" t="inlineStr">
        <is>
          <t>ГПА 73</t>
        </is>
      </c>
      <c r="J66" s="243" t="inlineStr">
        <is>
          <t>АСУ,А и ТМ (КЦ № 7)</t>
        </is>
      </c>
      <c r="K66" s="243" t="inlineStr"/>
      <c r="L66" s="243" t="inlineStr">
        <is>
          <t>12</t>
        </is>
      </c>
      <c r="M66" s="246" t="inlineStr">
        <is>
          <t>2К26</t>
        </is>
      </c>
      <c r="N66" s="243" t="inlineStr">
        <is>
          <t>К</t>
        </is>
      </c>
      <c r="O66" s="365" t="n"/>
    </row>
    <row r="67" ht="22.5" customHeight="1" s="236">
      <c r="A67" s="243" t="n">
        <v>66</v>
      </c>
      <c r="B67" s="249" t="inlineStr">
        <is>
          <t>Термометр биметаллический</t>
        </is>
      </c>
      <c r="C67" s="243" t="inlineStr">
        <is>
          <t>ТБ-2р ухл2</t>
        </is>
      </c>
      <c r="D67" s="243" t="inlineStr">
        <is>
          <t>7328</t>
        </is>
      </c>
      <c r="E67" s="243" t="inlineStr"/>
      <c r="F67" s="245" t="inlineStr">
        <is>
          <t>0…100 °С</t>
        </is>
      </c>
      <c r="G67" s="243" t="inlineStr">
        <is>
          <t>1.5</t>
        </is>
      </c>
      <c r="H67" s="243" t="inlineStr">
        <is>
          <t>T в до фильтра</t>
        </is>
      </c>
      <c r="I67" s="243" t="inlineStr">
        <is>
          <t>ГПА 73</t>
        </is>
      </c>
      <c r="J67" s="243" t="inlineStr">
        <is>
          <t>АСУ,А и ТМ (КЦ № 7)</t>
        </is>
      </c>
      <c r="K67" s="243" t="inlineStr"/>
      <c r="L67" s="243" t="inlineStr">
        <is>
          <t>24</t>
        </is>
      </c>
      <c r="M67" s="246" t="inlineStr">
        <is>
          <t>2К26</t>
        </is>
      </c>
      <c r="N67" s="243" t="inlineStr">
        <is>
          <t>К</t>
        </is>
      </c>
      <c r="O67" s="365" t="n"/>
    </row>
    <row r="68" ht="22.5" customHeight="1" s="236">
      <c r="A68" s="243" t="n">
        <v>67</v>
      </c>
      <c r="B68" s="249" t="inlineStr">
        <is>
          <t>Термометр биметаллический</t>
        </is>
      </c>
      <c r="C68" s="243" t="inlineStr">
        <is>
          <t>ТБ-2</t>
        </is>
      </c>
      <c r="D68" s="243" t="inlineStr">
        <is>
          <t>8538</t>
        </is>
      </c>
      <c r="E68" s="243" t="inlineStr"/>
      <c r="F68" s="245" t="inlineStr">
        <is>
          <t>-50…100 °С</t>
        </is>
      </c>
      <c r="G68" s="243" t="inlineStr">
        <is>
          <t>1</t>
        </is>
      </c>
      <c r="H68" s="243" t="inlineStr">
        <is>
          <t>T г на выходе установки</t>
        </is>
      </c>
      <c r="I68" s="243" t="inlineStr">
        <is>
          <t>АВОГ 73</t>
        </is>
      </c>
      <c r="J68" s="243" t="inlineStr">
        <is>
          <t>АСУ,А и ТМ (КЦ № 7)</t>
        </is>
      </c>
      <c r="K68" s="243" t="inlineStr"/>
      <c r="L68" s="243" t="inlineStr">
        <is>
          <t>24</t>
        </is>
      </c>
      <c r="M68" s="246" t="inlineStr">
        <is>
          <t>2к26</t>
        </is>
      </c>
      <c r="N68" s="243" t="inlineStr">
        <is>
          <t>К</t>
        </is>
      </c>
      <c r="O68" s="365" t="n"/>
    </row>
    <row r="69" ht="22.5" customHeight="1" s="236">
      <c r="A69" s="243" t="n">
        <v>68</v>
      </c>
      <c r="B69" s="249" t="inlineStr">
        <is>
          <t>Термометр биметаллический</t>
        </is>
      </c>
      <c r="C69" s="243" t="inlineStr">
        <is>
          <t>ТБ-2</t>
        </is>
      </c>
      <c r="D69" s="243" t="inlineStr">
        <is>
          <t>8577</t>
        </is>
      </c>
      <c r="E69" s="243" t="inlineStr"/>
      <c r="F69" s="245" t="inlineStr">
        <is>
          <t>-50…100 °С</t>
        </is>
      </c>
      <c r="G69" s="243" t="inlineStr">
        <is>
          <t>1</t>
        </is>
      </c>
      <c r="H69" s="243" t="inlineStr">
        <is>
          <t>T г на выходе установки</t>
        </is>
      </c>
      <c r="I69" s="243" t="inlineStr">
        <is>
          <t>АВОГ 73</t>
        </is>
      </c>
      <c r="J69" s="243" t="inlineStr">
        <is>
          <t>АСУ,А и ТМ (КЦ № 7)</t>
        </is>
      </c>
      <c r="K69" s="243" t="inlineStr"/>
      <c r="L69" s="243" t="inlineStr">
        <is>
          <t>24</t>
        </is>
      </c>
      <c r="M69" s="246" t="inlineStr">
        <is>
          <t>2к26</t>
        </is>
      </c>
      <c r="N69" s="243" t="inlineStr">
        <is>
          <t>К</t>
        </is>
      </c>
      <c r="O69" s="365" t="n"/>
    </row>
    <row r="70" ht="22.5" customHeight="1" s="236">
      <c r="A70" s="243" t="n">
        <v>69</v>
      </c>
      <c r="B70" s="249" t="inlineStr">
        <is>
          <t>Термометр биметаллический</t>
        </is>
      </c>
      <c r="C70" s="243" t="inlineStr">
        <is>
          <t>ТБ-2</t>
        </is>
      </c>
      <c r="D70" s="243" t="inlineStr">
        <is>
          <t>8540</t>
        </is>
      </c>
      <c r="E70" s="243" t="inlineStr"/>
      <c r="F70" s="245" t="inlineStr">
        <is>
          <t>-50…100 °С</t>
        </is>
      </c>
      <c r="G70" s="243" t="inlineStr">
        <is>
          <t>1</t>
        </is>
      </c>
      <c r="H70" s="243" t="inlineStr">
        <is>
          <t>T г на выходе установки</t>
        </is>
      </c>
      <c r="I70" s="243" t="inlineStr">
        <is>
          <t>АВОГ 73</t>
        </is>
      </c>
      <c r="J70" s="243" t="inlineStr">
        <is>
          <t>АСУ,А и ТМ (КЦ № 7)</t>
        </is>
      </c>
      <c r="K70" s="243" t="inlineStr"/>
      <c r="L70" s="243" t="inlineStr">
        <is>
          <t>24</t>
        </is>
      </c>
      <c r="M70" s="246" t="inlineStr">
        <is>
          <t>2к26</t>
        </is>
      </c>
      <c r="N70" s="243" t="inlineStr">
        <is>
          <t>К</t>
        </is>
      </c>
      <c r="O70" s="365" t="n"/>
    </row>
    <row r="71" ht="22.5" customHeight="1" s="236">
      <c r="A71" s="243" t="n">
        <v>70</v>
      </c>
      <c r="B71" s="249" t="inlineStr">
        <is>
          <t>Термометр биметаллический</t>
        </is>
      </c>
      <c r="C71" s="243" t="inlineStr">
        <is>
          <t>ТБ-2</t>
        </is>
      </c>
      <c r="D71" s="243" t="inlineStr">
        <is>
          <t>8562</t>
        </is>
      </c>
      <c r="E71" s="243" t="inlineStr"/>
      <c r="F71" s="245" t="inlineStr">
        <is>
          <t>-50…100 °С</t>
        </is>
      </c>
      <c r="G71" s="243" t="inlineStr">
        <is>
          <t>1</t>
        </is>
      </c>
      <c r="H71" s="243" t="inlineStr">
        <is>
          <t>T г на выходе установки</t>
        </is>
      </c>
      <c r="I71" s="243" t="inlineStr">
        <is>
          <t>АВОГ 73</t>
        </is>
      </c>
      <c r="J71" s="243" t="inlineStr">
        <is>
          <t>АСУ,А и ТМ (КЦ № 7)</t>
        </is>
      </c>
      <c r="K71" s="243" t="inlineStr"/>
      <c r="L71" s="243" t="inlineStr">
        <is>
          <t>24</t>
        </is>
      </c>
      <c r="M71" s="246" t="inlineStr">
        <is>
          <t>2к26</t>
        </is>
      </c>
      <c r="N71" s="243" t="inlineStr">
        <is>
          <t>К</t>
        </is>
      </c>
      <c r="O71" s="365" t="n"/>
    </row>
    <row r="72" ht="22.5" customHeight="1" s="236">
      <c r="A72" s="243" t="n">
        <v>71</v>
      </c>
      <c r="B72" s="249" t="inlineStr">
        <is>
          <t>Термометр биметаллический</t>
        </is>
      </c>
      <c r="C72" s="243" t="inlineStr">
        <is>
          <t>ТБ-2</t>
        </is>
      </c>
      <c r="D72" s="243" t="inlineStr">
        <is>
          <t>8531</t>
        </is>
      </c>
      <c r="E72" s="243" t="inlineStr"/>
      <c r="F72" s="245" t="inlineStr">
        <is>
          <t>-50…100 °С</t>
        </is>
      </c>
      <c r="G72" s="243" t="inlineStr">
        <is>
          <t>1</t>
        </is>
      </c>
      <c r="H72" s="243" t="inlineStr">
        <is>
          <t>T г на выходе установки</t>
        </is>
      </c>
      <c r="I72" s="243" t="inlineStr">
        <is>
          <t>АВОГ 73</t>
        </is>
      </c>
      <c r="J72" s="243" t="inlineStr">
        <is>
          <t>АСУ,А и ТМ (КЦ № 7)</t>
        </is>
      </c>
      <c r="K72" s="243" t="inlineStr"/>
      <c r="L72" s="243" t="inlineStr">
        <is>
          <t>24</t>
        </is>
      </c>
      <c r="M72" s="246" t="inlineStr">
        <is>
          <t>2к26</t>
        </is>
      </c>
      <c r="N72" s="243" t="inlineStr">
        <is>
          <t>К</t>
        </is>
      </c>
      <c r="O72" s="365" t="n"/>
    </row>
    <row r="73" ht="22.5" customHeight="1" s="236">
      <c r="A73" s="243" t="n">
        <v>72</v>
      </c>
      <c r="B73" s="249" t="inlineStr">
        <is>
          <t>Термометр биметаллический</t>
        </is>
      </c>
      <c r="C73" s="243" t="inlineStr">
        <is>
          <t>ТБ-2</t>
        </is>
      </c>
      <c r="D73" s="243" t="inlineStr">
        <is>
          <t>8561</t>
        </is>
      </c>
      <c r="E73" s="243" t="inlineStr"/>
      <c r="F73" s="245" t="inlineStr">
        <is>
          <t>-50…100 °С</t>
        </is>
      </c>
      <c r="G73" s="243" t="inlineStr">
        <is>
          <t>1</t>
        </is>
      </c>
      <c r="H73" s="243" t="inlineStr">
        <is>
          <t>T г на выходе установки</t>
        </is>
      </c>
      <c r="I73" s="243" t="inlineStr">
        <is>
          <t>АВОГ 73</t>
        </is>
      </c>
      <c r="J73" s="243" t="inlineStr">
        <is>
          <t>АСУ,А и ТМ (КЦ № 7)</t>
        </is>
      </c>
      <c r="K73" s="243" t="inlineStr"/>
      <c r="L73" s="243" t="inlineStr">
        <is>
          <t>24</t>
        </is>
      </c>
      <c r="M73" s="246" t="inlineStr">
        <is>
          <t>2к26</t>
        </is>
      </c>
      <c r="N73" s="243" t="inlineStr">
        <is>
          <t>К</t>
        </is>
      </c>
      <c r="O73" s="365" t="n"/>
    </row>
    <row r="74" ht="22.5" customHeight="1" s="236">
      <c r="A74" s="243" t="n">
        <v>73</v>
      </c>
      <c r="B74" s="249" t="inlineStr">
        <is>
          <t>Термометр биметаллический</t>
        </is>
      </c>
      <c r="C74" s="243" t="inlineStr">
        <is>
          <t>ТБ-2</t>
        </is>
      </c>
      <c r="D74" s="243" t="inlineStr">
        <is>
          <t>8526</t>
        </is>
      </c>
      <c r="E74" s="243" t="inlineStr"/>
      <c r="F74" s="245" t="inlineStr">
        <is>
          <t>-50…100 °С</t>
        </is>
      </c>
      <c r="G74" s="243" t="inlineStr">
        <is>
          <t>1</t>
        </is>
      </c>
      <c r="H74" s="243" t="inlineStr">
        <is>
          <t>T г на выходе установки</t>
        </is>
      </c>
      <c r="I74" s="243" t="inlineStr">
        <is>
          <t>АВОГ 73</t>
        </is>
      </c>
      <c r="J74" s="243" t="inlineStr">
        <is>
          <t>АСУ,А и ТМ (КЦ № 7)</t>
        </is>
      </c>
      <c r="K74" s="243" t="inlineStr"/>
      <c r="L74" s="243" t="inlineStr">
        <is>
          <t>24</t>
        </is>
      </c>
      <c r="M74" s="246" t="inlineStr">
        <is>
          <t>2к26</t>
        </is>
      </c>
      <c r="N74" s="243" t="inlineStr">
        <is>
          <t>К</t>
        </is>
      </c>
      <c r="O74" s="365" t="n"/>
    </row>
    <row r="75" ht="22.5" customHeight="1" s="236">
      <c r="A75" s="243" t="n">
        <v>74</v>
      </c>
      <c r="B75" s="249" t="inlineStr">
        <is>
          <t>Термометр биметаллический</t>
        </is>
      </c>
      <c r="C75" s="243" t="inlineStr">
        <is>
          <t>ТБ-2</t>
        </is>
      </c>
      <c r="D75" s="243" t="inlineStr">
        <is>
          <t>8558</t>
        </is>
      </c>
      <c r="E75" s="243" t="inlineStr"/>
      <c r="F75" s="245" t="inlineStr">
        <is>
          <t>-50…100 °С</t>
        </is>
      </c>
      <c r="G75" s="243" t="inlineStr">
        <is>
          <t>1</t>
        </is>
      </c>
      <c r="H75" s="243" t="inlineStr">
        <is>
          <t>T г на выходе установки</t>
        </is>
      </c>
      <c r="I75" s="243" t="inlineStr">
        <is>
          <t>АВОГ 73</t>
        </is>
      </c>
      <c r="J75" s="243" t="inlineStr">
        <is>
          <t>АСУ,А и ТМ (КЦ № 7)</t>
        </is>
      </c>
      <c r="K75" s="243" t="inlineStr"/>
      <c r="L75" s="243" t="inlineStr">
        <is>
          <t>24</t>
        </is>
      </c>
      <c r="M75" s="246" t="inlineStr">
        <is>
          <t>2к26</t>
        </is>
      </c>
      <c r="N75" s="243" t="inlineStr">
        <is>
          <t>К</t>
        </is>
      </c>
      <c r="O75" s="365" t="n"/>
    </row>
    <row r="76" ht="22.5" customHeight="1" s="236">
      <c r="A76" s="243" t="n">
        <v>75</v>
      </c>
      <c r="B76" s="248" t="inlineStr">
        <is>
          <t>Расходомер</t>
        </is>
      </c>
      <c r="C76" s="243" t="inlineStr">
        <is>
          <t>Yokogawa D-79664</t>
        </is>
      </c>
      <c r="D76" s="243" t="inlineStr">
        <is>
          <t>D1U302278</t>
        </is>
      </c>
      <c r="E76" s="243" t="inlineStr">
        <is>
          <t>2018</t>
        </is>
      </c>
      <c r="F76" s="245" t="inlineStr">
        <is>
          <t>1200 м3/ч</t>
        </is>
      </c>
      <c r="G76" s="243" t="inlineStr"/>
      <c r="H76" s="243" t="inlineStr">
        <is>
          <t>Qбг на входе в ГДУ ПКВ</t>
        </is>
      </c>
      <c r="I76" s="243" t="inlineStr"/>
      <c r="J76" s="243" t="inlineStr">
        <is>
          <t>АСУ,А и ТМ (КЦ № 7)</t>
        </is>
      </c>
      <c r="K76" s="243" t="inlineStr"/>
      <c r="L76" s="243" t="inlineStr"/>
      <c r="M76" s="246" t="inlineStr"/>
      <c r="N76" s="243" t="inlineStr"/>
      <c r="O76" s="365" t="n"/>
    </row>
    <row r="77" ht="22.5" customHeight="1" s="236">
      <c r="A77" s="243" t="n">
        <v>76</v>
      </c>
      <c r="B77" s="248" t="inlineStr">
        <is>
          <t>Расходомер</t>
        </is>
      </c>
      <c r="C77" s="243" t="inlineStr">
        <is>
          <t>Yokogawa D-79664</t>
        </is>
      </c>
      <c r="D77" s="243" t="inlineStr">
        <is>
          <t>D1U302282</t>
        </is>
      </c>
      <c r="E77" s="243" t="inlineStr">
        <is>
          <t>2018</t>
        </is>
      </c>
      <c r="F77" s="245" t="inlineStr">
        <is>
          <t>1200 м3/ч</t>
        </is>
      </c>
      <c r="G77" s="243" t="inlineStr"/>
      <c r="H77" s="243" t="inlineStr">
        <is>
          <t>Qбг на входе в ГДУ ЗКВ</t>
        </is>
      </c>
      <c r="I77" s="243" t="inlineStr"/>
      <c r="J77" s="243" t="inlineStr">
        <is>
          <t>АСУ,А и ТМ (КЦ № 7)</t>
        </is>
      </c>
      <c r="K77" s="243" t="inlineStr"/>
      <c r="L77" s="243" t="inlineStr"/>
      <c r="M77" s="246" t="inlineStr"/>
      <c r="N77" s="243" t="inlineStr"/>
      <c r="O77" s="365" t="n"/>
    </row>
    <row r="78" ht="22.5" customHeight="1" s="236">
      <c r="A78" s="243" t="n">
        <v>77</v>
      </c>
      <c r="B78" s="248" t="inlineStr">
        <is>
          <t>Расходомер</t>
        </is>
      </c>
      <c r="C78" s="243" t="inlineStr">
        <is>
          <t>Yokogawa D-79664</t>
        </is>
      </c>
      <c r="D78" s="243" t="inlineStr">
        <is>
          <t>D1U402353</t>
        </is>
      </c>
      <c r="E78" s="243" t="inlineStr">
        <is>
          <t>2018</t>
        </is>
      </c>
      <c r="F78" s="245" t="inlineStr">
        <is>
          <t>20 м3/ч</t>
        </is>
      </c>
      <c r="G78" s="243" t="inlineStr"/>
      <c r="H78" s="243" t="inlineStr">
        <is>
          <t>Qбг в линии утечек 1-ой ступени ГДУ ПКВ</t>
        </is>
      </c>
      <c r="I78" s="243" t="inlineStr"/>
      <c r="J78" s="243" t="inlineStr">
        <is>
          <t>АСУ,А и ТМ (КЦ № 7)</t>
        </is>
      </c>
      <c r="K78" s="243" t="inlineStr"/>
      <c r="L78" s="243" t="inlineStr"/>
      <c r="M78" s="246" t="inlineStr"/>
      <c r="N78" s="243" t="inlineStr"/>
      <c r="O78" s="365" t="n"/>
    </row>
    <row r="79" ht="22.5" customHeight="1" s="236">
      <c r="A79" s="243" t="n">
        <v>78</v>
      </c>
      <c r="B79" s="248" t="inlineStr">
        <is>
          <t>Расходомер</t>
        </is>
      </c>
      <c r="C79" s="243" t="inlineStr">
        <is>
          <t>Yokogawa D-79664</t>
        </is>
      </c>
      <c r="D79" s="243" t="inlineStr">
        <is>
          <t>D1U402349</t>
        </is>
      </c>
      <c r="E79" s="243" t="inlineStr">
        <is>
          <t>2018</t>
        </is>
      </c>
      <c r="F79" s="245" t="inlineStr">
        <is>
          <t>20 м3/ч</t>
        </is>
      </c>
      <c r="G79" s="243" t="inlineStr"/>
      <c r="H79" s="243" t="inlineStr">
        <is>
          <t>Qбг в линии утечек 1-ой ступени ГДУ ЗКВ</t>
        </is>
      </c>
      <c r="I79" s="243" t="inlineStr"/>
      <c r="J79" s="243" t="inlineStr">
        <is>
          <t>АСУ,А и ТМ (КЦ № 7)</t>
        </is>
      </c>
      <c r="K79" s="243" t="inlineStr"/>
      <c r="L79" s="243" t="inlineStr"/>
      <c r="M79" s="246" t="inlineStr"/>
      <c r="N79" s="243" t="inlineStr"/>
      <c r="O79" s="365" t="n"/>
    </row>
    <row r="80" ht="22.5" customHeight="1" s="236">
      <c r="A80" s="243" t="n">
        <v>79</v>
      </c>
      <c r="B80" s="249" t="inlineStr">
        <is>
          <t>Расходомер</t>
        </is>
      </c>
      <c r="C80" s="243" t="inlineStr">
        <is>
          <t>Turbo Flow UFG-F</t>
        </is>
      </c>
      <c r="D80" s="243" t="inlineStr">
        <is>
          <t>90652</t>
        </is>
      </c>
      <c r="E80" s="243" t="inlineStr">
        <is>
          <t>2018</t>
        </is>
      </c>
      <c r="F80" s="245" t="inlineStr">
        <is>
          <t>2,2…440 м3/ч</t>
        </is>
      </c>
      <c r="G80" s="243" t="inlineStr">
        <is>
          <t>2%</t>
        </is>
      </c>
      <c r="H80" s="243" t="inlineStr">
        <is>
          <t>Расход топл. газа</t>
        </is>
      </c>
      <c r="I80" s="243" t="inlineStr">
        <is>
          <t>ГПА 73</t>
        </is>
      </c>
      <c r="J80" s="243" t="inlineStr">
        <is>
          <t>АСУ,А и ТМ (КЦ № 7)</t>
        </is>
      </c>
      <c r="K80" s="243" t="inlineStr"/>
      <c r="L80" s="243" t="inlineStr">
        <is>
          <t>60</t>
        </is>
      </c>
      <c r="M80" s="246" t="inlineStr"/>
      <c r="N80" s="243" t="inlineStr"/>
      <c r="O80" s="364" t="n"/>
    </row>
    <row r="81" ht="22.5" customHeight="1" s="236">
      <c r="A81" s="243" t="n">
        <v>80</v>
      </c>
      <c r="B81" s="248" t="inlineStr">
        <is>
          <t>Корректор объёма газа</t>
        </is>
      </c>
      <c r="C81" s="243" t="inlineStr">
        <is>
          <t>ЕК270</t>
        </is>
      </c>
      <c r="D81" s="243" t="inlineStr">
        <is>
          <t>1119090071</t>
        </is>
      </c>
      <c r="E81" s="243" t="inlineStr">
        <is>
          <t>2019</t>
        </is>
      </c>
      <c r="F81" s="245" t="inlineStr"/>
      <c r="G81" s="243" t="inlineStr"/>
      <c r="H81" s="243" t="inlineStr">
        <is>
          <t>коммерческий учет газа</t>
        </is>
      </c>
      <c r="I81" s="243" t="inlineStr">
        <is>
          <t>АВГМ 73</t>
        </is>
      </c>
      <c r="J81" s="243" t="inlineStr">
        <is>
          <t>АСУ,А и ТМ (КЦ № 7)</t>
        </is>
      </c>
      <c r="K81" s="243" t="inlineStr"/>
      <c r="L81" s="243" t="inlineStr">
        <is>
          <t>60</t>
        </is>
      </c>
      <c r="M81" s="246" t="inlineStr"/>
      <c r="N81" s="243" t="inlineStr"/>
      <c r="O81" s="364" t="n"/>
    </row>
    <row r="82" ht="22.5" customHeight="1" s="236">
      <c r="A82" s="243" t="n">
        <v>81</v>
      </c>
      <c r="B82" s="244" t="inlineStr">
        <is>
          <t>Комплекс для измерения количества газа</t>
        </is>
      </c>
      <c r="C82" s="243" t="inlineStr">
        <is>
          <t>СГ-ЭК-Вз-Р-0,2-160/1,6</t>
        </is>
      </c>
      <c r="D82" s="243" t="inlineStr">
        <is>
          <t>1519090066</t>
        </is>
      </c>
      <c r="E82" s="243" t="inlineStr">
        <is>
          <t>2019</t>
        </is>
      </c>
      <c r="F82" s="245" t="inlineStr"/>
      <c r="G82" s="243" t="inlineStr"/>
      <c r="H82" s="243" t="inlineStr">
        <is>
          <t>коммерческий учет газа</t>
        </is>
      </c>
      <c r="I82" s="243" t="inlineStr">
        <is>
          <t>АВГМ 73</t>
        </is>
      </c>
      <c r="J82" s="243" t="inlineStr">
        <is>
          <t>АСУ,А и ТМ (КЦ № 7)</t>
        </is>
      </c>
      <c r="K82" s="243" t="inlineStr"/>
      <c r="L82" s="243" t="inlineStr">
        <is>
          <t>60</t>
        </is>
      </c>
      <c r="M82" s="246" t="inlineStr"/>
      <c r="N82" s="243" t="inlineStr"/>
      <c r="O82" s="364" t="n"/>
    </row>
    <row r="83" ht="22.5" customHeight="1" s="236">
      <c r="A83" s="243" t="n">
        <v>82</v>
      </c>
      <c r="B83" s="244" t="inlineStr">
        <is>
          <t>Счётчик газа</t>
        </is>
      </c>
      <c r="C83" s="243" t="inlineStr">
        <is>
          <t>RVG G100</t>
        </is>
      </c>
      <c r="D83" s="243" t="inlineStr">
        <is>
          <t>1219090048</t>
        </is>
      </c>
      <c r="E83" s="243" t="inlineStr">
        <is>
          <t>2019</t>
        </is>
      </c>
      <c r="F83" s="245" t="inlineStr">
        <is>
          <t>3…160 м3/ч</t>
        </is>
      </c>
      <c r="G83" s="243" t="inlineStr">
        <is>
          <t>1%</t>
        </is>
      </c>
      <c r="H83" s="243" t="inlineStr">
        <is>
          <t>коммерческий учет газа</t>
        </is>
      </c>
      <c r="I83" s="243" t="inlineStr">
        <is>
          <t>АВГМ 73</t>
        </is>
      </c>
      <c r="J83" s="243" t="inlineStr">
        <is>
          <t>АСУ,А и ТМ (КЦ № 7)</t>
        </is>
      </c>
      <c r="K83" s="243" t="inlineStr"/>
      <c r="L83" s="243" t="inlineStr">
        <is>
          <t>60</t>
        </is>
      </c>
      <c r="M83" s="246" t="inlineStr"/>
      <c r="N83" s="243" t="inlineStr"/>
      <c r="O83" s="364" t="n"/>
    </row>
    <row r="84" ht="22.5" customHeight="1" s="236">
      <c r="A84" s="243" t="n">
        <v>83</v>
      </c>
      <c r="B84" s="244" t="inlineStr">
        <is>
          <t>Газоанализатор оптический</t>
        </is>
      </c>
      <c r="C84" s="243" t="inlineStr">
        <is>
          <t>ОГС-ПГП/М</t>
        </is>
      </c>
      <c r="D84" s="243" t="inlineStr">
        <is>
          <t>15335</t>
        </is>
      </c>
      <c r="E84" s="243" t="inlineStr">
        <is>
          <t>2021</t>
        </is>
      </c>
      <c r="F84" s="245" t="inlineStr"/>
      <c r="G84" s="243" t="inlineStr"/>
      <c r="H84" s="243" t="inlineStr">
        <is>
          <t>Измерение уровня загазованности</t>
        </is>
      </c>
      <c r="I84" s="243" t="inlineStr">
        <is>
          <t>АВГМ 73</t>
        </is>
      </c>
      <c r="J84" s="243" t="inlineStr">
        <is>
          <t>АСУ,А и ТМ (КЦ № 7)</t>
        </is>
      </c>
      <c r="K84" s="243" t="inlineStr"/>
      <c r="L84" s="243" t="inlineStr">
        <is>
          <t>60</t>
        </is>
      </c>
      <c r="M84" s="246" t="inlineStr"/>
      <c r="N84" s="243" t="inlineStr"/>
      <c r="O84" s="365" t="n"/>
    </row>
    <row r="85" ht="22.5" customHeight="1" s="236">
      <c r="A85" s="243" t="n">
        <v>84</v>
      </c>
      <c r="B85" s="244" t="inlineStr">
        <is>
          <t>Газоанализатор оптический</t>
        </is>
      </c>
      <c r="C85" s="243" t="inlineStr">
        <is>
          <t>ОГС-ПГП/М</t>
        </is>
      </c>
      <c r="D85" s="243" t="inlineStr">
        <is>
          <t>15330</t>
        </is>
      </c>
      <c r="E85" s="243" t="inlineStr">
        <is>
          <t>2021</t>
        </is>
      </c>
      <c r="F85" s="245" t="inlineStr"/>
      <c r="G85" s="243" t="inlineStr"/>
      <c r="H85" s="243" t="inlineStr">
        <is>
          <t>Измерение уровня загазованности</t>
        </is>
      </c>
      <c r="I85" s="243" t="inlineStr">
        <is>
          <t>АВГМ 73</t>
        </is>
      </c>
      <c r="J85" s="243" t="inlineStr">
        <is>
          <t>АСУ,А и ТМ (КЦ № 7)</t>
        </is>
      </c>
      <c r="K85" s="243" t="inlineStr"/>
      <c r="L85" s="243" t="inlineStr">
        <is>
          <t>60</t>
        </is>
      </c>
      <c r="M85" s="246" t="inlineStr"/>
      <c r="N85" s="243" t="inlineStr"/>
      <c r="O85" s="365" t="n"/>
    </row>
    <row r="86" ht="22.5" customHeight="1" s="236">
      <c r="A86" s="243" t="n">
        <v>85</v>
      </c>
      <c r="B86" s="244" t="inlineStr">
        <is>
          <t>Преобразователь давления</t>
        </is>
      </c>
      <c r="C86" s="243" t="inlineStr">
        <is>
          <t>ПД100И-ДИ 0,0016-811-1,0</t>
        </is>
      </c>
      <c r="D86" s="243" t="inlineStr">
        <is>
          <t>74625190446018249</t>
        </is>
      </c>
      <c r="E86" s="243" t="inlineStr"/>
      <c r="F86" s="245" t="inlineStr">
        <is>
          <t>0…1,6 кПа</t>
        </is>
      </c>
      <c r="G86" s="243" t="inlineStr"/>
      <c r="H86" s="243" t="inlineStr">
        <is>
          <t>Давление воздуха в воздуховоде на ангар ГПА</t>
        </is>
      </c>
      <c r="I86" s="243" t="inlineStr">
        <is>
          <t>АВГМ 73</t>
        </is>
      </c>
      <c r="J86" s="243" t="inlineStr">
        <is>
          <t>АСУ,А и ТМ (КЦ № 7)</t>
        </is>
      </c>
      <c r="K86" s="243" t="inlineStr"/>
      <c r="L86" s="243" t="inlineStr"/>
      <c r="M86" s="246" t="inlineStr"/>
      <c r="N86" s="243" t="inlineStr"/>
      <c r="O86" s="365" t="n"/>
    </row>
    <row r="87" ht="22.5" customHeight="1" s="236">
      <c r="A87" s="243" t="n">
        <v>86</v>
      </c>
      <c r="B87" s="244" t="inlineStr">
        <is>
          <t>Термометр сопротивления</t>
        </is>
      </c>
      <c r="C87" s="243" t="inlineStr">
        <is>
          <t>ДТС145-PT100.В3.180</t>
        </is>
      </c>
      <c r="D87" s="243" t="inlineStr">
        <is>
          <t>52199190244045438</t>
        </is>
      </c>
      <c r="E87" s="243" t="inlineStr">
        <is>
          <t>2019</t>
        </is>
      </c>
      <c r="F87" s="245" t="inlineStr">
        <is>
          <t>-60…500 °С</t>
        </is>
      </c>
      <c r="G87" s="243" t="inlineStr"/>
      <c r="H87" s="243" t="inlineStr">
        <is>
          <t>Температура нагретого воздуха</t>
        </is>
      </c>
      <c r="I87" s="243" t="inlineStr">
        <is>
          <t>АВГМ 73</t>
        </is>
      </c>
      <c r="J87" s="243" t="inlineStr">
        <is>
          <t>АСУ,А и ТМ (КЦ № 7)</t>
        </is>
      </c>
      <c r="K87" s="243" t="inlineStr"/>
      <c r="L87" s="243" t="inlineStr"/>
      <c r="M87" s="246" t="inlineStr"/>
      <c r="N87" s="243" t="inlineStr"/>
      <c r="O87" s="365" t="n"/>
    </row>
    <row r="88" ht="22.5" customHeight="1" s="236">
      <c r="A88" s="243" t="n">
        <v>87</v>
      </c>
      <c r="B88" s="244" t="inlineStr">
        <is>
          <t>Преобразователь давления</t>
        </is>
      </c>
      <c r="C88" s="243" t="inlineStr">
        <is>
          <t>ПД100-ДИ 0,04-111-1,0</t>
        </is>
      </c>
      <c r="D88" s="243" t="inlineStr">
        <is>
          <t>42770190446018212</t>
        </is>
      </c>
      <c r="E88" s="243" t="inlineStr"/>
      <c r="F88" s="245" t="inlineStr">
        <is>
          <t>0…40 кПа</t>
        </is>
      </c>
      <c r="G88" s="243" t="inlineStr"/>
      <c r="H88" s="243" t="inlineStr">
        <is>
          <t>Давление газа после регулятора давления</t>
        </is>
      </c>
      <c r="I88" s="243" t="inlineStr">
        <is>
          <t>АВГМ 73</t>
        </is>
      </c>
      <c r="J88" s="243" t="inlineStr">
        <is>
          <t>АСУ,А и ТМ (КЦ № 7)</t>
        </is>
      </c>
      <c r="K88" s="243" t="inlineStr"/>
      <c r="L88" s="243" t="inlineStr">
        <is>
          <t>60</t>
        </is>
      </c>
      <c r="M88" s="246" t="inlineStr"/>
      <c r="N88" s="243" t="inlineStr"/>
      <c r="O88" s="365" t="n"/>
    </row>
    <row r="89" ht="22.5" customHeight="1" s="236">
      <c r="A89" s="243" t="n">
        <v>88</v>
      </c>
      <c r="B89" s="244" t="inlineStr">
        <is>
          <t>Термометр сопротивления</t>
        </is>
      </c>
      <c r="C89" s="243" t="inlineStr">
        <is>
          <t>ТСПУ-Л-22322 УХЛ3,1</t>
        </is>
      </c>
      <c r="D89" s="243" t="inlineStr">
        <is>
          <t>016</t>
        </is>
      </c>
      <c r="E89" s="243" t="inlineStr">
        <is>
          <t>2019</t>
        </is>
      </c>
      <c r="F89" s="245" t="inlineStr">
        <is>
          <t>-50…350 °С</t>
        </is>
      </c>
      <c r="G89" s="243" t="inlineStr"/>
      <c r="H89" s="243" t="inlineStr">
        <is>
          <t>Температура теплообменника №1</t>
        </is>
      </c>
      <c r="I89" s="243" t="inlineStr">
        <is>
          <t>АВГМ 73</t>
        </is>
      </c>
      <c r="J89" s="243" t="inlineStr">
        <is>
          <t>АСУ,А и ТМ (КЦ № 7)</t>
        </is>
      </c>
      <c r="K89" s="243" t="inlineStr"/>
      <c r="L89" s="243" t="inlineStr"/>
      <c r="M89" s="246" t="inlineStr"/>
      <c r="N89" s="243" t="inlineStr"/>
      <c r="O89" s="365" t="n"/>
    </row>
    <row r="90" ht="22.5" customHeight="1" s="236">
      <c r="A90" s="243" t="n">
        <v>89</v>
      </c>
      <c r="B90" s="244" t="inlineStr">
        <is>
          <t>Датчик давления микропроцессорный</t>
        </is>
      </c>
      <c r="C90" s="243" t="inlineStr">
        <is>
          <t>ДДМ-03-МИ</t>
        </is>
      </c>
      <c r="D90" s="243" t="inlineStr">
        <is>
          <t>808256</t>
        </is>
      </c>
      <c r="E90" s="243" t="inlineStr"/>
      <c r="F90" s="245" t="inlineStr">
        <is>
          <t>0…40 кПа</t>
        </is>
      </c>
      <c r="G90" s="243" t="inlineStr"/>
      <c r="H90" s="243" t="inlineStr">
        <is>
          <t>Давление газа перед газовой горелкой №2</t>
        </is>
      </c>
      <c r="I90" s="243" t="inlineStr">
        <is>
          <t>АВГМ 73</t>
        </is>
      </c>
      <c r="J90" s="243" t="inlineStr">
        <is>
          <t>АСУ,А и ТМ (КЦ № 7)</t>
        </is>
      </c>
      <c r="K90" s="243" t="inlineStr"/>
      <c r="L90" s="243" t="inlineStr"/>
      <c r="M90" s="246" t="inlineStr"/>
      <c r="N90" s="243" t="inlineStr"/>
      <c r="O90" s="365" t="n"/>
    </row>
    <row r="91" ht="22.5" customHeight="1" s="236">
      <c r="A91" s="243" t="n">
        <v>90</v>
      </c>
      <c r="B91" s="244" t="inlineStr">
        <is>
          <t>Преобразователь давления</t>
        </is>
      </c>
      <c r="C91" s="243" t="inlineStr">
        <is>
          <t>ПД100-ДИ 1,0-111-1,0</t>
        </is>
      </c>
      <c r="D91" s="243" t="inlineStr">
        <is>
          <t>4219190446016681</t>
        </is>
      </c>
      <c r="E91" s="243" t="inlineStr">
        <is>
          <t>2018</t>
        </is>
      </c>
      <c r="F91" s="245" t="inlineStr">
        <is>
          <t>0…1 МПа</t>
        </is>
      </c>
      <c r="G91" s="243" t="inlineStr"/>
      <c r="H91" s="243" t="inlineStr">
        <is>
          <t>Давление газа на входе</t>
        </is>
      </c>
      <c r="I91" s="243" t="inlineStr">
        <is>
          <t>АВГМ 73</t>
        </is>
      </c>
      <c r="J91" s="243" t="inlineStr">
        <is>
          <t>АСУ,А и ТМ (КЦ № 7)</t>
        </is>
      </c>
      <c r="K91" s="243" t="inlineStr"/>
      <c r="L91" s="243" t="inlineStr"/>
      <c r="M91" s="246" t="inlineStr"/>
      <c r="N91" s="243" t="inlineStr"/>
      <c r="O91" s="365" t="n"/>
    </row>
    <row r="92" ht="22.5" customHeight="1" s="236">
      <c r="A92" s="243" t="n">
        <v>91</v>
      </c>
      <c r="B92" s="244" t="inlineStr">
        <is>
          <t>Термометр сопротивления</t>
        </is>
      </c>
      <c r="C92" s="243" t="inlineStr">
        <is>
          <t>ДТС145-PT100.В3.120</t>
        </is>
      </c>
      <c r="D92" s="243" t="inlineStr">
        <is>
          <t>09190190444135125</t>
        </is>
      </c>
      <c r="E92" s="243" t="inlineStr">
        <is>
          <t>2019</t>
        </is>
      </c>
      <c r="F92" s="245" t="inlineStr">
        <is>
          <t>-50…500 °С</t>
        </is>
      </c>
      <c r="G92" s="243" t="inlineStr"/>
      <c r="H92" s="243" t="inlineStr">
        <is>
          <t>Температура газа на входе</t>
        </is>
      </c>
      <c r="I92" s="243" t="inlineStr">
        <is>
          <t>АВГМ 73</t>
        </is>
      </c>
      <c r="J92" s="243" t="inlineStr">
        <is>
          <t>АСУ,А и ТМ (КЦ № 7)</t>
        </is>
      </c>
      <c r="K92" s="243" t="inlineStr"/>
      <c r="L92" s="243" t="inlineStr"/>
      <c r="M92" s="246" t="inlineStr"/>
      <c r="N92" s="243" t="inlineStr"/>
      <c r="O92" s="365" t="n"/>
    </row>
    <row r="93" ht="22.5" customHeight="1" s="236">
      <c r="A93" s="243" t="n">
        <v>92</v>
      </c>
      <c r="B93" s="244" t="inlineStr">
        <is>
          <t>Термометр сопротивления</t>
        </is>
      </c>
      <c r="C93" s="243" t="inlineStr">
        <is>
          <t>ДТС145-PT100.В3.120</t>
        </is>
      </c>
      <c r="D93" s="243" t="inlineStr">
        <is>
          <t>11068190444135096</t>
        </is>
      </c>
      <c r="E93" s="243" t="inlineStr">
        <is>
          <t>2019</t>
        </is>
      </c>
      <c r="F93" s="245" t="inlineStr">
        <is>
          <t>-60…500 °С</t>
        </is>
      </c>
      <c r="G93" s="243" t="inlineStr"/>
      <c r="H93" s="243" t="inlineStr">
        <is>
          <t>Температура в секции обслуживания</t>
        </is>
      </c>
      <c r="I93" s="243" t="inlineStr">
        <is>
          <t>АВГМ 73</t>
        </is>
      </c>
      <c r="J93" s="243" t="inlineStr">
        <is>
          <t>АСУ,А и ТМ (КЦ № 7)</t>
        </is>
      </c>
      <c r="K93" s="243" t="inlineStr"/>
      <c r="L93" s="243" t="inlineStr"/>
      <c r="M93" s="246" t="inlineStr"/>
      <c r="N93" s="243" t="inlineStr"/>
      <c r="O93" s="365" t="n"/>
    </row>
    <row r="94" ht="22.5" customHeight="1" s="236">
      <c r="A94" s="243" t="n">
        <v>93</v>
      </c>
      <c r="B94" s="244" t="inlineStr">
        <is>
          <t>Датчик давления микропроцессорный</t>
        </is>
      </c>
      <c r="C94" s="243" t="inlineStr">
        <is>
          <t>ДДМ-03-ДИ-МИ</t>
        </is>
      </c>
      <c r="D94" s="243" t="inlineStr">
        <is>
          <t>805001</t>
        </is>
      </c>
      <c r="E94" s="243" t="inlineStr"/>
      <c r="F94" s="245" t="inlineStr">
        <is>
          <t>0…40 кПа</t>
        </is>
      </c>
      <c r="G94" s="243" t="inlineStr"/>
      <c r="H94" s="243" t="inlineStr">
        <is>
          <t>Давление газа перед газовой горелкой №1</t>
        </is>
      </c>
      <c r="I94" s="243" t="inlineStr">
        <is>
          <t>АВГМ 73</t>
        </is>
      </c>
      <c r="J94" s="243" t="inlineStr">
        <is>
          <t>АСУ,А и ТМ (КЦ № 7)</t>
        </is>
      </c>
      <c r="K94" s="243" t="inlineStr"/>
      <c r="L94" s="243" t="inlineStr"/>
      <c r="M94" s="246" t="inlineStr"/>
      <c r="N94" s="243" t="inlineStr"/>
      <c r="O94" s="365" t="n"/>
    </row>
    <row r="95" ht="22.5" customHeight="1" s="236">
      <c r="A95" s="243" t="n">
        <v>94</v>
      </c>
      <c r="B95" s="244" t="inlineStr">
        <is>
          <t>Термометр сопротивления</t>
        </is>
      </c>
      <c r="C95" s="243" t="inlineStr">
        <is>
          <t>ТСПУ-Л-22322 УХЛ3,1</t>
        </is>
      </c>
      <c r="D95" s="243" t="inlineStr">
        <is>
          <t>008</t>
        </is>
      </c>
      <c r="E95" s="243" t="inlineStr">
        <is>
          <t>2019</t>
        </is>
      </c>
      <c r="F95" s="245" t="inlineStr">
        <is>
          <t>-50…350 °С</t>
        </is>
      </c>
      <c r="G95" s="243" t="inlineStr"/>
      <c r="H95" s="243" t="inlineStr">
        <is>
          <t>Температура теплообменника №2</t>
        </is>
      </c>
      <c r="I95" s="243" t="inlineStr">
        <is>
          <t>АВГМ 73</t>
        </is>
      </c>
      <c r="J95" s="243" t="inlineStr">
        <is>
          <t>АСУ,А и ТМ (КЦ № 7)</t>
        </is>
      </c>
      <c r="K95" s="243" t="inlineStr"/>
      <c r="L95" s="243" t="inlineStr"/>
      <c r="M95" s="246" t="inlineStr"/>
      <c r="N95" s="243" t="inlineStr"/>
      <c r="O95" s="365" t="n"/>
    </row>
    <row r="96" ht="22.5" customHeight="1" s="236">
      <c r="A96" s="239">
        <f>IF(B96&lt;&gt;"", COUNTA($B$2:B96), "")</f>
        <v/>
      </c>
      <c r="B96" s="241" t="inlineStr">
        <is>
          <t>Реле давления</t>
        </is>
      </c>
      <c r="C96" s="251" t="inlineStr">
        <is>
          <t>GW 150 A6</t>
        </is>
      </c>
      <c r="D96" s="252" t="inlineStr">
        <is>
          <t>CE-0085AO3220-15T70</t>
        </is>
      </c>
      <c r="E96" s="239" t="n"/>
      <c r="F96" s="242" t="inlineStr">
        <is>
          <t>0…500 мбар</t>
        </is>
      </c>
      <c r="G96" s="251" t="n"/>
      <c r="H96" s="251" t="inlineStr">
        <is>
          <t>Давление газа между предохранительно-запорными клапанами Y1 и Y2 горелки №2</t>
        </is>
      </c>
      <c r="I96" s="239" t="inlineStr">
        <is>
          <t>АВГМ 73</t>
        </is>
      </c>
      <c r="J96" s="239" t="inlineStr">
        <is>
          <t>АСУ,А и ТМ (КЦ № 7)</t>
        </is>
      </c>
      <c r="K96" s="239" t="n"/>
      <c r="L96" s="239" t="n"/>
      <c r="M96" s="240" t="n"/>
      <c r="N96" s="239" t="n"/>
      <c r="O96" s="365" t="inlineStr">
        <is>
          <t>Не является СИ</t>
        </is>
      </c>
    </row>
    <row r="97" ht="22.5" customHeight="1" s="236">
      <c r="A97" s="239">
        <f>IF(B97&lt;&gt;"", COUNTA($B$2:B97), "")</f>
        <v/>
      </c>
      <c r="B97" s="241" t="inlineStr">
        <is>
          <t>Реле давления</t>
        </is>
      </c>
      <c r="C97" s="251" t="inlineStr">
        <is>
          <t>РД-016</t>
        </is>
      </c>
      <c r="D97" s="252" t="n"/>
      <c r="E97" s="239" t="n"/>
      <c r="F97" s="242" t="inlineStr">
        <is>
          <t>0…40 кПа</t>
        </is>
      </c>
      <c r="G97" s="251" t="n"/>
      <c r="H97" s="251" t="inlineStr">
        <is>
          <t>Давление газа перед предохранительно-запорным клапаном горелки №1</t>
        </is>
      </c>
      <c r="I97" s="239" t="inlineStr">
        <is>
          <t>АВГМ 73</t>
        </is>
      </c>
      <c r="J97" s="239" t="inlineStr">
        <is>
          <t>АСУ,А и ТМ (КЦ № 7)</t>
        </is>
      </c>
      <c r="K97" s="239" t="n"/>
      <c r="L97" s="239" t="n"/>
      <c r="M97" s="240" t="n"/>
      <c r="N97" s="239" t="n"/>
      <c r="O97" s="365" t="inlineStr">
        <is>
          <t>Не является СИ</t>
        </is>
      </c>
    </row>
    <row r="98" ht="22.5" customHeight="1" s="236">
      <c r="A98" s="243" t="n">
        <v>97</v>
      </c>
      <c r="B98" s="244" t="inlineStr">
        <is>
          <t>Реле давления</t>
        </is>
      </c>
      <c r="C98" s="248" t="inlineStr">
        <is>
          <t>РД-016</t>
        </is>
      </c>
      <c r="D98" s="254" t="inlineStr">
        <is>
          <t>808149</t>
        </is>
      </c>
      <c r="E98" s="243" t="inlineStr"/>
      <c r="F98" s="245" t="inlineStr">
        <is>
          <t>0…40 кПа</t>
        </is>
      </c>
      <c r="G98" s="248" t="inlineStr"/>
      <c r="H98" s="248" t="inlineStr">
        <is>
          <t>давление газа после газовой заслонки R2</t>
        </is>
      </c>
      <c r="I98" s="243" t="inlineStr">
        <is>
          <t>АВГМ 73</t>
        </is>
      </c>
      <c r="J98" s="243" t="inlineStr">
        <is>
          <t>АСУ,А и ТМ (КЦ № 7)</t>
        </is>
      </c>
      <c r="K98" s="243" t="inlineStr"/>
      <c r="L98" s="243" t="inlineStr"/>
      <c r="M98" s="246" t="inlineStr"/>
      <c r="N98" s="243" t="inlineStr"/>
      <c r="O98" s="365" t="inlineStr">
        <is>
          <t>Не является СИ</t>
        </is>
      </c>
    </row>
    <row r="99" ht="22.5" customHeight="1" s="236">
      <c r="A99" s="243" t="n">
        <v>98</v>
      </c>
      <c r="B99" s="244" t="inlineStr">
        <is>
          <t>Реле давления</t>
        </is>
      </c>
      <c r="C99" s="248" t="inlineStr">
        <is>
          <t>GW 150 A6</t>
        </is>
      </c>
      <c r="D99" s="254" t="inlineStr">
        <is>
          <t>CE-0085AO3220-15T70</t>
        </is>
      </c>
      <c r="E99" s="243" t="inlineStr"/>
      <c r="F99" s="245" t="inlineStr">
        <is>
          <t>0…500 мбар</t>
        </is>
      </c>
      <c r="G99" s="248" t="inlineStr"/>
      <c r="H99" s="248" t="inlineStr">
        <is>
          <t>Давление газа между предохранительно-запорными клапанами Y1 и Y2 горелки №1</t>
        </is>
      </c>
      <c r="I99" s="243" t="inlineStr">
        <is>
          <t>АВГМ 73</t>
        </is>
      </c>
      <c r="J99" s="243" t="inlineStr">
        <is>
          <t>АСУ,А и ТМ (КЦ № 7)</t>
        </is>
      </c>
      <c r="K99" s="243" t="inlineStr"/>
      <c r="L99" s="243" t="inlineStr"/>
      <c r="M99" s="246" t="inlineStr"/>
      <c r="N99" s="243" t="inlineStr"/>
      <c r="O99" s="365" t="inlineStr">
        <is>
          <t>Не является СИ</t>
        </is>
      </c>
    </row>
    <row r="100" ht="22.5" customHeight="1" s="236">
      <c r="A100" s="243" t="n">
        <v>99</v>
      </c>
      <c r="B100" s="244" t="inlineStr">
        <is>
          <t>Реле давления</t>
        </is>
      </c>
      <c r="C100" s="248" t="inlineStr">
        <is>
          <t>РД-016</t>
        </is>
      </c>
      <c r="D100" s="254" t="inlineStr">
        <is>
          <t>808146</t>
        </is>
      </c>
      <c r="E100" s="243" t="inlineStr"/>
      <c r="F100" s="245" t="inlineStr">
        <is>
          <t>0…40 кПа</t>
        </is>
      </c>
      <c r="G100" s="248" t="inlineStr"/>
      <c r="H100" s="248" t="inlineStr">
        <is>
          <t>Давление газа перед предохранительно-запорным клапаном горелки №2</t>
        </is>
      </c>
      <c r="I100" s="243" t="inlineStr">
        <is>
          <t>АВГМ 73</t>
        </is>
      </c>
      <c r="J100" s="243" t="inlineStr">
        <is>
          <t>АСУ,А и ТМ (КЦ № 7)</t>
        </is>
      </c>
      <c r="K100" s="243" t="inlineStr"/>
      <c r="L100" s="243" t="inlineStr"/>
      <c r="M100" s="246" t="inlineStr"/>
      <c r="N100" s="243" t="inlineStr"/>
      <c r="O100" s="365" t="inlineStr">
        <is>
          <t>Не является СИ</t>
        </is>
      </c>
    </row>
    <row r="101" ht="22.5" customHeight="1" s="236">
      <c r="A101" s="243" t="n">
        <v>100</v>
      </c>
      <c r="B101" s="249" t="inlineStr">
        <is>
          <t>Преобразователь избыточного давления</t>
        </is>
      </c>
      <c r="C101" s="248" t="inlineStr">
        <is>
          <t>Метран 150 TG</t>
        </is>
      </c>
      <c r="D101" s="254" t="inlineStr">
        <is>
          <t>6178287</t>
        </is>
      </c>
      <c r="E101" s="243" t="inlineStr">
        <is>
          <t>2021</t>
        </is>
      </c>
      <c r="F101" s="245" t="inlineStr">
        <is>
          <t>0…1 МПа</t>
        </is>
      </c>
      <c r="G101" s="248" t="inlineStr">
        <is>
          <t>0.1</t>
        </is>
      </c>
      <c r="H101" s="248" t="inlineStr">
        <is>
          <t>Pм на выходе из двигателя</t>
        </is>
      </c>
      <c r="I101" s="243" t="inlineStr">
        <is>
          <t>Масленая консоль</t>
        </is>
      </c>
      <c r="J101" s="243" t="inlineStr">
        <is>
          <t>АСУ,А и ТМ (КЦ № 7)</t>
        </is>
      </c>
      <c r="K101" s="243" t="inlineStr"/>
      <c r="L101" s="243" t="inlineStr"/>
      <c r="M101" s="246" t="inlineStr"/>
      <c r="N101" s="243" t="inlineStr"/>
      <c r="O101" s="368" t="n"/>
    </row>
    <row r="102" ht="22.5" customHeight="1" s="236">
      <c r="A102" s="243" t="n">
        <v>101</v>
      </c>
      <c r="B102" s="249" t="inlineStr">
        <is>
          <t>Преобразователь избыточного давления</t>
        </is>
      </c>
      <c r="C102" s="248" t="inlineStr">
        <is>
          <t>Метран 150 TG</t>
        </is>
      </c>
      <c r="D102" s="254" t="inlineStr">
        <is>
          <t>6178276</t>
        </is>
      </c>
      <c r="E102" s="243" t="inlineStr">
        <is>
          <t>2021</t>
        </is>
      </c>
      <c r="F102" s="245" t="inlineStr">
        <is>
          <t>0…1 МПа</t>
        </is>
      </c>
      <c r="G102" s="248" t="inlineStr">
        <is>
          <t>0.1</t>
        </is>
      </c>
      <c r="H102" s="248" t="inlineStr">
        <is>
          <t>Pм в линий откачки от СТ</t>
        </is>
      </c>
      <c r="I102" s="243" t="inlineStr">
        <is>
          <t>Масленая консоль</t>
        </is>
      </c>
      <c r="J102" s="243" t="inlineStr">
        <is>
          <t>АСУ,А и ТМ (КЦ № 7)</t>
        </is>
      </c>
      <c r="K102" s="243" t="inlineStr"/>
      <c r="L102" s="243" t="inlineStr"/>
      <c r="M102" s="246" t="inlineStr"/>
      <c r="N102" s="243" t="inlineStr"/>
      <c r="O102" s="368" t="n"/>
    </row>
    <row r="103" ht="22.5" customHeight="1" s="236">
      <c r="A103" s="243" t="n">
        <v>102</v>
      </c>
      <c r="B103" s="249" t="inlineStr">
        <is>
          <t>Преобразователь избыточного давления</t>
        </is>
      </c>
      <c r="C103" s="248" t="inlineStr">
        <is>
          <t>Метран 150 CD</t>
        </is>
      </c>
      <c r="D103" s="254" t="inlineStr">
        <is>
          <t>6178328</t>
        </is>
      </c>
      <c r="E103" s="243" t="inlineStr"/>
      <c r="F103" s="245" t="inlineStr">
        <is>
          <t>0…250 кПа</t>
        </is>
      </c>
      <c r="G103" s="248" t="inlineStr">
        <is>
          <t>0.1</t>
        </is>
      </c>
      <c r="H103" s="248" t="inlineStr">
        <is>
          <t>∆Рм на фтльтрах БМФ1</t>
        </is>
      </c>
      <c r="I103" s="243" t="inlineStr">
        <is>
          <t>Масленая консоль</t>
        </is>
      </c>
      <c r="J103" s="243" t="inlineStr">
        <is>
          <t>АСУ,А и ТМ (КЦ № 7)</t>
        </is>
      </c>
      <c r="K103" s="243" t="inlineStr"/>
      <c r="L103" s="243" t="inlineStr"/>
      <c r="M103" s="246" t="inlineStr"/>
      <c r="N103" s="243" t="inlineStr"/>
      <c r="O103" s="365" t="n"/>
    </row>
    <row r="104" ht="22.5" customHeight="1" s="236">
      <c r="A104" s="243" t="n">
        <v>103</v>
      </c>
      <c r="B104" s="249" t="inlineStr">
        <is>
          <t>Преобразователь избыточного давления</t>
        </is>
      </c>
      <c r="C104" s="248" t="inlineStr">
        <is>
          <t>Метран 150 CD</t>
        </is>
      </c>
      <c r="D104" s="254" t="inlineStr">
        <is>
          <t>6178320</t>
        </is>
      </c>
      <c r="E104" s="243" t="inlineStr"/>
      <c r="F104" s="245" t="inlineStr">
        <is>
          <t>0…250 кПа</t>
        </is>
      </c>
      <c r="G104" s="248" t="inlineStr">
        <is>
          <t>0.1</t>
        </is>
      </c>
      <c r="H104" s="248" t="inlineStr">
        <is>
          <t>∆Рм на фтльтрах БМФ2</t>
        </is>
      </c>
      <c r="I104" s="243" t="inlineStr">
        <is>
          <t>Масленая консоль</t>
        </is>
      </c>
      <c r="J104" s="243" t="inlineStr">
        <is>
          <t>АСУ,А и ТМ (КЦ № 7)</t>
        </is>
      </c>
      <c r="K104" s="243" t="inlineStr"/>
      <c r="L104" s="243" t="inlineStr"/>
      <c r="M104" s="246" t="inlineStr"/>
      <c r="N104" s="243" t="inlineStr"/>
      <c r="O104" s="365" t="n"/>
    </row>
    <row r="105" ht="22.5" customHeight="1" s="236">
      <c r="A105" s="243" t="n">
        <v>104</v>
      </c>
      <c r="B105" s="249" t="inlineStr">
        <is>
          <t>Преобразователь избыточного давления</t>
        </is>
      </c>
      <c r="C105" s="248" t="inlineStr">
        <is>
          <t>Метран 150 CD</t>
        </is>
      </c>
      <c r="D105" s="254" t="inlineStr">
        <is>
          <t>6178326</t>
        </is>
      </c>
      <c r="E105" s="243" t="inlineStr"/>
      <c r="F105" s="245" t="inlineStr">
        <is>
          <t>0…250 кПа</t>
        </is>
      </c>
      <c r="G105" s="248" t="inlineStr">
        <is>
          <t>0.1</t>
        </is>
      </c>
      <c r="H105" s="248" t="inlineStr">
        <is>
          <t>∆Рм на фтльтрах ГМТ</t>
        </is>
      </c>
      <c r="I105" s="243" t="inlineStr">
        <is>
          <t>Масленая консоль</t>
        </is>
      </c>
      <c r="J105" s="243" t="inlineStr">
        <is>
          <t>АСУ,А и ТМ (КЦ № 7)</t>
        </is>
      </c>
      <c r="K105" s="243" t="inlineStr"/>
      <c r="L105" s="243" t="inlineStr"/>
      <c r="M105" s="246" t="inlineStr"/>
      <c r="N105" s="243" t="inlineStr"/>
      <c r="O105" s="365" t="n"/>
    </row>
    <row r="106" ht="22.5" customHeight="1" s="236">
      <c r="A106" s="239">
        <f>IF(B106&lt;&gt;"", COUNTA($B$2:B106), "")</f>
        <v/>
      </c>
      <c r="B106" s="342" t="inlineStr">
        <is>
          <t>Преобразователь избыточного давления</t>
        </is>
      </c>
      <c r="C106" s="251" t="inlineStr">
        <is>
          <t>Метран 150 CG</t>
        </is>
      </c>
      <c r="D106" s="251" t="n">
        <v>6071977</v>
      </c>
      <c r="E106" s="252" t="n"/>
      <c r="F106" s="242" t="inlineStr">
        <is>
          <t>0…63 кПа</t>
        </is>
      </c>
      <c r="G106" s="251" t="inlineStr">
        <is>
          <t>0.1</t>
        </is>
      </c>
      <c r="H106" s="251" t="inlineStr">
        <is>
          <t>Р воздушно-масляной смеси в маслобаке двигателя</t>
        </is>
      </c>
      <c r="I106" s="251" t="inlineStr">
        <is>
          <t>Масленая  консоль</t>
        </is>
      </c>
      <c r="J106" s="251" t="inlineStr">
        <is>
          <t>АСУ,А и ТМ (КЦ № 7)</t>
        </is>
      </c>
      <c r="K106" s="368" t="n"/>
      <c r="L106" s="369" t="n"/>
      <c r="M106" s="369" t="n"/>
      <c r="N106" s="369" t="n"/>
      <c r="O106" s="365" t="n"/>
    </row>
    <row r="107" ht="22.5" customHeight="1" s="236">
      <c r="A107" s="243" t="n">
        <v>106</v>
      </c>
      <c r="B107" s="346" t="inlineStr">
        <is>
          <t>Преобразователь избыточного давления</t>
        </is>
      </c>
      <c r="C107" s="248" t="inlineStr">
        <is>
          <t>Метран 150 CD</t>
        </is>
      </c>
      <c r="D107" s="248" t="inlineStr">
        <is>
          <t>6095171</t>
        </is>
      </c>
      <c r="E107" s="254" t="inlineStr">
        <is>
          <t>Dec.18</t>
        </is>
      </c>
      <c r="F107" s="245" t="inlineStr">
        <is>
          <t>0…6,3 кПа</t>
        </is>
      </c>
      <c r="G107" s="248" t="inlineStr">
        <is>
          <t>0.1</t>
        </is>
      </c>
      <c r="H107" s="248" t="inlineStr">
        <is>
          <t>Избыточное давление воздуха в блоке силовом</t>
        </is>
      </c>
      <c r="I107" s="248" t="inlineStr">
        <is>
          <t>Укрытие</t>
        </is>
      </c>
      <c r="J107" s="248" t="inlineStr">
        <is>
          <t>АСУ,А и ТМ (КЦ № 7)</t>
        </is>
      </c>
      <c r="K107" s="370" t="inlineStr"/>
      <c r="L107" s="371" t="inlineStr"/>
      <c r="M107" s="371" t="inlineStr"/>
      <c r="N107" s="371" t="inlineStr"/>
      <c r="O107" s="365" t="n"/>
    </row>
    <row r="108" ht="22.5" customHeight="1" s="236">
      <c r="A108" s="243" t="n">
        <v>107</v>
      </c>
      <c r="B108" s="346" t="inlineStr">
        <is>
          <t>Преобразователь избыточного давления</t>
        </is>
      </c>
      <c r="C108" s="248" t="inlineStr">
        <is>
          <t>Метран 150 CG</t>
        </is>
      </c>
      <c r="D108" s="248" t="inlineStr">
        <is>
          <t>6104413</t>
        </is>
      </c>
      <c r="E108" s="254" t="inlineStr"/>
      <c r="F108" s="245" t="inlineStr">
        <is>
          <t>0…6,3 кПа</t>
        </is>
      </c>
      <c r="G108" s="248" t="inlineStr">
        <is>
          <t>0.1</t>
        </is>
      </c>
      <c r="H108" s="248" t="inlineStr">
        <is>
          <t>Рв охлаждения кожуха муфты</t>
        </is>
      </c>
      <c r="I108" s="248" t="inlineStr">
        <is>
          <t>Укрытие</t>
        </is>
      </c>
      <c r="J108" s="248" t="inlineStr">
        <is>
          <t>АСУ,А и ТМ (КЦ № 7)</t>
        </is>
      </c>
      <c r="K108" s="370" t="inlineStr"/>
      <c r="L108" s="371" t="inlineStr"/>
      <c r="M108" s="371" t="inlineStr"/>
      <c r="N108" s="371" t="inlineStr"/>
      <c r="O108" s="365" t="n"/>
    </row>
    <row r="109" ht="22.5" customHeight="1" s="236">
      <c r="A109" s="243" t="n">
        <v>108</v>
      </c>
      <c r="B109" s="346" t="inlineStr">
        <is>
          <t>Преобразователь избыточного давления</t>
        </is>
      </c>
      <c r="C109" s="248" t="inlineStr">
        <is>
          <t>Метран 150 TG</t>
        </is>
      </c>
      <c r="D109" s="248" t="inlineStr">
        <is>
          <t>6072975</t>
        </is>
      </c>
      <c r="E109" s="254" t="inlineStr"/>
      <c r="F109" s="245" t="inlineStr">
        <is>
          <t>0…25 МПа</t>
        </is>
      </c>
      <c r="G109" s="248" t="inlineStr">
        <is>
          <t>0.1</t>
        </is>
      </c>
      <c r="H109" s="248" t="inlineStr">
        <is>
          <t>Ртг на входе ГПА</t>
        </is>
      </c>
      <c r="I109" s="248" t="inlineStr">
        <is>
          <t>Укрытие</t>
        </is>
      </c>
      <c r="J109" s="248" t="inlineStr">
        <is>
          <t>АСУ,А и ТМ (КЦ № 7)</t>
        </is>
      </c>
      <c r="K109" s="370" t="inlineStr"/>
      <c r="L109" s="371" t="inlineStr"/>
      <c r="M109" s="371" t="inlineStr"/>
      <c r="N109" s="371" t="inlineStr"/>
      <c r="O109" s="368" t="n"/>
    </row>
    <row r="110" ht="22.5" customHeight="1" s="236">
      <c r="A110" s="243" t="n">
        <v>109</v>
      </c>
      <c r="B110" s="346" t="inlineStr">
        <is>
          <t>Преобразователь избыточного давления</t>
        </is>
      </c>
      <c r="C110" s="248" t="inlineStr">
        <is>
          <t>Метран 150 TG</t>
        </is>
      </c>
      <c r="D110" s="248" t="inlineStr">
        <is>
          <t>6072988</t>
        </is>
      </c>
      <c r="E110" s="254" t="inlineStr">
        <is>
          <t>May.18</t>
        </is>
      </c>
      <c r="F110" s="245" t="inlineStr">
        <is>
          <t>0…6 МПа</t>
        </is>
      </c>
      <c r="G110" s="248" t="inlineStr">
        <is>
          <t>0.1</t>
        </is>
      </c>
      <c r="H110" s="248" t="inlineStr">
        <is>
          <t>Ртг на выходе из блока фильтров</t>
        </is>
      </c>
      <c r="I110" s="248" t="inlineStr">
        <is>
          <t>Укрытие</t>
        </is>
      </c>
      <c r="J110" s="248" t="inlineStr">
        <is>
          <t>АСУ,А и ТМ (КЦ № 7)</t>
        </is>
      </c>
      <c r="K110" s="370" t="inlineStr"/>
      <c r="L110" s="371" t="inlineStr"/>
      <c r="M110" s="371" t="inlineStr"/>
      <c r="N110" s="371" t="inlineStr"/>
      <c r="O110" s="365" t="n"/>
    </row>
    <row r="111" ht="22.5" customHeight="1" s="236">
      <c r="A111" s="243" t="n">
        <v>110</v>
      </c>
      <c r="B111" s="346" t="inlineStr">
        <is>
          <t>Преобразователь избыточного давления</t>
        </is>
      </c>
      <c r="C111" s="248" t="inlineStr">
        <is>
          <t>Метран 150 TG</t>
        </is>
      </c>
      <c r="D111" s="248" t="inlineStr">
        <is>
          <t>6072987</t>
        </is>
      </c>
      <c r="E111" s="254" t="inlineStr"/>
      <c r="F111" s="245" t="inlineStr">
        <is>
          <t>0…6 МПа</t>
        </is>
      </c>
      <c r="G111" s="248" t="inlineStr">
        <is>
          <t>0.1</t>
        </is>
      </c>
      <c r="H111" s="248" t="inlineStr">
        <is>
          <t>Ртг на входе турбоблок</t>
        </is>
      </c>
      <c r="I111" s="248" t="inlineStr"/>
      <c r="J111" s="248" t="inlineStr">
        <is>
          <t>АСУ,А и ТМ (КЦ № 7)</t>
        </is>
      </c>
      <c r="K111" s="370" t="inlineStr"/>
      <c r="L111" s="371" t="inlineStr"/>
      <c r="M111" s="371" t="inlineStr"/>
      <c r="N111" s="371" t="inlineStr"/>
      <c r="O111" s="365" t="n"/>
    </row>
    <row r="112" ht="22.5" customHeight="1" s="236">
      <c r="A112" s="243" t="n">
        <v>111</v>
      </c>
      <c r="B112" s="346" t="inlineStr">
        <is>
          <t>Преобразователь избыточного давления</t>
        </is>
      </c>
      <c r="C112" s="248" t="inlineStr">
        <is>
          <t>Метран 150 TG</t>
        </is>
      </c>
      <c r="D112" s="248" t="inlineStr">
        <is>
          <t>6071977</t>
        </is>
      </c>
      <c r="E112" s="254" t="inlineStr">
        <is>
          <t>2018</t>
        </is>
      </c>
      <c r="F112" s="245" t="inlineStr">
        <is>
          <t>0…160 кПа</t>
        </is>
      </c>
      <c r="G112" s="248" t="inlineStr">
        <is>
          <t>0.1</t>
        </is>
      </c>
      <c r="H112" s="248" t="inlineStr">
        <is>
          <t>Ртг в буферной полоскости ГМТ</t>
        </is>
      </c>
      <c r="I112" s="248" t="inlineStr"/>
      <c r="J112" s="248" t="inlineStr">
        <is>
          <t>АСУ,А и ТМ (КЦ № 7)</t>
        </is>
      </c>
      <c r="K112" s="370" t="inlineStr"/>
      <c r="L112" s="371" t="inlineStr"/>
      <c r="M112" s="371" t="inlineStr"/>
      <c r="N112" s="371" t="inlineStr"/>
      <c r="O112" s="368" t="n"/>
    </row>
    <row r="113" ht="22.5" customHeight="1" s="236">
      <c r="A113" s="243" t="n">
        <v>112</v>
      </c>
      <c r="B113" s="346" t="inlineStr">
        <is>
          <t>Преобразователь избыточного давления</t>
        </is>
      </c>
      <c r="C113" s="248" t="inlineStr">
        <is>
          <t>Метран 150 CD</t>
        </is>
      </c>
      <c r="D113" s="248" t="inlineStr">
        <is>
          <t>6090822</t>
        </is>
      </c>
      <c r="E113" s="254" t="inlineStr"/>
      <c r="F113" s="245" t="inlineStr">
        <is>
          <t>0…250 кПа</t>
        </is>
      </c>
      <c r="G113" s="248" t="inlineStr">
        <is>
          <t>0.1</t>
        </is>
      </c>
      <c r="H113" s="248" t="inlineStr">
        <is>
          <t>∆Рм на фильтрах</t>
        </is>
      </c>
      <c r="I113" s="248" t="inlineStr"/>
      <c r="J113" s="248" t="inlineStr">
        <is>
          <t>АСУ,А и ТМ (КЦ № 7)</t>
        </is>
      </c>
      <c r="K113" s="370" t="inlineStr"/>
      <c r="L113" s="371" t="inlineStr"/>
      <c r="M113" s="371" t="inlineStr"/>
      <c r="N113" s="371" t="inlineStr"/>
      <c r="O113" s="365" t="n"/>
    </row>
    <row r="114" ht="22.5" customHeight="1" s="236">
      <c r="A114" s="243" t="n">
        <v>113</v>
      </c>
      <c r="B114" s="346" t="inlineStr">
        <is>
          <t>Преобразователь избыточного давления</t>
        </is>
      </c>
      <c r="C114" s="248" t="inlineStr">
        <is>
          <t>Метран 150 CD</t>
        </is>
      </c>
      <c r="D114" s="248" t="inlineStr">
        <is>
          <t>6067670</t>
        </is>
      </c>
      <c r="E114" s="254" t="inlineStr">
        <is>
          <t>2018</t>
        </is>
      </c>
      <c r="F114" s="245" t="inlineStr">
        <is>
          <t>0…6,3 кПа</t>
        </is>
      </c>
      <c r="G114" s="248" t="inlineStr">
        <is>
          <t>0.1</t>
        </is>
      </c>
      <c r="H114" s="248" t="inlineStr">
        <is>
          <t>Разрежение воздуха на фильтрах ВОУ</t>
        </is>
      </c>
      <c r="I114" s="248" t="inlineStr"/>
      <c r="J114" s="248" t="inlineStr">
        <is>
          <t>АСУ,А и ТМ (КЦ № 7)</t>
        </is>
      </c>
      <c r="K114" s="370" t="inlineStr"/>
      <c r="L114" s="371" t="inlineStr"/>
      <c r="M114" s="371" t="inlineStr"/>
      <c r="N114" s="371" t="inlineStr"/>
      <c r="O114" s="368" t="n"/>
    </row>
    <row r="115" ht="22.5" customHeight="1" s="236">
      <c r="A115" s="243" t="n">
        <v>114</v>
      </c>
      <c r="B115" s="346" t="inlineStr">
        <is>
          <t>Преобразователь избыточного давления</t>
        </is>
      </c>
      <c r="C115" s="248" t="inlineStr">
        <is>
          <t>Метран 150 CD</t>
        </is>
      </c>
      <c r="D115" s="248" t="inlineStr">
        <is>
          <t>6067873</t>
        </is>
      </c>
      <c r="E115" s="254" t="inlineStr"/>
      <c r="F115" s="245" t="inlineStr">
        <is>
          <t>0…6,3 кПа</t>
        </is>
      </c>
      <c r="G115" s="248" t="inlineStr">
        <is>
          <t>0.1</t>
        </is>
      </c>
      <c r="H115" s="248" t="inlineStr">
        <is>
          <t>Разрежение воздуха в камере всасывания</t>
        </is>
      </c>
      <c r="I115" s="248" t="inlineStr"/>
      <c r="J115" s="248" t="inlineStr">
        <is>
          <t>АСУ,А и ТМ (КЦ № 7)</t>
        </is>
      </c>
      <c r="K115" s="370" t="inlineStr"/>
      <c r="L115" s="371" t="inlineStr"/>
      <c r="M115" s="371" t="inlineStr"/>
      <c r="N115" s="371" t="inlineStr"/>
      <c r="O115" s="365" t="n"/>
    </row>
    <row r="116" ht="22.5" customHeight="1" s="236">
      <c r="A116" s="243" t="n">
        <v>115</v>
      </c>
      <c r="B116" s="346" t="inlineStr">
        <is>
          <t>Преобразователь избыточного давления</t>
        </is>
      </c>
      <c r="C116" s="248" t="inlineStr">
        <is>
          <t>Метран 150 CD</t>
        </is>
      </c>
      <c r="D116" s="248" t="inlineStr">
        <is>
          <t>6129353</t>
        </is>
      </c>
      <c r="E116" s="254" t="inlineStr"/>
      <c r="F116" s="245" t="inlineStr">
        <is>
          <t>0…6,3 кПа</t>
        </is>
      </c>
      <c r="G116" s="248" t="inlineStr">
        <is>
          <t>0.1</t>
        </is>
      </c>
      <c r="H116" s="248" t="inlineStr">
        <is>
          <t>∆Р между давлением на выходе из улитки и атмосферой</t>
        </is>
      </c>
      <c r="I116" s="248" t="inlineStr"/>
      <c r="J116" s="248" t="inlineStr">
        <is>
          <t>АСУ,А и ТМ (КЦ № 7)</t>
        </is>
      </c>
      <c r="K116" s="370" t="inlineStr"/>
      <c r="L116" s="371" t="inlineStr"/>
      <c r="M116" s="371" t="inlineStr"/>
      <c r="N116" s="371" t="inlineStr"/>
      <c r="O116" s="365" t="n"/>
    </row>
    <row r="117" ht="22.5" customHeight="1" s="236">
      <c r="A117" s="243" t="n">
        <v>116</v>
      </c>
      <c r="B117" s="346" t="inlineStr">
        <is>
          <t>Преобразователь избыточного давления</t>
        </is>
      </c>
      <c r="C117" s="248" t="inlineStr">
        <is>
          <t>Метран 150 ТА</t>
        </is>
      </c>
      <c r="D117" s="248" t="inlineStr">
        <is>
          <t>6080900</t>
        </is>
      </c>
      <c r="E117" s="254" t="inlineStr">
        <is>
          <t>Jul.18</t>
        </is>
      </c>
      <c r="F117" s="245" t="inlineStr">
        <is>
          <t>0…160 кПа</t>
        </is>
      </c>
      <c r="G117" s="248" t="inlineStr">
        <is>
          <t>0.1</t>
        </is>
      </c>
      <c r="H117" s="248" t="inlineStr">
        <is>
          <t>барометрическое давление</t>
        </is>
      </c>
      <c r="I117" s="248" t="inlineStr">
        <is>
          <t>САУ</t>
        </is>
      </c>
      <c r="J117" s="248" t="inlineStr">
        <is>
          <t>АСУ,А и ТМ (КЦ № 7)</t>
        </is>
      </c>
      <c r="K117" s="370" t="inlineStr"/>
      <c r="L117" s="371" t="inlineStr"/>
      <c r="M117" s="371" t="inlineStr"/>
      <c r="N117" s="371" t="inlineStr"/>
      <c r="O117" s="365" t="n"/>
    </row>
    <row r="118" ht="22.5" customHeight="1" s="236">
      <c r="A118" s="243" t="n">
        <v>117</v>
      </c>
      <c r="B118" s="346" t="inlineStr">
        <is>
          <t>Преобразователь избыточного давления</t>
        </is>
      </c>
      <c r="C118" s="248" t="inlineStr">
        <is>
          <t>Метран 150 TG</t>
        </is>
      </c>
      <c r="D118" s="248" t="inlineStr">
        <is>
          <t>6072995</t>
        </is>
      </c>
      <c r="E118" s="254" t="inlineStr"/>
      <c r="F118" s="245" t="inlineStr">
        <is>
          <t>0…1 МПа</t>
        </is>
      </c>
      <c r="G118" s="248" t="inlineStr">
        <is>
          <t>0.1</t>
        </is>
      </c>
      <c r="H118" s="248" t="inlineStr">
        <is>
          <t>Р защитного воздуха из блока подготовки воздуха</t>
        </is>
      </c>
      <c r="I118" s="248" t="inlineStr">
        <is>
          <t>Укрытие</t>
        </is>
      </c>
      <c r="J118" s="248" t="inlineStr">
        <is>
          <t>АСУ,А и ТМ (КЦ № 7)</t>
        </is>
      </c>
      <c r="K118" s="370" t="inlineStr"/>
      <c r="L118" s="371" t="inlineStr"/>
      <c r="M118" s="371" t="inlineStr"/>
      <c r="N118" s="371" t="inlineStr"/>
      <c r="O118" s="365" t="n"/>
    </row>
    <row r="119" ht="22.5" customHeight="1" s="236">
      <c r="A119" s="243" t="n">
        <v>118</v>
      </c>
      <c r="B119" s="346" t="inlineStr">
        <is>
          <t>Преобразователь избыточного давления</t>
        </is>
      </c>
      <c r="C119" s="248" t="inlineStr">
        <is>
          <t>Метран 150 TG</t>
        </is>
      </c>
      <c r="D119" s="248" t="inlineStr">
        <is>
          <t>6071970</t>
        </is>
      </c>
      <c r="E119" s="254" t="inlineStr"/>
      <c r="F119" s="245" t="inlineStr">
        <is>
          <t>0…160 кПа</t>
        </is>
      </c>
      <c r="G119" s="248" t="inlineStr">
        <is>
          <t>0.1</t>
        </is>
      </c>
      <c r="H119" s="248" t="inlineStr">
        <is>
          <t>Р воздуха на выходе из ГТД</t>
        </is>
      </c>
      <c r="I119" s="248" t="inlineStr">
        <is>
          <t>Укрытие</t>
        </is>
      </c>
      <c r="J119" s="248" t="inlineStr">
        <is>
          <t>АСУ,А и ТМ (КЦ № 7)</t>
        </is>
      </c>
      <c r="K119" s="370" t="inlineStr"/>
      <c r="L119" s="371" t="inlineStr"/>
      <c r="M119" s="371" t="inlineStr"/>
      <c r="N119" s="371" t="inlineStr"/>
      <c r="O119" s="365" t="n"/>
    </row>
    <row r="120" ht="22.5" customHeight="1" s="236">
      <c r="A120" s="243" t="n">
        <v>119</v>
      </c>
      <c r="B120" s="346" t="inlineStr">
        <is>
          <t>Преобразователь избыточного давления</t>
        </is>
      </c>
      <c r="C120" s="248" t="inlineStr">
        <is>
          <t>Метран 150 CD</t>
        </is>
      </c>
      <c r="D120" s="248" t="inlineStr">
        <is>
          <t>6071984</t>
        </is>
      </c>
      <c r="E120" s="254" t="inlineStr"/>
      <c r="F120" s="245" t="inlineStr">
        <is>
          <t>0…25 МПа</t>
        </is>
      </c>
      <c r="G120" s="248" t="inlineStr">
        <is>
          <t>0.1</t>
        </is>
      </c>
      <c r="H120" s="248" t="inlineStr">
        <is>
          <t>∆Р воздуха на фильтре в линии подвода на охлаждение опор ГТД</t>
        </is>
      </c>
      <c r="I120" s="248" t="inlineStr">
        <is>
          <t>Укрытие</t>
        </is>
      </c>
      <c r="J120" s="248" t="inlineStr">
        <is>
          <t>АСУ,А и ТМ (КЦ № 7)</t>
        </is>
      </c>
      <c r="K120" s="370" t="inlineStr"/>
      <c r="L120" s="371" t="inlineStr"/>
      <c r="M120" s="371" t="inlineStr"/>
      <c r="N120" s="371" t="inlineStr"/>
      <c r="O120" s="365" t="n"/>
    </row>
    <row r="121" ht="22.5" customHeight="1" s="236">
      <c r="A121" s="243" t="n">
        <v>120</v>
      </c>
      <c r="B121" s="346" t="inlineStr">
        <is>
          <t>Преобразователь избыточного давления</t>
        </is>
      </c>
      <c r="C121" s="248" t="inlineStr">
        <is>
          <t>Метран 150 TG</t>
        </is>
      </c>
      <c r="D121" s="248" t="inlineStr">
        <is>
          <t>6077544</t>
        </is>
      </c>
      <c r="E121" s="254" t="inlineStr"/>
      <c r="F121" s="245" t="inlineStr">
        <is>
          <t>0…160 кПа</t>
        </is>
      </c>
      <c r="G121" s="248" t="inlineStr">
        <is>
          <t>0.1</t>
        </is>
      </c>
      <c r="H121" s="248" t="inlineStr">
        <is>
          <t>Р воздуха на выходе из оболочки радиального подшипника (ПКВ)</t>
        </is>
      </c>
      <c r="I121" s="248" t="inlineStr">
        <is>
          <t>Укрытие</t>
        </is>
      </c>
      <c r="J121" s="248" t="inlineStr">
        <is>
          <t>АСУ,А и ТМ (КЦ № 7)</t>
        </is>
      </c>
      <c r="K121" s="370" t="inlineStr"/>
      <c r="L121" s="371" t="inlineStr"/>
      <c r="M121" s="371" t="inlineStr"/>
      <c r="N121" s="371" t="inlineStr"/>
      <c r="O121" s="365" t="n"/>
    </row>
    <row r="122" ht="22.5" customHeight="1" s="236">
      <c r="A122" s="243" t="n">
        <v>121</v>
      </c>
      <c r="B122" s="346" t="inlineStr">
        <is>
          <t>Преобразователь избыточного давления</t>
        </is>
      </c>
      <c r="C122" s="248" t="inlineStr">
        <is>
          <t>Метран 150 TG</t>
        </is>
      </c>
      <c r="D122" s="248" t="inlineStr">
        <is>
          <t>6077549</t>
        </is>
      </c>
      <c r="E122" s="254" t="inlineStr"/>
      <c r="F122" s="245" t="inlineStr">
        <is>
          <t>0…160 кПа</t>
        </is>
      </c>
      <c r="G122" s="248" t="inlineStr">
        <is>
          <t>0.1</t>
        </is>
      </c>
      <c r="H122" s="248" t="inlineStr">
        <is>
          <t>Р воздуха на выходе из оболочки радиального подшипника (ЗКВ)</t>
        </is>
      </c>
      <c r="I122" s="248" t="inlineStr">
        <is>
          <t>Укрытие</t>
        </is>
      </c>
      <c r="J122" s="248" t="inlineStr">
        <is>
          <t>АСУ,А и ТМ (КЦ № 7)</t>
        </is>
      </c>
      <c r="K122" s="370" t="inlineStr"/>
      <c r="L122" s="371" t="inlineStr"/>
      <c r="M122" s="371" t="inlineStr"/>
      <c r="N122" s="371" t="inlineStr"/>
      <c r="O122" s="365" t="n"/>
    </row>
    <row r="123" ht="33.75" customHeight="1" s="236">
      <c r="A123" s="243" t="n">
        <v>122</v>
      </c>
      <c r="B123" s="346" t="inlineStr">
        <is>
          <t>Преобразователь избыточного давления</t>
        </is>
      </c>
      <c r="C123" s="248" t="inlineStr">
        <is>
          <t>Метран 150 CD</t>
        </is>
      </c>
      <c r="D123" s="248" t="inlineStr">
        <is>
          <t>6077533</t>
        </is>
      </c>
      <c r="E123" s="254" t="inlineStr"/>
      <c r="F123" s="245" t="inlineStr">
        <is>
          <t>0…250 кПа</t>
        </is>
      </c>
      <c r="G123" s="248" t="inlineStr">
        <is>
          <t>0.1</t>
        </is>
      </c>
      <c r="H123" s="248" t="inlineStr">
        <is>
          <t>∆Р между оболочкой радиального подшипника и второй ступенью ГДУ ( ПКВ)</t>
        </is>
      </c>
      <c r="I123" s="248" t="inlineStr">
        <is>
          <t>Укрытие</t>
        </is>
      </c>
      <c r="J123" s="248" t="inlineStr">
        <is>
          <t>АСУ,А и ТМ (КЦ № 7)</t>
        </is>
      </c>
      <c r="K123" s="370" t="inlineStr"/>
      <c r="L123" s="371" t="inlineStr"/>
      <c r="M123" s="371" t="inlineStr"/>
      <c r="N123" s="371" t="inlineStr"/>
      <c r="O123" s="365" t="n"/>
    </row>
    <row r="124" ht="33.75" customHeight="1" s="236">
      <c r="A124" s="243" t="n">
        <v>123</v>
      </c>
      <c r="B124" s="346" t="inlineStr">
        <is>
          <t>Преобразователь избыточного давления</t>
        </is>
      </c>
      <c r="C124" s="248" t="inlineStr">
        <is>
          <t>Метран 150 CD</t>
        </is>
      </c>
      <c r="D124" s="248" t="inlineStr">
        <is>
          <t>6077540</t>
        </is>
      </c>
      <c r="E124" s="254" t="inlineStr"/>
      <c r="F124" s="245" t="inlineStr">
        <is>
          <t>0…250 кПа</t>
        </is>
      </c>
      <c r="G124" s="248" t="inlineStr">
        <is>
          <t>0.1</t>
        </is>
      </c>
      <c r="H124" s="248" t="inlineStr">
        <is>
          <t>∆Р между оболочкой радиального подшипника и второй ступенью ГДУ ( ЗКВ)</t>
        </is>
      </c>
      <c r="I124" s="248" t="inlineStr">
        <is>
          <t>Укрытие</t>
        </is>
      </c>
      <c r="J124" s="248" t="inlineStr">
        <is>
          <t>АСУ,А и ТМ (КЦ № 7)</t>
        </is>
      </c>
      <c r="K124" s="370" t="inlineStr"/>
      <c r="L124" s="371" t="inlineStr"/>
      <c r="M124" s="371" t="inlineStr"/>
      <c r="N124" s="371" t="inlineStr"/>
      <c r="O124" s="365" t="n"/>
    </row>
    <row r="125" ht="22.5" customHeight="1" s="236">
      <c r="A125" s="243" t="n">
        <v>124</v>
      </c>
      <c r="B125" s="346" t="inlineStr">
        <is>
          <t>Преобразователь избыточного давления</t>
        </is>
      </c>
      <c r="C125" s="248" t="inlineStr">
        <is>
          <t>Метран 150 CD</t>
        </is>
      </c>
      <c r="D125" s="248" t="inlineStr">
        <is>
          <t>6071990</t>
        </is>
      </c>
      <c r="E125" s="254" t="inlineStr"/>
      <c r="F125" s="245" t="inlineStr">
        <is>
          <t>0…250 кПа</t>
        </is>
      </c>
      <c r="G125" s="248" t="inlineStr">
        <is>
          <t>0.1</t>
        </is>
      </c>
      <c r="H125" s="248" t="inlineStr">
        <is>
          <t>∆Р воздуха на фильтре в линии подвода к МП</t>
        </is>
      </c>
      <c r="I125" s="248" t="inlineStr"/>
      <c r="J125" s="248" t="inlineStr">
        <is>
          <t>АСУ,А и ТМ (КЦ № 7)</t>
        </is>
      </c>
      <c r="K125" s="370" t="inlineStr"/>
      <c r="L125" s="371" t="inlineStr"/>
      <c r="M125" s="371" t="inlineStr"/>
      <c r="N125" s="371" t="inlineStr"/>
      <c r="O125" s="365" t="n"/>
    </row>
    <row r="126" ht="22.5" customHeight="1" s="236">
      <c r="A126" s="243" t="n">
        <v>125</v>
      </c>
      <c r="B126" s="346" t="inlineStr">
        <is>
          <t>Преобразователь избыточного давления</t>
        </is>
      </c>
      <c r="C126" s="248" t="inlineStr">
        <is>
          <t>Метран 150 CD</t>
        </is>
      </c>
      <c r="D126" s="248" t="inlineStr">
        <is>
          <t>6073562</t>
        </is>
      </c>
      <c r="E126" s="254" t="inlineStr"/>
      <c r="F126" s="245" t="inlineStr">
        <is>
          <t>0…250 кПа</t>
        </is>
      </c>
      <c r="G126" s="248" t="inlineStr">
        <is>
          <t>0.1</t>
        </is>
      </c>
      <c r="H126" s="248" t="inlineStr">
        <is>
          <t>∆Р буферного газа на фильтре грубой очистки</t>
        </is>
      </c>
      <c r="I126" s="248" t="inlineStr"/>
      <c r="J126" s="248" t="inlineStr">
        <is>
          <t>АСУ,А и ТМ (КЦ № 7)</t>
        </is>
      </c>
      <c r="K126" s="370" t="inlineStr"/>
      <c r="L126" s="371" t="inlineStr"/>
      <c r="M126" s="371" t="inlineStr"/>
      <c r="N126" s="371" t="inlineStr"/>
      <c r="O126" s="365" t="n"/>
    </row>
    <row r="127" ht="22.5" customHeight="1" s="236">
      <c r="A127" s="243" t="n">
        <v>126</v>
      </c>
      <c r="B127" s="346" t="inlineStr">
        <is>
          <t>Преобразователь избыточного давления</t>
        </is>
      </c>
      <c r="C127" s="248" t="inlineStr">
        <is>
          <t>Метран 150 CD</t>
        </is>
      </c>
      <c r="D127" s="248" t="inlineStr">
        <is>
          <t>6071613</t>
        </is>
      </c>
      <c r="E127" s="254" t="inlineStr"/>
      <c r="F127" s="245" t="inlineStr">
        <is>
          <t>0…250 кПа</t>
        </is>
      </c>
      <c r="G127" s="248" t="inlineStr">
        <is>
          <t>0.1</t>
        </is>
      </c>
      <c r="H127" s="248" t="inlineStr">
        <is>
          <t>∆Рбг на фильтре тонкой очистки</t>
        </is>
      </c>
      <c r="I127" s="248" t="inlineStr"/>
      <c r="J127" s="248" t="inlineStr">
        <is>
          <t>АСУ,А и ТМ (КЦ № 7)</t>
        </is>
      </c>
      <c r="K127" s="370" t="inlineStr"/>
      <c r="L127" s="371" t="inlineStr"/>
      <c r="M127" s="371" t="inlineStr"/>
      <c r="N127" s="371" t="inlineStr"/>
      <c r="O127" s="365" t="n"/>
    </row>
    <row r="128" ht="22.5" customHeight="1" s="236">
      <c r="A128" s="243" t="n">
        <v>127</v>
      </c>
      <c r="B128" s="346" t="inlineStr">
        <is>
          <t>Преобразователь избыточного давления</t>
        </is>
      </c>
      <c r="C128" s="248" t="inlineStr">
        <is>
          <t>Метран 150 CD</t>
        </is>
      </c>
      <c r="D128" s="248" t="inlineStr">
        <is>
          <t>6071607</t>
        </is>
      </c>
      <c r="E128" s="254" t="inlineStr"/>
      <c r="F128" s="245" t="inlineStr">
        <is>
          <t>0…250 кПа</t>
        </is>
      </c>
      <c r="G128" s="248" t="inlineStr">
        <is>
          <t>0.1</t>
        </is>
      </c>
      <c r="H128" s="248" t="inlineStr">
        <is>
          <t>∆Р газ-газ в линии ПКВ</t>
        </is>
      </c>
      <c r="I128" s="248" t="inlineStr">
        <is>
          <t>Укрытие</t>
        </is>
      </c>
      <c r="J128" s="248" t="inlineStr">
        <is>
          <t>АСУ,А и ТМ (КЦ № 7)</t>
        </is>
      </c>
      <c r="K128" s="370" t="inlineStr"/>
      <c r="L128" s="371" t="inlineStr"/>
      <c r="M128" s="371" t="inlineStr"/>
      <c r="N128" s="371" t="inlineStr"/>
      <c r="O128" s="365" t="n"/>
    </row>
    <row r="129" ht="22.5" customHeight="1" s="236">
      <c r="A129" s="243" t="n">
        <v>128</v>
      </c>
      <c r="B129" s="346" t="inlineStr">
        <is>
          <t>Преобразователь избыточного давления</t>
        </is>
      </c>
      <c r="C129" s="248" t="inlineStr">
        <is>
          <t>Метран 150 CD</t>
        </is>
      </c>
      <c r="D129" s="248" t="inlineStr">
        <is>
          <t>6071614</t>
        </is>
      </c>
      <c r="E129" s="254" t="inlineStr"/>
      <c r="F129" s="245" t="inlineStr">
        <is>
          <t>0…250 кПа</t>
        </is>
      </c>
      <c r="G129" s="248" t="inlineStr">
        <is>
          <t>0.1</t>
        </is>
      </c>
      <c r="H129" s="248" t="inlineStr">
        <is>
          <t>∆Р газ-газ в линии ЗКВ</t>
        </is>
      </c>
      <c r="I129" s="248" t="inlineStr">
        <is>
          <t>Укрытие</t>
        </is>
      </c>
      <c r="J129" s="248" t="inlineStr">
        <is>
          <t>АСУ,А и ТМ (КЦ № 7)</t>
        </is>
      </c>
      <c r="K129" s="370" t="inlineStr"/>
      <c r="L129" s="371" t="inlineStr"/>
      <c r="M129" s="371" t="inlineStr"/>
      <c r="N129" s="371" t="inlineStr"/>
      <c r="O129" s="365" t="n"/>
    </row>
    <row r="130" ht="22.5" customHeight="1" s="236">
      <c r="A130" s="243" t="n">
        <v>129</v>
      </c>
      <c r="B130" s="346" t="inlineStr">
        <is>
          <t>Преобразователь избыточного давления</t>
        </is>
      </c>
      <c r="C130" s="248" t="inlineStr">
        <is>
          <t>Метран 150 TG</t>
        </is>
      </c>
      <c r="D130" s="248" t="inlineStr">
        <is>
          <t>6071586</t>
        </is>
      </c>
      <c r="E130" s="254" t="inlineStr"/>
      <c r="F130" s="245" t="inlineStr">
        <is>
          <t>0…1 МПа</t>
        </is>
      </c>
      <c r="G130" s="248" t="inlineStr">
        <is>
          <t>0.1</t>
        </is>
      </c>
      <c r="H130" s="248" t="inlineStr">
        <is>
          <t>Р в линии утечек 1-ой ступени ГДУ ПКВ</t>
        </is>
      </c>
      <c r="I130" s="248" t="inlineStr">
        <is>
          <t>Укрытие</t>
        </is>
      </c>
      <c r="J130" s="248" t="inlineStr">
        <is>
          <t>АСУ,А и ТМ (КЦ № 7)</t>
        </is>
      </c>
      <c r="K130" s="370" t="inlineStr"/>
      <c r="L130" s="371" t="inlineStr"/>
      <c r="M130" s="371" t="inlineStr"/>
      <c r="N130" s="371" t="inlineStr"/>
      <c r="O130" s="365" t="n"/>
    </row>
    <row r="131" ht="22.5" customHeight="1" s="236">
      <c r="A131" s="243" t="n">
        <v>130</v>
      </c>
      <c r="B131" s="346" t="inlineStr">
        <is>
          <t>Преобразователь избыточного давления</t>
        </is>
      </c>
      <c r="C131" s="248" t="inlineStr">
        <is>
          <t>Метран 150 TG</t>
        </is>
      </c>
      <c r="D131" s="248" t="inlineStr">
        <is>
          <t>6072453</t>
        </is>
      </c>
      <c r="E131" s="254" t="inlineStr"/>
      <c r="F131" s="245" t="inlineStr">
        <is>
          <t>0…1 МПа</t>
        </is>
      </c>
      <c r="G131" s="248" t="inlineStr">
        <is>
          <t>0.1</t>
        </is>
      </c>
      <c r="H131" s="248" t="inlineStr">
        <is>
          <t>Р в линии утечек 1-ой ступени ГДУ ЗКВ</t>
        </is>
      </c>
      <c r="I131" s="248" t="inlineStr">
        <is>
          <t>Укрытие</t>
        </is>
      </c>
      <c r="J131" s="248" t="inlineStr">
        <is>
          <t>АСУ,А и ТМ (КЦ № 7)</t>
        </is>
      </c>
      <c r="K131" s="370" t="inlineStr"/>
      <c r="L131" s="371" t="inlineStr"/>
      <c r="M131" s="371" t="inlineStr"/>
      <c r="N131" s="371" t="inlineStr"/>
      <c r="O131" s="365" t="n"/>
    </row>
    <row r="132" ht="22.5" customHeight="1" s="236">
      <c r="A132" s="243" t="n">
        <v>131</v>
      </c>
      <c r="B132" s="346" t="inlineStr">
        <is>
          <t>Преобразователь избыточного давления</t>
        </is>
      </c>
      <c r="C132" s="248" t="inlineStr">
        <is>
          <t>Метран 150 TG</t>
        </is>
      </c>
      <c r="D132" s="248" t="inlineStr">
        <is>
          <t>6129375</t>
        </is>
      </c>
      <c r="E132" s="254" t="inlineStr"/>
      <c r="F132" s="245" t="inlineStr">
        <is>
          <t>0…25 МПа</t>
        </is>
      </c>
      <c r="G132" s="248" t="inlineStr">
        <is>
          <t>0.1</t>
        </is>
      </c>
      <c r="H132" s="248" t="inlineStr">
        <is>
          <t>Рг перед конфузором</t>
        </is>
      </c>
      <c r="I132" s="248" t="inlineStr">
        <is>
          <t>Укрытие</t>
        </is>
      </c>
      <c r="J132" s="248" t="inlineStr">
        <is>
          <t>АСУ,А и ТМ (КЦ № 7)</t>
        </is>
      </c>
      <c r="K132" s="370" t="inlineStr"/>
      <c r="L132" s="371" t="inlineStr"/>
      <c r="M132" s="371" t="inlineStr"/>
      <c r="N132" s="371" t="inlineStr"/>
      <c r="O132" s="365" t="n"/>
    </row>
    <row r="133" ht="22.5" customHeight="1" s="236">
      <c r="A133" s="243" t="n">
        <v>132</v>
      </c>
      <c r="B133" s="346" t="inlineStr">
        <is>
          <t>Преобразователь избыточного давления</t>
        </is>
      </c>
      <c r="C133" s="248" t="inlineStr">
        <is>
          <t>Метран 150 TG</t>
        </is>
      </c>
      <c r="D133" s="248" t="inlineStr">
        <is>
          <t>6129376</t>
        </is>
      </c>
      <c r="E133" s="254" t="inlineStr"/>
      <c r="F133" s="245" t="inlineStr">
        <is>
          <t>0…25 МПа</t>
        </is>
      </c>
      <c r="G133" s="248" t="inlineStr">
        <is>
          <t>0.1</t>
        </is>
      </c>
      <c r="H133" s="248" t="inlineStr">
        <is>
          <t>Рг на входе в компрессор ( после конфузора)</t>
        </is>
      </c>
      <c r="I133" s="248" t="inlineStr">
        <is>
          <t>Укрытие</t>
        </is>
      </c>
      <c r="J133" s="248" t="inlineStr">
        <is>
          <t>АСУ,А и ТМ (КЦ № 7)</t>
        </is>
      </c>
      <c r="K133" s="370" t="inlineStr"/>
      <c r="L133" s="371" t="inlineStr"/>
      <c r="M133" s="371" t="inlineStr"/>
      <c r="N133" s="371" t="inlineStr"/>
      <c r="O133" s="365" t="n"/>
    </row>
    <row r="134" ht="22.5" customHeight="1" s="236">
      <c r="A134" s="243" t="n">
        <v>133</v>
      </c>
      <c r="B134" s="346" t="inlineStr">
        <is>
          <t>Преобразователь избыточного давления</t>
        </is>
      </c>
      <c r="C134" s="248" t="inlineStr">
        <is>
          <t>Метран 150 TG</t>
        </is>
      </c>
      <c r="D134" s="248" t="inlineStr">
        <is>
          <t>6129377</t>
        </is>
      </c>
      <c r="E134" s="254" t="inlineStr"/>
      <c r="F134" s="245" t="inlineStr">
        <is>
          <t>0…25 МПа</t>
        </is>
      </c>
      <c r="G134" s="248" t="inlineStr">
        <is>
          <t>0.1</t>
        </is>
      </c>
      <c r="H134" s="248" t="inlineStr">
        <is>
          <t>Рг на выходе из компрессора</t>
        </is>
      </c>
      <c r="I134" s="248" t="inlineStr">
        <is>
          <t>Укрытие</t>
        </is>
      </c>
      <c r="J134" s="248" t="inlineStr">
        <is>
          <t>АСУ,А и ТМ (КЦ № 7)</t>
        </is>
      </c>
      <c r="K134" s="370" t="inlineStr"/>
      <c r="L134" s="371" t="inlineStr"/>
      <c r="M134" s="371" t="inlineStr"/>
      <c r="N134" s="371" t="inlineStr"/>
      <c r="O134" s="365" t="n"/>
    </row>
    <row r="135" ht="22.5" customHeight="1" s="236">
      <c r="A135" s="243" t="n">
        <v>134</v>
      </c>
      <c r="B135" s="346" t="inlineStr">
        <is>
          <t>Преобразователь избыточного давления</t>
        </is>
      </c>
      <c r="C135" s="248" t="inlineStr">
        <is>
          <t>YOKOGAWA EJA110E</t>
        </is>
      </c>
      <c r="D135" s="248" t="inlineStr">
        <is>
          <t>71V907132</t>
        </is>
      </c>
      <c r="E135" s="254" t="inlineStr"/>
      <c r="F135" s="245" t="inlineStr">
        <is>
          <t>0…16 МПа</t>
        </is>
      </c>
      <c r="G135" s="248" t="inlineStr">
        <is>
          <t>0.1</t>
        </is>
      </c>
      <c r="H135" s="248" t="inlineStr">
        <is>
          <t>∆Рг на конфузоре</t>
        </is>
      </c>
      <c r="I135" s="248" t="inlineStr">
        <is>
          <t>Укрытие</t>
        </is>
      </c>
      <c r="J135" s="248" t="inlineStr">
        <is>
          <t>АСУ,А и ТМ (КЦ № 7)</t>
        </is>
      </c>
      <c r="K135" s="370" t="inlineStr"/>
      <c r="L135" s="371" t="inlineStr"/>
      <c r="M135" s="371" t="inlineStr"/>
      <c r="N135" s="371" t="inlineStr"/>
      <c r="O135" s="365" t="n"/>
    </row>
    <row r="136" ht="22.5" customHeight="1" s="236">
      <c r="A136" s="243" t="n">
        <v>135</v>
      </c>
      <c r="B136" s="346" t="inlineStr">
        <is>
          <t>Преобразователь избыточного давления</t>
        </is>
      </c>
      <c r="C136" s="248" t="inlineStr">
        <is>
          <t>YOKOGAWA EJA530E</t>
        </is>
      </c>
      <c r="D136" s="248" t="inlineStr">
        <is>
          <t>91TC20785</t>
        </is>
      </c>
      <c r="E136" s="254" t="inlineStr">
        <is>
          <t>2018</t>
        </is>
      </c>
      <c r="F136" s="245" t="inlineStr">
        <is>
          <t>0…2 МПа</t>
        </is>
      </c>
      <c r="G136" s="248" t="inlineStr">
        <is>
          <t>0.1</t>
        </is>
      </c>
      <c r="H136" s="248" t="inlineStr">
        <is>
          <t>Давление воздуха после ВВТ1 агрегата БВВТ25</t>
        </is>
      </c>
      <c r="I136" s="248" t="inlineStr">
        <is>
          <t>Укрытие</t>
        </is>
      </c>
      <c r="J136" s="248" t="inlineStr">
        <is>
          <t>АСУ,А и ТМ (КЦ № 7)</t>
        </is>
      </c>
      <c r="K136" s="370" t="inlineStr"/>
      <c r="L136" s="371" t="inlineStr"/>
      <c r="M136" s="371" t="inlineStr"/>
      <c r="N136" s="371" t="inlineStr"/>
      <c r="O136" s="365" t="n"/>
    </row>
    <row r="137" ht="22.5" customHeight="1" s="236">
      <c r="A137" s="243" t="n">
        <v>136</v>
      </c>
      <c r="B137" s="346" t="inlineStr">
        <is>
          <t>Преобразователь избыточного давления</t>
        </is>
      </c>
      <c r="C137" s="248" t="inlineStr">
        <is>
          <t>Метран 150 TG</t>
        </is>
      </c>
      <c r="D137" s="248" t="inlineStr">
        <is>
          <t>1634496</t>
        </is>
      </c>
      <c r="E137" s="254" t="inlineStr"/>
      <c r="F137" s="245" t="inlineStr">
        <is>
          <t>0…16 МПа</t>
        </is>
      </c>
      <c r="G137" s="248" t="inlineStr">
        <is>
          <t>0.1</t>
        </is>
      </c>
      <c r="H137" s="248" t="inlineStr">
        <is>
          <t>Рг на выходе АВО газа</t>
        </is>
      </c>
      <c r="I137" s="248" t="inlineStr">
        <is>
          <t>КЦ</t>
        </is>
      </c>
      <c r="J137" s="248" t="inlineStr">
        <is>
          <t>АСУ,А и ТМ (КЦ № 7)</t>
        </is>
      </c>
      <c r="K137" s="370" t="inlineStr"/>
      <c r="L137" s="371" t="inlineStr"/>
      <c r="M137" s="371" t="inlineStr"/>
      <c r="N137" s="371" t="inlineStr"/>
      <c r="O137" s="365" t="n"/>
    </row>
    <row r="138" ht="22.5" customHeight="1" s="236">
      <c r="A138" s="243" t="n">
        <v>137</v>
      </c>
      <c r="B138" s="346" t="inlineStr">
        <is>
          <t>Преобразователь избыточного давления</t>
        </is>
      </c>
      <c r="C138" s="248" t="inlineStr">
        <is>
          <t>Метран 150 TG</t>
        </is>
      </c>
      <c r="D138" s="248" t="inlineStr">
        <is>
          <t>1635008</t>
        </is>
      </c>
      <c r="E138" s="254" t="inlineStr"/>
      <c r="F138" s="245" t="inlineStr">
        <is>
          <t>0…16 МПа</t>
        </is>
      </c>
      <c r="G138" s="248" t="inlineStr">
        <is>
          <t>0.1</t>
        </is>
      </c>
      <c r="H138" s="248" t="inlineStr">
        <is>
          <t>Рг после крана 2-1</t>
        </is>
      </c>
      <c r="I138" s="248" t="inlineStr">
        <is>
          <t>КЦ</t>
        </is>
      </c>
      <c r="J138" s="248" t="inlineStr">
        <is>
          <t>АСУ,А и ТМ (КЦ № 7)</t>
        </is>
      </c>
      <c r="K138" s="370" t="inlineStr"/>
      <c r="L138" s="371" t="inlineStr"/>
      <c r="M138" s="371" t="inlineStr"/>
      <c r="N138" s="371" t="inlineStr"/>
      <c r="O138" s="365" t="n"/>
    </row>
    <row r="139" ht="22.5" customHeight="1" s="236">
      <c r="A139" s="243" t="n">
        <v>138</v>
      </c>
      <c r="B139" s="346" t="inlineStr">
        <is>
          <t>Преобразователь избыточного давления</t>
        </is>
      </c>
      <c r="C139" s="248" t="inlineStr">
        <is>
          <t>Метран 150 TG</t>
        </is>
      </c>
      <c r="D139" s="248" t="inlineStr">
        <is>
          <t>1635010</t>
        </is>
      </c>
      <c r="E139" s="254" t="inlineStr"/>
      <c r="F139" s="245" t="inlineStr">
        <is>
          <t>0…16 МПа</t>
        </is>
      </c>
      <c r="G139" s="248" t="inlineStr">
        <is>
          <t>0.1</t>
        </is>
      </c>
      <c r="H139" s="248" t="inlineStr">
        <is>
          <t>Рг перед краном 2-1</t>
        </is>
      </c>
      <c r="I139" s="248" t="inlineStr">
        <is>
          <t>КЦ</t>
        </is>
      </c>
      <c r="J139" s="248" t="inlineStr">
        <is>
          <t>АСУ,А и ТМ (КЦ № 7)</t>
        </is>
      </c>
      <c r="K139" s="370" t="inlineStr"/>
      <c r="L139" s="371" t="inlineStr"/>
      <c r="M139" s="371" t="inlineStr"/>
      <c r="N139" s="371" t="inlineStr"/>
      <c r="O139" s="365" t="n"/>
    </row>
    <row r="140" ht="22.5" customHeight="1" s="236">
      <c r="A140" s="243" t="n">
        <v>139</v>
      </c>
      <c r="B140" s="346" t="inlineStr">
        <is>
          <t>Преобразователь избыточного давления</t>
        </is>
      </c>
      <c r="C140" s="248" t="inlineStr">
        <is>
          <t>Метран 150 CD</t>
        </is>
      </c>
      <c r="D140" s="248" t="inlineStr">
        <is>
          <t>1634473</t>
        </is>
      </c>
      <c r="E140" s="254" t="inlineStr"/>
      <c r="F140" s="245" t="inlineStr">
        <is>
          <t>0…10 МПа</t>
        </is>
      </c>
      <c r="G140" s="248" t="inlineStr">
        <is>
          <t>0.1</t>
        </is>
      </c>
      <c r="H140" s="248" t="inlineStr">
        <is>
          <t>∆Рг на кране 1-1</t>
        </is>
      </c>
      <c r="I140" s="248" t="inlineStr">
        <is>
          <t>КЦ</t>
        </is>
      </c>
      <c r="J140" s="248" t="inlineStr">
        <is>
          <t>АСУ,А и ТМ (КЦ № 7)</t>
        </is>
      </c>
      <c r="K140" s="370" t="inlineStr"/>
      <c r="L140" s="371" t="inlineStr"/>
      <c r="M140" s="371" t="inlineStr"/>
      <c r="N140" s="371" t="inlineStr"/>
      <c r="O140" s="365" t="n"/>
    </row>
    <row r="141" ht="22.5" customHeight="1" s="236">
      <c r="A141" s="243" t="n">
        <v>140</v>
      </c>
      <c r="B141" s="346" t="inlineStr">
        <is>
          <t>Преобразователь избыточного давления</t>
        </is>
      </c>
      <c r="C141" s="248" t="inlineStr">
        <is>
          <t>Метран 150 CD</t>
        </is>
      </c>
      <c r="D141" s="248" t="inlineStr">
        <is>
          <t>1634470</t>
        </is>
      </c>
      <c r="E141" s="254" t="inlineStr"/>
      <c r="F141" s="245" t="inlineStr">
        <is>
          <t>0…10 МПа</t>
        </is>
      </c>
      <c r="G141" s="248" t="inlineStr">
        <is>
          <t>0.1</t>
        </is>
      </c>
      <c r="H141" s="248" t="inlineStr">
        <is>
          <t>∆Рг на кране 1</t>
        </is>
      </c>
      <c r="I141" s="248" t="inlineStr">
        <is>
          <t>КЦ</t>
        </is>
      </c>
      <c r="J141" s="248" t="inlineStr">
        <is>
          <t>АСУ,А и ТМ (КЦ № 7)</t>
        </is>
      </c>
      <c r="K141" s="370" t="inlineStr"/>
      <c r="L141" s="371" t="inlineStr"/>
      <c r="M141" s="371" t="inlineStr"/>
      <c r="N141" s="371" t="inlineStr"/>
      <c r="O141" s="365" t="n"/>
    </row>
    <row r="142" ht="22.5" customHeight="1" s="236">
      <c r="A142" s="243" t="n">
        <v>141</v>
      </c>
      <c r="B142" s="346" t="inlineStr">
        <is>
          <t>Преобразователь избыточного давления</t>
        </is>
      </c>
      <c r="C142" s="248" t="inlineStr">
        <is>
          <t>Метран 150 CD</t>
        </is>
      </c>
      <c r="D142" s="248" t="inlineStr">
        <is>
          <t>1634570</t>
        </is>
      </c>
      <c r="E142" s="254" t="inlineStr"/>
      <c r="F142" s="245" t="inlineStr">
        <is>
          <t>0…160 кПа</t>
        </is>
      </c>
      <c r="G142" s="248" t="inlineStr">
        <is>
          <t>0.1</t>
        </is>
      </c>
      <c r="H142" s="248" t="inlineStr">
        <is>
          <t>∆Рг на защитной решетке перед компрессором</t>
        </is>
      </c>
      <c r="I142" s="248" t="inlineStr">
        <is>
          <t>КЦ</t>
        </is>
      </c>
      <c r="J142" s="248" t="inlineStr">
        <is>
          <t>АСУ,А и ТМ (КЦ № 7)</t>
        </is>
      </c>
      <c r="K142" s="370" t="inlineStr"/>
      <c r="L142" s="371" t="inlineStr"/>
      <c r="M142" s="371" t="inlineStr"/>
      <c r="N142" s="371" t="inlineStr"/>
      <c r="O142" s="365" t="n"/>
    </row>
    <row r="143" ht="22.5" customHeight="1" s="236">
      <c r="A143" s="243" t="n">
        <v>142</v>
      </c>
      <c r="B143" s="346" t="inlineStr">
        <is>
          <t>Преобразователь избыточного давления</t>
        </is>
      </c>
      <c r="C143" s="248" t="inlineStr">
        <is>
          <t>Метран 150 CD</t>
        </is>
      </c>
      <c r="D143" s="248" t="inlineStr">
        <is>
          <t>1634575</t>
        </is>
      </c>
      <c r="E143" s="254" t="inlineStr"/>
      <c r="F143" s="245" t="inlineStr">
        <is>
          <t>0…160 кПа</t>
        </is>
      </c>
      <c r="G143" s="248" t="inlineStr">
        <is>
          <t>0.1</t>
        </is>
      </c>
      <c r="H143" s="248" t="inlineStr">
        <is>
          <t>∆Рг на АВО газа</t>
        </is>
      </c>
      <c r="I143" s="248" t="inlineStr">
        <is>
          <t>КЦ</t>
        </is>
      </c>
      <c r="J143" s="248" t="inlineStr">
        <is>
          <t>АСУ,А и ТМ (КЦ № 7)</t>
        </is>
      </c>
      <c r="K143" s="370" t="inlineStr"/>
      <c r="L143" s="371" t="inlineStr"/>
      <c r="M143" s="371" t="inlineStr"/>
      <c r="N143" s="371" t="inlineStr"/>
      <c r="O143" s="365" t="n"/>
    </row>
    <row r="144" ht="22.5" customHeight="1" s="236">
      <c r="A144" s="243" t="n">
        <v>143</v>
      </c>
      <c r="B144" s="346" t="inlineStr">
        <is>
          <t>Преобразователь давления корабельный</t>
        </is>
      </c>
      <c r="C144" s="248" t="inlineStr">
        <is>
          <t>ВАЛКОМ ПДК-ВО-Д-250К-А-2-Б04-Н-01-Д20</t>
        </is>
      </c>
      <c r="D144" s="248" t="inlineStr">
        <is>
          <t>8К10996</t>
        </is>
      </c>
      <c r="E144" s="254" t="inlineStr"/>
      <c r="F144" s="245" t="inlineStr">
        <is>
          <t>0…250 кПа</t>
        </is>
      </c>
      <c r="G144" s="248" t="inlineStr">
        <is>
          <t>0.25</t>
        </is>
      </c>
      <c r="H144" s="248" t="inlineStr">
        <is>
          <t>∆Р на фильтре №1 БФТГ</t>
        </is>
      </c>
      <c r="I144" s="248" t="inlineStr">
        <is>
          <t>КЦ</t>
        </is>
      </c>
      <c r="J144" s="248" t="inlineStr">
        <is>
          <t>АСУ,А и ТМ (КЦ № 7)</t>
        </is>
      </c>
      <c r="K144" s="370" t="inlineStr"/>
      <c r="L144" s="371" t="inlineStr"/>
      <c r="M144" s="371" t="inlineStr"/>
      <c r="N144" s="371" t="inlineStr"/>
      <c r="O144" s="365" t="n"/>
    </row>
    <row r="145" ht="22.5" customHeight="1" s="236">
      <c r="A145" s="243" t="n">
        <v>144</v>
      </c>
      <c r="B145" s="346" t="inlineStr">
        <is>
          <t>Преобразователь давления корабельный</t>
        </is>
      </c>
      <c r="C145" s="248" t="inlineStr">
        <is>
          <t>ВАЛКОМ ПДК-ВО-Д-250К-А-2-Б04-Н-01-Д20</t>
        </is>
      </c>
      <c r="D145" s="248" t="inlineStr">
        <is>
          <t>8К10997</t>
        </is>
      </c>
      <c r="E145" s="254" t="inlineStr"/>
      <c r="F145" s="245" t="inlineStr">
        <is>
          <t>0…250 кПа</t>
        </is>
      </c>
      <c r="G145" s="248" t="inlineStr">
        <is>
          <t>0.25</t>
        </is>
      </c>
      <c r="H145" s="248" t="inlineStr">
        <is>
          <t>∆Р на фильтре №2 БФТГ</t>
        </is>
      </c>
      <c r="I145" s="248" t="inlineStr">
        <is>
          <t>КЦ</t>
        </is>
      </c>
      <c r="J145" s="248" t="inlineStr">
        <is>
          <t>АСУ,А и ТМ (КЦ № 7)</t>
        </is>
      </c>
      <c r="K145" s="370" t="inlineStr"/>
      <c r="L145" s="371" t="inlineStr"/>
      <c r="M145" s="371" t="inlineStr"/>
      <c r="N145" s="371" t="inlineStr"/>
      <c r="O145" s="365" t="n"/>
    </row>
    <row r="146" ht="22.5" customHeight="1" s="236">
      <c r="A146" s="243" t="n">
        <v>145</v>
      </c>
      <c r="B146" s="346" t="inlineStr">
        <is>
          <t>Преобразователь давления корабельный</t>
        </is>
      </c>
      <c r="C146" s="248" t="inlineStr">
        <is>
          <t>ВАЛКОМ ПДК-ВО-Д-250К-А-2-Б04-Н-01-Д20</t>
        </is>
      </c>
      <c r="D146" s="248" t="inlineStr">
        <is>
          <t>8К10981</t>
        </is>
      </c>
      <c r="E146" s="254" t="inlineStr"/>
      <c r="F146" s="245" t="inlineStr">
        <is>
          <t>0…250 кПа</t>
        </is>
      </c>
      <c r="G146" s="248" t="inlineStr">
        <is>
          <t>0.25</t>
        </is>
      </c>
      <c r="H146" s="248" t="inlineStr">
        <is>
          <t>∆Р на фильтре №1 БФБГ</t>
        </is>
      </c>
      <c r="I146" s="248" t="inlineStr">
        <is>
          <t>КЦ</t>
        </is>
      </c>
      <c r="J146" s="248" t="inlineStr">
        <is>
          <t>АСУ,А и ТМ (КЦ № 7)</t>
        </is>
      </c>
      <c r="K146" s="370" t="inlineStr"/>
      <c r="L146" s="371" t="inlineStr"/>
      <c r="M146" s="371" t="inlineStr"/>
      <c r="N146" s="371" t="inlineStr"/>
      <c r="O146" s="365" t="n"/>
    </row>
    <row r="147" ht="22.5" customHeight="1" s="236">
      <c r="A147" s="243" t="n">
        <v>146</v>
      </c>
      <c r="B147" s="346" t="inlineStr">
        <is>
          <t>Преобразователь давления корабельный</t>
        </is>
      </c>
      <c r="C147" s="248" t="inlineStr">
        <is>
          <t>ВАЛКОМ ПДК-ВО-Д-250К-А-2-Б04-Н-01-Д20</t>
        </is>
      </c>
      <c r="D147" s="248" t="inlineStr">
        <is>
          <t>8К10954</t>
        </is>
      </c>
      <c r="E147" s="254" t="inlineStr"/>
      <c r="F147" s="245" t="inlineStr">
        <is>
          <t>0…250 кПа</t>
        </is>
      </c>
      <c r="G147" s="248" t="inlineStr">
        <is>
          <t>0.25</t>
        </is>
      </c>
      <c r="H147" s="248" t="inlineStr">
        <is>
          <t>∆Р на фильтре №2 БФБГ</t>
        </is>
      </c>
      <c r="I147" s="248" t="inlineStr">
        <is>
          <t>КЦ</t>
        </is>
      </c>
      <c r="J147" s="248" t="inlineStr">
        <is>
          <t>АСУ,А и ТМ (КЦ № 7)</t>
        </is>
      </c>
      <c r="K147" s="370" t="inlineStr"/>
      <c r="L147" s="371" t="inlineStr"/>
      <c r="M147" s="371" t="inlineStr"/>
      <c r="N147" s="371" t="inlineStr"/>
      <c r="O147" s="365" t="n"/>
    </row>
    <row r="148" ht="22.5" customHeight="1" s="236">
      <c r="A148" s="243" t="n">
        <v>147</v>
      </c>
      <c r="B148" s="346" t="inlineStr">
        <is>
          <t>Преобразователь избыточного давления</t>
        </is>
      </c>
      <c r="C148" s="248" t="inlineStr">
        <is>
          <t>Метран 150 CD</t>
        </is>
      </c>
      <c r="D148" s="248" t="inlineStr">
        <is>
          <t>6071608</t>
        </is>
      </c>
      <c r="E148" s="254" t="inlineStr">
        <is>
          <t>2018</t>
        </is>
      </c>
      <c r="F148" s="245" t="inlineStr">
        <is>
          <t>0…250 кПа</t>
        </is>
      </c>
      <c r="G148" s="248" t="inlineStr">
        <is>
          <t>0.1</t>
        </is>
      </c>
      <c r="H148" s="248" t="inlineStr">
        <is>
          <t>∆Рбг на сепараторе СГУ</t>
        </is>
      </c>
      <c r="I148" s="248" t="inlineStr"/>
      <c r="J148" s="248" t="inlineStr">
        <is>
          <t>АСУ,А и ТМ (КЦ № 7)</t>
        </is>
      </c>
      <c r="K148" s="370" t="inlineStr"/>
      <c r="L148" s="371" t="inlineStr"/>
      <c r="M148" s="371" t="inlineStr"/>
      <c r="N148" s="371" t="inlineStr"/>
      <c r="O148" s="368" t="n"/>
    </row>
    <row r="149" ht="22.5" customHeight="1" s="236">
      <c r="A149" s="243" t="n">
        <v>148</v>
      </c>
      <c r="B149" s="346" t="inlineStr">
        <is>
          <t>Преобразователь избыточного давления</t>
        </is>
      </c>
      <c r="C149" s="248" t="inlineStr">
        <is>
          <t>Метран 150 CD</t>
        </is>
      </c>
      <c r="D149" s="248" t="inlineStr">
        <is>
          <t>664460</t>
        </is>
      </c>
      <c r="E149" s="254" t="inlineStr"/>
      <c r="F149" s="245" t="inlineStr">
        <is>
          <t>0…250 кПа</t>
        </is>
      </c>
      <c r="G149" s="248" t="inlineStr">
        <is>
          <t>0.1</t>
        </is>
      </c>
      <c r="H149" s="248" t="inlineStr">
        <is>
          <t>∆Рбг на фильтре-сепараторе</t>
        </is>
      </c>
      <c r="I149" s="248" t="inlineStr"/>
      <c r="J149" s="248" t="inlineStr">
        <is>
          <t>АСУ,А и ТМ (КЦ № 7)</t>
        </is>
      </c>
      <c r="K149" s="370" t="inlineStr"/>
      <c r="L149" s="371" t="inlineStr"/>
      <c r="M149" s="371" t="inlineStr"/>
      <c r="N149" s="371" t="inlineStr"/>
      <c r="O149" s="365" t="n"/>
    </row>
    <row r="150" ht="22.5" customHeight="1" s="236">
      <c r="A150" s="243" t="n">
        <v>149</v>
      </c>
      <c r="B150" s="346" t="inlineStr">
        <is>
          <t>Преобразователь избыточного давления</t>
        </is>
      </c>
      <c r="C150" s="248" t="inlineStr">
        <is>
          <t>Метран 150 TG</t>
        </is>
      </c>
      <c r="D150" s="248" t="inlineStr">
        <is>
          <t>6081370</t>
        </is>
      </c>
      <c r="E150" s="254" t="inlineStr">
        <is>
          <t>Jul.18</t>
        </is>
      </c>
      <c r="F150" s="245" t="inlineStr">
        <is>
          <t>0…160 кПа</t>
        </is>
      </c>
      <c r="G150" s="248" t="inlineStr">
        <is>
          <t>0.1</t>
        </is>
      </c>
      <c r="H150" s="248" t="inlineStr">
        <is>
          <t>Рв в установке воздухонагнетателя №1</t>
        </is>
      </c>
      <c r="I150" s="248" t="inlineStr">
        <is>
          <t>БКВ</t>
        </is>
      </c>
      <c r="J150" s="248" t="inlineStr">
        <is>
          <t>АСУ,А и ТМ (КЦ № 7)</t>
        </is>
      </c>
      <c r="K150" s="370" t="inlineStr"/>
      <c r="L150" s="371" t="inlineStr"/>
      <c r="M150" s="371" t="inlineStr"/>
      <c r="N150" s="371" t="inlineStr"/>
      <c r="O150" s="365" t="n"/>
    </row>
    <row r="151" ht="22.5" customHeight="1" s="236">
      <c r="A151" s="243" t="n">
        <v>150</v>
      </c>
      <c r="B151" s="346" t="inlineStr">
        <is>
          <t>Преобразователь избыточного давления</t>
        </is>
      </c>
      <c r="C151" s="248" t="inlineStr">
        <is>
          <t>Метран 150 TG</t>
        </is>
      </c>
      <c r="D151" s="248" t="inlineStr">
        <is>
          <t>6085979</t>
        </is>
      </c>
      <c r="E151" s="254" t="inlineStr">
        <is>
          <t>Sep.18</t>
        </is>
      </c>
      <c r="F151" s="245" t="inlineStr">
        <is>
          <t>0…6 МПа</t>
        </is>
      </c>
      <c r="G151" s="248" t="inlineStr">
        <is>
          <t>0.1</t>
        </is>
      </c>
      <c r="H151" s="248" t="inlineStr">
        <is>
          <t>Давление воздуха на линии подвода к ресиверу</t>
        </is>
      </c>
      <c r="I151" s="248" t="inlineStr">
        <is>
          <t>БКВ</t>
        </is>
      </c>
      <c r="J151" s="248" t="inlineStr">
        <is>
          <t>АСУ,А и ТМ (КЦ № 7)</t>
        </is>
      </c>
      <c r="K151" s="370" t="inlineStr"/>
      <c r="L151" s="371" t="inlineStr"/>
      <c r="M151" s="371" t="inlineStr"/>
      <c r="N151" s="371" t="inlineStr"/>
      <c r="O151" s="365" t="n"/>
    </row>
    <row r="152" ht="22.5" customHeight="1" s="236">
      <c r="A152" s="243" t="n">
        <v>151</v>
      </c>
      <c r="B152" s="346" t="inlineStr">
        <is>
          <t>Преобразователь избыточного давления</t>
        </is>
      </c>
      <c r="C152" s="248" t="inlineStr">
        <is>
          <t>Метран 150 TG</t>
        </is>
      </c>
      <c r="D152" s="248" t="inlineStr">
        <is>
          <t>6081372</t>
        </is>
      </c>
      <c r="E152" s="254" t="inlineStr">
        <is>
          <t>Jul.18</t>
        </is>
      </c>
      <c r="F152" s="245" t="inlineStr">
        <is>
          <t>0…160 кПа</t>
        </is>
      </c>
      <c r="G152" s="248" t="inlineStr">
        <is>
          <t>0.1</t>
        </is>
      </c>
      <c r="H152" s="248" t="inlineStr">
        <is>
          <t>Рв в установке воздухонагнетателя №2</t>
        </is>
      </c>
      <c r="I152" s="248" t="inlineStr">
        <is>
          <t>БКВ</t>
        </is>
      </c>
      <c r="J152" s="248" t="inlineStr">
        <is>
          <t>АСУ,А и ТМ (КЦ № 7)</t>
        </is>
      </c>
      <c r="K152" s="370" t="inlineStr"/>
      <c r="L152" s="371" t="inlineStr"/>
      <c r="M152" s="371" t="inlineStr"/>
      <c r="N152" s="371" t="inlineStr"/>
      <c r="O152" s="365" t="n"/>
    </row>
    <row r="153" ht="22.5" customHeight="1" s="236">
      <c r="A153" s="243" t="n">
        <v>152</v>
      </c>
      <c r="B153" s="346" t="inlineStr">
        <is>
          <t>Преобразователь избыточного давления</t>
        </is>
      </c>
      <c r="C153" s="248" t="inlineStr">
        <is>
          <t>Метран 150 TG</t>
        </is>
      </c>
      <c r="D153" s="248" t="inlineStr">
        <is>
          <t>6085986</t>
        </is>
      </c>
      <c r="E153" s="254" t="inlineStr">
        <is>
          <t>Sep.18</t>
        </is>
      </c>
      <c r="F153" s="245" t="inlineStr">
        <is>
          <t>0…160 кПа</t>
        </is>
      </c>
      <c r="G153" s="248" t="inlineStr">
        <is>
          <t>0.1</t>
        </is>
      </c>
      <c r="H153" s="248" t="inlineStr">
        <is>
          <t>Рв на выходе из БКВ к укрытию ГПА</t>
        </is>
      </c>
      <c r="I153" s="248" t="inlineStr">
        <is>
          <t>БКВ</t>
        </is>
      </c>
      <c r="J153" s="248" t="inlineStr">
        <is>
          <t>АСУ,А и ТМ (КЦ № 7)</t>
        </is>
      </c>
      <c r="K153" s="370" t="inlineStr"/>
      <c r="L153" s="371" t="inlineStr"/>
      <c r="M153" s="371" t="inlineStr"/>
      <c r="N153" s="371" t="inlineStr"/>
      <c r="O153" s="365" t="n"/>
    </row>
    <row r="154" ht="22.5" customHeight="1" s="236">
      <c r="A154" s="243" t="n">
        <v>153</v>
      </c>
      <c r="B154" s="346" t="inlineStr">
        <is>
          <t>Преобразователь избыточного давления</t>
        </is>
      </c>
      <c r="C154" s="248" t="inlineStr">
        <is>
          <t>Метран 150 CD</t>
        </is>
      </c>
      <c r="D154" s="248" t="inlineStr">
        <is>
          <t>6104420</t>
        </is>
      </c>
      <c r="E154" s="254" t="inlineStr"/>
      <c r="F154" s="245" t="inlineStr">
        <is>
          <t>0…6,3 кПа</t>
        </is>
      </c>
      <c r="G154" s="248" t="inlineStr">
        <is>
          <t>0.1</t>
        </is>
      </c>
      <c r="H154" s="248" t="inlineStr">
        <is>
          <t>∆Р воздуха в выходном воздуховоде БС</t>
        </is>
      </c>
      <c r="I154" s="248" t="inlineStr"/>
      <c r="J154" s="248" t="inlineStr">
        <is>
          <t>АСУ,А и ТМ (КЦ № 7)</t>
        </is>
      </c>
      <c r="K154" s="370" t="inlineStr"/>
      <c r="L154" s="371" t="inlineStr"/>
      <c r="M154" s="371" t="inlineStr"/>
      <c r="N154" s="371" t="inlineStr"/>
      <c r="O154" s="365" t="n"/>
    </row>
    <row r="155" ht="22.5" customHeight="1" s="236">
      <c r="A155" s="243" t="n">
        <v>154</v>
      </c>
      <c r="B155" s="346" t="inlineStr">
        <is>
          <t>Термометр сопротивления</t>
        </is>
      </c>
      <c r="C155" s="248" t="inlineStr">
        <is>
          <t>ИПТВ-206</t>
        </is>
      </c>
      <c r="D155" s="248" t="inlineStr">
        <is>
          <t>09-0570</t>
        </is>
      </c>
      <c r="E155" s="254" t="inlineStr">
        <is>
          <t>2018</t>
        </is>
      </c>
      <c r="F155" s="245" t="inlineStr">
        <is>
          <t>-60…110 °С 0…100%</t>
        </is>
      </c>
      <c r="G155" s="248" t="inlineStr">
        <is>
          <t>± 2%</t>
        </is>
      </c>
      <c r="H155" s="248" t="inlineStr">
        <is>
          <t>Температура и влажность наружного воздуха (МТ2051)</t>
        </is>
      </c>
      <c r="I155" s="248" t="inlineStr">
        <is>
          <t>КЦ</t>
        </is>
      </c>
      <c r="J155" s="248" t="inlineStr">
        <is>
          <t>АСУ,А и ТМ (КЦ № 7)</t>
        </is>
      </c>
      <c r="K155" s="370" t="inlineStr"/>
      <c r="L155" s="371" t="inlineStr"/>
      <c r="M155" s="371" t="inlineStr"/>
      <c r="N155" s="371" t="inlineStr"/>
      <c r="O155" s="365" t="n"/>
    </row>
    <row r="156" ht="22.5" customHeight="1" s="236">
      <c r="A156" s="243" t="n">
        <v>155</v>
      </c>
      <c r="B156" s="346" t="inlineStr">
        <is>
          <t>Термометр сопротивления</t>
        </is>
      </c>
      <c r="C156" s="248" t="inlineStr">
        <is>
          <t>ТСП 012.60</t>
        </is>
      </c>
      <c r="D156" s="248" t="inlineStr">
        <is>
          <t>1120</t>
        </is>
      </c>
      <c r="E156" s="254" t="inlineStr">
        <is>
          <t>Aug.20</t>
        </is>
      </c>
      <c r="F156" s="245" t="inlineStr">
        <is>
          <t>-60…200 °С 120 мм</t>
        </is>
      </c>
      <c r="G156" s="248" t="inlineStr"/>
      <c r="H156" s="248" t="inlineStr">
        <is>
          <t>Температура масла на входе в ГМТ (ТЕ6003)</t>
        </is>
      </c>
      <c r="I156" s="248" t="inlineStr">
        <is>
          <t>Масленая консоль</t>
        </is>
      </c>
      <c r="J156" s="248" t="inlineStr">
        <is>
          <t>АСУ,А и ТМ (КЦ № 7)</t>
        </is>
      </c>
      <c r="K156" s="370" t="inlineStr"/>
      <c r="L156" s="371" t="inlineStr"/>
      <c r="M156" s="371" t="inlineStr"/>
      <c r="N156" s="371" t="inlineStr"/>
      <c r="O156" s="365" t="n"/>
    </row>
    <row r="157" ht="22.5" customHeight="1" s="236">
      <c r="A157" s="243" t="n">
        <v>156</v>
      </c>
      <c r="B157" s="346" t="inlineStr">
        <is>
          <t>Термометр сопротивления</t>
        </is>
      </c>
      <c r="C157" s="248" t="inlineStr">
        <is>
          <t>ТСП 012.60</t>
        </is>
      </c>
      <c r="D157" s="248" t="inlineStr">
        <is>
          <t>1122</t>
        </is>
      </c>
      <c r="E157" s="254" t="inlineStr">
        <is>
          <t>Aug.20</t>
        </is>
      </c>
      <c r="F157" s="245" t="inlineStr">
        <is>
          <t>-60…200 °С 120 мм</t>
        </is>
      </c>
      <c r="G157" s="248" t="inlineStr"/>
      <c r="H157" s="248" t="inlineStr">
        <is>
          <t>Тм после ГМТ (ТЕ6004)</t>
        </is>
      </c>
      <c r="I157" s="248" t="inlineStr">
        <is>
          <t>Масленая консоль</t>
        </is>
      </c>
      <c r="J157" s="248" t="inlineStr">
        <is>
          <t>АСУ,А и ТМ (КЦ № 7)</t>
        </is>
      </c>
      <c r="K157" s="370" t="inlineStr"/>
      <c r="L157" s="371" t="inlineStr"/>
      <c r="M157" s="371" t="inlineStr"/>
      <c r="N157" s="371" t="inlineStr"/>
      <c r="O157" s="365" t="n"/>
    </row>
    <row r="158" ht="22.5" customHeight="1" s="236">
      <c r="A158" s="243" t="n">
        <v>157</v>
      </c>
      <c r="B158" s="346" t="inlineStr">
        <is>
          <t>Термометр сопротивления</t>
        </is>
      </c>
      <c r="C158" s="248" t="inlineStr">
        <is>
          <t>ТСП 012.60</t>
        </is>
      </c>
      <c r="D158" s="248" t="inlineStr">
        <is>
          <t>1121</t>
        </is>
      </c>
      <c r="E158" s="254" t="inlineStr">
        <is>
          <t>Aug.20</t>
        </is>
      </c>
      <c r="F158" s="245" t="inlineStr">
        <is>
          <t>-60…200 °С 120 мм</t>
        </is>
      </c>
      <c r="G158" s="248" t="inlineStr"/>
      <c r="H158" s="248" t="inlineStr">
        <is>
          <t>Тм в баке двигателя (ТЕ6005)</t>
        </is>
      </c>
      <c r="I158" s="248" t="inlineStr">
        <is>
          <t>Масленая консоль</t>
        </is>
      </c>
      <c r="J158" s="248" t="inlineStr">
        <is>
          <t>АСУ,А и ТМ (КЦ № 7)</t>
        </is>
      </c>
      <c r="K158" s="370" t="inlineStr"/>
      <c r="L158" s="371" t="inlineStr"/>
      <c r="M158" s="371" t="inlineStr"/>
      <c r="N158" s="371" t="inlineStr"/>
      <c r="O158" s="365" t="n"/>
    </row>
    <row r="159" ht="22.5" customHeight="1" s="236">
      <c r="A159" s="243" t="n">
        <v>158</v>
      </c>
      <c r="B159" s="346" t="inlineStr">
        <is>
          <t>Термометр сопротивления</t>
        </is>
      </c>
      <c r="C159" s="248" t="inlineStr">
        <is>
          <t>ТСП 012.60</t>
        </is>
      </c>
      <c r="D159" s="248" t="inlineStr">
        <is>
          <t>33+</t>
        </is>
      </c>
      <c r="E159" s="254" t="inlineStr">
        <is>
          <t>2018</t>
        </is>
      </c>
      <c r="F159" s="245" t="inlineStr">
        <is>
          <t>-60…200 °С 320 мм</t>
        </is>
      </c>
      <c r="G159" s="248" t="inlineStr">
        <is>
          <t>В</t>
        </is>
      </c>
      <c r="H159" s="248" t="inlineStr">
        <is>
          <t>Т воздуха в выходном воздуховоде блока силового (ТЕ4001)</t>
        </is>
      </c>
      <c r="I159" s="248" t="inlineStr"/>
      <c r="J159" s="248" t="inlineStr">
        <is>
          <t>АСУ,А и ТМ (КЦ № 7)</t>
        </is>
      </c>
      <c r="K159" s="370" t="inlineStr"/>
      <c r="L159" s="371" t="inlineStr"/>
      <c r="M159" s="371" t="inlineStr"/>
      <c r="N159" s="371" t="inlineStr"/>
      <c r="O159" s="368" t="n"/>
    </row>
    <row r="160" ht="22.5" customHeight="1" s="236">
      <c r="A160" s="243" t="n">
        <v>159</v>
      </c>
      <c r="B160" s="346" t="inlineStr">
        <is>
          <t>Термометр сопротивления</t>
        </is>
      </c>
      <c r="C160" s="248" t="inlineStr">
        <is>
          <t>ТСП 012.60</t>
        </is>
      </c>
      <c r="D160" s="248" t="inlineStr">
        <is>
          <t>791</t>
        </is>
      </c>
      <c r="E160" s="254" t="inlineStr"/>
      <c r="F160" s="245" t="inlineStr">
        <is>
          <t>-60…200 °С 100 мм</t>
        </is>
      </c>
      <c r="G160" s="248" t="inlineStr"/>
      <c r="H160" s="248" t="inlineStr">
        <is>
          <t>Тг на входе в ГПА (ТЕ5101)</t>
        </is>
      </c>
      <c r="I160" s="248" t="inlineStr">
        <is>
          <t>Укрытие</t>
        </is>
      </c>
      <c r="J160" s="248" t="inlineStr">
        <is>
          <t>АСУ,А и ТМ (КЦ № 7)</t>
        </is>
      </c>
      <c r="K160" s="370" t="inlineStr"/>
      <c r="L160" s="371" t="inlineStr"/>
      <c r="M160" s="371" t="inlineStr"/>
      <c r="N160" s="371" t="inlineStr"/>
      <c r="O160" s="365" t="n"/>
    </row>
    <row r="161" ht="22.5" customHeight="1" s="236">
      <c r="A161" s="243" t="n">
        <v>160</v>
      </c>
      <c r="B161" s="346" t="inlineStr">
        <is>
          <t>Термометр сопротивления</t>
        </is>
      </c>
      <c r="C161" s="248" t="inlineStr">
        <is>
          <t>ТСП 012.60</t>
        </is>
      </c>
      <c r="D161" s="248" t="inlineStr">
        <is>
          <t>797</t>
        </is>
      </c>
      <c r="E161" s="254" t="inlineStr"/>
      <c r="F161" s="245" t="inlineStr">
        <is>
          <t>-60…200 °С 100 мм</t>
        </is>
      </c>
      <c r="G161" s="248" t="inlineStr"/>
      <c r="H161" s="248" t="inlineStr">
        <is>
          <t>Тг на входе в турбоблок (ТЕ5102)</t>
        </is>
      </c>
      <c r="I161" s="248" t="inlineStr">
        <is>
          <t>Укрытие</t>
        </is>
      </c>
      <c r="J161" s="248" t="inlineStr">
        <is>
          <t>АСУ,А и ТМ (КЦ № 7)</t>
        </is>
      </c>
      <c r="K161" s="370" t="inlineStr"/>
      <c r="L161" s="371" t="inlineStr"/>
      <c r="M161" s="371" t="inlineStr"/>
      <c r="N161" s="371" t="inlineStr"/>
      <c r="O161" s="365" t="n"/>
    </row>
    <row r="162" ht="22.5" customHeight="1" s="236">
      <c r="A162" s="243" t="n">
        <v>161</v>
      </c>
      <c r="B162" s="346" t="inlineStr">
        <is>
          <t>Термометр сопротивления</t>
        </is>
      </c>
      <c r="C162" s="248" t="inlineStr">
        <is>
          <t>ТСП 012.60</t>
        </is>
      </c>
      <c r="D162" s="248" t="inlineStr">
        <is>
          <t>800</t>
        </is>
      </c>
      <c r="E162" s="254" t="inlineStr"/>
      <c r="F162" s="245" t="inlineStr">
        <is>
          <t>-60…200 °С 100 мм</t>
        </is>
      </c>
      <c r="G162" s="248" t="inlineStr"/>
      <c r="H162" s="248" t="inlineStr">
        <is>
          <t>Тг на выходе подогревателя (ТЕ5103)</t>
        </is>
      </c>
      <c r="I162" s="248" t="inlineStr"/>
      <c r="J162" s="248" t="inlineStr">
        <is>
          <t>АСУ,А и ТМ (КЦ № 7)</t>
        </is>
      </c>
      <c r="K162" s="370" t="inlineStr"/>
      <c r="L162" s="371" t="inlineStr"/>
      <c r="M162" s="371" t="inlineStr"/>
      <c r="N162" s="371" t="inlineStr"/>
      <c r="O162" s="365" t="n"/>
    </row>
    <row r="163" ht="22.5" customHeight="1" s="236">
      <c r="A163" s="243" t="n">
        <v>162</v>
      </c>
      <c r="B163" s="346" t="inlineStr">
        <is>
          <t>Термометр сопротивления</t>
        </is>
      </c>
      <c r="C163" s="248" t="inlineStr">
        <is>
          <t>ТСП 012.60</t>
        </is>
      </c>
      <c r="D163" s="248" t="inlineStr">
        <is>
          <t>731</t>
        </is>
      </c>
      <c r="E163" s="254" t="inlineStr">
        <is>
          <t>Apr.18</t>
        </is>
      </c>
      <c r="F163" s="245" t="inlineStr">
        <is>
          <t>-60…200 °С 400 мм</t>
        </is>
      </c>
      <c r="G163" s="248" t="inlineStr">
        <is>
          <t>В</t>
        </is>
      </c>
      <c r="H163" s="248" t="inlineStr">
        <is>
          <t>Тв во всасывающей камере (ТЕ2031)</t>
        </is>
      </c>
      <c r="I163" s="248" t="inlineStr"/>
      <c r="J163" s="248" t="inlineStr">
        <is>
          <t>АСУ,А и ТМ (КЦ № 7)</t>
        </is>
      </c>
      <c r="K163" s="370" t="inlineStr"/>
      <c r="L163" s="371" t="inlineStr"/>
      <c r="M163" s="371" t="inlineStr"/>
      <c r="N163" s="371" t="inlineStr"/>
      <c r="O163" s="365" t="n"/>
    </row>
    <row r="164" ht="22.5" customHeight="1" s="236">
      <c r="A164" s="243" t="n">
        <v>163</v>
      </c>
      <c r="B164" s="346" t="inlineStr">
        <is>
          <t>Термометр сопротивления</t>
        </is>
      </c>
      <c r="C164" s="248" t="inlineStr">
        <is>
          <t>ТСП 012.08</t>
        </is>
      </c>
      <c r="D164" s="248" t="inlineStr">
        <is>
          <t>583</t>
        </is>
      </c>
      <c r="E164" s="254" t="inlineStr"/>
      <c r="F164" s="245" t="inlineStr">
        <is>
          <t>-60…200 °С 80 мм</t>
        </is>
      </c>
      <c r="G164" s="248" t="inlineStr"/>
      <c r="H164" s="248" t="inlineStr">
        <is>
          <t>Тв на выходе из БКВ к укрытию ГПА (ТЕ5302)</t>
        </is>
      </c>
      <c r="I164" s="248" t="inlineStr"/>
      <c r="J164" s="248" t="inlineStr">
        <is>
          <t>АСУ,А и ТМ (КЦ № 7)</t>
        </is>
      </c>
      <c r="K164" s="370" t="inlineStr"/>
      <c r="L164" s="371" t="inlineStr"/>
      <c r="M164" s="371" t="inlineStr"/>
      <c r="N164" s="371" t="inlineStr"/>
      <c r="O164" s="365" t="n"/>
    </row>
    <row r="165" ht="22.5" customHeight="1" s="236">
      <c r="A165" s="243" t="n">
        <v>164</v>
      </c>
      <c r="B165" s="346" t="inlineStr">
        <is>
          <t>Термометр сопротивления</t>
        </is>
      </c>
      <c r="C165" s="248" t="inlineStr">
        <is>
          <t>ТСП 012.60</t>
        </is>
      </c>
      <c r="D165" s="248" t="inlineStr">
        <is>
          <t>813</t>
        </is>
      </c>
      <c r="E165" s="254" t="inlineStr"/>
      <c r="F165" s="245" t="inlineStr">
        <is>
          <t>-60…200 °С 60 мм</t>
        </is>
      </c>
      <c r="G165" s="248" t="inlineStr"/>
      <c r="H165" s="248" t="inlineStr">
        <is>
          <t>Тв из блока подоготовки на входе в оболчки МП (ТЕ5304)</t>
        </is>
      </c>
      <c r="I165" s="248" t="inlineStr"/>
      <c r="J165" s="248" t="inlineStr">
        <is>
          <t>АСУ,А и ТМ (КЦ № 7)</t>
        </is>
      </c>
      <c r="K165" s="370" t="inlineStr"/>
      <c r="L165" s="371" t="inlineStr"/>
      <c r="M165" s="371" t="inlineStr"/>
      <c r="N165" s="371" t="inlineStr"/>
      <c r="O165" s="365" t="n"/>
    </row>
    <row r="166" ht="22.5" customHeight="1" s="236">
      <c r="A166" s="243" t="n">
        <v>165</v>
      </c>
      <c r="B166" s="346" t="inlineStr">
        <is>
          <t>Термометр сопротивления</t>
        </is>
      </c>
      <c r="C166" s="248" t="inlineStr">
        <is>
          <t>ТСП 012.60</t>
        </is>
      </c>
      <c r="D166" s="248" t="inlineStr">
        <is>
          <t>1574</t>
        </is>
      </c>
      <c r="E166" s="254" t="inlineStr">
        <is>
          <t>2020</t>
        </is>
      </c>
      <c r="F166" s="245" t="inlineStr">
        <is>
          <t>-60…200 °С 100 мм</t>
        </is>
      </c>
      <c r="G166" s="248" t="inlineStr"/>
      <c r="H166" s="248" t="inlineStr">
        <is>
          <t>Тв на выходе из узла отбора (ТЕ5303)</t>
        </is>
      </c>
      <c r="I166" s="248" t="inlineStr"/>
      <c r="J166" s="248" t="inlineStr">
        <is>
          <t>АСУ,А и ТМ (КЦ № 7)</t>
        </is>
      </c>
      <c r="K166" s="370" t="inlineStr"/>
      <c r="L166" s="371" t="inlineStr"/>
      <c r="M166" s="371" t="inlineStr"/>
      <c r="N166" s="371" t="inlineStr"/>
      <c r="O166" s="368" t="n"/>
    </row>
    <row r="167" ht="22.5" customHeight="1" s="236">
      <c r="A167" s="243" t="n">
        <v>166</v>
      </c>
      <c r="B167" s="346" t="inlineStr">
        <is>
          <t>Термометр сопротивления</t>
        </is>
      </c>
      <c r="C167" s="248" t="inlineStr">
        <is>
          <t>ТСП 012.60</t>
        </is>
      </c>
      <c r="D167" s="248" t="inlineStr">
        <is>
          <t>915</t>
        </is>
      </c>
      <c r="E167" s="254" t="inlineStr"/>
      <c r="F167" s="245" t="inlineStr">
        <is>
          <t>-60…200 °С 60 мм</t>
        </is>
      </c>
      <c r="G167" s="248" t="inlineStr"/>
      <c r="H167" s="248" t="inlineStr">
        <is>
          <t>Тбг на входе в ГДУ ПКВ (ТЕ5203)</t>
        </is>
      </c>
      <c r="I167" s="248" t="inlineStr"/>
      <c r="J167" s="248" t="inlineStr">
        <is>
          <t>АСУ,А и ТМ (КЦ № 7)</t>
        </is>
      </c>
      <c r="K167" s="370" t="inlineStr"/>
      <c r="L167" s="371" t="inlineStr"/>
      <c r="M167" s="371" t="inlineStr"/>
      <c r="N167" s="371" t="inlineStr"/>
      <c r="O167" s="365" t="n"/>
    </row>
    <row r="168" ht="22.5" customHeight="1" s="236">
      <c r="A168" s="243" t="n">
        <v>167</v>
      </c>
      <c r="B168" s="346" t="inlineStr">
        <is>
          <t>Термометр сопротивления</t>
        </is>
      </c>
      <c r="C168" s="248" t="inlineStr">
        <is>
          <t>ТСП 012.60</t>
        </is>
      </c>
      <c r="D168" s="248" t="inlineStr">
        <is>
          <t>916</t>
        </is>
      </c>
      <c r="E168" s="254" t="inlineStr"/>
      <c r="F168" s="245" t="inlineStr">
        <is>
          <t>-60…200 °С 60 мм</t>
        </is>
      </c>
      <c r="G168" s="248" t="inlineStr"/>
      <c r="H168" s="248" t="inlineStr">
        <is>
          <t>Тбг на входе в ГДУ ЗКВ (ТЕ5204)</t>
        </is>
      </c>
      <c r="I168" s="248" t="inlineStr"/>
      <c r="J168" s="248" t="inlineStr">
        <is>
          <t>АСУ,А и ТМ (КЦ № 7)</t>
        </is>
      </c>
      <c r="K168" s="370" t="inlineStr"/>
      <c r="L168" s="371" t="inlineStr"/>
      <c r="M168" s="371" t="inlineStr"/>
      <c r="N168" s="371" t="inlineStr"/>
      <c r="O168" s="365" t="n"/>
    </row>
    <row r="169" ht="22.5" customHeight="1" s="236">
      <c r="A169" s="243" t="n">
        <v>168</v>
      </c>
      <c r="B169" s="346" t="inlineStr">
        <is>
          <t>Термометр сопротивления</t>
        </is>
      </c>
      <c r="C169" s="248" t="inlineStr">
        <is>
          <t>ДТС 214</t>
        </is>
      </c>
      <c r="D169" s="248" t="inlineStr">
        <is>
          <t>61216180507116372</t>
        </is>
      </c>
      <c r="E169" s="254" t="inlineStr">
        <is>
          <t>2018</t>
        </is>
      </c>
      <c r="F169" s="245" t="inlineStr">
        <is>
          <t>-60…250 °С</t>
        </is>
      </c>
      <c r="G169" s="248" t="inlineStr"/>
      <c r="H169" s="248" t="inlineStr">
        <is>
          <t>Т алюминиевого блока подогревателя топливного газа (ТЕ5104)</t>
        </is>
      </c>
      <c r="I169" s="248" t="inlineStr"/>
      <c r="J169" s="248" t="inlineStr">
        <is>
          <t>АСУ,А и ТМ (КЦ № 7)</t>
        </is>
      </c>
      <c r="K169" s="370" t="inlineStr"/>
      <c r="L169" s="371" t="inlineStr"/>
      <c r="M169" s="371" t="inlineStr"/>
      <c r="N169" s="371" t="inlineStr"/>
      <c r="O169" s="368" t="n"/>
    </row>
    <row r="170" ht="22.5" customHeight="1" s="236">
      <c r="A170" s="243" t="n">
        <v>169</v>
      </c>
      <c r="B170" s="346" t="inlineStr">
        <is>
          <t>Термометр сопротивления</t>
        </is>
      </c>
      <c r="C170" s="248" t="inlineStr">
        <is>
          <t>ТСП 012.60</t>
        </is>
      </c>
      <c r="D170" s="248" t="inlineStr">
        <is>
          <t>45</t>
        </is>
      </c>
      <c r="E170" s="254" t="inlineStr"/>
      <c r="F170" s="245" t="inlineStr">
        <is>
          <t>-60…200 °С 160 мм</t>
        </is>
      </c>
      <c r="G170" s="248" t="inlineStr"/>
      <c r="H170" s="248" t="inlineStr">
        <is>
          <t>Тв на выходе из оболочки радиального подшипника (ПКВ) (ТЕ5205)</t>
        </is>
      </c>
      <c r="I170" s="248" t="inlineStr"/>
      <c r="J170" s="248" t="inlineStr">
        <is>
          <t>АСУ,А и ТМ (КЦ № 7)</t>
        </is>
      </c>
      <c r="K170" s="370" t="inlineStr"/>
      <c r="L170" s="371" t="inlineStr"/>
      <c r="M170" s="371" t="inlineStr"/>
      <c r="N170" s="371" t="inlineStr"/>
      <c r="O170" s="365" t="n"/>
    </row>
    <row r="171" ht="22.5" customHeight="1" s="236">
      <c r="A171" s="243" t="n">
        <v>170</v>
      </c>
      <c r="B171" s="346" t="inlineStr">
        <is>
          <t>Термометр сопротивления</t>
        </is>
      </c>
      <c r="C171" s="248" t="inlineStr">
        <is>
          <t>ТСП 012.52В</t>
        </is>
      </c>
      <c r="D171" s="248" t="inlineStr">
        <is>
          <t>44</t>
        </is>
      </c>
      <c r="E171" s="254" t="inlineStr">
        <is>
          <t>2018</t>
        </is>
      </c>
      <c r="F171" s="245" t="inlineStr">
        <is>
          <t>-60…200 °С 160 мм</t>
        </is>
      </c>
      <c r="G171" s="248" t="inlineStr">
        <is>
          <t>В</t>
        </is>
      </c>
      <c r="H171" s="248" t="inlineStr">
        <is>
          <t>Тв на выходе из оболочки радиального подшипника ЗКВ (ТЕ5206)</t>
        </is>
      </c>
      <c r="I171" s="248" t="inlineStr"/>
      <c r="J171" s="248" t="inlineStr">
        <is>
          <t>АСУ,А и ТМ (КЦ № 7)</t>
        </is>
      </c>
      <c r="K171" s="370" t="inlineStr"/>
      <c r="L171" s="371" t="inlineStr"/>
      <c r="M171" s="371" t="inlineStr"/>
      <c r="N171" s="371" t="inlineStr"/>
      <c r="O171" s="368" t="n"/>
    </row>
    <row r="172" ht="22.5" customHeight="1" s="236">
      <c r="A172" s="243" t="n">
        <v>171</v>
      </c>
      <c r="B172" s="346" t="inlineStr">
        <is>
          <t>Термометр сопротивления</t>
        </is>
      </c>
      <c r="C172" s="248" t="inlineStr">
        <is>
          <t>ТСП 012.60</t>
        </is>
      </c>
      <c r="D172" s="248" t="inlineStr">
        <is>
          <t>1567</t>
        </is>
      </c>
      <c r="E172" s="254" t="inlineStr"/>
      <c r="F172" s="245" t="inlineStr">
        <is>
          <t>-60…200 °С 400 мм</t>
        </is>
      </c>
      <c r="G172" s="248" t="inlineStr"/>
      <c r="H172" s="248" t="inlineStr">
        <is>
          <t>Тг на входе в компрессор (ТЕ8001)</t>
        </is>
      </c>
      <c r="I172" s="248" t="inlineStr"/>
      <c r="J172" s="248" t="inlineStr">
        <is>
          <t>АСУ,А и ТМ (КЦ № 7)</t>
        </is>
      </c>
      <c r="K172" s="370" t="inlineStr"/>
      <c r="L172" s="371" t="inlineStr"/>
      <c r="M172" s="371" t="inlineStr"/>
      <c r="N172" s="371" t="inlineStr"/>
      <c r="O172" s="365" t="n"/>
    </row>
    <row r="173" ht="22.5" customHeight="1" s="236">
      <c r="A173" s="243" t="n">
        <v>172</v>
      </c>
      <c r="B173" s="346" t="inlineStr">
        <is>
          <t>Термометр сопротивления</t>
        </is>
      </c>
      <c r="C173" s="248" t="inlineStr">
        <is>
          <t>ТСП 012.60</t>
        </is>
      </c>
      <c r="D173" s="248" t="inlineStr">
        <is>
          <t>801</t>
        </is>
      </c>
      <c r="E173" s="254" t="inlineStr"/>
      <c r="F173" s="245" t="inlineStr">
        <is>
          <t>-60…200 °С 100 мм</t>
        </is>
      </c>
      <c r="G173" s="248" t="inlineStr"/>
      <c r="H173" s="248" t="inlineStr">
        <is>
          <t>Тг на выходе из компрессор (ТЕ8002)</t>
        </is>
      </c>
      <c r="I173" s="248" t="inlineStr"/>
      <c r="J173" s="248" t="inlineStr">
        <is>
          <t>АСУ,А и ТМ (КЦ № 7)</t>
        </is>
      </c>
      <c r="K173" s="370" t="inlineStr"/>
      <c r="L173" s="371" t="inlineStr"/>
      <c r="M173" s="371" t="inlineStr"/>
      <c r="N173" s="371" t="inlineStr"/>
      <c r="O173" s="365" t="n"/>
    </row>
    <row r="174" ht="22.5" customHeight="1" s="236">
      <c r="A174" s="243" t="n">
        <v>173</v>
      </c>
      <c r="B174" s="346" t="inlineStr">
        <is>
          <t>Термометр сопротивления</t>
        </is>
      </c>
      <c r="C174" s="248" t="inlineStr">
        <is>
          <t>ТСП 012.СП</t>
        </is>
      </c>
      <c r="D174" s="248" t="inlineStr">
        <is>
          <t>598</t>
        </is>
      </c>
      <c r="E174" s="254" t="inlineStr"/>
      <c r="F174" s="245" t="inlineStr">
        <is>
          <t>-60…200 °С 80 мм</t>
        </is>
      </c>
      <c r="G174" s="248" t="inlineStr"/>
      <c r="H174" s="248" t="inlineStr">
        <is>
          <t>Тв в БКВ (ТЕ5301)</t>
        </is>
      </c>
      <c r="I174" s="248" t="inlineStr"/>
      <c r="J174" s="248" t="inlineStr">
        <is>
          <t>АСУ,А и ТМ (КЦ № 7)</t>
        </is>
      </c>
      <c r="K174" s="370" t="inlineStr"/>
      <c r="L174" s="371" t="inlineStr"/>
      <c r="M174" s="371" t="inlineStr"/>
      <c r="N174" s="371" t="inlineStr"/>
      <c r="O174" s="372" t="n"/>
    </row>
    <row r="175" ht="22.5" customHeight="1" s="236">
      <c r="A175" s="243" t="n">
        <v>174</v>
      </c>
      <c r="B175" s="346" t="inlineStr">
        <is>
          <t>Термометр сопротивления</t>
        </is>
      </c>
      <c r="C175" s="248" t="inlineStr">
        <is>
          <t>ТСП 012.02</t>
        </is>
      </c>
      <c r="D175" s="248" t="inlineStr">
        <is>
          <t>630</t>
        </is>
      </c>
      <c r="E175" s="254" t="inlineStr"/>
      <c r="F175" s="245" t="inlineStr">
        <is>
          <t>-60…200 °С 60 мм</t>
        </is>
      </c>
      <c r="G175" s="248" t="inlineStr"/>
      <c r="H175" s="248" t="inlineStr">
        <is>
          <t>Тв в отсеке САУ (ТЕ8101)</t>
        </is>
      </c>
      <c r="I175" s="248" t="inlineStr"/>
      <c r="J175" s="248" t="inlineStr">
        <is>
          <t>АСУ,А и ТМ (КЦ № 7)</t>
        </is>
      </c>
      <c r="K175" s="370" t="inlineStr"/>
      <c r="L175" s="371" t="inlineStr"/>
      <c r="M175" s="371" t="inlineStr"/>
      <c r="N175" s="371" t="inlineStr"/>
      <c r="O175" s="372" t="n"/>
    </row>
    <row r="176" ht="22.5" customHeight="1" s="236">
      <c r="A176" s="243" t="n">
        <v>175</v>
      </c>
      <c r="B176" s="346" t="inlineStr">
        <is>
          <t>Термометр сопротивления</t>
        </is>
      </c>
      <c r="C176" s="248" t="inlineStr">
        <is>
          <t>ТСП 012.60</t>
        </is>
      </c>
      <c r="D176" s="248" t="inlineStr">
        <is>
          <t>636</t>
        </is>
      </c>
      <c r="E176" s="254" t="inlineStr"/>
      <c r="F176" s="245" t="inlineStr">
        <is>
          <t>-60…200 °С 60 мм</t>
        </is>
      </c>
      <c r="G176" s="248" t="inlineStr"/>
      <c r="H176" s="248" t="inlineStr">
        <is>
          <t>Тв в БЭТ (ТЕ8102)</t>
        </is>
      </c>
      <c r="I176" s="248" t="inlineStr"/>
      <c r="J176" s="248" t="inlineStr">
        <is>
          <t>АСУ,А и ТМ (КЦ № 7)</t>
        </is>
      </c>
      <c r="K176" s="370" t="inlineStr"/>
      <c r="L176" s="371" t="inlineStr"/>
      <c r="M176" s="371" t="inlineStr"/>
      <c r="N176" s="371" t="inlineStr"/>
      <c r="O176" s="365" t="n"/>
    </row>
    <row r="177" ht="22.5" customHeight="1" s="236">
      <c r="A177" s="243" t="n">
        <v>176</v>
      </c>
      <c r="B177" s="346" t="inlineStr">
        <is>
          <t>Термометр сопротивления</t>
        </is>
      </c>
      <c r="C177" s="248" t="inlineStr">
        <is>
          <t>ТСП 012.60</t>
        </is>
      </c>
      <c r="D177" s="248" t="inlineStr">
        <is>
          <t>1119</t>
        </is>
      </c>
      <c r="E177" s="254" t="inlineStr">
        <is>
          <t>2020</t>
        </is>
      </c>
      <c r="F177" s="245" t="inlineStr">
        <is>
          <t>-60…200 °С 120 мм</t>
        </is>
      </c>
      <c r="G177" s="248" t="inlineStr">
        <is>
          <t>В</t>
        </is>
      </c>
      <c r="H177" s="248" t="inlineStr">
        <is>
          <t>Тм на выходе из двигателя (ТЕ6002)</t>
        </is>
      </c>
      <c r="I177" s="248" t="inlineStr">
        <is>
          <t>Масленая консоль</t>
        </is>
      </c>
      <c r="J177" s="248" t="inlineStr">
        <is>
          <t>АСУ,А и ТМ (КЦ № 7)</t>
        </is>
      </c>
      <c r="K177" s="370" t="inlineStr"/>
      <c r="L177" s="371" t="inlineStr"/>
      <c r="M177" s="371" t="inlineStr"/>
      <c r="N177" s="371" t="inlineStr"/>
      <c r="O177" s="368" t="n"/>
    </row>
    <row r="178" ht="22.5" customHeight="1" s="236">
      <c r="A178" s="243" t="n">
        <v>177</v>
      </c>
      <c r="B178" s="346" t="inlineStr">
        <is>
          <t>Термометр сопротивления</t>
        </is>
      </c>
      <c r="C178" s="248" t="inlineStr">
        <is>
          <t>ТСПУ 014.52</t>
        </is>
      </c>
      <c r="D178" s="248" t="inlineStr">
        <is>
          <t>76</t>
        </is>
      </c>
      <c r="E178" s="254" t="inlineStr">
        <is>
          <t>2018</t>
        </is>
      </c>
      <c r="F178" s="245" t="inlineStr">
        <is>
          <t>-50…150 °С 250 мм</t>
        </is>
      </c>
      <c r="G178" s="248" t="inlineStr">
        <is>
          <t>0.50%</t>
        </is>
      </c>
      <c r="H178" s="248" t="inlineStr">
        <is>
          <t>Тбг после подогревателя в стойке СГУ (ТТ5202)</t>
        </is>
      </c>
      <c r="I178" s="248" t="inlineStr"/>
      <c r="J178" s="248" t="inlineStr">
        <is>
          <t>АСУ,А и ТМ (КЦ № 7)</t>
        </is>
      </c>
      <c r="K178" s="370" t="inlineStr"/>
      <c r="L178" s="371" t="inlineStr"/>
      <c r="M178" s="371" t="inlineStr"/>
      <c r="N178" s="371" t="inlineStr"/>
      <c r="O178" s="368" t="n"/>
    </row>
    <row r="179" ht="33.75" customHeight="1" s="236">
      <c r="A179" s="243" t="n">
        <v>178</v>
      </c>
      <c r="B179" s="346" t="inlineStr">
        <is>
          <t>Термометр сопротивления</t>
        </is>
      </c>
      <c r="C179" s="248" t="inlineStr">
        <is>
          <t>ДТС 214</t>
        </is>
      </c>
      <c r="D179" s="248" t="inlineStr">
        <is>
          <t>61216200344079928</t>
        </is>
      </c>
      <c r="E179" s="254" t="inlineStr">
        <is>
          <t>Nov.18</t>
        </is>
      </c>
      <c r="F179" s="245" t="inlineStr">
        <is>
          <t>-60…250 °С</t>
        </is>
      </c>
      <c r="G179" s="248" t="inlineStr"/>
      <c r="H179" s="248" t="inlineStr">
        <is>
          <t>Т алюминиевого блока подогревателя предпусковой подготовки буферного газа (ТТ5206)</t>
        </is>
      </c>
      <c r="I179" s="248" t="inlineStr"/>
      <c r="J179" s="248" t="inlineStr">
        <is>
          <t>АСУ,А и ТМ (КЦ № 7)</t>
        </is>
      </c>
      <c r="K179" s="370" t="inlineStr"/>
      <c r="L179" s="371" t="inlineStr"/>
      <c r="M179" s="371" t="inlineStr"/>
      <c r="N179" s="371" t="inlineStr"/>
      <c r="O179" s="368" t="n"/>
    </row>
    <row r="180" ht="22.5" customHeight="1" s="236">
      <c r="A180" s="243" t="n">
        <v>179</v>
      </c>
      <c r="B180" s="346" t="inlineStr">
        <is>
          <t>Термометр сопротивления</t>
        </is>
      </c>
      <c r="C180" s="248" t="inlineStr">
        <is>
          <t>ТСП 012.60</t>
        </is>
      </c>
      <c r="D180" s="248" t="inlineStr">
        <is>
          <t>1803</t>
        </is>
      </c>
      <c r="E180" s="254" t="inlineStr">
        <is>
          <t>Nov.18</t>
        </is>
      </c>
      <c r="F180" s="245" t="inlineStr">
        <is>
          <t>-60…200 °С 120 мм</t>
        </is>
      </c>
      <c r="G180" s="248" t="inlineStr">
        <is>
          <t>В</t>
        </is>
      </c>
      <c r="H180" s="248" t="inlineStr">
        <is>
          <t>Тв в блоке маслоочистителя (ТЕ6006)</t>
        </is>
      </c>
      <c r="I180" s="248" t="inlineStr"/>
      <c r="J180" s="248" t="inlineStr">
        <is>
          <t>АСУ,А и ТМ (КЦ № 7)</t>
        </is>
      </c>
      <c r="K180" s="370" t="inlineStr"/>
      <c r="L180" s="371" t="inlineStr"/>
      <c r="M180" s="371" t="inlineStr"/>
      <c r="N180" s="371" t="inlineStr"/>
      <c r="O180" s="368" t="n"/>
    </row>
    <row r="181" ht="22.5" customHeight="1" s="236">
      <c r="A181" s="243" t="n">
        <v>180</v>
      </c>
      <c r="B181" s="346" t="inlineStr">
        <is>
          <t>Термометр сопротивления</t>
        </is>
      </c>
      <c r="C181" s="248" t="inlineStr">
        <is>
          <t>ТСП 012.02</t>
        </is>
      </c>
      <c r="D181" s="248" t="inlineStr">
        <is>
          <t>646</t>
        </is>
      </c>
      <c r="E181" s="254" t="inlineStr">
        <is>
          <t>2018</t>
        </is>
      </c>
      <c r="F181" s="245" t="inlineStr">
        <is>
          <t>-60…200 °С 60 мм</t>
        </is>
      </c>
      <c r="G181" s="248" t="inlineStr"/>
      <c r="H181" s="248" t="inlineStr">
        <is>
          <t>Тв в БЭТ АВОГ (ТЕ8201)</t>
        </is>
      </c>
      <c r="I181" s="248" t="inlineStr"/>
      <c r="J181" s="248" t="inlineStr">
        <is>
          <t>АСУ,А и ТМ (КЦ № 7)</t>
        </is>
      </c>
      <c r="K181" s="370" t="inlineStr"/>
      <c r="L181" s="371" t="inlineStr"/>
      <c r="M181" s="371" t="inlineStr"/>
      <c r="N181" s="371" t="inlineStr"/>
      <c r="O181" s="365" t="n"/>
    </row>
    <row r="182" ht="22.5" customHeight="1" s="236">
      <c r="A182" s="243" t="n">
        <v>181</v>
      </c>
      <c r="B182" s="346" t="inlineStr">
        <is>
          <t>Термометр сопротивления</t>
        </is>
      </c>
      <c r="C182" s="248" t="inlineStr">
        <is>
          <t>ТСП 012.60</t>
        </is>
      </c>
      <c r="D182" s="248" t="inlineStr">
        <is>
          <t>1383</t>
        </is>
      </c>
      <c r="E182" s="254" t="inlineStr">
        <is>
          <t>May.18</t>
        </is>
      </c>
      <c r="F182" s="245" t="inlineStr">
        <is>
          <t>-60…200 °С 60 мм</t>
        </is>
      </c>
      <c r="G182" s="248" t="inlineStr"/>
      <c r="H182" s="248" t="inlineStr">
        <is>
          <t>Ттг перед ДГ</t>
        </is>
      </c>
      <c r="I182" s="248" t="inlineStr"/>
      <c r="J182" s="248" t="inlineStr">
        <is>
          <t>АСУ,А и ТМ (КЦ № 7)</t>
        </is>
      </c>
      <c r="K182" s="370" t="inlineStr"/>
      <c r="L182" s="371" t="inlineStr"/>
      <c r="M182" s="371" t="inlineStr"/>
      <c r="N182" s="371" t="inlineStr"/>
      <c r="O182" s="365" t="n"/>
    </row>
    <row r="183" ht="22.5" customHeight="1" s="236">
      <c r="A183" s="243" t="n">
        <v>182</v>
      </c>
      <c r="B183" s="346" t="inlineStr">
        <is>
          <t>Термометр сопротивления</t>
        </is>
      </c>
      <c r="C183" s="248" t="inlineStr">
        <is>
          <t>Метран-2700</t>
        </is>
      </c>
      <c r="D183" s="248" t="inlineStr">
        <is>
          <t>2437641</t>
        </is>
      </c>
      <c r="E183" s="254" t="inlineStr">
        <is>
          <t>Jun.18</t>
        </is>
      </c>
      <c r="F183" s="245" t="inlineStr">
        <is>
          <t>-50…300 °С 60 мм</t>
        </is>
      </c>
      <c r="G183" s="248" t="inlineStr"/>
      <c r="H183" s="248" t="inlineStr">
        <is>
          <t>Тбг на подогревателе СГУ</t>
        </is>
      </c>
      <c r="I183" s="248" t="inlineStr"/>
      <c r="J183" s="248" t="inlineStr">
        <is>
          <t>АСУ,А и ТМ (КЦ № 7)</t>
        </is>
      </c>
      <c r="K183" s="370" t="inlineStr"/>
      <c r="L183" s="371" t="inlineStr"/>
      <c r="M183" s="371" t="inlineStr"/>
      <c r="N183" s="371" t="inlineStr"/>
      <c r="O183" s="365" t="n"/>
    </row>
    <row r="184" ht="22.5" customHeight="1" s="236">
      <c r="A184" s="243" t="n">
        <v>183</v>
      </c>
      <c r="B184" s="346" t="inlineStr">
        <is>
          <t>Термометр сопротивления</t>
        </is>
      </c>
      <c r="C184" s="248" t="inlineStr">
        <is>
          <t>ТСП 012.60</t>
        </is>
      </c>
      <c r="D184" s="248" t="inlineStr">
        <is>
          <t>796</t>
        </is>
      </c>
      <c r="E184" s="254" t="inlineStr"/>
      <c r="F184" s="245" t="inlineStr">
        <is>
          <t>-60…200 °С 60 мм</t>
        </is>
      </c>
      <c r="G184" s="248" t="inlineStr"/>
      <c r="H184" s="248" t="inlineStr">
        <is>
          <t>Тбг после подогревателя предпусковой подготовки (ТЕ5208)</t>
        </is>
      </c>
      <c r="I184" s="248" t="inlineStr"/>
      <c r="J184" s="248" t="inlineStr">
        <is>
          <t>АСУ,А и ТМ (КЦ № 7)</t>
        </is>
      </c>
      <c r="K184" s="370" t="inlineStr"/>
      <c r="L184" s="371" t="inlineStr"/>
      <c r="M184" s="371" t="inlineStr"/>
      <c r="N184" s="371" t="inlineStr"/>
      <c r="O184" s="365" t="n"/>
    </row>
    <row r="185" ht="22.5" customHeight="1" s="236">
      <c r="A185" s="243" t="n">
        <v>184</v>
      </c>
      <c r="B185" s="346" t="inlineStr">
        <is>
          <t>Термометр сопротивления</t>
        </is>
      </c>
      <c r="C185" s="248" t="inlineStr">
        <is>
          <t>ТСП 012.08</t>
        </is>
      </c>
      <c r="D185" s="248" t="inlineStr">
        <is>
          <t>596+</t>
        </is>
      </c>
      <c r="E185" s="254" t="inlineStr"/>
      <c r="F185" s="245" t="inlineStr">
        <is>
          <t>-60…200 °С 80 мм</t>
        </is>
      </c>
      <c r="G185" s="248" t="inlineStr"/>
      <c r="H185" s="248" t="inlineStr">
        <is>
          <t>Тв подоваемого в воздуходовки (ТЕ5306)</t>
        </is>
      </c>
      <c r="I185" s="248" t="inlineStr"/>
      <c r="J185" s="248" t="inlineStr">
        <is>
          <t>АСУ,А и ТМ (КЦ № 7)</t>
        </is>
      </c>
      <c r="K185" s="370" t="inlineStr"/>
      <c r="L185" s="371" t="inlineStr"/>
      <c r="M185" s="371" t="inlineStr"/>
      <c r="N185" s="371" t="inlineStr"/>
      <c r="O185" s="365" t="n"/>
    </row>
    <row r="186" ht="22.5" customHeight="1" s="236">
      <c r="A186" s="243" t="n">
        <v>185</v>
      </c>
      <c r="B186" s="346" t="inlineStr">
        <is>
          <t>Термометр сопротивления</t>
        </is>
      </c>
      <c r="C186" s="248" t="inlineStr">
        <is>
          <t>ТСПУ 031 СК</t>
        </is>
      </c>
      <c r="D186" s="248" t="inlineStr">
        <is>
          <t>104</t>
        </is>
      </c>
      <c r="E186" s="254" t="inlineStr"/>
      <c r="F186" s="245" t="inlineStr">
        <is>
          <t>-50…200 °С 250 мм</t>
        </is>
      </c>
      <c r="G186" s="248" t="inlineStr"/>
      <c r="H186" s="248" t="inlineStr">
        <is>
          <t>Тг на выходе АВО перед клапаном 6к (ТТ2)</t>
        </is>
      </c>
      <c r="I186" s="248" t="inlineStr"/>
      <c r="J186" s="248" t="inlineStr">
        <is>
          <t>АСУ,А и ТМ (КЦ № 7)</t>
        </is>
      </c>
      <c r="K186" s="370" t="inlineStr"/>
      <c r="L186" s="371" t="inlineStr"/>
      <c r="M186" s="371" t="inlineStr"/>
      <c r="N186" s="371" t="inlineStr"/>
      <c r="O186" s="365" t="n"/>
    </row>
    <row r="187" ht="22.5" customHeight="1" s="236">
      <c r="A187" s="243" t="n">
        <v>186</v>
      </c>
      <c r="B187" s="346" t="inlineStr">
        <is>
          <t>Термометр сопротивления</t>
        </is>
      </c>
      <c r="C187" s="248" t="inlineStr">
        <is>
          <t>ТСПУ 031 СК</t>
        </is>
      </c>
      <c r="D187" s="248" t="inlineStr">
        <is>
          <t>102</t>
        </is>
      </c>
      <c r="E187" s="254" t="inlineStr">
        <is>
          <t>2018</t>
        </is>
      </c>
      <c r="F187" s="245" t="inlineStr">
        <is>
          <t>-50…200 °С 250 мм</t>
        </is>
      </c>
      <c r="G187" s="248" t="inlineStr">
        <is>
          <t>0.3</t>
        </is>
      </c>
      <c r="H187" s="248" t="inlineStr">
        <is>
          <t>Тг на выходе АВО перед клапаном 2 (ТТ1)</t>
        </is>
      </c>
      <c r="I187" s="248" t="inlineStr"/>
      <c r="J187" s="248" t="inlineStr">
        <is>
          <t>АСУ,А и ТМ (КЦ № 7)</t>
        </is>
      </c>
      <c r="K187" s="370" t="inlineStr"/>
      <c r="L187" s="371" t="inlineStr"/>
      <c r="M187" s="371" t="inlineStr"/>
      <c r="N187" s="371" t="inlineStr"/>
      <c r="O187" s="365" t="n"/>
    </row>
    <row r="188" ht="22.5" customHeight="1" s="236">
      <c r="A188" s="239">
        <f>IF(B188&lt;&gt;"", COUNTA($B$2:B188), "")</f>
        <v/>
      </c>
      <c r="B188" s="373" t="inlineStr">
        <is>
          <t>Термометр сопротивления</t>
        </is>
      </c>
      <c r="C188" s="251" t="inlineStr">
        <is>
          <t>ТСП 012.08</t>
        </is>
      </c>
      <c r="D188" s="251" t="n">
        <v>596</v>
      </c>
      <c r="E188" s="374" t="n">
        <v>43252</v>
      </c>
      <c r="F188" s="252" t="inlineStr">
        <is>
          <t>-50…200 °С
80 мм</t>
        </is>
      </c>
      <c r="G188" s="375" t="n">
        <v>0.0025</v>
      </c>
      <c r="H188" s="251" t="inlineStr">
        <is>
          <t>Тв в общем колекторе</t>
        </is>
      </c>
      <c r="I188" s="239" t="n"/>
      <c r="J188" s="344" t="inlineStr">
        <is>
          <t>АСУ,А и ТМ (КЦ № 7)</t>
        </is>
      </c>
      <c r="K188" s="376" t="n"/>
      <c r="L188" s="369" t="n"/>
      <c r="M188" s="369" t="n"/>
      <c r="N188" s="369" t="n"/>
      <c r="O188" s="365" t="n"/>
    </row>
    <row r="189" ht="22.5" customHeight="1" s="236">
      <c r="A189" s="243" t="n">
        <v>188</v>
      </c>
      <c r="B189" s="249" t="inlineStr">
        <is>
          <t>Термометр сопротивления</t>
        </is>
      </c>
      <c r="C189" s="248" t="inlineStr">
        <is>
          <t>ТСПУ014.12</t>
        </is>
      </c>
      <c r="D189" s="248" t="inlineStr">
        <is>
          <t>356</t>
        </is>
      </c>
      <c r="E189" s="377" t="inlineStr">
        <is>
          <t>Jun.18</t>
        </is>
      </c>
      <c r="F189" s="254" t="inlineStr">
        <is>
          <t>-50…150 °С 80 мм</t>
        </is>
      </c>
      <c r="G189" s="378" t="inlineStr">
        <is>
          <t>В</t>
        </is>
      </c>
      <c r="H189" s="248" t="inlineStr">
        <is>
          <t>Тв в общем колекторе</t>
        </is>
      </c>
      <c r="I189" s="243" t="inlineStr"/>
      <c r="J189" s="348" t="inlineStr">
        <is>
          <t>АСУ,А и ТМ (КЦ № 7)</t>
        </is>
      </c>
      <c r="K189" s="379" t="inlineStr"/>
      <c r="L189" s="371" t="inlineStr"/>
      <c r="M189" s="371" t="inlineStr"/>
      <c r="N189" s="371" t="inlineStr"/>
      <c r="O189" s="365" t="n"/>
    </row>
    <row r="190" ht="22.5" customHeight="1" s="236">
      <c r="A190" s="243" t="n">
        <v>189</v>
      </c>
      <c r="B190" s="249" t="inlineStr">
        <is>
          <t>Термометр сопротивления</t>
        </is>
      </c>
      <c r="C190" s="248" t="inlineStr">
        <is>
          <t>Метран-2000 А02 НСХ</t>
        </is>
      </c>
      <c r="D190" s="248" t="inlineStr">
        <is>
          <t>2444276</t>
        </is>
      </c>
      <c r="E190" s="377" t="inlineStr">
        <is>
          <t>Jul.18</t>
        </is>
      </c>
      <c r="F190" s="254" t="inlineStr">
        <is>
          <t>-50…200 °С 60 мм</t>
        </is>
      </c>
      <c r="G190" s="378" t="inlineStr"/>
      <c r="H190" s="248" t="inlineStr">
        <is>
          <t>Тв на выходе ресивера ГШ5301</t>
        </is>
      </c>
      <c r="I190" s="243" t="inlineStr"/>
      <c r="J190" s="348" t="inlineStr">
        <is>
          <t>АСУ,А и ТМ (КЦ № 7)</t>
        </is>
      </c>
      <c r="K190" s="379" t="inlineStr"/>
      <c r="L190" s="371" t="inlineStr"/>
      <c r="M190" s="371" t="inlineStr"/>
      <c r="N190" s="371" t="inlineStr"/>
      <c r="O190" s="365" t="n"/>
    </row>
    <row r="191" ht="22.5" customHeight="1" s="236">
      <c r="A191" s="243" t="n">
        <v>190</v>
      </c>
      <c r="B191" s="249" t="inlineStr">
        <is>
          <t>Термометр сопротивления</t>
        </is>
      </c>
      <c r="C191" s="248" t="inlineStr">
        <is>
          <t>Метран-2000 А02 НСХ</t>
        </is>
      </c>
      <c r="D191" s="248" t="inlineStr">
        <is>
          <t>2443189</t>
        </is>
      </c>
      <c r="E191" s="377" t="inlineStr">
        <is>
          <t>Jul.18</t>
        </is>
      </c>
      <c r="F191" s="254" t="inlineStr">
        <is>
          <t>-50…200 °С 60 мм</t>
        </is>
      </c>
      <c r="G191" s="378" t="inlineStr"/>
      <c r="H191" s="248" t="inlineStr">
        <is>
          <t>Тм подшипника ВК2 В5301</t>
        </is>
      </c>
      <c r="I191" s="243" t="inlineStr"/>
      <c r="J191" s="348" t="inlineStr">
        <is>
          <t>АСУ,А и ТМ (КЦ № 7)</t>
        </is>
      </c>
      <c r="K191" s="379" t="inlineStr"/>
      <c r="L191" s="371" t="inlineStr"/>
      <c r="M191" s="371" t="inlineStr"/>
      <c r="N191" s="371" t="inlineStr"/>
      <c r="O191" s="365" t="n"/>
    </row>
    <row r="192" ht="22.5" customHeight="1" s="236">
      <c r="A192" s="243" t="n">
        <v>191</v>
      </c>
      <c r="B192" s="249" t="inlineStr">
        <is>
          <t>Термометр сопротивления</t>
        </is>
      </c>
      <c r="C192" s="248" t="inlineStr">
        <is>
          <t>Метран-2000 А02 НСХ</t>
        </is>
      </c>
      <c r="D192" s="248" t="inlineStr">
        <is>
          <t>2444559</t>
        </is>
      </c>
      <c r="E192" s="377" t="inlineStr">
        <is>
          <t>Jul.18</t>
        </is>
      </c>
      <c r="F192" s="254" t="inlineStr">
        <is>
          <t>-50…200 °С 60 мм</t>
        </is>
      </c>
      <c r="G192" s="378" t="inlineStr"/>
      <c r="H192" s="248" t="inlineStr">
        <is>
          <t>Тмподшипника ВК3 В5301</t>
        </is>
      </c>
      <c r="I192" s="243" t="inlineStr"/>
      <c r="J192" s="348" t="inlineStr">
        <is>
          <t>АСУ,А и ТМ (КЦ № 7)</t>
        </is>
      </c>
      <c r="K192" s="379" t="inlineStr"/>
      <c r="L192" s="371" t="inlineStr"/>
      <c r="M192" s="371" t="inlineStr"/>
      <c r="N192" s="371" t="inlineStr"/>
      <c r="O192" s="365" t="n"/>
    </row>
    <row r="193" ht="22.5" customHeight="1" s="236">
      <c r="A193" s="243" t="n">
        <v>192</v>
      </c>
      <c r="B193" s="249" t="inlineStr">
        <is>
          <t>Термометр сопротивления</t>
        </is>
      </c>
      <c r="C193" s="248" t="inlineStr">
        <is>
          <t>Метран-2000 А02 НСХ</t>
        </is>
      </c>
      <c r="D193" s="248" t="inlineStr">
        <is>
          <t>2444274</t>
        </is>
      </c>
      <c r="E193" s="377" t="inlineStr">
        <is>
          <t>Jul.18</t>
        </is>
      </c>
      <c r="F193" s="254" t="inlineStr">
        <is>
          <t>-50…200 °С 60 мм</t>
        </is>
      </c>
      <c r="G193" s="378" t="inlineStr"/>
      <c r="H193" s="248" t="inlineStr">
        <is>
          <t>Тв на выходе ресивера ГШ5302</t>
        </is>
      </c>
      <c r="I193" s="243" t="inlineStr"/>
      <c r="J193" s="348" t="inlineStr">
        <is>
          <t>АСУ,А и ТМ (КЦ № 7)</t>
        </is>
      </c>
      <c r="K193" s="379" t="inlineStr"/>
      <c r="L193" s="371" t="inlineStr"/>
      <c r="M193" s="371" t="inlineStr"/>
      <c r="N193" s="371" t="inlineStr"/>
      <c r="O193" s="365" t="n"/>
    </row>
    <row r="194" ht="22.5" customHeight="1" s="236">
      <c r="A194" s="243" t="n">
        <v>193</v>
      </c>
      <c r="B194" s="249" t="inlineStr">
        <is>
          <t>Термометр сопротивления</t>
        </is>
      </c>
      <c r="C194" s="248" t="inlineStr">
        <is>
          <t>Метран-2000 А02 НСХ</t>
        </is>
      </c>
      <c r="D194" s="248" t="inlineStr">
        <is>
          <t>2444561</t>
        </is>
      </c>
      <c r="E194" s="377" t="inlineStr">
        <is>
          <t>Jul.18</t>
        </is>
      </c>
      <c r="F194" s="254" t="inlineStr">
        <is>
          <t>-50…200 °С 60 мм</t>
        </is>
      </c>
      <c r="G194" s="378" t="inlineStr"/>
      <c r="H194" s="248" t="inlineStr">
        <is>
          <t>Тм подшипника ВК2 В5302</t>
        </is>
      </c>
      <c r="I194" s="243" t="inlineStr"/>
      <c r="J194" s="348" t="inlineStr">
        <is>
          <t>АСУ,А и ТМ (КЦ № 7)</t>
        </is>
      </c>
      <c r="K194" s="379" t="inlineStr"/>
      <c r="L194" s="371" t="inlineStr"/>
      <c r="M194" s="371" t="inlineStr"/>
      <c r="N194" s="371" t="inlineStr"/>
      <c r="O194" s="365" t="n"/>
    </row>
    <row r="195" ht="22.5" customHeight="1" s="236">
      <c r="A195" s="243" t="n">
        <v>194</v>
      </c>
      <c r="B195" s="249" t="inlineStr">
        <is>
          <t>Термометр сопротивления</t>
        </is>
      </c>
      <c r="C195" s="248" t="inlineStr">
        <is>
          <t>Метран-2000 А02 НСХ</t>
        </is>
      </c>
      <c r="D195" s="248" t="inlineStr">
        <is>
          <t>2443188</t>
        </is>
      </c>
      <c r="E195" s="377" t="inlineStr">
        <is>
          <t>Jul.18</t>
        </is>
      </c>
      <c r="F195" s="254" t="inlineStr">
        <is>
          <t>-50…200 °С 60 мм</t>
        </is>
      </c>
      <c r="G195" s="378" t="inlineStr"/>
      <c r="H195" s="248" t="inlineStr">
        <is>
          <t>Тм подшипника ВК3 В5302</t>
        </is>
      </c>
      <c r="I195" s="243" t="inlineStr"/>
      <c r="J195" s="348" t="inlineStr">
        <is>
          <t>АСУ,А и ТМ (КЦ № 7)</t>
        </is>
      </c>
      <c r="K195" s="379" t="inlineStr"/>
      <c r="L195" s="371" t="inlineStr"/>
      <c r="M195" s="371" t="inlineStr"/>
      <c r="N195" s="371" t="inlineStr"/>
      <c r="O195" s="365" t="n"/>
    </row>
    <row r="196" ht="22.5" customHeight="1" s="236">
      <c r="A196" s="243" t="n">
        <v>195</v>
      </c>
      <c r="B196" s="248" t="inlineStr">
        <is>
          <t>Расходомер</t>
        </is>
      </c>
      <c r="C196" s="248" t="inlineStr">
        <is>
          <t>Эмис-Вихрь 200 ЭВ-200</t>
        </is>
      </c>
      <c r="D196" s="248" t="inlineStr">
        <is>
          <t>22326</t>
        </is>
      </c>
      <c r="E196" s="377" t="inlineStr">
        <is>
          <t>Jul.18</t>
        </is>
      </c>
      <c r="F196" s="254" t="inlineStr">
        <is>
          <t>18…480 м³/ч</t>
        </is>
      </c>
      <c r="G196" s="378" t="inlineStr"/>
      <c r="H196" s="248" t="inlineStr">
        <is>
          <t>Qв на выходе из оболочки радиального подшипника ( ПКВ)</t>
        </is>
      </c>
      <c r="I196" s="243" t="inlineStr"/>
      <c r="J196" s="348" t="inlineStr">
        <is>
          <t>АСУ,А и ТМ (КЦ № 7)</t>
        </is>
      </c>
      <c r="K196" s="379" t="inlineStr"/>
      <c r="L196" s="371" t="inlineStr"/>
      <c r="M196" s="371" t="inlineStr"/>
      <c r="N196" s="371" t="inlineStr"/>
      <c r="O196" s="365" t="n"/>
    </row>
    <row r="197" ht="22.5" customHeight="1" s="236">
      <c r="A197" s="243" t="n">
        <v>196</v>
      </c>
      <c r="B197" s="248" t="inlineStr">
        <is>
          <t>Расходомер</t>
        </is>
      </c>
      <c r="C197" s="248" t="inlineStr">
        <is>
          <t>Эмис-Вихрь 200 ЭВ-200</t>
        </is>
      </c>
      <c r="D197" s="248" t="inlineStr">
        <is>
          <t>22329</t>
        </is>
      </c>
      <c r="E197" s="377" t="inlineStr">
        <is>
          <t>Jul.18</t>
        </is>
      </c>
      <c r="F197" s="254" t="inlineStr">
        <is>
          <t>18…480 м³/ч</t>
        </is>
      </c>
      <c r="G197" s="378" t="inlineStr"/>
      <c r="H197" s="248" t="inlineStr">
        <is>
          <t>Qв на выходе из оболочки радиального подшипника ( ЗКВ)</t>
        </is>
      </c>
      <c r="I197" s="243" t="inlineStr"/>
      <c r="J197" s="348" t="inlineStr">
        <is>
          <t>АСУ,А и ТМ (КЦ № 7)</t>
        </is>
      </c>
      <c r="K197" s="379" t="inlineStr"/>
      <c r="L197" s="371" t="inlineStr"/>
      <c r="M197" s="371" t="inlineStr"/>
      <c r="N197" s="371" t="inlineStr"/>
      <c r="O197" s="365" t="n"/>
    </row>
    <row r="198" ht="22.5" customHeight="1" s="236">
      <c r="A198" s="243" t="n">
        <v>197</v>
      </c>
      <c r="B198" s="249" t="inlineStr">
        <is>
          <t>Термометр сопротивления</t>
        </is>
      </c>
      <c r="C198" s="248" t="inlineStr">
        <is>
          <t>ТСП 012.08</t>
        </is>
      </c>
      <c r="D198" s="248" t="inlineStr">
        <is>
          <t>596</t>
        </is>
      </c>
      <c r="E198" s="377" t="inlineStr">
        <is>
          <t>Jun.18</t>
        </is>
      </c>
      <c r="F198" s="254" t="inlineStr">
        <is>
          <t>-60…200 °С 80 мм</t>
        </is>
      </c>
      <c r="G198" s="378" t="inlineStr"/>
      <c r="H198" s="248" t="inlineStr">
        <is>
          <t>Тв подоваемого из воздуходовки</t>
        </is>
      </c>
      <c r="I198" s="243" t="inlineStr"/>
      <c r="J198" s="348" t="inlineStr">
        <is>
          <t>АСУ,А и ТМ (КЦ № 7)</t>
        </is>
      </c>
      <c r="K198" s="379" t="inlineStr"/>
      <c r="L198" s="371" t="inlineStr"/>
      <c r="M198" s="371" t="inlineStr"/>
      <c r="N198" s="371" t="inlineStr"/>
      <c r="O198" s="365" t="n"/>
    </row>
    <row r="199" ht="22.5" customHeight="1" s="236">
      <c r="A199" s="243" t="n">
        <v>198</v>
      </c>
      <c r="B199" s="248" t="inlineStr">
        <is>
          <t>Сигнализатор уровня</t>
        </is>
      </c>
      <c r="C199" s="248" t="inlineStr">
        <is>
          <t>Валком</t>
        </is>
      </c>
      <c r="D199" s="248" t="inlineStr">
        <is>
          <t>8А10711</t>
        </is>
      </c>
      <c r="E199" s="377" t="inlineStr">
        <is>
          <t>2018</t>
        </is>
      </c>
      <c r="F199" s="254" t="inlineStr">
        <is>
          <t>200 мм</t>
        </is>
      </c>
      <c r="G199" s="378" t="inlineStr"/>
      <c r="H199" s="248" t="inlineStr">
        <is>
          <t>БФБГ-1 (верхний)</t>
        </is>
      </c>
      <c r="I199" s="243" t="inlineStr">
        <is>
          <t>КЦ</t>
        </is>
      </c>
      <c r="J199" s="348" t="inlineStr">
        <is>
          <t>АСУ,А и ТМ (КЦ № 7)</t>
        </is>
      </c>
      <c r="K199" s="379" t="inlineStr"/>
      <c r="L199" s="371" t="inlineStr"/>
      <c r="M199" s="371" t="inlineStr"/>
      <c r="N199" s="371" t="inlineStr"/>
      <c r="O199" s="372" t="inlineStr">
        <is>
          <t>не является СИ</t>
        </is>
      </c>
    </row>
    <row r="200" ht="22.5" customHeight="1" s="236">
      <c r="A200" s="243" t="n">
        <v>199</v>
      </c>
      <c r="B200" s="248" t="inlineStr">
        <is>
          <t>Сигнализатор уровня</t>
        </is>
      </c>
      <c r="C200" s="248" t="inlineStr">
        <is>
          <t>Валком</t>
        </is>
      </c>
      <c r="D200" s="248" t="inlineStr">
        <is>
          <t>8А10731</t>
        </is>
      </c>
      <c r="E200" s="377" t="inlineStr">
        <is>
          <t>2018</t>
        </is>
      </c>
      <c r="F200" s="254" t="inlineStr">
        <is>
          <t>200 мм</t>
        </is>
      </c>
      <c r="G200" s="378" t="inlineStr"/>
      <c r="H200" s="248" t="inlineStr">
        <is>
          <t>БФБГ-1 (нижний)</t>
        </is>
      </c>
      <c r="I200" s="243" t="inlineStr">
        <is>
          <t>КЦ</t>
        </is>
      </c>
      <c r="J200" s="348" t="inlineStr">
        <is>
          <t>АСУ,А и ТМ (КЦ № 7)</t>
        </is>
      </c>
      <c r="K200" s="379" t="inlineStr"/>
      <c r="L200" s="371" t="inlineStr"/>
      <c r="M200" s="371" t="inlineStr"/>
      <c r="N200" s="371" t="inlineStr"/>
      <c r="O200" s="372" t="inlineStr">
        <is>
          <t>не является СИ</t>
        </is>
      </c>
    </row>
    <row r="201" ht="22.5" customHeight="1" s="236">
      <c r="A201" s="243" t="n">
        <v>200</v>
      </c>
      <c r="B201" s="248" t="inlineStr">
        <is>
          <t>Сигнализатор уровня</t>
        </is>
      </c>
      <c r="C201" s="248" t="inlineStr">
        <is>
          <t>Валком</t>
        </is>
      </c>
      <c r="D201" s="248" t="inlineStr">
        <is>
          <t>8А10718</t>
        </is>
      </c>
      <c r="E201" s="377" t="inlineStr">
        <is>
          <t>2018</t>
        </is>
      </c>
      <c r="F201" s="254" t="inlineStr">
        <is>
          <t>200 мм</t>
        </is>
      </c>
      <c r="G201" s="378" t="inlineStr"/>
      <c r="H201" s="248" t="inlineStr">
        <is>
          <t>БФБГ-2 (верхний)</t>
        </is>
      </c>
      <c r="I201" s="243" t="inlineStr">
        <is>
          <t>КЦ</t>
        </is>
      </c>
      <c r="J201" s="348" t="inlineStr">
        <is>
          <t>АСУ,А и ТМ (КЦ № 7)</t>
        </is>
      </c>
      <c r="K201" s="379" t="inlineStr"/>
      <c r="L201" s="371" t="inlineStr"/>
      <c r="M201" s="371" t="inlineStr"/>
      <c r="N201" s="371" t="inlineStr"/>
      <c r="O201" s="372" t="inlineStr">
        <is>
          <t>не является СИ</t>
        </is>
      </c>
    </row>
    <row r="202" ht="22.5" customHeight="1" s="236">
      <c r="A202" s="243" t="n">
        <v>201</v>
      </c>
      <c r="B202" s="248" t="inlineStr">
        <is>
          <t>Сигнализатор уровня</t>
        </is>
      </c>
      <c r="C202" s="248" t="inlineStr">
        <is>
          <t>Валком</t>
        </is>
      </c>
      <c r="D202" s="248" t="inlineStr">
        <is>
          <t>8К10984</t>
        </is>
      </c>
      <c r="E202" s="377" t="inlineStr">
        <is>
          <t>2018</t>
        </is>
      </c>
      <c r="F202" s="254" t="inlineStr">
        <is>
          <t>200 мм</t>
        </is>
      </c>
      <c r="G202" s="378" t="inlineStr"/>
      <c r="H202" s="248" t="inlineStr">
        <is>
          <t>БФБГ-2 (нижний)</t>
        </is>
      </c>
      <c r="I202" s="243" t="inlineStr">
        <is>
          <t>КЦ</t>
        </is>
      </c>
      <c r="J202" s="348" t="inlineStr">
        <is>
          <t>АСУ,А и ТМ (КЦ № 7)</t>
        </is>
      </c>
      <c r="K202" s="379" t="inlineStr"/>
      <c r="L202" s="371" t="inlineStr"/>
      <c r="M202" s="371" t="inlineStr"/>
      <c r="N202" s="371" t="inlineStr"/>
      <c r="O202" s="372" t="inlineStr">
        <is>
          <t>не является СИ</t>
        </is>
      </c>
    </row>
    <row r="203" ht="22.5" customHeight="1" s="236">
      <c r="A203" s="243" t="n">
        <v>202</v>
      </c>
      <c r="B203" s="248" t="inlineStr">
        <is>
          <t>Сигнализатор уровня</t>
        </is>
      </c>
      <c r="C203" s="248" t="inlineStr">
        <is>
          <t>Валком</t>
        </is>
      </c>
      <c r="D203" s="248" t="inlineStr">
        <is>
          <t>8А10743</t>
        </is>
      </c>
      <c r="E203" s="377" t="inlineStr">
        <is>
          <t>2018</t>
        </is>
      </c>
      <c r="F203" s="254" t="inlineStr">
        <is>
          <t>200 мм</t>
        </is>
      </c>
      <c r="G203" s="378" t="inlineStr"/>
      <c r="H203" s="248" t="inlineStr">
        <is>
          <t>БФТГ-1 (верхний)</t>
        </is>
      </c>
      <c r="I203" s="243" t="inlineStr">
        <is>
          <t>КЦ</t>
        </is>
      </c>
      <c r="J203" s="348" t="inlineStr">
        <is>
          <t>АСУ,А и ТМ (КЦ № 7)</t>
        </is>
      </c>
      <c r="K203" s="379" t="inlineStr"/>
      <c r="L203" s="371" t="inlineStr"/>
      <c r="M203" s="371" t="inlineStr"/>
      <c r="N203" s="371" t="inlineStr"/>
      <c r="O203" s="372" t="inlineStr">
        <is>
          <t>не является СИ</t>
        </is>
      </c>
    </row>
    <row r="204" ht="22.5" customHeight="1" s="236">
      <c r="A204" s="243" t="n">
        <v>203</v>
      </c>
      <c r="B204" s="248" t="inlineStr">
        <is>
          <t>Сигнализатор уровня</t>
        </is>
      </c>
      <c r="C204" s="248" t="inlineStr">
        <is>
          <t>Валком</t>
        </is>
      </c>
      <c r="D204" s="248" t="inlineStr">
        <is>
          <t>2К021244</t>
        </is>
      </c>
      <c r="E204" s="377" t="inlineStr">
        <is>
          <t>2018</t>
        </is>
      </c>
      <c r="F204" s="254" t="inlineStr">
        <is>
          <t>200 мм</t>
        </is>
      </c>
      <c r="G204" s="378" t="inlineStr"/>
      <c r="H204" s="248" t="inlineStr">
        <is>
          <t>БФТГ-1 (нижний)</t>
        </is>
      </c>
      <c r="I204" s="243" t="inlineStr">
        <is>
          <t>КЦ</t>
        </is>
      </c>
      <c r="J204" s="348" t="inlineStr">
        <is>
          <t>АСУ,А и ТМ (КЦ № 7)</t>
        </is>
      </c>
      <c r="K204" s="379" t="inlineStr"/>
      <c r="L204" s="371" t="inlineStr"/>
      <c r="M204" s="371" t="inlineStr"/>
      <c r="N204" s="371" t="inlineStr"/>
      <c r="O204" s="372" t="inlineStr">
        <is>
          <t>не является СИ</t>
        </is>
      </c>
    </row>
    <row r="205" ht="22.5" customHeight="1" s="236">
      <c r="A205" s="243" t="n">
        <v>204</v>
      </c>
      <c r="B205" s="248" t="inlineStr">
        <is>
          <t>Сигнализатор уровня</t>
        </is>
      </c>
      <c r="C205" s="248" t="inlineStr">
        <is>
          <t>Валком</t>
        </is>
      </c>
      <c r="D205" s="248" t="inlineStr">
        <is>
          <t>8А10738</t>
        </is>
      </c>
      <c r="E205" s="377" t="inlineStr">
        <is>
          <t>2018</t>
        </is>
      </c>
      <c r="F205" s="254" t="inlineStr">
        <is>
          <t>200 мм</t>
        </is>
      </c>
      <c r="G205" s="378" t="inlineStr"/>
      <c r="H205" s="248" t="inlineStr">
        <is>
          <t>БФТГ-2 (верхний)</t>
        </is>
      </c>
      <c r="I205" s="243" t="inlineStr">
        <is>
          <t>КЦ</t>
        </is>
      </c>
      <c r="J205" s="348" t="inlineStr">
        <is>
          <t>АСУ,А и ТМ (КЦ № 7)</t>
        </is>
      </c>
      <c r="K205" s="379" t="inlineStr"/>
      <c r="L205" s="371" t="inlineStr"/>
      <c r="M205" s="371" t="inlineStr"/>
      <c r="N205" s="371" t="inlineStr"/>
      <c r="O205" s="372" t="inlineStr">
        <is>
          <t>не является СИ</t>
        </is>
      </c>
    </row>
    <row r="206" ht="22.5" customHeight="1" s="236">
      <c r="A206" s="243" t="n">
        <v>205</v>
      </c>
      <c r="B206" s="248" t="inlineStr">
        <is>
          <t>Сигнализатор уровня</t>
        </is>
      </c>
      <c r="C206" s="248" t="inlineStr">
        <is>
          <t>Валком</t>
        </is>
      </c>
      <c r="D206" s="248" t="inlineStr">
        <is>
          <t>8А10749</t>
        </is>
      </c>
      <c r="E206" s="377" t="inlineStr">
        <is>
          <t>2018</t>
        </is>
      </c>
      <c r="F206" s="254" t="inlineStr">
        <is>
          <t>200 мм</t>
        </is>
      </c>
      <c r="G206" s="378" t="inlineStr"/>
      <c r="H206" s="248" t="inlineStr">
        <is>
          <t>БФТГ-2 (нижний)</t>
        </is>
      </c>
      <c r="I206" s="243" t="inlineStr">
        <is>
          <t>КЦ</t>
        </is>
      </c>
      <c r="J206" s="348" t="inlineStr">
        <is>
          <t>АСУ,А и ТМ (КЦ № 7)</t>
        </is>
      </c>
      <c r="K206" s="379" t="inlineStr"/>
      <c r="L206" s="371" t="inlineStr"/>
      <c r="M206" s="371" t="inlineStr"/>
      <c r="N206" s="371" t="inlineStr"/>
      <c r="O206" s="372" t="inlineStr">
        <is>
          <t>не является СИ</t>
        </is>
      </c>
    </row>
    <row r="207" ht="22.5" customFormat="1" customHeight="1" s="380">
      <c r="A207" s="239">
        <f>IF(B207&lt;&gt;"", COUNTA($B$2:B207), "")</f>
        <v/>
      </c>
      <c r="B207" s="269" t="inlineStr">
        <is>
          <t>Сигнализатор давления</t>
        </is>
      </c>
      <c r="C207" s="381" t="inlineStr">
        <is>
          <t>Садко 107</t>
        </is>
      </c>
      <c r="D207" s="269" t="n"/>
      <c r="E207" s="269" t="n">
        <v>2018</v>
      </c>
      <c r="F207" s="239" t="inlineStr">
        <is>
          <t>0,09…0,5 МПа</t>
        </is>
      </c>
      <c r="G207" s="382" t="n"/>
      <c r="H207" s="269" t="inlineStr">
        <is>
          <t>PКПВ КВД (А61)</t>
        </is>
      </c>
      <c r="I207" s="269" t="inlineStr">
        <is>
          <t>КЦ</t>
        </is>
      </c>
      <c r="J207" s="383" t="inlineStr">
        <is>
          <t>АСУ,А и ТМ (КЦ № 7)</t>
        </is>
      </c>
      <c r="K207" s="384" t="n"/>
      <c r="L207" s="384" t="n"/>
      <c r="M207" s="384" t="n"/>
      <c r="N207" s="384" t="n"/>
      <c r="O207" s="385" t="inlineStr">
        <is>
          <t>уточнить номер</t>
        </is>
      </c>
    </row>
    <row r="208" ht="22.5" customFormat="1" customHeight="1" s="380">
      <c r="A208" s="239">
        <f>IF(B208&lt;&gt;"", COUNTA($B$2:B208), "")</f>
        <v/>
      </c>
      <c r="B208" s="269" t="inlineStr">
        <is>
          <t>Сигнализатор давления</t>
        </is>
      </c>
      <c r="C208" s="381" t="inlineStr">
        <is>
          <t>Садко 107</t>
        </is>
      </c>
      <c r="D208" s="269" t="n"/>
      <c r="E208" s="269" t="n">
        <v>2019</v>
      </c>
      <c r="F208" s="239" t="inlineStr">
        <is>
          <t>0,09…0,5 МПа</t>
        </is>
      </c>
      <c r="G208" s="382" t="n"/>
      <c r="H208" s="269" t="inlineStr">
        <is>
          <t>Pкпвз (А31)</t>
        </is>
      </c>
      <c r="I208" s="269" t="inlineStr">
        <is>
          <t>КЦ</t>
        </is>
      </c>
      <c r="J208" s="383" t="inlineStr">
        <is>
          <t>АСУ,А и ТМ (КЦ № 7)</t>
        </is>
      </c>
      <c r="K208" s="384" t="n"/>
      <c r="L208" s="384" t="n"/>
      <c r="M208" s="384" t="n"/>
      <c r="N208" s="384" t="n"/>
      <c r="O208" s="385" t="inlineStr">
        <is>
          <t>уточнить номер</t>
        </is>
      </c>
    </row>
    <row r="209" ht="22.5" customHeight="1" s="236">
      <c r="A209" s="243" t="n">
        <v>208</v>
      </c>
      <c r="B209" s="271" t="inlineStr">
        <is>
          <t>Преобразователь давления</t>
        </is>
      </c>
      <c r="C209" s="386" t="inlineStr">
        <is>
          <t>Yokogawa EJA530E</t>
        </is>
      </c>
      <c r="D209" s="271" t="inlineStr">
        <is>
          <t>91V114491</t>
        </is>
      </c>
      <c r="E209" s="271" t="inlineStr">
        <is>
          <t>2018</t>
        </is>
      </c>
      <c r="F209" s="243" t="inlineStr">
        <is>
          <t>0…0,6 МПа</t>
        </is>
      </c>
      <c r="G209" s="387" t="inlineStr"/>
      <c r="H209" s="271" t="inlineStr">
        <is>
          <t>Pквд (A71)</t>
        </is>
      </c>
      <c r="I209" s="271" t="inlineStr">
        <is>
          <t>КЦ</t>
        </is>
      </c>
      <c r="J209" s="388" t="inlineStr">
        <is>
          <t>АСУ,А и ТМ (КЦ № 7)</t>
        </is>
      </c>
      <c r="K209" s="389" t="inlineStr"/>
      <c r="L209" s="389" t="inlineStr"/>
      <c r="M209" s="389" t="inlineStr"/>
      <c r="N209" s="389" t="inlineStr"/>
      <c r="O209" s="365" t="n"/>
    </row>
    <row r="210" ht="22.5" customHeight="1" s="236">
      <c r="A210" s="243" t="n">
        <v>209</v>
      </c>
      <c r="B210" s="271" t="inlineStr">
        <is>
          <t>Преобразователь давления</t>
        </is>
      </c>
      <c r="C210" s="386" t="inlineStr">
        <is>
          <t>Yokogawa EJA530E</t>
        </is>
      </c>
      <c r="D210" s="271" t="inlineStr">
        <is>
          <t>91UB38703</t>
        </is>
      </c>
      <c r="E210" s="271" t="inlineStr">
        <is>
          <t>2018</t>
        </is>
      </c>
      <c r="F210" s="243" t="inlineStr">
        <is>
          <t>0…0,16 МПа</t>
        </is>
      </c>
      <c r="G210" s="387" t="inlineStr"/>
      <c r="H210" s="271" t="inlineStr">
        <is>
          <t>Pрп квд (A33)</t>
        </is>
      </c>
      <c r="I210" s="271" t="inlineStr">
        <is>
          <t>КЦ</t>
        </is>
      </c>
      <c r="J210" s="388" t="inlineStr">
        <is>
          <t>АСУ,А и ТМ (КЦ № 7)</t>
        </is>
      </c>
      <c r="K210" s="389" t="inlineStr"/>
      <c r="L210" s="389" t="inlineStr"/>
      <c r="M210" s="389" t="inlineStr"/>
      <c r="N210" s="389" t="inlineStr"/>
      <c r="O210" s="365" t="n"/>
    </row>
    <row r="211" ht="22.5" customHeight="1" s="236">
      <c r="A211" s="243" t="n">
        <v>210</v>
      </c>
      <c r="B211" s="271" t="inlineStr">
        <is>
          <t>Преобразователь давления</t>
        </is>
      </c>
      <c r="C211" s="386" t="inlineStr">
        <is>
          <t>Yokogawa EJA530E</t>
        </is>
      </c>
      <c r="D211" s="271" t="inlineStr">
        <is>
          <t>91V114313</t>
        </is>
      </c>
      <c r="E211" s="271" t="inlineStr">
        <is>
          <t>2018</t>
        </is>
      </c>
      <c r="F211" s="243" t="inlineStr">
        <is>
          <t>0…0,6 МПа</t>
        </is>
      </c>
      <c r="G211" s="387" t="inlineStr"/>
      <c r="H211" s="271" t="inlineStr">
        <is>
          <t>P*тнд (A87)</t>
        </is>
      </c>
      <c r="I211" s="271" t="inlineStr">
        <is>
          <t>КЦ</t>
        </is>
      </c>
      <c r="J211" s="388" t="inlineStr">
        <is>
          <t>АСУ,А и ТМ (КЦ № 7)</t>
        </is>
      </c>
      <c r="K211" s="389" t="inlineStr"/>
      <c r="L211" s="389" t="inlineStr"/>
      <c r="M211" s="389" t="inlineStr"/>
      <c r="N211" s="389" t="inlineStr"/>
      <c r="O211" s="365" t="n"/>
    </row>
    <row r="212" ht="22.5" customHeight="1" s="236">
      <c r="A212" s="243" t="n">
        <v>211</v>
      </c>
      <c r="B212" s="271" t="inlineStr">
        <is>
          <t>Преобразователь давления</t>
        </is>
      </c>
      <c r="C212" s="386" t="inlineStr">
        <is>
          <t>Yokogawa EJA530E</t>
        </is>
      </c>
      <c r="D212" s="271" t="inlineStr">
        <is>
          <t>91UC19746</t>
        </is>
      </c>
      <c r="E212" s="271" t="inlineStr">
        <is>
          <t>2018</t>
        </is>
      </c>
      <c r="F212" s="243" t="inlineStr">
        <is>
          <t>0…0,16 МПа</t>
        </is>
      </c>
      <c r="G212" s="387" t="inlineStr"/>
      <c r="H212" s="271" t="inlineStr">
        <is>
          <t>P*охл. тнд (A88)</t>
        </is>
      </c>
      <c r="I212" s="271" t="inlineStr">
        <is>
          <t>КЦ</t>
        </is>
      </c>
      <c r="J212" s="388" t="inlineStr">
        <is>
          <t>АСУ,А и ТМ (КЦ № 7)</t>
        </is>
      </c>
      <c r="K212" s="389" t="inlineStr"/>
      <c r="L212" s="389" t="inlineStr"/>
      <c r="M212" s="389" t="inlineStr"/>
      <c r="N212" s="389" t="inlineStr"/>
      <c r="O212" s="365" t="n"/>
    </row>
    <row r="213" ht="22.5" customHeight="1" s="236">
      <c r="A213" s="243" t="n">
        <v>212</v>
      </c>
      <c r="B213" s="271" t="inlineStr">
        <is>
          <t>Преобразователь давления</t>
        </is>
      </c>
      <c r="C213" s="386" t="inlineStr">
        <is>
          <t>Yokogawa EJA530E</t>
        </is>
      </c>
      <c r="D213" s="271" t="inlineStr">
        <is>
          <t>91V114299</t>
        </is>
      </c>
      <c r="E213" s="271" t="inlineStr">
        <is>
          <t>2018</t>
        </is>
      </c>
      <c r="F213" s="243" t="inlineStr">
        <is>
          <t>0…0,6 МПа</t>
        </is>
      </c>
      <c r="G213" s="387" t="inlineStr"/>
      <c r="H213" s="271" t="inlineStr">
        <is>
          <t>P*твд (A39)</t>
        </is>
      </c>
      <c r="I213" s="271" t="inlineStr">
        <is>
          <t>КЦ</t>
        </is>
      </c>
      <c r="J213" s="388" t="inlineStr">
        <is>
          <t>АСУ,А и ТМ (КЦ № 7)</t>
        </is>
      </c>
      <c r="K213" s="389" t="inlineStr"/>
      <c r="L213" s="389" t="inlineStr"/>
      <c r="M213" s="389" t="inlineStr"/>
      <c r="N213" s="389" t="inlineStr"/>
      <c r="O213" s="365" t="n"/>
    </row>
    <row r="214" ht="22.5" customHeight="1" s="236">
      <c r="A214" s="243" t="n">
        <v>213</v>
      </c>
      <c r="B214" s="271" t="inlineStr">
        <is>
          <t>Преобразователь давления</t>
        </is>
      </c>
      <c r="C214" s="386" t="inlineStr">
        <is>
          <t>Yokogawa EJA530E</t>
        </is>
      </c>
      <c r="D214" s="271" t="inlineStr">
        <is>
          <t>91V114309</t>
        </is>
      </c>
      <c r="E214" s="271" t="inlineStr">
        <is>
          <t>2018</t>
        </is>
      </c>
      <c r="F214" s="243" t="inlineStr">
        <is>
          <t>0…0,6 МПа</t>
        </is>
      </c>
      <c r="G214" s="387" t="inlineStr"/>
      <c r="H214" s="271" t="inlineStr">
        <is>
          <t>Pрп ст (A30)</t>
        </is>
      </c>
      <c r="I214" s="271" t="inlineStr">
        <is>
          <t>КЦ</t>
        </is>
      </c>
      <c r="J214" s="388" t="inlineStr">
        <is>
          <t>АСУ,А и ТМ (КЦ № 7)</t>
        </is>
      </c>
      <c r="K214" s="389" t="inlineStr"/>
      <c r="L214" s="389" t="inlineStr"/>
      <c r="M214" s="389" t="inlineStr"/>
      <c r="N214" s="389" t="inlineStr"/>
      <c r="O214" s="365" t="n"/>
    </row>
    <row r="215" ht="22.5" customHeight="1" s="236">
      <c r="A215" s="243" t="n">
        <v>214</v>
      </c>
      <c r="B215" s="271" t="inlineStr">
        <is>
          <t>Преобразователь давления</t>
        </is>
      </c>
      <c r="C215" s="386" t="inlineStr">
        <is>
          <t>Yokogawa EJA530E</t>
        </is>
      </c>
      <c r="D215" s="271" t="inlineStr">
        <is>
          <t>91V11114745</t>
        </is>
      </c>
      <c r="E215" s="271" t="inlineStr">
        <is>
          <t>2018</t>
        </is>
      </c>
      <c r="F215" s="243" t="inlineStr">
        <is>
          <t>0…16 кПа</t>
        </is>
      </c>
      <c r="G215" s="387" t="inlineStr"/>
      <c r="H215" s="271" t="inlineStr">
        <is>
          <t>P*ст (A81)</t>
        </is>
      </c>
      <c r="I215" s="271" t="inlineStr">
        <is>
          <t>КЦ</t>
        </is>
      </c>
      <c r="J215" s="388" t="inlineStr">
        <is>
          <t>АСУ,А и ТМ (КЦ № 7)</t>
        </is>
      </c>
      <c r="K215" s="389" t="inlineStr"/>
      <c r="L215" s="389" t="inlineStr"/>
      <c r="M215" s="389" t="inlineStr"/>
      <c r="N215" s="389" t="inlineStr"/>
      <c r="O215" s="365" t="n"/>
    </row>
    <row r="216" ht="22.5" customHeight="1" s="236">
      <c r="A216" s="243" t="n">
        <v>215</v>
      </c>
      <c r="B216" s="271" t="inlineStr">
        <is>
          <t>Преобразователь давления</t>
        </is>
      </c>
      <c r="C216" s="386" t="inlineStr">
        <is>
          <t>Yokogawa EJA530E</t>
        </is>
      </c>
      <c r="D216" s="271" t="inlineStr">
        <is>
          <t>91T832296</t>
        </is>
      </c>
      <c r="E216" s="271" t="inlineStr">
        <is>
          <t>2018</t>
        </is>
      </c>
      <c r="F216" s="243" t="inlineStr">
        <is>
          <t>0…16 МПа</t>
        </is>
      </c>
      <c r="G216" s="387" t="inlineStr"/>
      <c r="H216" s="271" t="inlineStr">
        <is>
          <t>Перепад между атмосферным давлением и полным давлением воздуха на входе КНД</t>
        </is>
      </c>
      <c r="I216" s="271" t="inlineStr">
        <is>
          <t>КЦ</t>
        </is>
      </c>
      <c r="J216" s="388" t="inlineStr">
        <is>
          <t>АСУ,А и ТМ (КЦ № 7)</t>
        </is>
      </c>
      <c r="K216" s="389" t="inlineStr"/>
      <c r="L216" s="389" t="inlineStr"/>
      <c r="M216" s="389" t="inlineStr"/>
      <c r="N216" s="389" t="inlineStr"/>
      <c r="O216" s="365" t="n"/>
    </row>
    <row r="217" ht="33.75" customHeight="1" s="236">
      <c r="A217" s="243" t="n">
        <v>216</v>
      </c>
      <c r="B217" s="271" t="inlineStr">
        <is>
          <t>Преобразователь давления</t>
        </is>
      </c>
      <c r="C217" s="386" t="inlineStr">
        <is>
          <t>Yokogawa EJA530E</t>
        </is>
      </c>
      <c r="D217" s="271" t="inlineStr">
        <is>
          <t>91UC19359</t>
        </is>
      </c>
      <c r="E217" s="271" t="inlineStr">
        <is>
          <t>2018</t>
        </is>
      </c>
      <c r="F217" s="243" t="inlineStr">
        <is>
          <t>0…16 МПа</t>
        </is>
      </c>
      <c r="G217" s="387" t="inlineStr"/>
      <c r="H217" s="271" t="inlineStr">
        <is>
          <t>Перепад между атмосферным давлением и статистическим давлением воздуха на входе КНД</t>
        </is>
      </c>
      <c r="I217" s="271" t="inlineStr">
        <is>
          <t>КЦ</t>
        </is>
      </c>
      <c r="J217" s="388" t="inlineStr">
        <is>
          <t>АСУ,А и ТМ (КЦ № 7)</t>
        </is>
      </c>
      <c r="K217" s="389" t="inlineStr"/>
      <c r="L217" s="389" t="inlineStr"/>
      <c r="M217" s="389" t="inlineStr"/>
      <c r="N217" s="389" t="inlineStr"/>
      <c r="O217" s="365" t="n"/>
    </row>
    <row r="218" ht="22.5" customHeight="1" s="236">
      <c r="A218" s="243" t="n">
        <v>217</v>
      </c>
      <c r="B218" s="271" t="inlineStr">
        <is>
          <t>Преобразователь давления</t>
        </is>
      </c>
      <c r="C218" s="386" t="inlineStr">
        <is>
          <t>Yokogawa EJA530E</t>
        </is>
      </c>
      <c r="D218" s="271" t="inlineStr">
        <is>
          <t>91T832328</t>
        </is>
      </c>
      <c r="E218" s="271" t="inlineStr">
        <is>
          <t>2018</t>
        </is>
      </c>
      <c r="F218" s="243" t="inlineStr">
        <is>
          <t>0…10 МПа</t>
        </is>
      </c>
      <c r="G218" s="387" t="inlineStr"/>
      <c r="H218" s="271" t="inlineStr">
        <is>
          <t>Ртг передд ДГ (А72)</t>
        </is>
      </c>
      <c r="I218" s="271" t="inlineStr">
        <is>
          <t>КЦ</t>
        </is>
      </c>
      <c r="J218" s="388" t="inlineStr">
        <is>
          <t>АСУ,А и ТМ (КЦ № 7)</t>
        </is>
      </c>
      <c r="K218" s="389" t="inlineStr"/>
      <c r="L218" s="389" t="inlineStr"/>
      <c r="M218" s="389" t="inlineStr"/>
      <c r="N218" s="389" t="inlineStr"/>
      <c r="O218" s="365" t="n"/>
    </row>
    <row r="219" ht="22.5" customHeight="1" s="236">
      <c r="A219" s="243" t="n">
        <v>218</v>
      </c>
      <c r="B219" s="271" t="inlineStr">
        <is>
          <t>Преобразователь давления</t>
        </is>
      </c>
      <c r="C219" s="386" t="inlineStr">
        <is>
          <t>Yokogawa EJA530E</t>
        </is>
      </c>
      <c r="D219" s="271" t="inlineStr">
        <is>
          <t>91T832325</t>
        </is>
      </c>
      <c r="E219" s="271" t="inlineStr">
        <is>
          <t>2018</t>
        </is>
      </c>
      <c r="F219" s="243" t="inlineStr">
        <is>
          <t>0…10 МПа</t>
        </is>
      </c>
      <c r="G219" s="387" t="inlineStr"/>
      <c r="H219" s="271" t="inlineStr">
        <is>
          <t>Ртг передд СК (А73)</t>
        </is>
      </c>
      <c r="I219" s="271" t="inlineStr">
        <is>
          <t>КЦ</t>
        </is>
      </c>
      <c r="J219" s="388" t="inlineStr">
        <is>
          <t>АСУ,А и ТМ (КЦ № 7)</t>
        </is>
      </c>
      <c r="K219" s="389" t="inlineStr"/>
      <c r="L219" s="389" t="inlineStr"/>
      <c r="M219" s="389" t="inlineStr"/>
      <c r="N219" s="389" t="inlineStr"/>
      <c r="O219" s="365" t="n"/>
    </row>
    <row r="220" ht="22.5" customHeight="1" s="236">
      <c r="A220" s="243" t="n">
        <v>219</v>
      </c>
      <c r="B220" s="271" t="inlineStr">
        <is>
          <t>Преобразователь давления</t>
        </is>
      </c>
      <c r="C220" s="386" t="inlineStr">
        <is>
          <t>Yokogawa EJA530E</t>
        </is>
      </c>
      <c r="D220" s="271" t="inlineStr">
        <is>
          <t>91UC19442</t>
        </is>
      </c>
      <c r="E220" s="271" t="inlineStr">
        <is>
          <t>2018</t>
        </is>
      </c>
      <c r="F220" s="243" t="inlineStr">
        <is>
          <t>0…0,2 МПа</t>
        </is>
      </c>
      <c r="G220" s="387" t="inlineStr"/>
      <c r="H220" s="271" t="inlineStr">
        <is>
          <t>Рв полное за КНД (А86)</t>
        </is>
      </c>
      <c r="I220" s="271" t="inlineStr">
        <is>
          <t>КЦ</t>
        </is>
      </c>
      <c r="J220" s="388" t="inlineStr">
        <is>
          <t>АСУ,А и ТМ (КЦ № 7)</t>
        </is>
      </c>
      <c r="K220" s="389" t="inlineStr"/>
      <c r="L220" s="389" t="inlineStr"/>
      <c r="M220" s="389" t="inlineStr"/>
      <c r="N220" s="389" t="inlineStr"/>
      <c r="O220" s="365" t="n"/>
    </row>
    <row r="221" ht="22.5" customHeight="1" s="236">
      <c r="A221" s="243" t="n">
        <v>220</v>
      </c>
      <c r="B221" s="271" t="inlineStr">
        <is>
          <t>Преобразователь давления</t>
        </is>
      </c>
      <c r="C221" s="386" t="inlineStr">
        <is>
          <t>Yokogawa EJA530E</t>
        </is>
      </c>
      <c r="D221" s="271" t="inlineStr">
        <is>
          <t>91UC19464</t>
        </is>
      </c>
      <c r="E221" s="271" t="inlineStr">
        <is>
          <t>2018</t>
        </is>
      </c>
      <c r="F221" s="243" t="inlineStr">
        <is>
          <t>0…2 МПа</t>
        </is>
      </c>
      <c r="G221" s="387" t="inlineStr"/>
      <c r="H221" s="271" t="inlineStr">
        <is>
          <t>Рм на входе в двигатель (А40)</t>
        </is>
      </c>
      <c r="I221" s="271" t="inlineStr">
        <is>
          <t>КЦ</t>
        </is>
      </c>
      <c r="J221" s="388" t="inlineStr">
        <is>
          <t>АСУ,А и ТМ (КЦ № 7)</t>
        </is>
      </c>
      <c r="K221" s="389" t="inlineStr"/>
      <c r="L221" s="389" t="inlineStr"/>
      <c r="M221" s="389" t="inlineStr"/>
      <c r="N221" s="389" t="inlineStr"/>
      <c r="O221" s="365" t="n"/>
    </row>
    <row r="222" ht="22.5" customHeight="1" s="236">
      <c r="A222" s="243" t="n">
        <v>221</v>
      </c>
      <c r="B222" s="271" t="inlineStr">
        <is>
          <t>Преобразователь давления</t>
        </is>
      </c>
      <c r="C222" s="386" t="inlineStr">
        <is>
          <t>Yokogawa EJA530E</t>
        </is>
      </c>
      <c r="D222" s="271" t="inlineStr">
        <is>
          <t>91UB38698</t>
        </is>
      </c>
      <c r="E222" s="271" t="inlineStr">
        <is>
          <t>2018</t>
        </is>
      </c>
      <c r="F222" s="243" t="inlineStr">
        <is>
          <t>0…0,2 кПа</t>
        </is>
      </c>
      <c r="G222" s="387" t="inlineStr"/>
      <c r="H222" s="271" t="inlineStr">
        <is>
          <t>Давление суфлирования (А43)</t>
        </is>
      </c>
      <c r="I222" s="271" t="inlineStr">
        <is>
          <t>КЦ</t>
        </is>
      </c>
      <c r="J222" s="388" t="inlineStr">
        <is>
          <t>АСУ,А и ТМ (КЦ № 7)</t>
        </is>
      </c>
      <c r="K222" s="389" t="inlineStr"/>
      <c r="L222" s="389" t="inlineStr"/>
      <c r="M222" s="389" t="inlineStr"/>
      <c r="N222" s="389" t="inlineStr"/>
      <c r="O222" s="365" t="n"/>
    </row>
    <row r="223" ht="22.5" customHeight="1" s="236">
      <c r="A223" s="243" t="n">
        <v>222</v>
      </c>
      <c r="B223" s="390" t="inlineStr">
        <is>
          <t>Термометр сопротивления</t>
        </is>
      </c>
      <c r="C223" s="386" t="inlineStr">
        <is>
          <t>ТСП 012.52В</t>
        </is>
      </c>
      <c r="D223" s="271" t="inlineStr">
        <is>
          <t>23</t>
        </is>
      </c>
      <c r="E223" s="271" t="inlineStr">
        <is>
          <t>May.18</t>
        </is>
      </c>
      <c r="F223" s="243" t="inlineStr">
        <is>
          <t>-60…200 °С 100 мм</t>
        </is>
      </c>
      <c r="G223" s="387" t="inlineStr"/>
      <c r="H223" s="271" t="inlineStr">
        <is>
          <t>Тв на выходе из осевого подшипника</t>
        </is>
      </c>
      <c r="I223" s="271" t="inlineStr"/>
      <c r="J223" s="388" t="inlineStr">
        <is>
          <t>АСУ,А и ТМ (КЦ № 7)</t>
        </is>
      </c>
      <c r="K223" s="389" t="inlineStr"/>
      <c r="L223" s="389" t="inlineStr"/>
      <c r="M223" s="389" t="inlineStr"/>
      <c r="N223" s="389" t="inlineStr"/>
      <c r="O223" s="364" t="n"/>
    </row>
    <row r="224" ht="22.5" customHeight="1" s="236">
      <c r="A224" s="243" t="n">
        <v>223</v>
      </c>
      <c r="B224" s="390" t="inlineStr">
        <is>
          <t>Термометр сопротивления</t>
        </is>
      </c>
      <c r="C224" s="386" t="inlineStr">
        <is>
          <t>ТСПУ 014.12</t>
        </is>
      </c>
      <c r="D224" s="271" t="inlineStr">
        <is>
          <t>360</t>
        </is>
      </c>
      <c r="E224" s="271" t="inlineStr">
        <is>
          <t>2018</t>
        </is>
      </c>
      <c r="F224" s="243" t="inlineStr">
        <is>
          <t>-50…150 °С 80 мм</t>
        </is>
      </c>
      <c r="G224" s="387" t="inlineStr">
        <is>
          <t>0.25%</t>
        </is>
      </c>
      <c r="H224" s="271" t="inlineStr">
        <is>
          <t>Температура воздуха после доохладителя</t>
        </is>
      </c>
      <c r="I224" s="271" t="inlineStr">
        <is>
          <t>БКК 73</t>
        </is>
      </c>
      <c r="J224" s="388" t="inlineStr">
        <is>
          <t>АСУ,А и ТМ (КЦ № 7)</t>
        </is>
      </c>
      <c r="K224" s="389" t="inlineStr"/>
      <c r="L224" s="389" t="inlineStr"/>
      <c r="M224" s="389" t="inlineStr"/>
      <c r="N224" s="389" t="inlineStr"/>
      <c r="O224" s="364" t="n"/>
    </row>
    <row r="225" ht="33.75" customHeight="1" s="236">
      <c r="A225" s="243" t="n">
        <v>224</v>
      </c>
      <c r="B225" s="271" t="inlineStr">
        <is>
          <t>Газоанализатор оптический стационарный</t>
        </is>
      </c>
      <c r="C225" s="386" t="inlineStr">
        <is>
          <t>ОГС-ПГП/М</t>
        </is>
      </c>
      <c r="D225" s="271" t="inlineStr">
        <is>
          <t>15312</t>
        </is>
      </c>
      <c r="E225" s="271" t="inlineStr">
        <is>
          <t>2021</t>
        </is>
      </c>
      <c r="F225" s="243" t="inlineStr"/>
      <c r="G225" s="387" t="inlineStr"/>
      <c r="H225" s="271" t="inlineStr">
        <is>
          <t>Измерение уровня загазованности</t>
        </is>
      </c>
      <c r="I225" s="271" t="inlineStr">
        <is>
          <t>ГПА 71 (вход КШТ)</t>
        </is>
      </c>
      <c r="J225" s="388" t="inlineStr">
        <is>
          <t>АСУ,А и ТМ (КЦ № 7)</t>
        </is>
      </c>
      <c r="K225" s="389" t="inlineStr"/>
      <c r="L225" s="389" t="inlineStr">
        <is>
          <t>60</t>
        </is>
      </c>
      <c r="M225" s="389" t="inlineStr"/>
      <c r="N225" s="389" t="inlineStr"/>
      <c r="O225" s="365" t="n"/>
    </row>
    <row r="226" ht="33.75" customHeight="1" s="236">
      <c r="A226" s="243" t="n">
        <v>225</v>
      </c>
      <c r="B226" s="271" t="inlineStr">
        <is>
          <t>Газоанализатор оптический стационарный</t>
        </is>
      </c>
      <c r="C226" s="386" t="inlineStr">
        <is>
          <t>ОГС-ПГП/М</t>
        </is>
      </c>
      <c r="D226" s="271" t="inlineStr">
        <is>
          <t>15316</t>
        </is>
      </c>
      <c r="E226" s="271" t="inlineStr">
        <is>
          <t>2021</t>
        </is>
      </c>
      <c r="F226" s="243" t="inlineStr"/>
      <c r="G226" s="387" t="inlineStr"/>
      <c r="H226" s="271" t="inlineStr">
        <is>
          <t>Измерение уровня загазованности</t>
        </is>
      </c>
      <c r="I226" s="271" t="inlineStr">
        <is>
          <t>ГПА 71 (выход КШТ)</t>
        </is>
      </c>
      <c r="J226" s="388" t="inlineStr">
        <is>
          <t>АСУ,А и ТМ (КЦ № 7)</t>
        </is>
      </c>
      <c r="K226" s="389" t="inlineStr"/>
      <c r="L226" s="389" t="inlineStr">
        <is>
          <t>61</t>
        </is>
      </c>
      <c r="M226" s="389" t="inlineStr"/>
      <c r="N226" s="389" t="inlineStr"/>
      <c r="O226" s="365" t="n"/>
    </row>
    <row r="227" ht="33.75" customHeight="1" s="236">
      <c r="A227" s="243" t="n">
        <v>226</v>
      </c>
      <c r="B227" s="271" t="inlineStr">
        <is>
          <t>Газоанализатор оптический стационарный</t>
        </is>
      </c>
      <c r="C227" s="386" t="inlineStr">
        <is>
          <t>ОГС-ПГП/М</t>
        </is>
      </c>
      <c r="D227" s="271" t="inlineStr">
        <is>
          <t>15149</t>
        </is>
      </c>
      <c r="E227" s="271" t="inlineStr">
        <is>
          <t>2021</t>
        </is>
      </c>
      <c r="F227" s="243" t="inlineStr"/>
      <c r="G227" s="387" t="inlineStr"/>
      <c r="H227" s="271" t="inlineStr">
        <is>
          <t>Измерение уровня загазованности</t>
        </is>
      </c>
      <c r="I227" s="271" t="inlineStr">
        <is>
          <t>ГПА 71</t>
        </is>
      </c>
      <c r="J227" s="388" t="inlineStr">
        <is>
          <t>АСУ,А и ТМ (КЦ № 7)</t>
        </is>
      </c>
      <c r="K227" s="389" t="inlineStr"/>
      <c r="L227" s="389" t="inlineStr">
        <is>
          <t>62</t>
        </is>
      </c>
      <c r="M227" s="389" t="inlineStr"/>
      <c r="N227" s="389" t="inlineStr"/>
      <c r="O227" s="365" t="n"/>
    </row>
    <row r="228" ht="33.75" customHeight="1" s="236">
      <c r="A228" s="243" t="n">
        <v>227</v>
      </c>
      <c r="B228" s="271" t="inlineStr">
        <is>
          <t>Газоанализатор оптический стационарный</t>
        </is>
      </c>
      <c r="C228" s="386" t="inlineStr">
        <is>
          <t>ОГС-ПГП/М</t>
        </is>
      </c>
      <c r="D228" s="271" t="inlineStr">
        <is>
          <t>15157</t>
        </is>
      </c>
      <c r="E228" s="271" t="inlineStr">
        <is>
          <t>2021</t>
        </is>
      </c>
      <c r="F228" s="243" t="inlineStr"/>
      <c r="G228" s="387" t="inlineStr"/>
      <c r="H228" s="271" t="inlineStr">
        <is>
          <t>Измерение уровня загазованности</t>
        </is>
      </c>
      <c r="I228" s="271" t="inlineStr">
        <is>
          <t>ГПА 71</t>
        </is>
      </c>
      <c r="J228" s="388" t="inlineStr">
        <is>
          <t>АСУ,А и ТМ (КЦ № 7)</t>
        </is>
      </c>
      <c r="K228" s="389" t="inlineStr"/>
      <c r="L228" s="389" t="inlineStr">
        <is>
          <t>63</t>
        </is>
      </c>
      <c r="M228" s="389" t="inlineStr"/>
      <c r="N228" s="389" t="inlineStr"/>
      <c r="O228" s="365" t="n"/>
    </row>
    <row r="229" ht="33.75" customHeight="1" s="236">
      <c r="A229" s="243" t="n">
        <v>228</v>
      </c>
      <c r="B229" s="271" t="inlineStr">
        <is>
          <t>Газоанализатор оптический стационарный</t>
        </is>
      </c>
      <c r="C229" s="386" t="inlineStr">
        <is>
          <t>ОГС-ПГП/М</t>
        </is>
      </c>
      <c r="D229" s="271" t="inlineStr">
        <is>
          <t>15080</t>
        </is>
      </c>
      <c r="E229" s="271" t="inlineStr">
        <is>
          <t>2021</t>
        </is>
      </c>
      <c r="F229" s="243" t="inlineStr"/>
      <c r="G229" s="387" t="inlineStr"/>
      <c r="H229" s="271" t="inlineStr">
        <is>
          <t>Измерение уровня загазованности</t>
        </is>
      </c>
      <c r="I229" s="271" t="inlineStr">
        <is>
          <t>ГПА 71</t>
        </is>
      </c>
      <c r="J229" s="388" t="inlineStr">
        <is>
          <t>АСУ,А и ТМ (КЦ № 7)</t>
        </is>
      </c>
      <c r="K229" s="389" t="inlineStr"/>
      <c r="L229" s="389" t="inlineStr">
        <is>
          <t>64</t>
        </is>
      </c>
      <c r="M229" s="389" t="inlineStr"/>
      <c r="N229" s="389" t="inlineStr"/>
      <c r="O229" s="365" t="n"/>
    </row>
    <row r="230">
      <c r="A230" s="243" t="n">
        <v>96</v>
      </c>
      <c r="B230" s="248" t="inlineStr">
        <is>
          <t>Реле давления</t>
        </is>
      </c>
      <c r="C230" s="248" t="inlineStr">
        <is>
          <t>РД-016</t>
        </is>
      </c>
      <c r="D230" s="391" t="inlineStr"/>
      <c r="E230" s="243" t="inlineStr"/>
      <c r="F230" s="246" t="inlineStr">
        <is>
          <t>0…40 кПа</t>
        </is>
      </c>
      <c r="G230" s="248" t="inlineStr"/>
      <c r="H230" s="248" t="inlineStr">
        <is>
          <t>Давление газа перед предохранительно-запорным клапаном горелки №1</t>
        </is>
      </c>
      <c r="I230" s="243" t="inlineStr">
        <is>
          <t>АВГМ 73</t>
        </is>
      </c>
      <c r="J230" s="243" t="inlineStr">
        <is>
          <t>АСУ,А и ТМ (КЦ № 7)</t>
        </is>
      </c>
      <c r="K230" s="243" t="inlineStr"/>
      <c r="L230" s="243" t="inlineStr"/>
      <c r="M230" s="246" t="inlineStr"/>
      <c r="N230" s="243" t="inlineStr"/>
    </row>
    <row r="231">
      <c r="A231" s="243" t="n">
        <v>206</v>
      </c>
      <c r="B231" s="248" t="inlineStr">
        <is>
          <t>Сигнализатор давления</t>
        </is>
      </c>
      <c r="C231" s="248" t="inlineStr">
        <is>
          <t>Садко 107</t>
        </is>
      </c>
      <c r="D231" s="391" t="inlineStr"/>
      <c r="E231" s="243" t="inlineStr">
        <is>
          <t>2018</t>
        </is>
      </c>
      <c r="F231" s="246" t="inlineStr">
        <is>
          <t>0,09…0,5 МПа</t>
        </is>
      </c>
      <c r="G231" s="248" t="inlineStr"/>
      <c r="H231" s="248" t="inlineStr">
        <is>
          <t>PКПВ КВД (А61)</t>
        </is>
      </c>
      <c r="I231" s="243" t="inlineStr">
        <is>
          <t>КЦ</t>
        </is>
      </c>
      <c r="J231" s="243" t="inlineStr">
        <is>
          <t>АСУ,А и ТМ (КЦ № 7)</t>
        </is>
      </c>
      <c r="K231" s="243" t="inlineStr"/>
      <c r="L231" s="243" t="inlineStr"/>
      <c r="M231" s="246" t="inlineStr"/>
      <c r="N231" s="243" t="inlineStr"/>
    </row>
    <row r="232">
      <c r="A232" s="243" t="n">
        <v>207</v>
      </c>
      <c r="B232" s="248" t="inlineStr">
        <is>
          <t>Сигнализатор давления</t>
        </is>
      </c>
      <c r="C232" s="248" t="inlineStr">
        <is>
          <t>Садко 107</t>
        </is>
      </c>
      <c r="D232" s="391" t="inlineStr"/>
      <c r="E232" s="243" t="inlineStr">
        <is>
          <t>2019</t>
        </is>
      </c>
      <c r="F232" s="246" t="inlineStr">
        <is>
          <t>0,09…0,5 МПа</t>
        </is>
      </c>
      <c r="G232" s="248" t="inlineStr"/>
      <c r="H232" s="248" t="inlineStr">
        <is>
          <t>Pкпвз (А31)</t>
        </is>
      </c>
      <c r="I232" s="243" t="inlineStr">
        <is>
          <t>КЦ</t>
        </is>
      </c>
      <c r="J232" s="243" t="inlineStr">
        <is>
          <t>АСУ,А и ТМ (КЦ № 7)</t>
        </is>
      </c>
      <c r="K232" s="243" t="inlineStr"/>
      <c r="L232" s="243" t="inlineStr"/>
      <c r="M232" s="246" t="inlineStr"/>
      <c r="N232" s="243" t="inlineStr"/>
    </row>
  </sheetData>
  <conditionalFormatting sqref="M1:M1048576">
    <cfRule type="expression" rank="0" priority="2" equalAverage="0" aboveAverage="0" dxfId="1" text="" percent="0" bottom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P56"/>
  <sheetViews>
    <sheetView showFormulas="0" showGridLines="1" showRowColHeaders="1" showZeros="1" rightToLeft="0" tabSelected="0" showOutlineSymbols="1" defaultGridColor="1" view="normal" topLeftCell="B1" colorId="64" zoomScale="100" zoomScaleNormal="100" zoomScalePageLayoutView="100" workbookViewId="0">
      <pane xSplit="0" ySplit="1" topLeftCell="A2" activePane="bottomLeft" state="frozen"/>
      <selection pane="topLeft" activeCell="B1" activeCellId="0" sqref="B1"/>
      <selection pane="bottomLeft" activeCell="O2" activeCellId="0" sqref="O2"/>
    </sheetView>
  </sheetViews>
  <sheetFormatPr baseColWidth="8" defaultColWidth="9.15625" defaultRowHeight="11.25" zeroHeight="0" outlineLevelRow="0"/>
  <cols>
    <col width="3.14" customWidth="1" style="281" min="1" max="1"/>
    <col width="21.57" customWidth="1" style="281" min="2" max="2"/>
    <col width="17.29" customWidth="1" style="281" min="3" max="3"/>
    <col width="16.29" customWidth="1" style="281" min="4" max="4"/>
    <col width="6.57" customWidth="1" style="281" min="5" max="5"/>
    <col width="10.85" customWidth="1" style="281" min="6" max="6"/>
    <col width="7.42" customWidth="1" style="281" min="7" max="7"/>
    <col width="20.86" customWidth="1" style="281" min="8" max="8"/>
    <col width="14.7" customWidth="1" style="281" min="9" max="9"/>
    <col width="10.42" customWidth="1" style="281" min="10" max="10"/>
    <col width="8" customWidth="1" style="281" min="11" max="11"/>
    <col width="9" customWidth="1" style="281" min="12" max="12"/>
    <col width="8.859999999999999" customWidth="1" style="281" min="13" max="13"/>
    <col width="9" customWidth="1" style="281" min="14" max="14"/>
    <col width="11.71" customWidth="1" style="260" min="15" max="15"/>
    <col width="23.71" customWidth="1" style="281" min="16" max="16"/>
    <col width="9.140000000000001" customWidth="1" style="281" min="17" max="1024"/>
  </cols>
  <sheetData>
    <row r="1" ht="45" customHeight="1" s="236">
      <c r="A1" s="239" t="inlineStr">
        <is>
          <t>№ п/п</t>
        </is>
      </c>
      <c r="B1" s="239" t="inlineStr">
        <is>
          <t>Наименование</t>
        </is>
      </c>
      <c r="C1" s="239" t="inlineStr">
        <is>
          <t>Тип</t>
        </is>
      </c>
      <c r="D1" s="239" t="inlineStr">
        <is>
          <t>Заводской номер</t>
        </is>
      </c>
      <c r="E1" s="240" t="inlineStr">
        <is>
          <t>Год 
выпуска</t>
        </is>
      </c>
      <c r="F1" s="239" t="inlineStr">
        <is>
          <t>Диапазон измерений</t>
        </is>
      </c>
      <c r="G1" s="239" t="inlineStr">
        <is>
          <t>Класс точности</t>
        </is>
      </c>
      <c r="H1" s="239" t="inlineStr">
        <is>
          <t>Место установки СИ</t>
        </is>
      </c>
      <c r="I1" s="239" t="inlineStr">
        <is>
          <t>Объект установки</t>
        </is>
      </c>
      <c r="J1" s="239" t="inlineStr">
        <is>
          <t>Подразделение</t>
        </is>
      </c>
      <c r="K1" s="239" t="inlineStr">
        <is>
          <t>Дата установки</t>
        </is>
      </c>
      <c r="L1" s="239" t="inlineStr">
        <is>
          <t>Межповерочный интервал, мес.</t>
        </is>
      </c>
      <c r="M1" s="240" t="inlineStr">
        <is>
          <t>Дата последней поверки / калибровки</t>
        </is>
      </c>
      <c r="N1" s="239" t="inlineStr">
        <is>
          <t>Поверка (П)/ Калибровка (К)</t>
        </is>
      </c>
      <c r="O1" s="242" t="inlineStr">
        <is>
          <t>Заменён на:</t>
        </is>
      </c>
    </row>
    <row r="2" ht="22.5" customFormat="1" customHeight="1" s="392">
      <c r="A2" s="393" t="n">
        <v>1</v>
      </c>
      <c r="B2" s="394" t="inlineStr">
        <is>
          <t>Манометр технический</t>
        </is>
      </c>
      <c r="C2" s="395" t="inlineStr">
        <is>
          <t>МП3-УУХЛ1</t>
        </is>
      </c>
      <c r="D2" s="395" t="inlineStr">
        <is>
          <t>7000149</t>
        </is>
      </c>
      <c r="E2" s="396" t="inlineStr">
        <is>
          <t>2016</t>
        </is>
      </c>
      <c r="F2" s="397" t="inlineStr">
        <is>
          <t>0..160 кгс/см²</t>
        </is>
      </c>
      <c r="G2" s="395" t="inlineStr">
        <is>
          <t>1</t>
        </is>
      </c>
      <c r="H2" s="393" t="inlineStr">
        <is>
          <t>P г на входе в ПУ1</t>
        </is>
      </c>
      <c r="I2" s="393" t="inlineStr">
        <is>
          <t>Промплощадка</t>
        </is>
      </c>
      <c r="J2" s="393" t="inlineStr">
        <is>
          <t>АСУ,А и ТМ (КЦ № 7)</t>
        </is>
      </c>
      <c r="K2" s="393" t="inlineStr"/>
      <c r="L2" s="396" t="inlineStr">
        <is>
          <t>12</t>
        </is>
      </c>
      <c r="M2" s="394" t="inlineStr">
        <is>
          <t>26ДЯУ</t>
        </is>
      </c>
      <c r="N2" s="398" t="inlineStr">
        <is>
          <t>П</t>
        </is>
      </c>
      <c r="O2" s="398" t="n">
        <v>15551</v>
      </c>
    </row>
    <row r="3" ht="22.5" customHeight="1" s="236">
      <c r="A3" s="399" t="n">
        <v>2</v>
      </c>
      <c r="B3" s="400" t="inlineStr">
        <is>
          <t>Манометр технический</t>
        </is>
      </c>
      <c r="C3" s="401" t="inlineStr">
        <is>
          <t>МП3-УУХЛ1</t>
        </is>
      </c>
      <c r="D3" s="401" t="inlineStr">
        <is>
          <t>7000154</t>
        </is>
      </c>
      <c r="E3" s="402" t="inlineStr">
        <is>
          <t>2016</t>
        </is>
      </c>
      <c r="F3" s="403" t="inlineStr">
        <is>
          <t>0..160 кгс/см²</t>
        </is>
      </c>
      <c r="G3" s="401" t="inlineStr">
        <is>
          <t>1</t>
        </is>
      </c>
      <c r="H3" s="399" t="inlineStr">
        <is>
          <t>P г на входе в ПУ2</t>
        </is>
      </c>
      <c r="I3" s="399" t="inlineStr">
        <is>
          <t>Промплощадка</t>
        </is>
      </c>
      <c r="J3" s="399" t="inlineStr">
        <is>
          <t>АСУ,А и ТМ (КЦ № 7)</t>
        </is>
      </c>
      <c r="K3" s="399" t="inlineStr"/>
      <c r="L3" s="402" t="inlineStr">
        <is>
          <t>12</t>
        </is>
      </c>
      <c r="M3" s="400" t="inlineStr">
        <is>
          <t>26ДЯУ</t>
        </is>
      </c>
      <c r="N3" s="404" t="inlineStr">
        <is>
          <t>П</t>
        </is>
      </c>
      <c r="O3" s="242" t="n"/>
    </row>
    <row r="4" ht="22.5" customHeight="1" s="236">
      <c r="A4" s="399" t="n">
        <v>3</v>
      </c>
      <c r="B4" s="400" t="inlineStr">
        <is>
          <t>Манометр технический</t>
        </is>
      </c>
      <c r="C4" s="401" t="inlineStr">
        <is>
          <t>МП3-УУХЛ1</t>
        </is>
      </c>
      <c r="D4" s="401" t="inlineStr">
        <is>
          <t>7000158</t>
        </is>
      </c>
      <c r="E4" s="402" t="inlineStr">
        <is>
          <t>2016</t>
        </is>
      </c>
      <c r="F4" s="403" t="inlineStr">
        <is>
          <t>0..160 кгс/см²</t>
        </is>
      </c>
      <c r="G4" s="401" t="inlineStr">
        <is>
          <t>1</t>
        </is>
      </c>
      <c r="H4" s="399" t="inlineStr">
        <is>
          <t>P г на входе в ПУ3</t>
        </is>
      </c>
      <c r="I4" s="399" t="inlineStr">
        <is>
          <t>Промплощадка</t>
        </is>
      </c>
      <c r="J4" s="399" t="inlineStr">
        <is>
          <t>АСУ,А и ТМ (КЦ № 7)</t>
        </is>
      </c>
      <c r="K4" s="399" t="inlineStr"/>
      <c r="L4" s="402" t="inlineStr">
        <is>
          <t>12</t>
        </is>
      </c>
      <c r="M4" s="400" t="inlineStr">
        <is>
          <t>26ДЯУ</t>
        </is>
      </c>
      <c r="N4" s="404" t="inlineStr">
        <is>
          <t>П</t>
        </is>
      </c>
      <c r="O4" s="242" t="n"/>
    </row>
    <row r="5" ht="22.5" customHeight="1" s="236">
      <c r="A5" s="399" t="n">
        <v>4</v>
      </c>
      <c r="B5" s="400" t="inlineStr">
        <is>
          <t>Манометр технический</t>
        </is>
      </c>
      <c r="C5" s="401" t="inlineStr">
        <is>
          <t>МП3-УУХЛ1</t>
        </is>
      </c>
      <c r="D5" s="401" t="inlineStr">
        <is>
          <t>7000150</t>
        </is>
      </c>
      <c r="E5" s="402" t="inlineStr">
        <is>
          <t>2016</t>
        </is>
      </c>
      <c r="F5" s="403" t="inlineStr">
        <is>
          <t>0..160 кгс/см²</t>
        </is>
      </c>
      <c r="G5" s="401" t="inlineStr">
        <is>
          <t>1</t>
        </is>
      </c>
      <c r="H5" s="399" t="inlineStr">
        <is>
          <t>P г на входе в ПУ4</t>
        </is>
      </c>
      <c r="I5" s="399" t="inlineStr">
        <is>
          <t>Промплощадка</t>
        </is>
      </c>
      <c r="J5" s="399" t="inlineStr">
        <is>
          <t>АСУ,А и ТМ (КЦ № 7)</t>
        </is>
      </c>
      <c r="K5" s="399" t="inlineStr"/>
      <c r="L5" s="402" t="inlineStr">
        <is>
          <t>12</t>
        </is>
      </c>
      <c r="M5" s="400" t="inlineStr">
        <is>
          <t>26ДЯУ</t>
        </is>
      </c>
      <c r="N5" s="404" t="inlineStr">
        <is>
          <t>П</t>
        </is>
      </c>
      <c r="O5" s="242" t="n"/>
    </row>
    <row r="6" ht="22.5" customHeight="1" s="236">
      <c r="A6" s="399" t="n">
        <v>5</v>
      </c>
      <c r="B6" s="400" t="inlineStr">
        <is>
          <t>Манометр технический</t>
        </is>
      </c>
      <c r="C6" s="401" t="inlineStr">
        <is>
          <t>МП3-УУХЛ1</t>
        </is>
      </c>
      <c r="D6" s="401" t="inlineStr">
        <is>
          <t>7000152</t>
        </is>
      </c>
      <c r="E6" s="402" t="inlineStr">
        <is>
          <t>2016</t>
        </is>
      </c>
      <c r="F6" s="403" t="inlineStr">
        <is>
          <t>0..160 кгс/см²</t>
        </is>
      </c>
      <c r="G6" s="401" t="inlineStr">
        <is>
          <t>1</t>
        </is>
      </c>
      <c r="H6" s="399" t="inlineStr">
        <is>
          <t>P г на входе в ПУ5</t>
        </is>
      </c>
      <c r="I6" s="399" t="inlineStr">
        <is>
          <t>Промплощадка</t>
        </is>
      </c>
      <c r="J6" s="399" t="inlineStr">
        <is>
          <t>АСУ,А и ТМ (КЦ № 7)</t>
        </is>
      </c>
      <c r="K6" s="399" t="inlineStr"/>
      <c r="L6" s="402" t="inlineStr">
        <is>
          <t>12</t>
        </is>
      </c>
      <c r="M6" s="400" t="inlineStr">
        <is>
          <t>26ДЯУ</t>
        </is>
      </c>
      <c r="N6" s="404" t="inlineStr">
        <is>
          <t>П</t>
        </is>
      </c>
      <c r="O6" s="242" t="n"/>
    </row>
    <row r="7" ht="22.5" customHeight="1" s="236">
      <c r="A7" s="399" t="n">
        <v>6</v>
      </c>
      <c r="B7" s="400" t="inlineStr">
        <is>
          <t>Манометр технический</t>
        </is>
      </c>
      <c r="C7" s="401" t="inlineStr">
        <is>
          <t>МП3-УУХЛ1</t>
        </is>
      </c>
      <c r="D7" s="401" t="inlineStr">
        <is>
          <t>7000156</t>
        </is>
      </c>
      <c r="E7" s="402" t="inlineStr">
        <is>
          <t>2016</t>
        </is>
      </c>
      <c r="F7" s="403" t="inlineStr">
        <is>
          <t>0..160 кгс/см²</t>
        </is>
      </c>
      <c r="G7" s="401" t="inlineStr">
        <is>
          <t>1</t>
        </is>
      </c>
      <c r="H7" s="399" t="inlineStr">
        <is>
          <t>P г на входе в ПУ6</t>
        </is>
      </c>
      <c r="I7" s="399" t="inlineStr">
        <is>
          <t>Промплощадка</t>
        </is>
      </c>
      <c r="J7" s="399" t="inlineStr">
        <is>
          <t>АСУ,А и ТМ (КЦ № 7)</t>
        </is>
      </c>
      <c r="K7" s="399" t="inlineStr"/>
      <c r="L7" s="402" t="inlineStr">
        <is>
          <t>12</t>
        </is>
      </c>
      <c r="M7" s="400" t="inlineStr">
        <is>
          <t>26ДЯУ</t>
        </is>
      </c>
      <c r="N7" s="404" t="inlineStr">
        <is>
          <t>П</t>
        </is>
      </c>
      <c r="O7" s="242" t="n"/>
    </row>
    <row r="8" ht="22.5" customHeight="1" s="236">
      <c r="A8" s="399" t="n">
        <v>7</v>
      </c>
      <c r="B8" s="400" t="inlineStr">
        <is>
          <t>Манометр технический</t>
        </is>
      </c>
      <c r="C8" s="401" t="inlineStr">
        <is>
          <t>ТМ5</t>
        </is>
      </c>
      <c r="D8" s="401" t="inlineStr">
        <is>
          <t>7000119</t>
        </is>
      </c>
      <c r="E8" s="402" t="inlineStr">
        <is>
          <t>2019</t>
        </is>
      </c>
      <c r="F8" s="403" t="inlineStr">
        <is>
          <t>0..160 кгс/см²</t>
        </is>
      </c>
      <c r="G8" s="401" t="inlineStr">
        <is>
          <t>1,5</t>
        </is>
      </c>
      <c r="H8" s="399" t="inlineStr">
        <is>
          <t>P г на выходе из ПУ1</t>
        </is>
      </c>
      <c r="I8" s="399" t="inlineStr">
        <is>
          <t>Промплощадка</t>
        </is>
      </c>
      <c r="J8" s="399" t="inlineStr">
        <is>
          <t>АСУ,А и ТМ (КЦ № 7)</t>
        </is>
      </c>
      <c r="K8" s="399" t="inlineStr"/>
      <c r="L8" s="402" t="inlineStr">
        <is>
          <t>12</t>
        </is>
      </c>
      <c r="M8" s="400" t="inlineStr">
        <is>
          <t>26ДЯУ</t>
        </is>
      </c>
      <c r="N8" s="404" t="inlineStr">
        <is>
          <t>П</t>
        </is>
      </c>
      <c r="O8" s="242" t="n"/>
    </row>
    <row r="9" ht="22.5" customHeight="1" s="236">
      <c r="A9" s="399" t="n">
        <v>8</v>
      </c>
      <c r="B9" s="400" t="inlineStr">
        <is>
          <t>Манометр технический</t>
        </is>
      </c>
      <c r="C9" s="401" t="inlineStr">
        <is>
          <t>МП3-УУХЛ1</t>
        </is>
      </c>
      <c r="D9" s="401" t="inlineStr">
        <is>
          <t>20245</t>
        </is>
      </c>
      <c r="E9" s="402" t="inlineStr"/>
      <c r="F9" s="403" t="inlineStr">
        <is>
          <t>0..160 кгс/см²</t>
        </is>
      </c>
      <c r="G9" s="401" t="inlineStr">
        <is>
          <t>1</t>
        </is>
      </c>
      <c r="H9" s="399" t="inlineStr">
        <is>
          <t>P г на выходе из ПУ2</t>
        </is>
      </c>
      <c r="I9" s="399" t="inlineStr">
        <is>
          <t>Промплощадка</t>
        </is>
      </c>
      <c r="J9" s="399" t="inlineStr">
        <is>
          <t>АСУ,А и ТМ (КЦ № 7)</t>
        </is>
      </c>
      <c r="K9" s="399" t="inlineStr"/>
      <c r="L9" s="402" t="inlineStr">
        <is>
          <t>12</t>
        </is>
      </c>
      <c r="M9" s="400" t="inlineStr">
        <is>
          <t>26ДЯУ</t>
        </is>
      </c>
      <c r="N9" s="404" t="inlineStr">
        <is>
          <t>П</t>
        </is>
      </c>
      <c r="O9" s="242" t="n"/>
    </row>
    <row r="10" ht="22.5" customHeight="1" s="236">
      <c r="A10" s="399" t="n">
        <v>9</v>
      </c>
      <c r="B10" s="400" t="inlineStr">
        <is>
          <t>Манометр технический</t>
        </is>
      </c>
      <c r="C10" s="401" t="inlineStr">
        <is>
          <t>МП3-УУХЛ1</t>
        </is>
      </c>
      <c r="D10" s="401" t="inlineStr">
        <is>
          <t>7000157</t>
        </is>
      </c>
      <c r="E10" s="402" t="inlineStr"/>
      <c r="F10" s="403" t="inlineStr">
        <is>
          <t>0..160 кгс/см²</t>
        </is>
      </c>
      <c r="G10" s="401" t="inlineStr">
        <is>
          <t>1</t>
        </is>
      </c>
      <c r="H10" s="399" t="inlineStr">
        <is>
          <t>P г на выходе из ПУ3</t>
        </is>
      </c>
      <c r="I10" s="399" t="inlineStr">
        <is>
          <t>Промплощадка</t>
        </is>
      </c>
      <c r="J10" s="399" t="inlineStr">
        <is>
          <t>АСУ,А и ТМ (КЦ № 7)</t>
        </is>
      </c>
      <c r="K10" s="399" t="inlineStr"/>
      <c r="L10" s="402" t="inlineStr">
        <is>
          <t>12</t>
        </is>
      </c>
      <c r="M10" s="400" t="inlineStr">
        <is>
          <t>26ДЯУ</t>
        </is>
      </c>
      <c r="N10" s="404" t="inlineStr">
        <is>
          <t>П</t>
        </is>
      </c>
      <c r="O10" s="242" t="n"/>
    </row>
    <row r="11" ht="22.5" customHeight="1" s="236">
      <c r="A11" s="399" t="n">
        <v>10</v>
      </c>
      <c r="B11" s="400" t="inlineStr">
        <is>
          <t>Манометр технический</t>
        </is>
      </c>
      <c r="C11" s="401" t="inlineStr">
        <is>
          <t>МП3-УУХЛ1</t>
        </is>
      </c>
      <c r="D11" s="401" t="inlineStr">
        <is>
          <t>20251</t>
        </is>
      </c>
      <c r="E11" s="402" t="inlineStr">
        <is>
          <t>2017</t>
        </is>
      </c>
      <c r="F11" s="403" t="inlineStr">
        <is>
          <t>0..160 кгс/см²</t>
        </is>
      </c>
      <c r="G11" s="401" t="inlineStr">
        <is>
          <t>1</t>
        </is>
      </c>
      <c r="H11" s="399" t="inlineStr">
        <is>
          <t>P г на выходе из ПУ4</t>
        </is>
      </c>
      <c r="I11" s="399" t="inlineStr">
        <is>
          <t>Промплощадка</t>
        </is>
      </c>
      <c r="J11" s="399" t="inlineStr">
        <is>
          <t>АСУ,А и ТМ (КЦ № 7)</t>
        </is>
      </c>
      <c r="K11" s="399" t="inlineStr"/>
      <c r="L11" s="402" t="inlineStr">
        <is>
          <t>12</t>
        </is>
      </c>
      <c r="M11" s="400" t="inlineStr">
        <is>
          <t>26ДЯУ</t>
        </is>
      </c>
      <c r="N11" s="404" t="inlineStr">
        <is>
          <t>П</t>
        </is>
      </c>
      <c r="O11" s="242" t="n"/>
    </row>
    <row r="12" ht="22.5" customHeight="1" s="236">
      <c r="A12" s="399" t="n">
        <v>11</v>
      </c>
      <c r="B12" s="400" t="inlineStr">
        <is>
          <t>Манометр технический</t>
        </is>
      </c>
      <c r="C12" s="401" t="inlineStr">
        <is>
          <t>МП3-УУХЛ1</t>
        </is>
      </c>
      <c r="D12" s="401" t="inlineStr">
        <is>
          <t>7000147</t>
        </is>
      </c>
      <c r="E12" s="402" t="inlineStr">
        <is>
          <t>2016</t>
        </is>
      </c>
      <c r="F12" s="403" t="inlineStr">
        <is>
          <t>0..160 кгс/см²</t>
        </is>
      </c>
      <c r="G12" s="401" t="inlineStr">
        <is>
          <t>1</t>
        </is>
      </c>
      <c r="H12" s="399" t="inlineStr">
        <is>
          <t>P г на выходе из ПУ5</t>
        </is>
      </c>
      <c r="I12" s="399" t="inlineStr">
        <is>
          <t>Промплощадка</t>
        </is>
      </c>
      <c r="J12" s="399" t="inlineStr">
        <is>
          <t>АСУ,А и ТМ (КЦ № 7)</t>
        </is>
      </c>
      <c r="K12" s="399" t="inlineStr"/>
      <c r="L12" s="402" t="inlineStr">
        <is>
          <t>12</t>
        </is>
      </c>
      <c r="M12" s="400" t="inlineStr">
        <is>
          <t>26ДЯУ</t>
        </is>
      </c>
      <c r="N12" s="404" t="inlineStr">
        <is>
          <t>П</t>
        </is>
      </c>
      <c r="O12" s="242" t="n"/>
    </row>
    <row r="13" ht="22.5" customFormat="1" customHeight="1" s="392">
      <c r="A13" s="399" t="n">
        <v>12</v>
      </c>
      <c r="B13" s="400" t="inlineStr">
        <is>
          <t>Манометр технический</t>
        </is>
      </c>
      <c r="C13" s="401" t="inlineStr">
        <is>
          <t>МП3-УУХЛ1</t>
        </is>
      </c>
      <c r="D13" s="401" t="inlineStr">
        <is>
          <t>700010</t>
        </is>
      </c>
      <c r="E13" s="402" t="inlineStr"/>
      <c r="F13" s="403" t="inlineStr">
        <is>
          <t>0..160 кгс/см²</t>
        </is>
      </c>
      <c r="G13" s="401" t="inlineStr">
        <is>
          <t>1</t>
        </is>
      </c>
      <c r="H13" s="399" t="inlineStr">
        <is>
          <t>P г на выходе из ПУ6</t>
        </is>
      </c>
      <c r="I13" s="399" t="inlineStr">
        <is>
          <t>Промплощадка</t>
        </is>
      </c>
      <c r="J13" s="399" t="inlineStr">
        <is>
          <t>АСУ,А и ТМ (КЦ № 7)</t>
        </is>
      </c>
      <c r="K13" s="399" t="inlineStr"/>
      <c r="L13" s="402" t="inlineStr">
        <is>
          <t>12</t>
        </is>
      </c>
      <c r="M13" s="400" t="inlineStr">
        <is>
          <t>26ДЯУ</t>
        </is>
      </c>
      <c r="N13" s="404" t="inlineStr">
        <is>
          <t>П</t>
        </is>
      </c>
      <c r="O13" s="398" t="n">
        <v>212033569</v>
      </c>
    </row>
    <row r="14" ht="22.5" customHeight="1" s="236">
      <c r="A14" s="399" t="n">
        <v>13</v>
      </c>
      <c r="B14" s="400" t="inlineStr">
        <is>
          <t>Манометр технический</t>
        </is>
      </c>
      <c r="C14" s="401" t="inlineStr">
        <is>
          <t>МП4-УУ2</t>
        </is>
      </c>
      <c r="D14" s="401" t="inlineStr">
        <is>
          <t>7000115</t>
        </is>
      </c>
      <c r="E14" s="402" t="inlineStr"/>
      <c r="F14" s="403" t="inlineStr">
        <is>
          <t>0..160 кгс/см²</t>
        </is>
      </c>
      <c r="G14" s="401" t="inlineStr">
        <is>
          <t>1</t>
        </is>
      </c>
      <c r="H14" s="399" t="inlineStr">
        <is>
          <t>P г до блока ПУ</t>
        </is>
      </c>
      <c r="I14" s="399" t="inlineStr">
        <is>
          <t>Промплощадка</t>
        </is>
      </c>
      <c r="J14" s="399" t="inlineStr">
        <is>
          <t>АСУ,А и ТМ (КЦ № 7)</t>
        </is>
      </c>
      <c r="K14" s="399" t="inlineStr"/>
      <c r="L14" s="402" t="inlineStr">
        <is>
          <t>12</t>
        </is>
      </c>
      <c r="M14" s="400" t="inlineStr">
        <is>
          <t>2К26</t>
        </is>
      </c>
      <c r="N14" s="404" t="inlineStr">
        <is>
          <t>К</t>
        </is>
      </c>
      <c r="O14" s="242" t="n"/>
    </row>
    <row r="15" ht="22.5" customHeight="1" s="236">
      <c r="A15" s="399" t="n">
        <v>14</v>
      </c>
      <c r="B15" s="400" t="inlineStr">
        <is>
          <t>Манометр технический</t>
        </is>
      </c>
      <c r="C15" s="401" t="inlineStr">
        <is>
          <t>МП4-УУ2</t>
        </is>
      </c>
      <c r="D15" s="401" t="inlineStr">
        <is>
          <t>7000146</t>
        </is>
      </c>
      <c r="E15" s="402" t="inlineStr"/>
      <c r="F15" s="403" t="inlineStr">
        <is>
          <t>0..160 кгс/см²</t>
        </is>
      </c>
      <c r="G15" s="401" t="inlineStr">
        <is>
          <t>1</t>
        </is>
      </c>
      <c r="H15" s="399" t="inlineStr">
        <is>
          <t>P г после блока ПУ</t>
        </is>
      </c>
      <c r="I15" s="399" t="inlineStr">
        <is>
          <t>Промплощадка</t>
        </is>
      </c>
      <c r="J15" s="399" t="inlineStr">
        <is>
          <t>АСУ,А и ТМ (КЦ № 7)</t>
        </is>
      </c>
      <c r="K15" s="399" t="inlineStr"/>
      <c r="L15" s="402" t="inlineStr">
        <is>
          <t>12</t>
        </is>
      </c>
      <c r="M15" s="400" t="inlineStr">
        <is>
          <t>2К26</t>
        </is>
      </c>
      <c r="N15" s="404" t="inlineStr">
        <is>
          <t>К</t>
        </is>
      </c>
      <c r="O15" s="242" t="n"/>
    </row>
    <row r="16" ht="22.5" customHeight="1" s="236">
      <c r="A16" s="399" t="n">
        <v>15</v>
      </c>
      <c r="B16" s="400" t="inlineStr">
        <is>
          <t>Манометр технический</t>
        </is>
      </c>
      <c r="C16" s="401" t="inlineStr">
        <is>
          <t>ТМ5</t>
        </is>
      </c>
      <c r="D16" s="401" t="inlineStr">
        <is>
          <t>700032</t>
        </is>
      </c>
      <c r="E16" s="402" t="inlineStr"/>
      <c r="F16" s="403" t="inlineStr">
        <is>
          <t>0..16 МПа</t>
        </is>
      </c>
      <c r="G16" s="401" t="inlineStr">
        <is>
          <t>1.5</t>
        </is>
      </c>
      <c r="H16" s="399" t="inlineStr">
        <is>
          <t>P имп. г крана 36к</t>
        </is>
      </c>
      <c r="I16" s="399" t="inlineStr">
        <is>
          <t>Промплощадка</t>
        </is>
      </c>
      <c r="J16" s="399" t="inlineStr">
        <is>
          <t>АСУ,А и ТМ (КЦ № 7)</t>
        </is>
      </c>
      <c r="K16" s="399" t="inlineStr"/>
      <c r="L16" s="402" t="inlineStr">
        <is>
          <t>12</t>
        </is>
      </c>
      <c r="M16" s="400" t="inlineStr">
        <is>
          <t>2К26</t>
        </is>
      </c>
      <c r="N16" s="404" t="inlineStr">
        <is>
          <t>К</t>
        </is>
      </c>
      <c r="O16" s="242" t="n"/>
    </row>
    <row r="17" ht="22.5" customHeight="1" s="236">
      <c r="A17" s="399" t="n">
        <v>16</v>
      </c>
      <c r="B17" s="405" t="inlineStr">
        <is>
          <t>Манометр технический</t>
        </is>
      </c>
      <c r="C17" s="401" t="inlineStr">
        <is>
          <t>МП4-УУ2</t>
        </is>
      </c>
      <c r="D17" s="401" t="inlineStr">
        <is>
          <t>7000121</t>
        </is>
      </c>
      <c r="E17" s="402" t="inlineStr"/>
      <c r="F17" s="403" t="inlineStr">
        <is>
          <t>0..16 МПа</t>
        </is>
      </c>
      <c r="G17" s="401" t="inlineStr">
        <is>
          <t>1.5</t>
        </is>
      </c>
      <c r="H17" s="399" t="inlineStr">
        <is>
          <t>P г до крана 87</t>
        </is>
      </c>
      <c r="I17" s="399" t="inlineStr">
        <is>
          <t>Промплощадка</t>
        </is>
      </c>
      <c r="J17" s="399" t="inlineStr">
        <is>
          <t>АСУ,А и ТМ (КЦ № 7)</t>
        </is>
      </c>
      <c r="K17" s="399" t="inlineStr"/>
      <c r="L17" s="402" t="inlineStr">
        <is>
          <t>12</t>
        </is>
      </c>
      <c r="M17" s="400" t="inlineStr">
        <is>
          <t>2К26</t>
        </is>
      </c>
      <c r="N17" s="404" t="inlineStr">
        <is>
          <t>К</t>
        </is>
      </c>
      <c r="O17" s="242" t="n"/>
    </row>
    <row r="18" ht="22.5" customHeight="1" s="236">
      <c r="A18" s="399" t="n">
        <v>17</v>
      </c>
      <c r="B18" s="405" t="inlineStr">
        <is>
          <t>Манометр технический</t>
        </is>
      </c>
      <c r="C18" s="401" t="inlineStr">
        <is>
          <t>МП4-УУ2</t>
        </is>
      </c>
      <c r="D18" s="401" t="inlineStr">
        <is>
          <t>7000302</t>
        </is>
      </c>
      <c r="E18" s="402" t="inlineStr"/>
      <c r="F18" s="403" t="inlineStr">
        <is>
          <t>0..16 МПа</t>
        </is>
      </c>
      <c r="G18" s="401" t="inlineStr">
        <is>
          <t>1</t>
        </is>
      </c>
      <c r="H18" s="399" t="inlineStr">
        <is>
          <t>P г после крана 87</t>
        </is>
      </c>
      <c r="I18" s="399" t="inlineStr">
        <is>
          <t>Промплощадка</t>
        </is>
      </c>
      <c r="J18" s="399" t="inlineStr">
        <is>
          <t>АСУ,А и ТМ (КЦ № 7)</t>
        </is>
      </c>
      <c r="K18" s="399" t="inlineStr"/>
      <c r="L18" s="402" t="inlineStr">
        <is>
          <t>12</t>
        </is>
      </c>
      <c r="M18" s="400" t="inlineStr">
        <is>
          <t>2К26</t>
        </is>
      </c>
      <c r="N18" s="404" t="inlineStr">
        <is>
          <t>К</t>
        </is>
      </c>
      <c r="O18" s="242" t="n"/>
    </row>
    <row r="19" ht="22.5" customHeight="1" s="236">
      <c r="A19" s="399" t="n">
        <v>18</v>
      </c>
      <c r="B19" s="405" t="inlineStr">
        <is>
          <t>Манометр технический</t>
        </is>
      </c>
      <c r="C19" s="401" t="inlineStr">
        <is>
          <t>МП4-УУ2</t>
        </is>
      </c>
      <c r="D19" s="401" t="inlineStr">
        <is>
          <t>700293</t>
        </is>
      </c>
      <c r="E19" s="402" t="inlineStr"/>
      <c r="F19" s="403" t="inlineStr">
        <is>
          <t>0..16 МПа</t>
        </is>
      </c>
      <c r="G19" s="401" t="inlineStr">
        <is>
          <t>1</t>
        </is>
      </c>
      <c r="H19" s="399" t="inlineStr">
        <is>
          <t>P г после крана 77</t>
        </is>
      </c>
      <c r="I19" s="399" t="inlineStr">
        <is>
          <t>Промплощадка</t>
        </is>
      </c>
      <c r="J19" s="399" t="inlineStr">
        <is>
          <t>АСУ,А и ТМ (КЦ № 7)</t>
        </is>
      </c>
      <c r="K19" s="399" t="inlineStr"/>
      <c r="L19" s="402" t="inlineStr">
        <is>
          <t>12</t>
        </is>
      </c>
      <c r="M19" s="400" t="inlineStr">
        <is>
          <t>2К26</t>
        </is>
      </c>
      <c r="N19" s="404" t="inlineStr">
        <is>
          <t>К</t>
        </is>
      </c>
      <c r="O19" s="242" t="n"/>
    </row>
    <row r="20" ht="22.5" customHeight="1" s="236">
      <c r="A20" s="399" t="n">
        <v>19</v>
      </c>
      <c r="B20" s="405" t="inlineStr">
        <is>
          <t>Манометр технический</t>
        </is>
      </c>
      <c r="C20" s="401" t="inlineStr">
        <is>
          <t>МП4-УУ2</t>
        </is>
      </c>
      <c r="D20" s="401" t="inlineStr">
        <is>
          <t>7000124</t>
        </is>
      </c>
      <c r="E20" s="402" t="inlineStr"/>
      <c r="F20" s="403" t="inlineStr">
        <is>
          <t>0..16 МПа</t>
        </is>
      </c>
      <c r="G20" s="401" t="inlineStr">
        <is>
          <t>1.5</t>
        </is>
      </c>
      <c r="H20" s="399" t="inlineStr">
        <is>
          <t>P г до крана 77</t>
        </is>
      </c>
      <c r="I20" s="399" t="inlineStr">
        <is>
          <t>Промплощадка</t>
        </is>
      </c>
      <c r="J20" s="399" t="inlineStr">
        <is>
          <t>АСУ,А и ТМ (КЦ № 7)</t>
        </is>
      </c>
      <c r="K20" s="399" t="inlineStr"/>
      <c r="L20" s="402" t="inlineStr">
        <is>
          <t>12</t>
        </is>
      </c>
      <c r="M20" s="400" t="inlineStr">
        <is>
          <t>2К26</t>
        </is>
      </c>
      <c r="N20" s="404" t="inlineStr">
        <is>
          <t>К</t>
        </is>
      </c>
      <c r="O20" s="242" t="n"/>
    </row>
    <row r="21" ht="22.5" customHeight="1" s="236">
      <c r="A21" s="399" t="n">
        <v>20</v>
      </c>
      <c r="B21" s="405" t="inlineStr">
        <is>
          <t>Манометр технический</t>
        </is>
      </c>
      <c r="C21" s="401" t="inlineStr">
        <is>
          <t>ТМ5</t>
        </is>
      </c>
      <c r="D21" s="401" t="inlineStr">
        <is>
          <t>700033</t>
        </is>
      </c>
      <c r="E21" s="402" t="inlineStr"/>
      <c r="F21" s="403" t="inlineStr">
        <is>
          <t>0..16 МПа</t>
        </is>
      </c>
      <c r="G21" s="401" t="inlineStr">
        <is>
          <t>1.5</t>
        </is>
      </c>
      <c r="H21" s="399" t="inlineStr">
        <is>
          <t>P технологичского газа в коллекторах</t>
        </is>
      </c>
      <c r="I21" s="399" t="inlineStr">
        <is>
          <t>Промплощадка</t>
        </is>
      </c>
      <c r="J21" s="399" t="inlineStr">
        <is>
          <t>АСУ,А и ТМ (КЦ № 7)</t>
        </is>
      </c>
      <c r="K21" s="399" t="inlineStr"/>
      <c r="L21" s="402" t="inlineStr">
        <is>
          <t>12</t>
        </is>
      </c>
      <c r="M21" s="400" t="inlineStr">
        <is>
          <t>2К26</t>
        </is>
      </c>
      <c r="N21" s="404" t="inlineStr">
        <is>
          <t>К</t>
        </is>
      </c>
      <c r="O21" s="242" t="n"/>
    </row>
    <row r="22" ht="22.5" customFormat="1" customHeight="1" s="392">
      <c r="A22" s="399" t="n">
        <v>21</v>
      </c>
      <c r="B22" s="405" t="inlineStr">
        <is>
          <t>Манометр технический</t>
        </is>
      </c>
      <c r="C22" s="401" t="inlineStr">
        <is>
          <t>МП4-УУ2</t>
        </is>
      </c>
      <c r="D22" s="401" t="inlineStr">
        <is>
          <t>15250</t>
        </is>
      </c>
      <c r="E22" s="402" t="inlineStr"/>
      <c r="F22" s="403" t="inlineStr">
        <is>
          <t>0..10 кгс/см²</t>
        </is>
      </c>
      <c r="G22" s="401" t="inlineStr">
        <is>
          <t>1</t>
        </is>
      </c>
      <c r="H22" s="399" t="inlineStr">
        <is>
          <t>P в блоке ёмкости Е-2</t>
        </is>
      </c>
      <c r="I22" s="399" t="inlineStr">
        <is>
          <t>Промплощадка</t>
        </is>
      </c>
      <c r="J22" s="399" t="inlineStr">
        <is>
          <t>АСУ,А и ТМ (КЦ № 7)</t>
        </is>
      </c>
      <c r="K22" s="399" t="inlineStr"/>
      <c r="L22" s="402" t="inlineStr">
        <is>
          <t>12</t>
        </is>
      </c>
      <c r="M22" s="400" t="inlineStr">
        <is>
          <t>26ДЯУ</t>
        </is>
      </c>
      <c r="N22" s="404" t="inlineStr">
        <is>
          <t>П</t>
        </is>
      </c>
      <c r="O22" s="398" t="n">
        <v>15644</v>
      </c>
    </row>
    <row r="23" ht="22.5" customHeight="1" s="236">
      <c r="A23" s="399" t="n">
        <v>22</v>
      </c>
      <c r="B23" s="405" t="inlineStr">
        <is>
          <t>Манометр технический</t>
        </is>
      </c>
      <c r="C23" s="401" t="inlineStr">
        <is>
          <t>ТМ5</t>
        </is>
      </c>
      <c r="D23" s="401" t="inlineStr">
        <is>
          <t>700031</t>
        </is>
      </c>
      <c r="E23" s="402" t="inlineStr"/>
      <c r="F23" s="403" t="inlineStr">
        <is>
          <t>0..16 МПа</t>
        </is>
      </c>
      <c r="G23" s="401" t="inlineStr">
        <is>
          <t>1.5</t>
        </is>
      </c>
      <c r="H23" s="399" t="inlineStr">
        <is>
          <t>P после клапана 101</t>
        </is>
      </c>
      <c r="I23" s="399" t="inlineStr">
        <is>
          <t>Промплощадка</t>
        </is>
      </c>
      <c r="J23" s="399" t="inlineStr">
        <is>
          <t>АСУ,А и ТМ (КЦ № 7)</t>
        </is>
      </c>
      <c r="K23" s="399" t="inlineStr"/>
      <c r="L23" s="402" t="inlineStr">
        <is>
          <t>12</t>
        </is>
      </c>
      <c r="M23" s="400" t="inlineStr">
        <is>
          <t>2К26</t>
        </is>
      </c>
      <c r="N23" s="404" t="inlineStr">
        <is>
          <t>К</t>
        </is>
      </c>
      <c r="O23" s="242" t="n"/>
    </row>
    <row r="24" ht="22.5" customHeight="1" s="236">
      <c r="A24" s="399" t="n">
        <v>23</v>
      </c>
      <c r="B24" s="400" t="inlineStr">
        <is>
          <t>Термометр биметаллический</t>
        </is>
      </c>
      <c r="C24" s="401" t="inlineStr">
        <is>
          <t>БТ5</t>
        </is>
      </c>
      <c r="D24" s="401" t="inlineStr">
        <is>
          <t>7000206</t>
        </is>
      </c>
      <c r="E24" s="402" t="inlineStr"/>
      <c r="F24" s="403" t="inlineStr">
        <is>
          <t>-30..+50 °С</t>
        </is>
      </c>
      <c r="G24" s="401" t="inlineStr">
        <is>
          <t>1.5</t>
        </is>
      </c>
      <c r="H24" s="399" t="inlineStr">
        <is>
          <t>T в блоке ёмкости Е-2</t>
        </is>
      </c>
      <c r="I24" s="399" t="inlineStr">
        <is>
          <t>Промплощадка</t>
        </is>
      </c>
      <c r="J24" s="399" t="inlineStr">
        <is>
          <t>АСУ,А и ТМ (КЦ № 7)</t>
        </is>
      </c>
      <c r="K24" s="399" t="inlineStr"/>
      <c r="L24" s="402" t="inlineStr">
        <is>
          <t>24</t>
        </is>
      </c>
      <c r="M24" s="400" t="inlineStr">
        <is>
          <t>3к26</t>
        </is>
      </c>
      <c r="N24" s="404" t="inlineStr">
        <is>
          <t>К</t>
        </is>
      </c>
      <c r="O24" s="242" t="n"/>
    </row>
    <row r="25" ht="22.5" customHeight="1" s="236">
      <c r="A25" s="399" t="n">
        <v>24</v>
      </c>
      <c r="B25" s="400" t="inlineStr">
        <is>
          <t>Термометр биметаллический</t>
        </is>
      </c>
      <c r="C25" s="401" t="inlineStr">
        <is>
          <t>ТБ-2</t>
        </is>
      </c>
      <c r="D25" s="401" t="inlineStr">
        <is>
          <t>1938</t>
        </is>
      </c>
      <c r="E25" s="402" t="inlineStr"/>
      <c r="F25" s="403" t="inlineStr">
        <is>
          <t>-50..+100 °С</t>
        </is>
      </c>
      <c r="G25" s="401" t="inlineStr">
        <is>
          <t>1</t>
        </is>
      </c>
      <c r="H25" s="399" t="inlineStr">
        <is>
          <t>T в блоке ПУ</t>
        </is>
      </c>
      <c r="I25" s="399" t="inlineStr">
        <is>
          <t>Промплощадка</t>
        </is>
      </c>
      <c r="J25" s="399" t="inlineStr">
        <is>
          <t>АСУ,А и ТМ (КЦ № 7)</t>
        </is>
      </c>
      <c r="K25" s="399" t="inlineStr"/>
      <c r="L25" s="402" t="inlineStr">
        <is>
          <t>24</t>
        </is>
      </c>
      <c r="M25" s="400" t="inlineStr">
        <is>
          <t>2к26</t>
        </is>
      </c>
      <c r="N25" s="404" t="inlineStr">
        <is>
          <t>К</t>
        </is>
      </c>
      <c r="O25" s="242" t="n"/>
    </row>
    <row r="26" ht="22.5" customHeight="1" s="236">
      <c r="A26" s="399" t="n">
        <v>25</v>
      </c>
      <c r="B26" s="400" t="inlineStr">
        <is>
          <t>Термометр биметаллический</t>
        </is>
      </c>
      <c r="C26" s="401" t="inlineStr">
        <is>
          <t>ТБ-2</t>
        </is>
      </c>
      <c r="D26" s="401" t="inlineStr">
        <is>
          <t>1954</t>
        </is>
      </c>
      <c r="E26" s="402" t="inlineStr"/>
      <c r="F26" s="403" t="inlineStr">
        <is>
          <t>-50..+100 °С</t>
        </is>
      </c>
      <c r="G26" s="401" t="inlineStr">
        <is>
          <t>1</t>
        </is>
      </c>
      <c r="H26" s="399" t="inlineStr">
        <is>
          <t>T в блоке ПУ</t>
        </is>
      </c>
      <c r="I26" s="399" t="inlineStr">
        <is>
          <t>Промплощадка</t>
        </is>
      </c>
      <c r="J26" s="399" t="inlineStr">
        <is>
          <t>АСУ,А и ТМ (КЦ № 7)</t>
        </is>
      </c>
      <c r="K26" s="399" t="inlineStr"/>
      <c r="L26" s="402" t="inlineStr">
        <is>
          <t>24</t>
        </is>
      </c>
      <c r="M26" s="400" t="inlineStr">
        <is>
          <t>2к26</t>
        </is>
      </c>
      <c r="N26" s="404" t="inlineStr">
        <is>
          <t>К</t>
        </is>
      </c>
      <c r="O26" s="242" t="n"/>
    </row>
    <row r="27" ht="22.5" customHeight="1" s="236">
      <c r="A27" s="399" t="n">
        <v>26</v>
      </c>
      <c r="B27" s="400" t="inlineStr">
        <is>
          <t>Термометр биметаллический</t>
        </is>
      </c>
      <c r="C27" s="401" t="inlineStr">
        <is>
          <t>ТБ-2</t>
        </is>
      </c>
      <c r="D27" s="401" t="inlineStr">
        <is>
          <t>1931</t>
        </is>
      </c>
      <c r="E27" s="402" t="inlineStr"/>
      <c r="F27" s="403" t="inlineStr">
        <is>
          <t>-50..+100 °С</t>
        </is>
      </c>
      <c r="G27" s="401" t="inlineStr">
        <is>
          <t>1</t>
        </is>
      </c>
      <c r="H27" s="399" t="inlineStr">
        <is>
          <t>T в блоке ПУ</t>
        </is>
      </c>
      <c r="I27" s="399" t="inlineStr">
        <is>
          <t>Промплощадка</t>
        </is>
      </c>
      <c r="J27" s="399" t="inlineStr">
        <is>
          <t>АСУ,А и ТМ (КЦ № 7)</t>
        </is>
      </c>
      <c r="K27" s="399" t="inlineStr"/>
      <c r="L27" s="402" t="inlineStr">
        <is>
          <t>24</t>
        </is>
      </c>
      <c r="M27" s="400" t="inlineStr">
        <is>
          <t>2к26</t>
        </is>
      </c>
      <c r="N27" s="404" t="inlineStr">
        <is>
          <t>К</t>
        </is>
      </c>
      <c r="O27" s="242" t="n"/>
    </row>
    <row r="28" ht="22.5" customHeight="1" s="236">
      <c r="A28" s="399" t="n">
        <v>27</v>
      </c>
      <c r="B28" s="400" t="inlineStr">
        <is>
          <t>Термометр биметаллический</t>
        </is>
      </c>
      <c r="C28" s="401" t="inlineStr">
        <is>
          <t>ТБ-2</t>
        </is>
      </c>
      <c r="D28" s="401" t="inlineStr">
        <is>
          <t>1947</t>
        </is>
      </c>
      <c r="E28" s="402" t="inlineStr"/>
      <c r="F28" s="403" t="inlineStr">
        <is>
          <t>-50..+100 °С</t>
        </is>
      </c>
      <c r="G28" s="401" t="inlineStr">
        <is>
          <t>1</t>
        </is>
      </c>
      <c r="H28" s="399" t="inlineStr">
        <is>
          <t>T в блоке ПУ</t>
        </is>
      </c>
      <c r="I28" s="399" t="inlineStr">
        <is>
          <t>Промплощадка</t>
        </is>
      </c>
      <c r="J28" s="399" t="inlineStr">
        <is>
          <t>АСУ,А и ТМ (КЦ № 7)</t>
        </is>
      </c>
      <c r="K28" s="399" t="inlineStr"/>
      <c r="L28" s="402" t="inlineStr">
        <is>
          <t>24</t>
        </is>
      </c>
      <c r="M28" s="400" t="inlineStr">
        <is>
          <t>2к26</t>
        </is>
      </c>
      <c r="N28" s="404" t="inlineStr">
        <is>
          <t>К</t>
        </is>
      </c>
      <c r="O28" s="242" t="n"/>
    </row>
    <row r="29" ht="22.5" customHeight="1" s="236">
      <c r="A29" s="399" t="n">
        <v>28</v>
      </c>
      <c r="B29" s="400" t="inlineStr">
        <is>
          <t>Термометр биметаллический</t>
        </is>
      </c>
      <c r="C29" s="401" t="inlineStr">
        <is>
          <t>ТБ-2</t>
        </is>
      </c>
      <c r="D29" s="401" t="inlineStr">
        <is>
          <t>1956</t>
        </is>
      </c>
      <c r="E29" s="402" t="inlineStr"/>
      <c r="F29" s="403" t="inlineStr">
        <is>
          <t>-50..+100 °С</t>
        </is>
      </c>
      <c r="G29" s="401" t="inlineStr">
        <is>
          <t>1</t>
        </is>
      </c>
      <c r="H29" s="399" t="inlineStr">
        <is>
          <t>T в блоке ПУ</t>
        </is>
      </c>
      <c r="I29" s="399" t="inlineStr">
        <is>
          <t>Промплощадка</t>
        </is>
      </c>
      <c r="J29" s="399" t="inlineStr">
        <is>
          <t>АСУ,А и ТМ (КЦ № 7)</t>
        </is>
      </c>
      <c r="K29" s="399" t="inlineStr"/>
      <c r="L29" s="402" t="inlineStr">
        <is>
          <t>24</t>
        </is>
      </c>
      <c r="M29" s="400" t="inlineStr">
        <is>
          <t>2к26</t>
        </is>
      </c>
      <c r="N29" s="404" t="inlineStr">
        <is>
          <t>К</t>
        </is>
      </c>
      <c r="O29" s="242" t="n"/>
    </row>
    <row r="30" ht="22.5" customHeight="1" s="236">
      <c r="A30" s="399" t="n">
        <v>29</v>
      </c>
      <c r="B30" s="400" t="inlineStr">
        <is>
          <t>Термометр биметаллический</t>
        </is>
      </c>
      <c r="C30" s="401" t="inlineStr">
        <is>
          <t>ТБ-2</t>
        </is>
      </c>
      <c r="D30" s="401" t="inlineStr">
        <is>
          <t>1948</t>
        </is>
      </c>
      <c r="E30" s="402" t="inlineStr"/>
      <c r="F30" s="403" t="inlineStr">
        <is>
          <t>-50..+100 °С</t>
        </is>
      </c>
      <c r="G30" s="401" t="inlineStr">
        <is>
          <t>1</t>
        </is>
      </c>
      <c r="H30" s="399" t="inlineStr">
        <is>
          <t>T в блоке ПУ</t>
        </is>
      </c>
      <c r="I30" s="399" t="inlineStr">
        <is>
          <t>Промплощадка</t>
        </is>
      </c>
      <c r="J30" s="399" t="inlineStr">
        <is>
          <t>АСУ,А и ТМ (КЦ № 7)</t>
        </is>
      </c>
      <c r="K30" s="399" t="inlineStr"/>
      <c r="L30" s="402" t="inlineStr">
        <is>
          <t>24</t>
        </is>
      </c>
      <c r="M30" s="400" t="inlineStr">
        <is>
          <t>2к26</t>
        </is>
      </c>
      <c r="N30" s="404" t="inlineStr">
        <is>
          <t>К</t>
        </is>
      </c>
      <c r="O30" s="242" t="n"/>
    </row>
    <row r="31" ht="33.75" customHeight="1" s="236">
      <c r="A31" s="399" t="n">
        <v>30</v>
      </c>
      <c r="B31" s="405" t="inlineStr">
        <is>
          <t>Газоанализатор стационарный одноканальный</t>
        </is>
      </c>
      <c r="C31" s="401" t="inlineStr">
        <is>
          <t>Сенсор-СВ-5031-СТ</t>
        </is>
      </c>
      <c r="D31" s="401" t="inlineStr">
        <is>
          <t>19100330</t>
        </is>
      </c>
      <c r="E31" s="402" t="inlineStr"/>
      <c r="F31" s="403" t="inlineStr"/>
      <c r="G31" s="401" t="inlineStr"/>
      <c r="H31" s="399" t="inlineStr">
        <is>
          <t>Загазованность по дизтопливу QISA-1</t>
        </is>
      </c>
      <c r="I31" s="399" t="inlineStr">
        <is>
          <t>Промплощадка</t>
        </is>
      </c>
      <c r="J31" s="399" t="inlineStr">
        <is>
          <t>АСУ,А и ТМ (КЦ № 7)</t>
        </is>
      </c>
      <c r="K31" s="399" t="inlineStr"/>
      <c r="L31" s="402" t="inlineStr">
        <is>
          <t>60</t>
        </is>
      </c>
      <c r="M31" s="400" t="inlineStr"/>
      <c r="N31" s="404" t="inlineStr"/>
      <c r="O31" s="242" t="n"/>
      <c r="P31" s="242" t="inlineStr">
        <is>
          <t>не является средством измерения</t>
        </is>
      </c>
    </row>
    <row r="32" ht="33.75" customHeight="1" s="236">
      <c r="A32" s="399" t="n">
        <v>31</v>
      </c>
      <c r="B32" s="405" t="inlineStr">
        <is>
          <t>Газоанализатор стационарный одноканальный</t>
        </is>
      </c>
      <c r="C32" s="401" t="inlineStr">
        <is>
          <t>Сенсор-СВ-5031-СТ</t>
        </is>
      </c>
      <c r="D32" s="401" t="inlineStr">
        <is>
          <t>19100331</t>
        </is>
      </c>
      <c r="E32" s="402" t="inlineStr"/>
      <c r="F32" s="403" t="inlineStr"/>
      <c r="G32" s="401" t="inlineStr"/>
      <c r="H32" s="399" t="inlineStr">
        <is>
          <t>Загазованность по дизтопливу QISA-2</t>
        </is>
      </c>
      <c r="I32" s="399" t="inlineStr">
        <is>
          <t>Промплощадка</t>
        </is>
      </c>
      <c r="J32" s="399" t="inlineStr">
        <is>
          <t>АСУ,А и ТМ (КЦ № 7)</t>
        </is>
      </c>
      <c r="K32" s="399" t="inlineStr"/>
      <c r="L32" s="402" t="inlineStr">
        <is>
          <t>60</t>
        </is>
      </c>
      <c r="M32" s="400" t="inlineStr"/>
      <c r="N32" s="404" t="inlineStr"/>
      <c r="O32" s="242" t="n"/>
      <c r="P32" s="242" t="inlineStr">
        <is>
          <t>не является средством измерения</t>
        </is>
      </c>
    </row>
    <row r="33" ht="33.75" customHeight="1" s="236">
      <c r="A33" s="399" t="n">
        <v>32</v>
      </c>
      <c r="B33" s="405" t="inlineStr">
        <is>
          <t>Газоанализатор стационарный одноканальный</t>
        </is>
      </c>
      <c r="C33" s="401" t="inlineStr">
        <is>
          <t>Сенсор-СВ-5031-СТ</t>
        </is>
      </c>
      <c r="D33" s="401" t="inlineStr">
        <is>
          <t>19100332</t>
        </is>
      </c>
      <c r="E33" s="402" t="inlineStr"/>
      <c r="F33" s="403" t="inlineStr"/>
      <c r="G33" s="401" t="inlineStr"/>
      <c r="H33" s="399" t="inlineStr">
        <is>
          <t>Загазованность по дизтопливу QISA-3</t>
        </is>
      </c>
      <c r="I33" s="399" t="inlineStr">
        <is>
          <t>Промплощадка</t>
        </is>
      </c>
      <c r="J33" s="399" t="inlineStr">
        <is>
          <t>АСУ,А и ТМ (КЦ № 7)</t>
        </is>
      </c>
      <c r="K33" s="399" t="inlineStr"/>
      <c r="L33" s="402" t="inlineStr">
        <is>
          <t>60</t>
        </is>
      </c>
      <c r="M33" s="400" t="inlineStr"/>
      <c r="N33" s="404" t="inlineStr"/>
      <c r="O33" s="242" t="n"/>
      <c r="P33" s="242" t="inlineStr">
        <is>
          <t>не является средством измерения</t>
        </is>
      </c>
    </row>
    <row r="34" ht="22.5" customHeight="1" s="236">
      <c r="A34" s="399" t="n">
        <v>33</v>
      </c>
      <c r="B34" s="400" t="inlineStr">
        <is>
          <t>Термометр сопротивления</t>
        </is>
      </c>
      <c r="C34" s="401" t="inlineStr">
        <is>
          <t>ТСПУ 031П</t>
        </is>
      </c>
      <c r="D34" s="401" t="inlineStr">
        <is>
          <t>44</t>
        </is>
      </c>
      <c r="E34" s="402" t="inlineStr"/>
      <c r="F34" s="403" t="inlineStr"/>
      <c r="G34" s="401" t="inlineStr">
        <is>
          <t>0,5</t>
        </is>
      </c>
      <c r="H34" s="399" t="inlineStr">
        <is>
          <t>Температура газа на входе КЦ</t>
        </is>
      </c>
      <c r="I34" s="399" t="inlineStr">
        <is>
          <t>КЦ</t>
        </is>
      </c>
      <c r="J34" s="399" t="inlineStr">
        <is>
          <t>АСУ,А и ТМ (КЦ № 7)</t>
        </is>
      </c>
      <c r="K34" s="399" t="inlineStr"/>
      <c r="L34" s="402" t="inlineStr">
        <is>
          <t>60</t>
        </is>
      </c>
      <c r="M34" s="400" t="inlineStr"/>
      <c r="N34" s="404" t="inlineStr"/>
      <c r="O34" s="242" t="n"/>
    </row>
    <row r="35" ht="22.5" customHeight="1" s="236">
      <c r="A35" s="399" t="n">
        <v>34</v>
      </c>
      <c r="B35" s="400" t="inlineStr">
        <is>
          <t>Термометр сопротивления</t>
        </is>
      </c>
      <c r="C35" s="401" t="inlineStr">
        <is>
          <t>ТСПУ 031П</t>
        </is>
      </c>
      <c r="D35" s="401" t="inlineStr">
        <is>
          <t>42</t>
        </is>
      </c>
      <c r="E35" s="402" t="inlineStr"/>
      <c r="F35" s="403" t="inlineStr">
        <is>
          <t>-50..+100 °С</t>
        </is>
      </c>
      <c r="G35" s="401" t="inlineStr">
        <is>
          <t>0,5</t>
        </is>
      </c>
      <c r="H35" s="399" t="inlineStr">
        <is>
          <t>Температура газа на входе КЦ</t>
        </is>
      </c>
      <c r="I35" s="399" t="inlineStr">
        <is>
          <t>КЦ</t>
        </is>
      </c>
      <c r="J35" s="399" t="inlineStr">
        <is>
          <t>АСУ,А и ТМ (КЦ № 7)</t>
        </is>
      </c>
      <c r="K35" s="399" t="inlineStr"/>
      <c r="L35" s="402" t="inlineStr">
        <is>
          <t>60</t>
        </is>
      </c>
      <c r="M35" s="400" t="inlineStr"/>
      <c r="N35" s="404" t="inlineStr"/>
      <c r="O35" s="242" t="n"/>
    </row>
    <row r="36" ht="22.5" customHeight="1" s="236">
      <c r="A36" s="399" t="n">
        <v>35</v>
      </c>
      <c r="B36" s="400" t="inlineStr">
        <is>
          <t>Термометр сопротивления</t>
        </is>
      </c>
      <c r="C36" s="401" t="inlineStr">
        <is>
          <t>ТСПУ 031П</t>
        </is>
      </c>
      <c r="D36" s="401" t="inlineStr">
        <is>
          <t>43</t>
        </is>
      </c>
      <c r="E36" s="402" t="inlineStr"/>
      <c r="F36" s="403" t="inlineStr">
        <is>
          <t>-50..+100 °С</t>
        </is>
      </c>
      <c r="G36" s="401" t="inlineStr">
        <is>
          <t>0,5</t>
        </is>
      </c>
      <c r="H36" s="399" t="inlineStr">
        <is>
          <t>Температура газа на выходе КЦ</t>
        </is>
      </c>
      <c r="I36" s="399" t="inlineStr">
        <is>
          <t>КЦ</t>
        </is>
      </c>
      <c r="J36" s="399" t="inlineStr">
        <is>
          <t>АСУ,А и ТМ (КЦ № 7)</t>
        </is>
      </c>
      <c r="K36" s="399" t="inlineStr"/>
      <c r="L36" s="402" t="inlineStr">
        <is>
          <t>60</t>
        </is>
      </c>
      <c r="M36" s="400" t="inlineStr"/>
      <c r="N36" s="404" t="inlineStr"/>
      <c r="O36" s="242" t="n"/>
    </row>
    <row r="37" ht="22.5" customHeight="1" s="236">
      <c r="A37" s="399" t="n">
        <v>36</v>
      </c>
      <c r="B37" s="400" t="inlineStr">
        <is>
          <t>Термометр сопротивления</t>
        </is>
      </c>
      <c r="C37" s="401" t="inlineStr">
        <is>
          <t>ТСПУ 031П</t>
        </is>
      </c>
      <c r="D37" s="401" t="inlineStr">
        <is>
          <t>45</t>
        </is>
      </c>
      <c r="E37" s="402" t="inlineStr"/>
      <c r="F37" s="403" t="inlineStr">
        <is>
          <t>-50..+100 °С</t>
        </is>
      </c>
      <c r="G37" s="401" t="inlineStr">
        <is>
          <t>0,5</t>
        </is>
      </c>
      <c r="H37" s="399" t="inlineStr">
        <is>
          <t>Температура газа на выходе КЦ</t>
        </is>
      </c>
      <c r="I37" s="399" t="inlineStr">
        <is>
          <t>КЦ</t>
        </is>
      </c>
      <c r="J37" s="399" t="inlineStr">
        <is>
          <t>АСУ,А и ТМ (КЦ № 7)</t>
        </is>
      </c>
      <c r="K37" s="399" t="inlineStr"/>
      <c r="L37" s="402" t="inlineStr">
        <is>
          <t>60</t>
        </is>
      </c>
      <c r="M37" s="400" t="inlineStr"/>
      <c r="N37" s="404" t="inlineStr"/>
      <c r="O37" s="242" t="n"/>
    </row>
    <row r="38" ht="22.5" customHeight="1" s="236">
      <c r="A38" s="399" t="n">
        <v>37</v>
      </c>
      <c r="B38" s="406" t="inlineStr">
        <is>
          <t>Преобразователь избыточного давления</t>
        </is>
      </c>
      <c r="C38" s="401" t="inlineStr">
        <is>
          <t>Метран-150</t>
        </is>
      </c>
      <c r="D38" s="401" t="inlineStr">
        <is>
          <t>1634479</t>
        </is>
      </c>
      <c r="E38" s="402" t="inlineStr"/>
      <c r="F38" s="403" t="inlineStr">
        <is>
          <t>0..10 MPa</t>
        </is>
      </c>
      <c r="G38" s="401" t="inlineStr">
        <is>
          <t>0.10%</t>
        </is>
      </c>
      <c r="H38" s="399" t="inlineStr">
        <is>
          <t>Давление газа на входе в КЦ</t>
        </is>
      </c>
      <c r="I38" s="399" t="inlineStr">
        <is>
          <t>КЦ</t>
        </is>
      </c>
      <c r="J38" s="399" t="inlineStr">
        <is>
          <t>АСУ,А и ТМ (КЦ № 7)</t>
        </is>
      </c>
      <c r="K38" s="399" t="inlineStr"/>
      <c r="L38" s="402" t="inlineStr">
        <is>
          <t>60</t>
        </is>
      </c>
      <c r="M38" s="400" t="inlineStr"/>
      <c r="N38" s="404" t="inlineStr"/>
      <c r="O38" s="242" t="n"/>
    </row>
    <row r="39" ht="22.5" customHeight="1" s="236">
      <c r="A39" s="399" t="n">
        <v>38</v>
      </c>
      <c r="B39" s="406" t="inlineStr">
        <is>
          <t>Преобразователь избыточного давления</t>
        </is>
      </c>
      <c r="C39" s="401" t="inlineStr">
        <is>
          <t>Метран-150</t>
        </is>
      </c>
      <c r="D39" s="401" t="inlineStr">
        <is>
          <t>1634482</t>
        </is>
      </c>
      <c r="E39" s="402" t="inlineStr"/>
      <c r="F39" s="403" t="inlineStr">
        <is>
          <t>0..10 MPa</t>
        </is>
      </c>
      <c r="G39" s="401" t="inlineStr">
        <is>
          <t>0.10%</t>
        </is>
      </c>
      <c r="H39" s="399" t="inlineStr">
        <is>
          <t>Давление газа на входе в КЦ</t>
        </is>
      </c>
      <c r="I39" s="399" t="inlineStr">
        <is>
          <t>КЦ</t>
        </is>
      </c>
      <c r="J39" s="399" t="inlineStr">
        <is>
          <t>АСУ,А и ТМ (КЦ № 7)</t>
        </is>
      </c>
      <c r="K39" s="399" t="inlineStr"/>
      <c r="L39" s="402" t="inlineStr">
        <is>
          <t>60</t>
        </is>
      </c>
      <c r="M39" s="400" t="inlineStr"/>
      <c r="N39" s="404" t="inlineStr"/>
      <c r="O39" s="242" t="n"/>
    </row>
    <row r="40" ht="22.5" customHeight="1" s="236">
      <c r="A40" s="399" t="n">
        <v>39</v>
      </c>
      <c r="B40" s="406" t="inlineStr">
        <is>
          <t>Преобразователь избыточного давления</t>
        </is>
      </c>
      <c r="C40" s="401" t="inlineStr">
        <is>
          <t>Метран-150</t>
        </is>
      </c>
      <c r="D40" s="401" t="inlineStr">
        <is>
          <t>1634477</t>
        </is>
      </c>
      <c r="E40" s="402" t="inlineStr"/>
      <c r="F40" s="403" t="inlineStr">
        <is>
          <t>0..10 MPa</t>
        </is>
      </c>
      <c r="G40" s="401" t="inlineStr">
        <is>
          <t>0.10%</t>
        </is>
      </c>
      <c r="H40" s="399" t="inlineStr">
        <is>
          <t>Давление газа на выходе из КЦ</t>
        </is>
      </c>
      <c r="I40" s="399" t="inlineStr">
        <is>
          <t>КЦ</t>
        </is>
      </c>
      <c r="J40" s="399" t="inlineStr">
        <is>
          <t>АСУ,А и ТМ (КЦ № 7)</t>
        </is>
      </c>
      <c r="K40" s="399" t="inlineStr"/>
      <c r="L40" s="402" t="inlineStr">
        <is>
          <t>60</t>
        </is>
      </c>
      <c r="M40" s="400" t="inlineStr"/>
      <c r="N40" s="404" t="inlineStr"/>
      <c r="O40" s="242" t="n"/>
    </row>
    <row r="41" ht="22.5" customHeight="1" s="236">
      <c r="A41" s="399" t="n">
        <v>40</v>
      </c>
      <c r="B41" s="406" t="inlineStr">
        <is>
          <t>Преобразователь избыточного давления</t>
        </is>
      </c>
      <c r="C41" s="401" t="inlineStr">
        <is>
          <t>Метран-150</t>
        </is>
      </c>
      <c r="D41" s="401" t="inlineStr">
        <is>
          <t>1634481</t>
        </is>
      </c>
      <c r="E41" s="402" t="inlineStr"/>
      <c r="F41" s="403" t="inlineStr">
        <is>
          <t>0..10 MPa</t>
        </is>
      </c>
      <c r="G41" s="401" t="inlineStr">
        <is>
          <t>0.10%</t>
        </is>
      </c>
      <c r="H41" s="399" t="inlineStr">
        <is>
          <t>Давление газа на выходе из КЦ</t>
        </is>
      </c>
      <c r="I41" s="399" t="inlineStr">
        <is>
          <t>КЦ</t>
        </is>
      </c>
      <c r="J41" s="399" t="inlineStr">
        <is>
          <t>АСУ,А и ТМ (КЦ № 7)</t>
        </is>
      </c>
      <c r="K41" s="399" t="inlineStr"/>
      <c r="L41" s="402" t="inlineStr">
        <is>
          <t>60</t>
        </is>
      </c>
      <c r="M41" s="400" t="inlineStr"/>
      <c r="N41" s="404" t="inlineStr"/>
      <c r="O41" s="242" t="n"/>
    </row>
    <row r="42" ht="22.5" customHeight="1" s="236">
      <c r="A42" s="399" t="n">
        <v>41</v>
      </c>
      <c r="B42" s="406" t="inlineStr">
        <is>
          <t>Преобразователь избыточного давления</t>
        </is>
      </c>
      <c r="C42" s="401" t="inlineStr">
        <is>
          <t>Метран-150</t>
        </is>
      </c>
      <c r="D42" s="401" t="inlineStr">
        <is>
          <t>1637863</t>
        </is>
      </c>
      <c r="E42" s="402" t="inlineStr"/>
      <c r="F42" s="403" t="inlineStr">
        <is>
          <t>0..10 MPa</t>
        </is>
      </c>
      <c r="G42" s="401" t="inlineStr">
        <is>
          <t>0.10%</t>
        </is>
      </c>
      <c r="H42" s="399" t="inlineStr">
        <is>
          <t>Давление компримируемого газа</t>
        </is>
      </c>
      <c r="I42" s="399" t="inlineStr">
        <is>
          <t>КЦ</t>
        </is>
      </c>
      <c r="J42" s="399" t="inlineStr">
        <is>
          <t>АСУ,А и ТМ (КЦ № 7)</t>
        </is>
      </c>
      <c r="K42" s="399" t="inlineStr"/>
      <c r="L42" s="402" t="inlineStr">
        <is>
          <t>60</t>
        </is>
      </c>
      <c r="M42" s="400" t="inlineStr"/>
      <c r="N42" s="404" t="inlineStr"/>
      <c r="O42" s="242" t="n"/>
    </row>
    <row r="43" ht="22.5" customHeight="1" s="236">
      <c r="A43" s="399" t="n">
        <v>42</v>
      </c>
      <c r="B43" s="406" t="inlineStr">
        <is>
          <t>Преобразователь избыточного давления</t>
        </is>
      </c>
      <c r="C43" s="401" t="inlineStr">
        <is>
          <t>Метран-150</t>
        </is>
      </c>
      <c r="D43" s="401" t="inlineStr">
        <is>
          <t>1635007</t>
        </is>
      </c>
      <c r="E43" s="402" t="inlineStr"/>
      <c r="F43" s="403" t="inlineStr">
        <is>
          <t>0..10 MPa</t>
        </is>
      </c>
      <c r="G43" s="401" t="inlineStr">
        <is>
          <t>0.10%</t>
        </is>
      </c>
      <c r="H43" s="399" t="inlineStr">
        <is>
          <t>Давление газа в коллекторе сбора дренажа (Е-1)</t>
        </is>
      </c>
      <c r="I43" s="399" t="inlineStr">
        <is>
          <t>КЦ</t>
        </is>
      </c>
      <c r="J43" s="399" t="inlineStr">
        <is>
          <t>АСУ,А и ТМ (КЦ № 7)</t>
        </is>
      </c>
      <c r="K43" s="399" t="inlineStr"/>
      <c r="L43" s="402" t="inlineStr">
        <is>
          <t>60</t>
        </is>
      </c>
      <c r="M43" s="400" t="inlineStr"/>
      <c r="N43" s="404" t="inlineStr"/>
      <c r="O43" s="242" t="n"/>
    </row>
    <row r="44" ht="22.5" customHeight="1" s="236">
      <c r="A44" s="399" t="n">
        <v>43</v>
      </c>
      <c r="B44" s="406" t="inlineStr">
        <is>
          <t>Преобразователь избыточного давления</t>
        </is>
      </c>
      <c r="C44" s="401" t="inlineStr">
        <is>
          <t>Метран-150</t>
        </is>
      </c>
      <c r="D44" s="401" t="inlineStr">
        <is>
          <t>1634573</t>
        </is>
      </c>
      <c r="E44" s="402" t="inlineStr"/>
      <c r="F44" s="403" t="inlineStr">
        <is>
          <t>0...160 кPa</t>
        </is>
      </c>
      <c r="G44" s="401" t="inlineStr">
        <is>
          <t>0.04%</t>
        </is>
      </c>
      <c r="H44" s="399" t="inlineStr">
        <is>
          <t>Перепад давления на установке очистки газа</t>
        </is>
      </c>
      <c r="I44" s="399" t="inlineStr">
        <is>
          <t>КЦ</t>
        </is>
      </c>
      <c r="J44" s="399" t="inlineStr">
        <is>
          <t>АСУ,А и ТМ (КЦ № 7)</t>
        </is>
      </c>
      <c r="K44" s="399" t="inlineStr"/>
      <c r="L44" s="402" t="inlineStr">
        <is>
          <t>60</t>
        </is>
      </c>
      <c r="M44" s="400" t="inlineStr"/>
      <c r="N44" s="404" t="inlineStr"/>
      <c r="O44" s="242" t="n"/>
    </row>
    <row r="45" ht="22.5" customHeight="1" s="236">
      <c r="A45" s="399" t="n">
        <v>44</v>
      </c>
      <c r="B45" s="406" t="inlineStr">
        <is>
          <t>Преобразователь избыточного давления</t>
        </is>
      </c>
      <c r="C45" s="401" t="inlineStr">
        <is>
          <t>YOKOGAWA EJX110A</t>
        </is>
      </c>
      <c r="D45" s="401" t="inlineStr">
        <is>
          <t>91M439691 217</t>
        </is>
      </c>
      <c r="E45" s="402" t="inlineStr"/>
      <c r="F45" s="403" t="inlineStr">
        <is>
          <t>0...160 кPa</t>
        </is>
      </c>
      <c r="G45" s="401" t="inlineStr">
        <is>
          <t>0.04%</t>
        </is>
      </c>
      <c r="H45" s="399" t="inlineStr">
        <is>
          <t>Перепад давления на кране 76</t>
        </is>
      </c>
      <c r="I45" s="399" t="inlineStr">
        <is>
          <t>КЦ</t>
        </is>
      </c>
      <c r="J45" s="399" t="inlineStr">
        <is>
          <t>АСУ,А и ТМ (КЦ № 7)</t>
        </is>
      </c>
      <c r="K45" s="399" t="inlineStr"/>
      <c r="L45" s="402" t="inlineStr">
        <is>
          <t>60</t>
        </is>
      </c>
      <c r="M45" s="400" t="inlineStr"/>
      <c r="N45" s="404" t="inlineStr"/>
      <c r="O45" s="242" t="n"/>
    </row>
    <row r="46" ht="22.5" customHeight="1" s="236">
      <c r="A46" s="399" t="n">
        <v>45</v>
      </c>
      <c r="B46" s="406" t="inlineStr">
        <is>
          <t>Преобразователь избыточного давления</t>
        </is>
      </c>
      <c r="C46" s="401" t="inlineStr">
        <is>
          <t>YOKOGAWA EJX110A</t>
        </is>
      </c>
      <c r="D46" s="401" t="inlineStr">
        <is>
          <t>91M439684 217</t>
        </is>
      </c>
      <c r="E46" s="402" t="inlineStr"/>
      <c r="F46" s="403" t="inlineStr">
        <is>
          <t>0...160 кPa</t>
        </is>
      </c>
      <c r="G46" s="401" t="inlineStr">
        <is>
          <t>0.04%</t>
        </is>
      </c>
      <c r="H46" s="399" t="inlineStr">
        <is>
          <t>Перепад давления на кране 86</t>
        </is>
      </c>
      <c r="I46" s="399" t="inlineStr">
        <is>
          <t>КЦ</t>
        </is>
      </c>
      <c r="J46" s="399" t="inlineStr">
        <is>
          <t>АСУ,А и ТМ (КЦ № 7)</t>
        </is>
      </c>
      <c r="K46" s="399" t="inlineStr"/>
      <c r="L46" s="402" t="inlineStr">
        <is>
          <t>60</t>
        </is>
      </c>
      <c r="M46" s="400" t="inlineStr"/>
      <c r="N46" s="404" t="inlineStr"/>
      <c r="O46" s="242" t="n"/>
    </row>
    <row r="47" ht="22.5" customHeight="1" s="236">
      <c r="A47" s="399" t="n">
        <v>46</v>
      </c>
      <c r="B47" s="400" t="inlineStr">
        <is>
          <t>Расходомер</t>
        </is>
      </c>
      <c r="C47" s="401" t="inlineStr">
        <is>
          <t>ПИР RG704</t>
        </is>
      </c>
      <c r="D47" s="401" t="inlineStr">
        <is>
          <t>70426529</t>
        </is>
      </c>
      <c r="E47" s="402" t="inlineStr">
        <is>
          <t>2019</t>
        </is>
      </c>
      <c r="F47" s="403" t="inlineStr">
        <is>
          <t>0,15…35 м/с</t>
        </is>
      </c>
      <c r="G47" s="401" t="inlineStr">
        <is>
          <t>1.00%</t>
        </is>
      </c>
      <c r="H47" s="399" t="inlineStr">
        <is>
          <t>Расход технологического газа</t>
        </is>
      </c>
      <c r="I47" s="399" t="inlineStr">
        <is>
          <t>КЦ</t>
        </is>
      </c>
      <c r="J47" s="399" t="inlineStr">
        <is>
          <t>АСУ,А и ТМ (КЦ № 7)</t>
        </is>
      </c>
      <c r="K47" s="399" t="inlineStr"/>
      <c r="L47" s="402" t="inlineStr">
        <is>
          <t>48</t>
        </is>
      </c>
      <c r="M47" s="400" t="inlineStr"/>
      <c r="N47" s="404" t="inlineStr"/>
      <c r="O47" s="242" t="n"/>
    </row>
    <row r="48" ht="22.5" customHeight="1" s="236">
      <c r="A48" s="399" t="n">
        <v>47</v>
      </c>
      <c r="B48" s="406" t="inlineStr">
        <is>
          <t>Преобразователь избыточного давления</t>
        </is>
      </c>
      <c r="C48" s="401" t="inlineStr">
        <is>
          <t>Метран-150</t>
        </is>
      </c>
      <c r="D48" s="401" t="inlineStr">
        <is>
          <t>6093599</t>
        </is>
      </c>
      <c r="E48" s="402" t="inlineStr"/>
      <c r="F48" s="403" t="inlineStr">
        <is>
          <t>0..1 MPa</t>
        </is>
      </c>
      <c r="G48" s="401" t="inlineStr">
        <is>
          <t>0.15%</t>
        </is>
      </c>
      <c r="H48" s="399" t="inlineStr">
        <is>
          <t>Давление в емкости Е-3</t>
        </is>
      </c>
      <c r="I48" s="399" t="inlineStr">
        <is>
          <t>КЦ</t>
        </is>
      </c>
      <c r="J48" s="399" t="inlineStr">
        <is>
          <t>АСУ,А и ТМ (КЦ № 7)</t>
        </is>
      </c>
      <c r="K48" s="399" t="inlineStr"/>
      <c r="L48" s="402" t="inlineStr">
        <is>
          <t>24</t>
        </is>
      </c>
      <c r="M48" s="400" t="inlineStr"/>
      <c r="N48" s="404" t="inlineStr"/>
      <c r="O48" s="242" t="n"/>
    </row>
    <row r="49" ht="22.5" customHeight="1" s="236">
      <c r="A49" s="399" t="n">
        <v>48</v>
      </c>
      <c r="B49" s="406" t="inlineStr">
        <is>
          <t>Преобразователь избыточного давления</t>
        </is>
      </c>
      <c r="C49" s="401" t="inlineStr">
        <is>
          <t>ПМП-062</t>
        </is>
      </c>
      <c r="D49" s="401" t="inlineStr">
        <is>
          <t>139588</t>
        </is>
      </c>
      <c r="E49" s="402" t="inlineStr"/>
      <c r="F49" s="403" t="inlineStr">
        <is>
          <t>0..1000 мм</t>
        </is>
      </c>
      <c r="G49" s="401" t="inlineStr">
        <is>
          <t>0.50%</t>
        </is>
      </c>
      <c r="H49" s="399" t="inlineStr">
        <is>
          <t>Уровень конденсата в емкости Е-3</t>
        </is>
      </c>
      <c r="I49" s="399" t="inlineStr">
        <is>
          <t>КЦ</t>
        </is>
      </c>
      <c r="J49" s="399" t="inlineStr">
        <is>
          <t>АСУ,А и ТМ (КЦ № 7)</t>
        </is>
      </c>
      <c r="K49" s="399" t="inlineStr"/>
      <c r="L49" s="402" t="inlineStr">
        <is>
          <t>24</t>
        </is>
      </c>
      <c r="M49" s="400" t="inlineStr"/>
      <c r="N49" s="404" t="inlineStr"/>
      <c r="O49" s="242" t="n"/>
    </row>
    <row r="50" ht="22.5" customHeight="1" s="236">
      <c r="A50" s="399" t="n">
        <v>49</v>
      </c>
      <c r="B50" s="400" t="inlineStr">
        <is>
          <t>Термометр сопротивления</t>
        </is>
      </c>
      <c r="C50" s="401" t="inlineStr">
        <is>
          <t>ТСП 012.52</t>
        </is>
      </c>
      <c r="D50" s="401" t="inlineStr">
        <is>
          <t>1372</t>
        </is>
      </c>
      <c r="E50" s="402" t="inlineStr"/>
      <c r="F50" s="403" t="inlineStr">
        <is>
          <t>-60..+200 °С</t>
        </is>
      </c>
      <c r="G50" s="401" t="inlineStr">
        <is>
          <t>B</t>
        </is>
      </c>
      <c r="H50" s="399" t="inlineStr">
        <is>
          <t>Т компремируемого газа</t>
        </is>
      </c>
      <c r="I50" s="399" t="inlineStr">
        <is>
          <t>Промплощадка</t>
        </is>
      </c>
      <c r="J50" s="399" t="inlineStr">
        <is>
          <t>АСУ,А и ТМ (КЦ № 7)</t>
        </is>
      </c>
      <c r="K50" s="399" t="inlineStr"/>
      <c r="L50" s="402" t="inlineStr">
        <is>
          <t>36</t>
        </is>
      </c>
      <c r="M50" s="400" t="inlineStr"/>
      <c r="N50" s="404" t="inlineStr"/>
      <c r="O50" s="242" t="n"/>
    </row>
    <row r="51" ht="33.75" customHeight="1" s="236">
      <c r="A51" s="399" t="n">
        <v>50</v>
      </c>
      <c r="B51" s="405" t="inlineStr">
        <is>
          <t>Преобразователь давления корабельный</t>
        </is>
      </c>
      <c r="C51" s="401" t="inlineStr">
        <is>
          <t>ВАЛКОМ ПДК-ВО-Д-63К0-А-2-Б01-Н-02-Д20</t>
        </is>
      </c>
      <c r="D51" s="401" t="inlineStr">
        <is>
          <t>2К021246</t>
        </is>
      </c>
      <c r="E51" s="402" t="inlineStr">
        <is>
          <t>2022</t>
        </is>
      </c>
      <c r="F51" s="403" t="inlineStr">
        <is>
          <t>0…63 кПа</t>
        </is>
      </c>
      <c r="G51" s="401" t="inlineStr">
        <is>
          <t>0.25%</t>
        </is>
      </c>
      <c r="H51" s="399" t="inlineStr">
        <is>
          <t>Перепад давления на пылеуловителе №1</t>
        </is>
      </c>
      <c r="I51" s="399" t="inlineStr">
        <is>
          <t>УОГ</t>
        </is>
      </c>
      <c r="J51" s="399" t="inlineStr">
        <is>
          <t>АСУ,А и ТМ (КЦ № 7)</t>
        </is>
      </c>
      <c r="K51" s="399" t="inlineStr"/>
      <c r="L51" s="402" t="inlineStr">
        <is>
          <t>60</t>
        </is>
      </c>
      <c r="M51" s="400" t="inlineStr"/>
      <c r="N51" s="404" t="inlineStr"/>
      <c r="O51" s="242" t="n"/>
    </row>
    <row r="52" ht="33.75" customHeight="1" s="236">
      <c r="A52" s="399" t="n">
        <v>51</v>
      </c>
      <c r="B52" s="405" t="inlineStr">
        <is>
          <t>Преобразователь давления корабельный</t>
        </is>
      </c>
      <c r="C52" s="401" t="inlineStr">
        <is>
          <t>ВАЛКОМ ПДК-ВО-Д-63К0-А-2-Б01-Н-02-Д20</t>
        </is>
      </c>
      <c r="D52" s="401" t="inlineStr">
        <is>
          <t>2К021248</t>
        </is>
      </c>
      <c r="E52" s="402" t="inlineStr">
        <is>
          <t>2022</t>
        </is>
      </c>
      <c r="F52" s="403" t="inlineStr">
        <is>
          <t>0…63 кПа</t>
        </is>
      </c>
      <c r="G52" s="401" t="inlineStr">
        <is>
          <t>0.25%</t>
        </is>
      </c>
      <c r="H52" s="399" t="inlineStr">
        <is>
          <t>Перепад давления на пылеуловителе №2</t>
        </is>
      </c>
      <c r="I52" s="399" t="inlineStr">
        <is>
          <t>УОГ</t>
        </is>
      </c>
      <c r="J52" s="399" t="inlineStr">
        <is>
          <t>АСУ,А и ТМ (КЦ № 7)</t>
        </is>
      </c>
      <c r="K52" s="399" t="inlineStr"/>
      <c r="L52" s="402" t="inlineStr">
        <is>
          <t>60</t>
        </is>
      </c>
      <c r="M52" s="400" t="inlineStr"/>
      <c r="N52" s="404" t="inlineStr"/>
      <c r="O52" s="242" t="n"/>
    </row>
    <row r="53" ht="33.75" customHeight="1" s="236">
      <c r="A53" s="399" t="n">
        <v>52</v>
      </c>
      <c r="B53" s="405" t="inlineStr">
        <is>
          <t>Преобразователь давления корабельный</t>
        </is>
      </c>
      <c r="C53" s="401" t="inlineStr">
        <is>
          <t>ВАЛКОМ ПДК-ВО-Д-63К0-А-2-Б01-Н-02-Д20</t>
        </is>
      </c>
      <c r="D53" s="401" t="inlineStr">
        <is>
          <t>2К021250</t>
        </is>
      </c>
      <c r="E53" s="402" t="inlineStr">
        <is>
          <t>2022</t>
        </is>
      </c>
      <c r="F53" s="403" t="inlineStr">
        <is>
          <t>0…63 кПа</t>
        </is>
      </c>
      <c r="G53" s="401" t="inlineStr">
        <is>
          <t>0.25%</t>
        </is>
      </c>
      <c r="H53" s="399" t="inlineStr">
        <is>
          <t>Перепад давления на пылеуловителе №3</t>
        </is>
      </c>
      <c r="I53" s="399" t="inlineStr">
        <is>
          <t>УОГ</t>
        </is>
      </c>
      <c r="J53" s="399" t="inlineStr">
        <is>
          <t>АСУ,А и ТМ (КЦ № 7)</t>
        </is>
      </c>
      <c r="K53" s="399" t="inlineStr"/>
      <c r="L53" s="402" t="inlineStr">
        <is>
          <t>60</t>
        </is>
      </c>
      <c r="M53" s="400" t="inlineStr"/>
      <c r="N53" s="404" t="inlineStr"/>
      <c r="O53" s="242" t="n"/>
    </row>
    <row r="54" ht="33.75" customHeight="1" s="236">
      <c r="A54" s="399" t="n">
        <v>53</v>
      </c>
      <c r="B54" s="405" t="inlineStr">
        <is>
          <t>Преобразователь давления корабельный</t>
        </is>
      </c>
      <c r="C54" s="401" t="inlineStr">
        <is>
          <t>ВАЛКОМ ПДК-ВО-Д-63К0-А-2-Б01-Н-02-Д20</t>
        </is>
      </c>
      <c r="D54" s="401" t="inlineStr">
        <is>
          <t>2К021245</t>
        </is>
      </c>
      <c r="E54" s="402" t="inlineStr">
        <is>
          <t>2022</t>
        </is>
      </c>
      <c r="F54" s="403" t="inlineStr">
        <is>
          <t>0…63 кПа</t>
        </is>
      </c>
      <c r="G54" s="401" t="inlineStr">
        <is>
          <t>0.25%</t>
        </is>
      </c>
      <c r="H54" s="399" t="inlineStr">
        <is>
          <t>Перепад давления на пылеуловителе №4</t>
        </is>
      </c>
      <c r="I54" s="399" t="inlineStr">
        <is>
          <t>УОГ</t>
        </is>
      </c>
      <c r="J54" s="399" t="inlineStr">
        <is>
          <t>АСУ,А и ТМ (КЦ № 7)</t>
        </is>
      </c>
      <c r="K54" s="399" t="inlineStr"/>
      <c r="L54" s="402" t="inlineStr">
        <is>
          <t>60</t>
        </is>
      </c>
      <c r="M54" s="400" t="inlineStr"/>
      <c r="N54" s="404" t="inlineStr"/>
      <c r="O54" s="242" t="n"/>
    </row>
    <row r="55" ht="33.75" customHeight="1" s="236">
      <c r="A55" s="399" t="n">
        <v>54</v>
      </c>
      <c r="B55" s="405" t="inlineStr">
        <is>
          <t>Преобразователь давления корабельный</t>
        </is>
      </c>
      <c r="C55" s="401" t="inlineStr">
        <is>
          <t>ВАЛКОМ ПДК-ВО-Д-63К0-А-2-Б01-Н-02-Д20</t>
        </is>
      </c>
      <c r="D55" s="401" t="inlineStr">
        <is>
          <t>2К021247</t>
        </is>
      </c>
      <c r="E55" s="402" t="inlineStr">
        <is>
          <t>2022</t>
        </is>
      </c>
      <c r="F55" s="403" t="inlineStr">
        <is>
          <t>0…63 кПа</t>
        </is>
      </c>
      <c r="G55" s="401" t="inlineStr">
        <is>
          <t>0.25%</t>
        </is>
      </c>
      <c r="H55" s="399" t="inlineStr">
        <is>
          <t>Перепад давления на пылеуловителе №5</t>
        </is>
      </c>
      <c r="I55" s="399" t="inlineStr">
        <is>
          <t>УОГ</t>
        </is>
      </c>
      <c r="J55" s="399" t="inlineStr">
        <is>
          <t>АСУ,А и ТМ (КЦ № 7)</t>
        </is>
      </c>
      <c r="K55" s="399" t="inlineStr"/>
      <c r="L55" s="402" t="inlineStr">
        <is>
          <t>60</t>
        </is>
      </c>
      <c r="M55" s="400" t="inlineStr"/>
      <c r="N55" s="404" t="inlineStr"/>
      <c r="O55" s="242" t="n"/>
    </row>
    <row r="56" ht="33.75" customHeight="1" s="236">
      <c r="A56" s="399" t="n">
        <v>55</v>
      </c>
      <c r="B56" s="405" t="inlineStr">
        <is>
          <t>Преобразователь давления корабельный</t>
        </is>
      </c>
      <c r="C56" s="401" t="inlineStr">
        <is>
          <t>ВАЛКОМ ПДК-ВО-Д-63К0-А-2-Б01-Н-02-Д20</t>
        </is>
      </c>
      <c r="D56" s="401" t="inlineStr">
        <is>
          <t>2К021249</t>
        </is>
      </c>
      <c r="E56" s="402" t="inlineStr">
        <is>
          <t>2022</t>
        </is>
      </c>
      <c r="F56" s="403" t="inlineStr">
        <is>
          <t>0…63 кПа</t>
        </is>
      </c>
      <c r="G56" s="401" t="inlineStr">
        <is>
          <t>0.25%</t>
        </is>
      </c>
      <c r="H56" s="399" t="inlineStr">
        <is>
          <t>Перепад давления на пылеуловителе №6</t>
        </is>
      </c>
      <c r="I56" s="399" t="inlineStr">
        <is>
          <t>УОГ</t>
        </is>
      </c>
      <c r="J56" s="399" t="inlineStr">
        <is>
          <t>АСУ,А и ТМ (КЦ № 7)</t>
        </is>
      </c>
      <c r="K56" s="399" t="inlineStr"/>
      <c r="L56" s="402" t="inlineStr">
        <is>
          <t>60</t>
        </is>
      </c>
      <c r="M56" s="400" t="inlineStr"/>
      <c r="N56" s="404" t="inlineStr"/>
      <c r="O56" s="242" t="n"/>
    </row>
  </sheetData>
  <conditionalFormatting sqref="M1:M1048576">
    <cfRule type="expression" rank="0" priority="2" equalAverage="0" aboveAverage="0" dxfId="1" text="" percent="0" bottom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orizontalCentered="0" verticalCentered="0" headings="0" gridLines="0" gridLinesSet="1"/>
  <pageMargins left="0.7" right="0.7" top="0.75" bottom="0.75" header="0.511805555555555" footer="0.511805555555555"/>
  <pageSetup orientation="portrait" paperSize="1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O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0" sqref="B1"/>
    </sheetView>
  </sheetViews>
  <sheetFormatPr baseColWidth="8" defaultColWidth="9.15625" defaultRowHeight="15" zeroHeight="0" outlineLevelRow="0"/>
  <cols>
    <col width="3.14" customWidth="1" style="235" min="1" max="1"/>
    <col width="22.57" customWidth="1" style="235" min="2" max="2"/>
    <col width="13.43" customWidth="1" style="235" min="3" max="3"/>
    <col width="9.58" customWidth="1" style="235" min="4" max="4"/>
    <col width="6.57" customWidth="1" style="235" min="5" max="5"/>
    <col width="10.42" customWidth="1" style="235" min="6" max="6"/>
    <col width="7.42" customWidth="1" style="235" min="7" max="7"/>
    <col width="13.86" customWidth="1" style="235" min="8" max="8"/>
    <col width="8" customWidth="1" style="235" min="9" max="9"/>
    <col width="11.42" customWidth="1" style="235" min="10" max="10"/>
    <col width="8" customWidth="1" style="235" min="11" max="11"/>
    <col width="9" customWidth="1" style="235" min="12" max="12"/>
    <col width="8.859999999999999" customWidth="1" style="235" min="13" max="13"/>
    <col width="9" customWidth="1" style="235" min="14" max="14"/>
    <col width="9.140000000000001" customWidth="1" style="235" min="15" max="1024"/>
  </cols>
  <sheetData>
    <row r="1" ht="45" customHeight="1" s="236">
      <c r="A1" s="239" t="inlineStr">
        <is>
          <t>№ п/п</t>
        </is>
      </c>
      <c r="B1" s="239" t="inlineStr">
        <is>
          <t>Наименование</t>
        </is>
      </c>
      <c r="C1" s="239" t="inlineStr">
        <is>
          <t>Тип</t>
        </is>
      </c>
      <c r="D1" s="239" t="inlineStr">
        <is>
          <t>Заводской номер</t>
        </is>
      </c>
      <c r="E1" s="240" t="inlineStr">
        <is>
          <t>Год 
выпуска</t>
        </is>
      </c>
      <c r="F1" s="239" t="inlineStr">
        <is>
          <t>Диапазон измерений</t>
        </is>
      </c>
      <c r="G1" s="239" t="inlineStr">
        <is>
          <t>Класс точности</t>
        </is>
      </c>
      <c r="H1" s="239" t="inlineStr">
        <is>
          <t>Место установки СИ</t>
        </is>
      </c>
      <c r="I1" s="239" t="inlineStr">
        <is>
          <t>Объект установки</t>
        </is>
      </c>
      <c r="J1" s="239" t="inlineStr">
        <is>
          <t>Подразделение</t>
        </is>
      </c>
      <c r="K1" s="239" t="inlineStr">
        <is>
          <t>Дата установки</t>
        </is>
      </c>
      <c r="L1" s="239" t="inlineStr">
        <is>
          <t>Межповерочный интервал, мес.</t>
        </is>
      </c>
      <c r="M1" s="240" t="inlineStr">
        <is>
          <t>Дата последней поверки / калибровки</t>
        </is>
      </c>
      <c r="N1" s="239" t="inlineStr">
        <is>
          <t>Поверка (П)/ Калибровка (К)</t>
        </is>
      </c>
      <c r="O1" s="340" t="n"/>
    </row>
    <row r="2" ht="22.5" customHeight="1" s="236">
      <c r="A2" s="239" t="n">
        <v>1</v>
      </c>
      <c r="B2" s="241" t="inlineStr">
        <is>
          <t>Манометр технический</t>
        </is>
      </c>
      <c r="C2" s="252" t="inlineStr">
        <is>
          <t>EN 837-1</t>
        </is>
      </c>
      <c r="D2" s="240" t="inlineStr">
        <is>
          <t>700230</t>
        </is>
      </c>
      <c r="E2" s="251" t="inlineStr"/>
      <c r="F2" s="251" t="inlineStr">
        <is>
          <t>0..10 бар</t>
        </is>
      </c>
      <c r="G2" s="252" t="inlineStr">
        <is>
          <t>1</t>
        </is>
      </c>
      <c r="H2" s="252" t="inlineStr">
        <is>
          <t>Рв в камеру сгорания</t>
        </is>
      </c>
      <c r="I2" s="239" t="inlineStr">
        <is>
          <t>УТО</t>
        </is>
      </c>
      <c r="J2" s="239" t="inlineStr">
        <is>
          <t>АСУ,А и ТМ (КЦ № 7)</t>
        </is>
      </c>
      <c r="K2" s="239" t="inlineStr"/>
      <c r="L2" s="251" t="inlineStr">
        <is>
          <t>12</t>
        </is>
      </c>
      <c r="M2" s="240" t="inlineStr">
        <is>
          <t>2К26</t>
        </is>
      </c>
      <c r="N2" s="242" t="inlineStr">
        <is>
          <t>К</t>
        </is>
      </c>
      <c r="O2" s="340" t="n"/>
    </row>
    <row r="3" ht="22.5" customHeight="1" s="236">
      <c r="A3" s="243" t="n">
        <v>2</v>
      </c>
      <c r="B3" s="244" t="inlineStr">
        <is>
          <t>Манометр технический</t>
        </is>
      </c>
      <c r="C3" s="254" t="inlineStr">
        <is>
          <t>EN 837-1</t>
        </is>
      </c>
      <c r="D3" s="246" t="inlineStr">
        <is>
          <t>700232</t>
        </is>
      </c>
      <c r="E3" s="248" t="inlineStr"/>
      <c r="F3" s="248" t="inlineStr">
        <is>
          <t>0..6 бар</t>
        </is>
      </c>
      <c r="G3" s="254" t="inlineStr">
        <is>
          <t>1</t>
        </is>
      </c>
      <c r="H3" s="254" t="inlineStr">
        <is>
          <t>Рж.т в камеру сгорания</t>
        </is>
      </c>
      <c r="I3" s="243" t="inlineStr">
        <is>
          <t>УТО</t>
        </is>
      </c>
      <c r="J3" s="243" t="inlineStr">
        <is>
          <t>АСУ,А и ТМ (КЦ № 7)</t>
        </is>
      </c>
      <c r="K3" s="243" t="inlineStr"/>
      <c r="L3" s="248" t="inlineStr">
        <is>
          <t>12</t>
        </is>
      </c>
      <c r="M3" s="246" t="inlineStr">
        <is>
          <t>2К26</t>
        </is>
      </c>
      <c r="N3" s="245" t="inlineStr">
        <is>
          <t>К</t>
        </is>
      </c>
      <c r="O3" s="340" t="n"/>
    </row>
    <row r="4" ht="22.5" customHeight="1" s="236">
      <c r="A4" s="243" t="n">
        <v>3</v>
      </c>
      <c r="B4" s="244" t="inlineStr">
        <is>
          <t>Манометр технический</t>
        </is>
      </c>
      <c r="C4" s="254" t="inlineStr">
        <is>
          <t>МП3-УУХЛ1</t>
        </is>
      </c>
      <c r="D4" s="246" t="inlineStr">
        <is>
          <t>15669</t>
        </is>
      </c>
      <c r="E4" s="248" t="inlineStr"/>
      <c r="F4" s="248" t="inlineStr">
        <is>
          <t>0..0,6 кгс/см2</t>
        </is>
      </c>
      <c r="G4" s="254" t="inlineStr">
        <is>
          <t>1,5</t>
        </is>
      </c>
      <c r="H4" s="254" t="inlineStr">
        <is>
          <t>Р после регулятора 2</t>
        </is>
      </c>
      <c r="I4" s="243" t="inlineStr">
        <is>
          <t>УТО</t>
        </is>
      </c>
      <c r="J4" s="243" t="inlineStr">
        <is>
          <t>АСУ,А и ТМ (КЦ № 7)</t>
        </is>
      </c>
      <c r="K4" s="243" t="inlineStr"/>
      <c r="L4" s="248" t="inlineStr">
        <is>
          <t>12</t>
        </is>
      </c>
      <c r="M4" s="246" t="inlineStr">
        <is>
          <t>2К26</t>
        </is>
      </c>
      <c r="N4" s="245" t="inlineStr">
        <is>
          <t>К</t>
        </is>
      </c>
      <c r="O4" s="340" t="n"/>
    </row>
    <row r="5" ht="22.5" customHeight="1" s="236">
      <c r="A5" s="243" t="n">
        <v>4</v>
      </c>
      <c r="B5" s="244" t="inlineStr">
        <is>
          <t>Манометр технический</t>
        </is>
      </c>
      <c r="C5" s="254" t="inlineStr">
        <is>
          <t>МП3-УУХЛ1</t>
        </is>
      </c>
      <c r="D5" s="246" t="inlineStr">
        <is>
          <t>15670</t>
        </is>
      </c>
      <c r="E5" s="248" t="inlineStr"/>
      <c r="F5" s="248" t="inlineStr">
        <is>
          <t>0..0,6 кгс/см2</t>
        </is>
      </c>
      <c r="G5" s="254" t="inlineStr">
        <is>
          <t>1,5</t>
        </is>
      </c>
      <c r="H5" s="254" t="inlineStr">
        <is>
          <t>Р после регулятора 1</t>
        </is>
      </c>
      <c r="I5" s="243" t="inlineStr">
        <is>
          <t>УТО</t>
        </is>
      </c>
      <c r="J5" s="243" t="inlineStr">
        <is>
          <t>АСУ,А и ТМ (КЦ № 7)</t>
        </is>
      </c>
      <c r="K5" s="243" t="inlineStr"/>
      <c r="L5" s="248" t="inlineStr">
        <is>
          <t>12</t>
        </is>
      </c>
      <c r="M5" s="246" t="inlineStr">
        <is>
          <t>2К26</t>
        </is>
      </c>
      <c r="N5" s="245" t="inlineStr">
        <is>
          <t>К</t>
        </is>
      </c>
      <c r="O5" s="340" t="n"/>
    </row>
    <row r="6" ht="22.5" customHeight="1" s="236">
      <c r="A6" s="243" t="n">
        <v>5</v>
      </c>
      <c r="B6" s="249" t="inlineStr">
        <is>
          <t>Преобразователь избыточного давления</t>
        </is>
      </c>
      <c r="C6" s="254" t="inlineStr">
        <is>
          <t>Метран 150 TG</t>
        </is>
      </c>
      <c r="D6" s="246" t="inlineStr">
        <is>
          <t>6117878</t>
        </is>
      </c>
      <c r="E6" s="248" t="inlineStr">
        <is>
          <t>2019</t>
        </is>
      </c>
      <c r="F6" s="248" t="inlineStr">
        <is>
          <t>0..160 кПa</t>
        </is>
      </c>
      <c r="G6" s="254" t="inlineStr">
        <is>
          <t>0.10%</t>
        </is>
      </c>
      <c r="H6" s="254" t="inlineStr">
        <is>
          <t>Давление перед газовой рампой</t>
        </is>
      </c>
      <c r="I6" s="243" t="inlineStr">
        <is>
          <t>УТО</t>
        </is>
      </c>
      <c r="J6" s="243" t="inlineStr">
        <is>
          <t>АСУ,А и ТМ (КЦ № 7)</t>
        </is>
      </c>
      <c r="K6" s="243" t="inlineStr"/>
      <c r="L6" s="248" t="inlineStr">
        <is>
          <t>60</t>
        </is>
      </c>
      <c r="M6" s="246" t="inlineStr"/>
      <c r="N6" s="245" t="inlineStr"/>
      <c r="O6" s="340" t="n"/>
    </row>
    <row r="7" ht="22.5" customHeight="1" s="236">
      <c r="A7" s="243" t="n">
        <v>6</v>
      </c>
      <c r="B7" s="249" t="inlineStr">
        <is>
          <t>Преобразователь избыточного давления</t>
        </is>
      </c>
      <c r="C7" s="254" t="inlineStr">
        <is>
          <t>Метран-75</t>
        </is>
      </c>
      <c r="D7" s="246" t="inlineStr">
        <is>
          <t>1622744</t>
        </is>
      </c>
      <c r="E7" s="248" t="inlineStr">
        <is>
          <t>2019</t>
        </is>
      </c>
      <c r="F7" s="248" t="inlineStr">
        <is>
          <t>0..200 кПa</t>
        </is>
      </c>
      <c r="G7" s="254" t="inlineStr">
        <is>
          <t>0.10%</t>
        </is>
      </c>
      <c r="H7" s="254" t="inlineStr">
        <is>
          <t>Давление в инсинераторе</t>
        </is>
      </c>
      <c r="I7" s="243" t="inlineStr">
        <is>
          <t>УТО</t>
        </is>
      </c>
      <c r="J7" s="243" t="inlineStr">
        <is>
          <t>АСУ,А и ТМ (КЦ № 7)</t>
        </is>
      </c>
      <c r="K7" s="243" t="inlineStr"/>
      <c r="L7" s="248" t="inlineStr">
        <is>
          <t>60</t>
        </is>
      </c>
      <c r="M7" s="246" t="inlineStr"/>
      <c r="N7" s="245" t="inlineStr"/>
      <c r="O7" s="340" t="n"/>
    </row>
    <row r="8" ht="22.5" customHeight="1" s="236">
      <c r="A8" s="243" t="n">
        <v>7</v>
      </c>
      <c r="B8" s="249" t="inlineStr">
        <is>
          <t>Преобразователь избыточного давления</t>
        </is>
      </c>
      <c r="C8" s="254" t="inlineStr">
        <is>
          <t>Метран 150 TG</t>
        </is>
      </c>
      <c r="D8" s="246" t="inlineStr">
        <is>
          <t>6117876</t>
        </is>
      </c>
      <c r="E8" s="248" t="inlineStr">
        <is>
          <t>2019</t>
        </is>
      </c>
      <c r="F8" s="248" t="inlineStr">
        <is>
          <t>0..160 кПa</t>
        </is>
      </c>
      <c r="G8" s="254" t="inlineStr">
        <is>
          <t>0.10%</t>
        </is>
      </c>
      <c r="H8" s="254" t="inlineStr">
        <is>
          <t>Давление на входе УТО</t>
        </is>
      </c>
      <c r="I8" s="243" t="inlineStr">
        <is>
          <t>УТО</t>
        </is>
      </c>
      <c r="J8" s="243" t="inlineStr">
        <is>
          <t>АСУ,А и ТМ (КЦ № 7)</t>
        </is>
      </c>
      <c r="K8" s="243" t="inlineStr"/>
      <c r="L8" s="248" t="inlineStr">
        <is>
          <t>60</t>
        </is>
      </c>
      <c r="M8" s="246" t="inlineStr"/>
      <c r="N8" s="245" t="inlineStr"/>
      <c r="O8" s="340" t="n"/>
    </row>
    <row r="9" ht="33.75" customHeight="1" s="236">
      <c r="A9" s="243" t="n">
        <v>8</v>
      </c>
      <c r="B9" s="249" t="inlineStr">
        <is>
          <t>Преобразователь избыточного давления</t>
        </is>
      </c>
      <c r="C9" s="254" t="inlineStr">
        <is>
          <t>Метран 150 TG</t>
        </is>
      </c>
      <c r="D9" s="246" t="inlineStr">
        <is>
          <t>6148576</t>
        </is>
      </c>
      <c r="E9" s="248" t="inlineStr">
        <is>
          <t>2020</t>
        </is>
      </c>
      <c r="F9" s="248" t="inlineStr">
        <is>
          <t>0..1 МПa</t>
        </is>
      </c>
      <c r="G9" s="254" t="inlineStr">
        <is>
          <t>0.10%</t>
        </is>
      </c>
      <c r="H9" s="254" t="inlineStr">
        <is>
          <t>Давление перед переносным насосом</t>
        </is>
      </c>
      <c r="I9" s="243" t="inlineStr">
        <is>
          <t>УТО</t>
        </is>
      </c>
      <c r="J9" s="243" t="inlineStr">
        <is>
          <t>АСУ,А и ТМ (КЦ № 7)</t>
        </is>
      </c>
      <c r="K9" s="243" t="inlineStr"/>
      <c r="L9" s="248" t="inlineStr">
        <is>
          <t>60</t>
        </is>
      </c>
      <c r="M9" s="246" t="inlineStr"/>
      <c r="N9" s="245" t="inlineStr"/>
      <c r="O9" s="340" t="n"/>
    </row>
    <row r="10" ht="22.5" customHeight="1" s="236">
      <c r="A10" s="243" t="n">
        <v>9</v>
      </c>
      <c r="B10" s="249" t="inlineStr">
        <is>
          <t>Преобразователь избыточного давления</t>
        </is>
      </c>
      <c r="C10" s="254" t="inlineStr">
        <is>
          <t>Метран 150 TG</t>
        </is>
      </c>
      <c r="D10" s="246" t="inlineStr">
        <is>
          <t>6148569</t>
        </is>
      </c>
      <c r="E10" s="248" t="inlineStr">
        <is>
          <t>2020</t>
        </is>
      </c>
      <c r="F10" s="248" t="inlineStr">
        <is>
          <t>0..1 МПa</t>
        </is>
      </c>
      <c r="G10" s="254" t="inlineStr">
        <is>
          <t>0.10%</t>
        </is>
      </c>
      <c r="H10" s="254" t="inlineStr">
        <is>
          <t>Давление после №1</t>
        </is>
      </c>
      <c r="I10" s="243" t="inlineStr">
        <is>
          <t>УТО</t>
        </is>
      </c>
      <c r="J10" s="243" t="inlineStr">
        <is>
          <t>АСУ,А и ТМ (КЦ № 7)</t>
        </is>
      </c>
      <c r="K10" s="243" t="inlineStr"/>
      <c r="L10" s="248" t="inlineStr">
        <is>
          <t>60</t>
        </is>
      </c>
      <c r="M10" s="246" t="inlineStr"/>
      <c r="N10" s="245" t="inlineStr"/>
      <c r="O10" s="340" t="n"/>
    </row>
    <row r="11" ht="22.5" customHeight="1" s="236">
      <c r="A11" s="243" t="n">
        <v>10</v>
      </c>
      <c r="B11" s="249" t="inlineStr">
        <is>
          <t>Преобразователь избыточного давления</t>
        </is>
      </c>
      <c r="C11" s="254" t="inlineStr">
        <is>
          <t>Метран 150 TG</t>
        </is>
      </c>
      <c r="D11" s="246" t="inlineStr">
        <is>
          <t>6148570</t>
        </is>
      </c>
      <c r="E11" s="248" t="inlineStr">
        <is>
          <t>2020</t>
        </is>
      </c>
      <c r="F11" s="248" t="inlineStr">
        <is>
          <t>0..1 МПa</t>
        </is>
      </c>
      <c r="G11" s="254" t="inlineStr">
        <is>
          <t>0.10%</t>
        </is>
      </c>
      <c r="H11" s="254" t="inlineStr">
        <is>
          <t>Давление перед фильтром №2</t>
        </is>
      </c>
      <c r="I11" s="243" t="inlineStr">
        <is>
          <t>УТО</t>
        </is>
      </c>
      <c r="J11" s="243" t="inlineStr">
        <is>
          <t>АСУ,А и ТМ (КЦ № 7)</t>
        </is>
      </c>
      <c r="K11" s="243" t="inlineStr"/>
      <c r="L11" s="248" t="inlineStr">
        <is>
          <t>60</t>
        </is>
      </c>
      <c r="M11" s="246" t="inlineStr"/>
      <c r="N11" s="245" t="inlineStr"/>
      <c r="O11" s="340" t="n"/>
    </row>
    <row r="12" ht="33.75" customHeight="1" s="236">
      <c r="A12" s="243" t="n">
        <v>11</v>
      </c>
      <c r="B12" s="249" t="inlineStr">
        <is>
          <t>Преобразователь избыточного давления</t>
        </is>
      </c>
      <c r="C12" s="254" t="inlineStr">
        <is>
          <t>Метран 150 CD</t>
        </is>
      </c>
      <c r="D12" s="246" t="inlineStr">
        <is>
          <t>6148573</t>
        </is>
      </c>
      <c r="E12" s="248" t="inlineStr">
        <is>
          <t>2020</t>
        </is>
      </c>
      <c r="F12" s="248" t="inlineStr">
        <is>
          <t>0..0,63 кПa</t>
        </is>
      </c>
      <c r="G12" s="254" t="inlineStr">
        <is>
          <t>0.10%</t>
        </is>
      </c>
      <c r="H12" s="254" t="inlineStr">
        <is>
          <t>Перепад давления на фильтре №1</t>
        </is>
      </c>
      <c r="I12" s="243" t="inlineStr">
        <is>
          <t>УТО</t>
        </is>
      </c>
      <c r="J12" s="243" t="inlineStr">
        <is>
          <t>АСУ,А и ТМ (КЦ № 7)</t>
        </is>
      </c>
      <c r="K12" s="243" t="inlineStr"/>
      <c r="L12" s="248" t="inlineStr">
        <is>
          <t>60</t>
        </is>
      </c>
      <c r="M12" s="246" t="inlineStr"/>
      <c r="N12" s="245" t="inlineStr"/>
      <c r="O12" s="340" t="n"/>
    </row>
    <row r="13" ht="33.75" customHeight="1" s="236">
      <c r="A13" s="243" t="n">
        <v>12</v>
      </c>
      <c r="B13" s="249" t="inlineStr">
        <is>
          <t>Преобразователь избыточного давления</t>
        </is>
      </c>
      <c r="C13" s="254" t="inlineStr">
        <is>
          <t>Метран 150 CD</t>
        </is>
      </c>
      <c r="D13" s="246" t="inlineStr">
        <is>
          <t>6148574</t>
        </is>
      </c>
      <c r="E13" s="248" t="inlineStr">
        <is>
          <t>2020</t>
        </is>
      </c>
      <c r="F13" s="248" t="inlineStr">
        <is>
          <t>0..0,63 кПa</t>
        </is>
      </c>
      <c r="G13" s="254" t="inlineStr">
        <is>
          <t>0.10%</t>
        </is>
      </c>
      <c r="H13" s="254" t="inlineStr">
        <is>
          <t>Перепад давления на фильтре №2</t>
        </is>
      </c>
      <c r="I13" s="243" t="inlineStr">
        <is>
          <t>УТО</t>
        </is>
      </c>
      <c r="J13" s="243" t="inlineStr">
        <is>
          <t>АСУ,А и ТМ (КЦ № 7)</t>
        </is>
      </c>
      <c r="K13" s="243" t="inlineStr"/>
      <c r="L13" s="248" t="inlineStr">
        <is>
          <t>60</t>
        </is>
      </c>
      <c r="M13" s="246" t="inlineStr"/>
      <c r="N13" s="245" t="inlineStr"/>
      <c r="O13" s="340" t="n"/>
    </row>
    <row r="14" ht="22.5" customHeight="1" s="236">
      <c r="A14" s="243" t="n">
        <v>13</v>
      </c>
      <c r="B14" s="248" t="inlineStr">
        <is>
          <t>Термометр сопротивления</t>
        </is>
      </c>
      <c r="C14" s="254" t="inlineStr">
        <is>
          <t>Метран-2700</t>
        </is>
      </c>
      <c r="D14" s="246" t="inlineStr">
        <is>
          <t>2494086</t>
        </is>
      </c>
      <c r="E14" s="248" t="inlineStr">
        <is>
          <t>2019</t>
        </is>
      </c>
      <c r="F14" s="248" t="inlineStr">
        <is>
          <t>-50..+200 °С</t>
        </is>
      </c>
      <c r="G14" s="254" t="inlineStr">
        <is>
          <t>0.25%</t>
        </is>
      </c>
      <c r="H14" s="254" t="inlineStr">
        <is>
          <t>Т перед вкнтилятором</t>
        </is>
      </c>
      <c r="I14" s="243" t="inlineStr">
        <is>
          <t>УТО</t>
        </is>
      </c>
      <c r="J14" s="243" t="inlineStr">
        <is>
          <t>АСУ,А и ТМ (КЦ № 7)</t>
        </is>
      </c>
      <c r="K14" s="243" t="inlineStr"/>
      <c r="L14" s="248" t="inlineStr">
        <is>
          <t>60</t>
        </is>
      </c>
      <c r="M14" s="246" t="inlineStr"/>
      <c r="N14" s="245" t="inlineStr"/>
      <c r="O14" s="340" t="n"/>
    </row>
    <row r="15" ht="22.5" customHeight="1" s="236">
      <c r="A15" s="243" t="n">
        <v>14</v>
      </c>
      <c r="B15" s="248" t="inlineStr">
        <is>
          <t>Термометр сопротивления</t>
        </is>
      </c>
      <c r="C15" s="254" t="inlineStr">
        <is>
          <t>Метран-2700</t>
        </is>
      </c>
      <c r="D15" s="246" t="inlineStr">
        <is>
          <t>2494229</t>
        </is>
      </c>
      <c r="E15" s="248" t="inlineStr">
        <is>
          <t>2019</t>
        </is>
      </c>
      <c r="F15" s="248" t="inlineStr">
        <is>
          <t>-50..+500 °С</t>
        </is>
      </c>
      <c r="G15" s="254" t="inlineStr">
        <is>
          <t>0.25%</t>
        </is>
      </c>
      <c r="H15" s="254" t="inlineStr">
        <is>
          <t>Т после пылеуловителя</t>
        </is>
      </c>
      <c r="I15" s="243" t="inlineStr">
        <is>
          <t>УТО</t>
        </is>
      </c>
      <c r="J15" s="243" t="inlineStr">
        <is>
          <t>АСУ,А и ТМ (КЦ № 7)</t>
        </is>
      </c>
      <c r="K15" s="243" t="inlineStr"/>
      <c r="L15" s="248" t="inlineStr">
        <is>
          <t>60</t>
        </is>
      </c>
      <c r="M15" s="246" t="inlineStr"/>
      <c r="N15" s="245" t="inlineStr"/>
      <c r="O15" s="340" t="n"/>
    </row>
    <row r="16" ht="22.5" customHeight="1" s="236">
      <c r="A16" s="243" t="n">
        <v>15</v>
      </c>
      <c r="B16" s="248" t="inlineStr">
        <is>
          <t>Термометр сопротивления</t>
        </is>
      </c>
      <c r="C16" s="254" t="inlineStr">
        <is>
          <t>Элемер ТПУ 0304/М1</t>
        </is>
      </c>
      <c r="D16" s="246" t="inlineStr">
        <is>
          <t>5853</t>
        </is>
      </c>
      <c r="E16" s="248" t="inlineStr">
        <is>
          <t>2019</t>
        </is>
      </c>
      <c r="F16" s="248" t="inlineStr">
        <is>
          <t>-50..+1300 °С</t>
        </is>
      </c>
      <c r="G16" s="254" t="inlineStr">
        <is>
          <t>0.25%</t>
        </is>
      </c>
      <c r="H16" s="254" t="inlineStr">
        <is>
          <t>Т в камере поджига</t>
        </is>
      </c>
      <c r="I16" s="243" t="inlineStr">
        <is>
          <t>УТО</t>
        </is>
      </c>
      <c r="J16" s="243" t="inlineStr">
        <is>
          <t>АСУ,А и ТМ (КЦ № 7)</t>
        </is>
      </c>
      <c r="K16" s="243" t="inlineStr"/>
      <c r="L16" s="248" t="inlineStr">
        <is>
          <t>60</t>
        </is>
      </c>
      <c r="M16" s="246" t="inlineStr"/>
      <c r="N16" s="245" t="inlineStr"/>
      <c r="O16" s="340" t="n"/>
    </row>
    <row r="17" ht="22.5" customHeight="1" s="236">
      <c r="A17" s="243" t="n">
        <v>16</v>
      </c>
      <c r="B17" s="248" t="inlineStr">
        <is>
          <t>Термометр сопротивления</t>
        </is>
      </c>
      <c r="C17" s="254" t="inlineStr">
        <is>
          <t>Элемер ТПУ 0304/М1</t>
        </is>
      </c>
      <c r="D17" s="246" t="inlineStr">
        <is>
          <t>3752</t>
        </is>
      </c>
      <c r="E17" s="248" t="inlineStr">
        <is>
          <t>2019</t>
        </is>
      </c>
      <c r="F17" s="248" t="inlineStr">
        <is>
          <t>-50..+1300 °С</t>
        </is>
      </c>
      <c r="G17" s="254" t="inlineStr">
        <is>
          <t>0.25%</t>
        </is>
      </c>
      <c r="H17" s="254" t="inlineStr">
        <is>
          <t>Т в камере сжигания</t>
        </is>
      </c>
      <c r="I17" s="243" t="inlineStr">
        <is>
          <t>УТО</t>
        </is>
      </c>
      <c r="J17" s="243" t="inlineStr">
        <is>
          <t>АСУ,А и ТМ (КЦ № 7)</t>
        </is>
      </c>
      <c r="K17" s="243" t="inlineStr"/>
      <c r="L17" s="248" t="inlineStr">
        <is>
          <t>60</t>
        </is>
      </c>
      <c r="M17" s="246" t="inlineStr"/>
      <c r="N17" s="245" t="inlineStr"/>
      <c r="O17" s="340" t="n"/>
    </row>
    <row r="18" ht="22.5" customHeight="1" s="236">
      <c r="A18" s="243" t="n">
        <v>17</v>
      </c>
      <c r="B18" s="248" t="inlineStr">
        <is>
          <t>Термометр сопротивления</t>
        </is>
      </c>
      <c r="C18" s="254" t="inlineStr">
        <is>
          <t>ТСМУ 014Сп</t>
        </is>
      </c>
      <c r="D18" s="246" t="inlineStr">
        <is>
          <t>1975</t>
        </is>
      </c>
      <c r="E18" s="248" t="inlineStr">
        <is>
          <t>2018</t>
        </is>
      </c>
      <c r="F18" s="248" t="inlineStr">
        <is>
          <t>-50..+50 °С</t>
        </is>
      </c>
      <c r="G18" s="254" t="inlineStr">
        <is>
          <t>0.25%</t>
        </is>
      </c>
      <c r="H18" s="254" t="inlineStr">
        <is>
          <t>Т в помешении УТО</t>
        </is>
      </c>
      <c r="I18" s="243" t="inlineStr">
        <is>
          <t>УТО</t>
        </is>
      </c>
      <c r="J18" s="243" t="inlineStr">
        <is>
          <t>АСУ,А и ТМ (КЦ № 7)</t>
        </is>
      </c>
      <c r="K18" s="243" t="inlineStr"/>
      <c r="L18" s="248" t="inlineStr">
        <is>
          <t>60</t>
        </is>
      </c>
      <c r="M18" s="246" t="inlineStr"/>
      <c r="N18" s="245" t="inlineStr"/>
      <c r="O18" s="340" t="n"/>
    </row>
    <row r="19" ht="22.5" customHeight="1" s="236">
      <c r="A19" s="243" t="n">
        <v>18</v>
      </c>
      <c r="B19" s="244" t="inlineStr">
        <is>
          <t>Газоанализатор оптический</t>
        </is>
      </c>
      <c r="C19" s="254" t="inlineStr">
        <is>
          <t>СГОЭС-2</t>
        </is>
      </c>
      <c r="D19" s="246" t="inlineStr">
        <is>
          <t>48037</t>
        </is>
      </c>
      <c r="E19" s="248" t="inlineStr">
        <is>
          <t>2019</t>
        </is>
      </c>
      <c r="F19" s="248" t="inlineStr"/>
      <c r="G19" s="254" t="inlineStr"/>
      <c r="H19" s="254" t="inlineStr"/>
      <c r="I19" s="243" t="inlineStr">
        <is>
          <t>УТО</t>
        </is>
      </c>
      <c r="J19" s="243" t="inlineStr">
        <is>
          <t>АСУ,А и ТМ (КЦ № 7)</t>
        </is>
      </c>
      <c r="K19" s="243" t="inlineStr"/>
      <c r="L19" s="248" t="inlineStr">
        <is>
          <t>60</t>
        </is>
      </c>
      <c r="M19" s="246" t="inlineStr"/>
      <c r="N19" s="245" t="inlineStr"/>
      <c r="O19" s="340" t="n"/>
    </row>
    <row r="20" ht="22.5" customHeight="1" s="236">
      <c r="A20" s="243" t="n">
        <v>19</v>
      </c>
      <c r="B20" s="244" t="inlineStr">
        <is>
          <t>Термометр сопротивления</t>
        </is>
      </c>
      <c r="C20" s="254" t="inlineStr">
        <is>
          <t>ТСМУ 014.71</t>
        </is>
      </c>
      <c r="D20" s="246" t="inlineStr">
        <is>
          <t>655</t>
        </is>
      </c>
      <c r="E20" s="248" t="inlineStr">
        <is>
          <t>2019</t>
        </is>
      </c>
      <c r="F20" s="248" t="inlineStr">
        <is>
          <t>-50..+100 °С</t>
        </is>
      </c>
      <c r="G20" s="254" t="inlineStr">
        <is>
          <t>0.25%</t>
        </is>
      </c>
      <c r="H20" s="254" t="inlineStr">
        <is>
          <t>Тг на входе ГРПШ</t>
        </is>
      </c>
      <c r="I20" s="243" t="inlineStr">
        <is>
          <t>УТО</t>
        </is>
      </c>
      <c r="J20" s="243" t="inlineStr">
        <is>
          <t>АСУ,А и ТМ (КЦ № 7)</t>
        </is>
      </c>
      <c r="K20" s="243" t="inlineStr"/>
      <c r="L20" s="248" t="inlineStr">
        <is>
          <t>60</t>
        </is>
      </c>
      <c r="M20" s="246" t="inlineStr"/>
      <c r="N20" s="245" t="inlineStr"/>
      <c r="O20" s="340" t="n"/>
    </row>
    <row r="21" ht="22.5" customHeight="1" s="236">
      <c r="A21" s="243" t="n">
        <v>20</v>
      </c>
      <c r="B21" s="244" t="inlineStr">
        <is>
          <t>Преобразователь избыточного давления</t>
        </is>
      </c>
      <c r="C21" s="254" t="inlineStr">
        <is>
          <t>Метран 150 TG</t>
        </is>
      </c>
      <c r="D21" s="246" t="inlineStr">
        <is>
          <t>6103886</t>
        </is>
      </c>
      <c r="E21" s="248" t="inlineStr">
        <is>
          <t>2019</t>
        </is>
      </c>
      <c r="F21" s="248" t="inlineStr">
        <is>
          <t>0..160 кПa</t>
        </is>
      </c>
      <c r="G21" s="254" t="inlineStr">
        <is>
          <t>0.10%</t>
        </is>
      </c>
      <c r="H21" s="254" t="inlineStr">
        <is>
          <t>Рг на входе ГРПШ</t>
        </is>
      </c>
      <c r="I21" s="243" t="inlineStr">
        <is>
          <t>УТО</t>
        </is>
      </c>
      <c r="J21" s="243" t="inlineStr">
        <is>
          <t>АСУ,А и ТМ (КЦ № 7)</t>
        </is>
      </c>
      <c r="K21" s="243" t="inlineStr"/>
      <c r="L21" s="248" t="inlineStr">
        <is>
          <t>60</t>
        </is>
      </c>
      <c r="M21" s="246" t="inlineStr"/>
      <c r="N21" s="245" t="inlineStr"/>
      <c r="O21" s="340" t="n"/>
    </row>
    <row r="22" ht="22.5" customHeight="1" s="236">
      <c r="A22" s="243" t="n">
        <v>21</v>
      </c>
      <c r="B22" s="244" t="inlineStr">
        <is>
          <t>Термометр сопротивления</t>
        </is>
      </c>
      <c r="C22" s="254" t="inlineStr">
        <is>
          <t>ТСМУ 014Сп</t>
        </is>
      </c>
      <c r="D22" s="246" t="inlineStr">
        <is>
          <t>1976</t>
        </is>
      </c>
      <c r="E22" s="248" t="inlineStr">
        <is>
          <t>2018</t>
        </is>
      </c>
      <c r="F22" s="248" t="inlineStr">
        <is>
          <t>-50..+50 °С</t>
        </is>
      </c>
      <c r="G22" s="254" t="inlineStr">
        <is>
          <t>0.25%</t>
        </is>
      </c>
      <c r="H22" s="254" t="inlineStr"/>
      <c r="I22" s="243" t="inlineStr">
        <is>
          <t>УТО</t>
        </is>
      </c>
      <c r="J22" s="243" t="inlineStr">
        <is>
          <t>АСУ,А и ТМ (КЦ № 7)</t>
        </is>
      </c>
      <c r="K22" s="243" t="inlineStr"/>
      <c r="L22" s="248" t="inlineStr">
        <is>
          <t>60</t>
        </is>
      </c>
      <c r="M22" s="246" t="inlineStr"/>
      <c r="N22" s="245" t="inlineStr"/>
      <c r="O22" s="340" t="n"/>
    </row>
    <row r="23" ht="22.5" customHeight="1" s="236">
      <c r="A23" s="243" t="n">
        <v>22</v>
      </c>
      <c r="B23" s="248" t="inlineStr">
        <is>
          <t>Корректор объёма газа</t>
        </is>
      </c>
      <c r="C23" s="254" t="inlineStr">
        <is>
          <t>ЕК270</t>
        </is>
      </c>
      <c r="D23" s="246" t="inlineStr">
        <is>
          <t>1118470050</t>
        </is>
      </c>
      <c r="E23" s="248" t="inlineStr">
        <is>
          <t>2018</t>
        </is>
      </c>
      <c r="F23" s="248" t="inlineStr"/>
      <c r="G23" s="254" t="inlineStr"/>
      <c r="H23" s="254" t="inlineStr">
        <is>
          <t>Коммерческий учет газа</t>
        </is>
      </c>
      <c r="I23" s="243" t="inlineStr">
        <is>
          <t>УТО</t>
        </is>
      </c>
      <c r="J23" s="243" t="inlineStr">
        <is>
          <t>АСУ,А и ТМ (КЦ № 7)</t>
        </is>
      </c>
      <c r="K23" s="243" t="inlineStr"/>
      <c r="L23" s="248" t="inlineStr">
        <is>
          <t>60</t>
        </is>
      </c>
      <c r="M23" s="246" t="inlineStr"/>
      <c r="N23" s="245" t="inlineStr"/>
      <c r="O23" s="340" t="n"/>
    </row>
    <row r="24" ht="22.5" customHeight="1" s="236">
      <c r="A24" s="243" t="n">
        <v>23</v>
      </c>
      <c r="B24" s="244" t="inlineStr">
        <is>
          <t>Комплекс для измерения количества газа</t>
        </is>
      </c>
      <c r="C24" s="254" t="inlineStr">
        <is>
          <t>СГ-ЭК-Вз-Р-02-65/1.6</t>
        </is>
      </c>
      <c r="D24" s="246" t="inlineStr">
        <is>
          <t>1518470029</t>
        </is>
      </c>
      <c r="E24" s="248" t="inlineStr">
        <is>
          <t>2018</t>
        </is>
      </c>
      <c r="F24" s="248" t="inlineStr"/>
      <c r="G24" s="254" t="inlineStr"/>
      <c r="H24" s="254" t="inlineStr">
        <is>
          <t>Коммерческий учет газа</t>
        </is>
      </c>
      <c r="I24" s="243" t="inlineStr">
        <is>
          <t>УТО</t>
        </is>
      </c>
      <c r="J24" s="243" t="inlineStr">
        <is>
          <t>АСУ,А и ТМ (КЦ № 7)</t>
        </is>
      </c>
      <c r="K24" s="243" t="inlineStr"/>
      <c r="L24" s="248" t="inlineStr">
        <is>
          <t>60</t>
        </is>
      </c>
      <c r="M24" s="246" t="inlineStr"/>
      <c r="N24" s="245" t="inlineStr"/>
      <c r="O24" s="340" t="n"/>
    </row>
    <row r="25" ht="22.5" customHeight="1" s="236">
      <c r="A25" s="243" t="n">
        <v>24</v>
      </c>
      <c r="B25" s="244" t="inlineStr">
        <is>
          <t>Счётчик газа</t>
        </is>
      </c>
      <c r="C25" s="254" t="inlineStr">
        <is>
          <t>RABO G40</t>
        </is>
      </c>
      <c r="D25" s="246" t="inlineStr">
        <is>
          <t>1418470036</t>
        </is>
      </c>
      <c r="E25" s="248" t="inlineStr">
        <is>
          <t>2018</t>
        </is>
      </c>
      <c r="F25" s="248" t="inlineStr">
        <is>
          <t>1…65 м3/ч</t>
        </is>
      </c>
      <c r="G25" s="254" t="inlineStr"/>
      <c r="H25" s="254" t="inlineStr">
        <is>
          <t>Коммерческий учет газа</t>
        </is>
      </c>
      <c r="I25" s="243" t="inlineStr">
        <is>
          <t>УТО</t>
        </is>
      </c>
      <c r="J25" s="243" t="inlineStr">
        <is>
          <t>АСУ,А и ТМ (КЦ № 7)</t>
        </is>
      </c>
      <c r="K25" s="243" t="inlineStr"/>
      <c r="L25" s="248" t="inlineStr">
        <is>
          <t>60</t>
        </is>
      </c>
      <c r="M25" s="246" t="inlineStr"/>
      <c r="N25" s="245" t="inlineStr"/>
      <c r="O25" s="340" t="n"/>
    </row>
    <row r="26" ht="22.5" customHeight="1" s="236">
      <c r="A26" s="243" t="n">
        <v>25</v>
      </c>
      <c r="B26" s="244" t="inlineStr">
        <is>
          <t>Извещатель пожарный тепловой</t>
        </is>
      </c>
      <c r="C26" s="254" t="inlineStr">
        <is>
          <t>ИП103-1В-С-А</t>
        </is>
      </c>
      <c r="D26" s="246" t="inlineStr">
        <is>
          <t>833</t>
        </is>
      </c>
      <c r="E26" s="248" t="inlineStr">
        <is>
          <t>2019</t>
        </is>
      </c>
      <c r="F26" s="248" t="inlineStr"/>
      <c r="G26" s="254" t="inlineStr"/>
      <c r="H26" s="254" t="inlineStr"/>
      <c r="I26" s="243" t="inlineStr">
        <is>
          <t>УТО</t>
        </is>
      </c>
      <c r="J26" s="243" t="inlineStr">
        <is>
          <t>АСУ,А и ТМ (КЦ № 7)</t>
        </is>
      </c>
      <c r="K26" s="243" t="inlineStr"/>
      <c r="L26" s="248" t="inlineStr">
        <is>
          <t>60</t>
        </is>
      </c>
      <c r="M26" s="246" t="inlineStr"/>
      <c r="N26" s="245" t="inlineStr"/>
      <c r="O26" s="340" t="inlineStr">
        <is>
          <t>Не является СИ</t>
        </is>
      </c>
    </row>
    <row r="27" ht="22.5" customHeight="1" s="236">
      <c r="A27" s="243" t="n">
        <v>26</v>
      </c>
      <c r="B27" s="244" t="inlineStr">
        <is>
          <t>Извещатель пожарный тепловой</t>
        </is>
      </c>
      <c r="C27" s="254" t="inlineStr">
        <is>
          <t>ИП103-1В-С-А</t>
        </is>
      </c>
      <c r="D27" s="246" t="inlineStr">
        <is>
          <t>827</t>
        </is>
      </c>
      <c r="E27" s="248" t="inlineStr">
        <is>
          <t>2019</t>
        </is>
      </c>
      <c r="F27" s="248" t="inlineStr"/>
      <c r="G27" s="254" t="inlineStr"/>
      <c r="H27" s="254" t="inlineStr"/>
      <c r="I27" s="243" t="inlineStr">
        <is>
          <t>УТО</t>
        </is>
      </c>
      <c r="J27" s="243" t="inlineStr">
        <is>
          <t>АСУ,А и ТМ (КЦ № 7)</t>
        </is>
      </c>
      <c r="K27" s="243" t="inlineStr"/>
      <c r="L27" s="248" t="inlineStr">
        <is>
          <t>60</t>
        </is>
      </c>
      <c r="M27" s="246" t="inlineStr"/>
      <c r="N27" s="245" t="inlineStr"/>
      <c r="O27" s="340" t="inlineStr">
        <is>
          <t>Не является СИ</t>
        </is>
      </c>
    </row>
    <row r="28" ht="22.5" customHeight="1" s="236">
      <c r="A28" s="243" t="n">
        <v>27</v>
      </c>
      <c r="B28" s="244" t="inlineStr">
        <is>
          <t>Регулятор температуры</t>
        </is>
      </c>
      <c r="C28" s="254" t="inlineStr">
        <is>
          <t>УВТР-10А.4(РТ)</t>
        </is>
      </c>
      <c r="D28" s="246" t="inlineStr">
        <is>
          <t>7038</t>
        </is>
      </c>
      <c r="E28" s="248" t="inlineStr">
        <is>
          <t>2018</t>
        </is>
      </c>
      <c r="F28" s="248" t="inlineStr">
        <is>
          <t>-50..+60 °С</t>
        </is>
      </c>
      <c r="G28" s="254" t="inlineStr"/>
      <c r="H28" s="254" t="inlineStr"/>
      <c r="I28" s="243" t="inlineStr">
        <is>
          <t>УТО</t>
        </is>
      </c>
      <c r="J28" s="243" t="inlineStr">
        <is>
          <t>АСУ,А и ТМ (КЦ № 7)</t>
        </is>
      </c>
      <c r="K28" s="243" t="inlineStr"/>
      <c r="L28" s="248" t="inlineStr">
        <is>
          <t>60</t>
        </is>
      </c>
      <c r="M28" s="246" t="inlineStr"/>
      <c r="N28" s="245" t="inlineStr"/>
      <c r="O28" s="340" t="inlineStr">
        <is>
          <t>Не является СИ</t>
        </is>
      </c>
    </row>
    <row r="29" ht="22.5" customHeight="1" s="236">
      <c r="A29" s="243" t="n">
        <v>28</v>
      </c>
      <c r="B29" s="244" t="inlineStr">
        <is>
          <t>Термометр биметаллический</t>
        </is>
      </c>
      <c r="C29" s="254" t="inlineStr">
        <is>
          <t>ТБ2</t>
        </is>
      </c>
      <c r="D29" s="246" t="inlineStr">
        <is>
          <t>4122</t>
        </is>
      </c>
      <c r="E29" s="248" t="inlineStr"/>
      <c r="F29" s="248" t="inlineStr">
        <is>
          <t>-50..+50 °С</t>
        </is>
      </c>
      <c r="G29" s="254" t="inlineStr"/>
      <c r="H29" s="254" t="inlineStr">
        <is>
          <t>Т жидких отходов</t>
        </is>
      </c>
      <c r="I29" s="243" t="inlineStr">
        <is>
          <t>УТО</t>
        </is>
      </c>
      <c r="J29" s="243" t="inlineStr">
        <is>
          <t>АСУ,А и ТМ (КЦ № 7)</t>
        </is>
      </c>
      <c r="K29" s="243" t="inlineStr"/>
      <c r="L29" s="248" t="inlineStr">
        <is>
          <t>24</t>
        </is>
      </c>
      <c r="M29" s="246" t="inlineStr">
        <is>
          <t>2к26</t>
        </is>
      </c>
      <c r="N29" s="245" t="inlineStr">
        <is>
          <t>К</t>
        </is>
      </c>
      <c r="O29" s="341" t="n"/>
    </row>
    <row r="30" ht="22.5" customHeight="1" s="236">
      <c r="A30" s="243" t="n">
        <v>29</v>
      </c>
      <c r="B30" s="244" t="inlineStr">
        <is>
          <t>Термометр сопротивления</t>
        </is>
      </c>
      <c r="C30" s="254" t="inlineStr">
        <is>
          <t>Метран 2700</t>
        </is>
      </c>
      <c r="D30" s="246" t="inlineStr">
        <is>
          <t>2471845</t>
        </is>
      </c>
      <c r="E30" s="248" t="inlineStr"/>
      <c r="F30" s="248" t="inlineStr">
        <is>
          <t>0..+100 °С</t>
        </is>
      </c>
      <c r="G30" s="254" t="inlineStr"/>
      <c r="H30" s="254" t="inlineStr">
        <is>
          <t>Т жидких отходов</t>
        </is>
      </c>
      <c r="I30" s="243" t="inlineStr">
        <is>
          <t>УТО</t>
        </is>
      </c>
      <c r="J30" s="243" t="inlineStr">
        <is>
          <t>АСУ,А и ТМ (КЦ № 7)</t>
        </is>
      </c>
      <c r="K30" s="243" t="inlineStr"/>
      <c r="L30" s="248" t="inlineStr">
        <is>
          <t>60</t>
        </is>
      </c>
      <c r="M30" s="246" t="inlineStr"/>
      <c r="N30" s="245" t="inlineStr"/>
      <c r="O30" s="341" t="n"/>
    </row>
    <row r="31" ht="22.5" customHeight="1" s="236">
      <c r="A31" s="243" t="n">
        <v>30</v>
      </c>
      <c r="B31" s="244" t="inlineStr">
        <is>
          <t>Манометр технический</t>
        </is>
      </c>
      <c r="C31" s="254" t="inlineStr">
        <is>
          <t>МП3-УУ2</t>
        </is>
      </c>
      <c r="D31" s="246" t="inlineStr">
        <is>
          <t>700233</t>
        </is>
      </c>
      <c r="E31" s="248" t="inlineStr"/>
      <c r="F31" s="248" t="inlineStr">
        <is>
          <t>0..0,6 кгс/см2</t>
        </is>
      </c>
      <c r="G31" s="254" t="inlineStr">
        <is>
          <t>1,5</t>
        </is>
      </c>
      <c r="H31" s="254" t="inlineStr">
        <is>
          <t>Рг перед горелкой 1</t>
        </is>
      </c>
      <c r="I31" s="243" t="inlineStr">
        <is>
          <t>УТО</t>
        </is>
      </c>
      <c r="J31" s="243" t="inlineStr">
        <is>
          <t>АСУ,А и ТМ (КЦ № 7)</t>
        </is>
      </c>
      <c r="K31" s="243" t="inlineStr"/>
      <c r="L31" s="248" t="inlineStr">
        <is>
          <t>12</t>
        </is>
      </c>
      <c r="M31" s="246" t="inlineStr">
        <is>
          <t>2К26</t>
        </is>
      </c>
      <c r="N31" s="245" t="inlineStr">
        <is>
          <t>К</t>
        </is>
      </c>
      <c r="O31" s="341" t="n"/>
    </row>
    <row r="32" ht="22.5" customHeight="1" s="236">
      <c r="A32" s="243" t="n">
        <v>31</v>
      </c>
      <c r="B32" s="244" t="inlineStr">
        <is>
          <t>Манометр технический</t>
        </is>
      </c>
      <c r="C32" s="254" t="inlineStr">
        <is>
          <t>МП3-УУ2</t>
        </is>
      </c>
      <c r="D32" s="246" t="inlineStr">
        <is>
          <t>700231</t>
        </is>
      </c>
      <c r="E32" s="248" t="inlineStr"/>
      <c r="F32" s="248" t="inlineStr">
        <is>
          <t>0..0,6 кгс/см2</t>
        </is>
      </c>
      <c r="G32" s="254" t="inlineStr">
        <is>
          <t>1,5</t>
        </is>
      </c>
      <c r="H32" s="254" t="inlineStr">
        <is>
          <t>Рг перед горелкой 2</t>
        </is>
      </c>
      <c r="I32" s="243" t="inlineStr">
        <is>
          <t>УТО</t>
        </is>
      </c>
      <c r="J32" s="243" t="inlineStr">
        <is>
          <t>АСУ,А и ТМ (КЦ № 7)</t>
        </is>
      </c>
      <c r="K32" s="243" t="inlineStr"/>
      <c r="L32" s="248" t="inlineStr">
        <is>
          <t>12</t>
        </is>
      </c>
      <c r="M32" s="246" t="inlineStr">
        <is>
          <t>2К26</t>
        </is>
      </c>
      <c r="N32" s="245" t="inlineStr">
        <is>
          <t>К</t>
        </is>
      </c>
      <c r="O32" s="340" t="n"/>
    </row>
    <row r="33" ht="22.5" customHeight="1" s="236">
      <c r="A33" s="243" t="n">
        <v>32</v>
      </c>
      <c r="B33" s="244" t="inlineStr">
        <is>
          <t>Манометр технический</t>
        </is>
      </c>
      <c r="C33" s="254" t="inlineStr">
        <is>
          <t>МП3-УУХЛ1</t>
        </is>
      </c>
      <c r="D33" s="246" t="inlineStr">
        <is>
          <t>15668</t>
        </is>
      </c>
      <c r="E33" s="248" t="inlineStr"/>
      <c r="F33" s="248" t="inlineStr">
        <is>
          <t>0..0,6 кгс/см2</t>
        </is>
      </c>
      <c r="G33" s="254" t="inlineStr">
        <is>
          <t>1,5</t>
        </is>
      </c>
      <c r="H33" s="254" t="inlineStr">
        <is>
          <t>Рг на входе ГРПШ</t>
        </is>
      </c>
      <c r="I33" s="243" t="inlineStr">
        <is>
          <t>УТО</t>
        </is>
      </c>
      <c r="J33" s="243" t="inlineStr">
        <is>
          <t>АСУ,А и ТМ (КЦ № 7)</t>
        </is>
      </c>
      <c r="K33" s="243" t="inlineStr"/>
      <c r="L33" s="248" t="inlineStr">
        <is>
          <t>12</t>
        </is>
      </c>
      <c r="M33" s="246" t="inlineStr">
        <is>
          <t>2К26</t>
        </is>
      </c>
      <c r="N33" s="245" t="inlineStr">
        <is>
          <t>К</t>
        </is>
      </c>
      <c r="O33" s="340" t="n"/>
    </row>
  </sheetData>
  <conditionalFormatting sqref="M1:M1048576">
    <cfRule type="expression" rank="0" priority="2" equalAverage="0" aboveAverage="0" dxfId="1" text="" percent="0" bottom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orizontalCentered="0" verticalCentered="0" headings="0" gridLines="0" gridLinesSet="1"/>
  <pageMargins left="0.7" right="0.7" top="0.75" bottom="0.75" header="0.511805555555555" footer="0.511805555555555"/>
  <pageSetup orientation="portrait" paperSize="1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1"/>
  </sheetPr>
  <dimension ref="A1:O64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pane xSplit="0" ySplit="1" topLeftCell="A17" activePane="bottomLeft" state="frozen"/>
      <selection pane="topLeft" activeCell="A1" activeCellId="0" sqref="A1"/>
      <selection pane="bottomLeft" activeCell="N16" activeCellId="0" sqref="N16"/>
    </sheetView>
  </sheetViews>
  <sheetFormatPr baseColWidth="8" defaultColWidth="9.15625" defaultRowHeight="11.25" zeroHeight="0" outlineLevelRow="0"/>
  <cols>
    <col width="3.14" customWidth="1" style="281" min="1" max="1"/>
    <col width="22.14" customWidth="1" style="281" min="2" max="2"/>
    <col width="11.57" customWidth="1" style="281" min="3" max="3"/>
    <col width="13.57" customWidth="1" style="281" min="4" max="4"/>
    <col width="6.57" customWidth="1" style="281" min="5" max="5"/>
    <col width="15.57" customWidth="1" style="281" min="6" max="6"/>
    <col width="7.42" customWidth="1" style="281" min="7" max="7"/>
    <col width="16.42" customWidth="1" style="281" min="8" max="8"/>
    <col width="13.57" customWidth="1" style="281" min="9" max="9"/>
    <col width="11.14" customWidth="1" style="281" min="10" max="10"/>
    <col width="8" customWidth="1" style="281" min="11" max="11"/>
    <col width="9.85" customWidth="1" style="281" min="12" max="12"/>
    <col width="8.859999999999999" customWidth="1" style="281" min="13" max="13"/>
    <col width="9.85" customWidth="1" style="281" min="14" max="14"/>
    <col width="13.01" customWidth="1" style="281" min="15" max="15"/>
    <col width="9.140000000000001" customWidth="1" style="281" min="16" max="1024"/>
  </cols>
  <sheetData>
    <row r="1" ht="45" customHeight="1" s="236">
      <c r="A1" s="239" t="inlineStr">
        <is>
          <t>№ п/п</t>
        </is>
      </c>
      <c r="B1" s="239" t="inlineStr">
        <is>
          <t>Наименование</t>
        </is>
      </c>
      <c r="C1" s="239" t="inlineStr">
        <is>
          <t>Тип</t>
        </is>
      </c>
      <c r="D1" s="239" t="inlineStr">
        <is>
          <t>Заводской 
номер</t>
        </is>
      </c>
      <c r="E1" s="240" t="inlineStr">
        <is>
          <t>Год 
выпуска</t>
        </is>
      </c>
      <c r="F1" s="239" t="inlineStr">
        <is>
          <t>Диапазон 
измерений</t>
        </is>
      </c>
      <c r="G1" s="239" t="inlineStr">
        <is>
          <t>Класс точности</t>
        </is>
      </c>
      <c r="H1" s="239" t="inlineStr">
        <is>
          <t>Место установки СИ</t>
        </is>
      </c>
      <c r="I1" s="239" t="inlineStr">
        <is>
          <t>Объект установки</t>
        </is>
      </c>
      <c r="J1" s="239" t="inlineStr">
        <is>
          <t>Подразделение</t>
        </is>
      </c>
      <c r="K1" s="239" t="inlineStr">
        <is>
          <t>Дата установки</t>
        </is>
      </c>
      <c r="L1" s="239" t="inlineStr">
        <is>
          <t>Межповерочный интервал, мес.</t>
        </is>
      </c>
      <c r="M1" s="240" t="inlineStr">
        <is>
          <t>Дата последней поверки / калибровки</t>
        </is>
      </c>
      <c r="N1" s="239" t="inlineStr">
        <is>
          <t>Поверка (П)/ Калибровка (К)</t>
        </is>
      </c>
      <c r="O1" s="339" t="n"/>
    </row>
    <row r="2" ht="22.5" customHeight="1" s="236">
      <c r="A2" s="239" t="n">
        <v>1</v>
      </c>
      <c r="B2" s="240" t="inlineStr">
        <is>
          <t>Электроконтактный манометр</t>
        </is>
      </c>
      <c r="C2" s="252" t="inlineStr">
        <is>
          <t>ДМ2005СгУ2</t>
        </is>
      </c>
      <c r="D2" s="240" t="inlineStr">
        <is>
          <t>700054</t>
        </is>
      </c>
      <c r="E2" s="251" t="inlineStr"/>
      <c r="F2" s="277" t="inlineStr">
        <is>
          <t>0..4 кгс/см²</t>
        </is>
      </c>
      <c r="G2" s="252" t="inlineStr">
        <is>
          <t>1,5</t>
        </is>
      </c>
      <c r="H2" s="252" t="inlineStr">
        <is>
          <t>Р на входе в отсек теплоносителя</t>
        </is>
      </c>
      <c r="I2" s="239" t="inlineStr">
        <is>
          <t>Отсек теплоносителя</t>
        </is>
      </c>
      <c r="J2" s="239" t="inlineStr">
        <is>
          <t>АСУ,А и ТМ (КЦ № 7)</t>
        </is>
      </c>
      <c r="K2" s="239" t="inlineStr"/>
      <c r="L2" s="251" t="inlineStr">
        <is>
          <t>12</t>
        </is>
      </c>
      <c r="M2" s="240" t="inlineStr">
        <is>
          <t>3к26</t>
        </is>
      </c>
      <c r="N2" s="242" t="inlineStr">
        <is>
          <t>К</t>
        </is>
      </c>
      <c r="O2" s="339" t="n"/>
    </row>
    <row r="3" ht="22.5" customHeight="1" s="236">
      <c r="A3" s="243" t="n">
        <v>2</v>
      </c>
      <c r="B3" s="246" t="inlineStr">
        <is>
          <t>Термометр биметаллический</t>
        </is>
      </c>
      <c r="C3" s="254" t="inlineStr">
        <is>
          <t>ТБ-2Р УХЛ2</t>
        </is>
      </c>
      <c r="D3" s="246" t="inlineStr">
        <is>
          <t>3567</t>
        </is>
      </c>
      <c r="E3" s="248" t="inlineStr"/>
      <c r="F3" s="273" t="inlineStr">
        <is>
          <t>0..+150 °С</t>
        </is>
      </c>
      <c r="G3" s="254" t="inlineStr">
        <is>
          <t>1</t>
        </is>
      </c>
      <c r="H3" s="254" t="inlineStr">
        <is>
          <t>Т на входе в отсек теплоносителя</t>
        </is>
      </c>
      <c r="I3" s="243" t="inlineStr">
        <is>
          <t>Отсек теплоносителя</t>
        </is>
      </c>
      <c r="J3" s="243" t="inlineStr">
        <is>
          <t>АСУ,А и ТМ (КЦ № 7)</t>
        </is>
      </c>
      <c r="K3" s="243" t="inlineStr"/>
      <c r="L3" s="248" t="inlineStr">
        <is>
          <t>24</t>
        </is>
      </c>
      <c r="M3" s="246" t="inlineStr">
        <is>
          <t>25ДЯУ</t>
        </is>
      </c>
      <c r="N3" s="245" t="inlineStr">
        <is>
          <t>П</t>
        </is>
      </c>
      <c r="O3" s="339" t="n"/>
    </row>
    <row r="4" ht="22.5" customHeight="1" s="236">
      <c r="A4" s="243" t="n">
        <v>3</v>
      </c>
      <c r="B4" s="246" t="inlineStr">
        <is>
          <t>Манометр технический</t>
        </is>
      </c>
      <c r="C4" s="254" t="inlineStr">
        <is>
          <t>МП4-УУ2</t>
        </is>
      </c>
      <c r="D4" s="246" t="inlineStr">
        <is>
          <t>700043</t>
        </is>
      </c>
      <c r="E4" s="248" t="inlineStr"/>
      <c r="F4" s="273" t="inlineStr">
        <is>
          <t>0..600 кПa</t>
        </is>
      </c>
      <c r="G4" s="254" t="inlineStr">
        <is>
          <t>1,5</t>
        </is>
      </c>
      <c r="H4" s="254" t="inlineStr">
        <is>
          <t>Ртн на выходе котла №1</t>
        </is>
      </c>
      <c r="I4" s="243" t="inlineStr">
        <is>
          <t>Отсек теплоносителя</t>
        </is>
      </c>
      <c r="J4" s="243" t="inlineStr">
        <is>
          <t>АСУ,А и ТМ (КЦ № 7)</t>
        </is>
      </c>
      <c r="K4" s="243" t="inlineStr"/>
      <c r="L4" s="248" t="inlineStr">
        <is>
          <t>12</t>
        </is>
      </c>
      <c r="M4" s="246" t="inlineStr">
        <is>
          <t>26ДЯУ</t>
        </is>
      </c>
      <c r="N4" s="245" t="inlineStr">
        <is>
          <t>П</t>
        </is>
      </c>
      <c r="O4" s="339" t="n"/>
    </row>
    <row r="5" ht="22.5" customHeight="1" s="236">
      <c r="A5" s="243" t="n">
        <v>4</v>
      </c>
      <c r="B5" s="246" t="inlineStr">
        <is>
          <t>Термометр биметаллический</t>
        </is>
      </c>
      <c r="C5" s="254" t="inlineStr">
        <is>
          <t>Росма БТ3</t>
        </is>
      </c>
      <c r="D5" s="246" t="inlineStr">
        <is>
          <t>отсутствует</t>
        </is>
      </c>
      <c r="E5" s="248" t="inlineStr"/>
      <c r="F5" s="273" t="inlineStr">
        <is>
          <t>0..+350 °С</t>
        </is>
      </c>
      <c r="G5" s="254" t="inlineStr">
        <is>
          <t>2,5</t>
        </is>
      </c>
      <c r="H5" s="254" t="inlineStr">
        <is>
          <t>Т дымовых гвзов котла №2</t>
        </is>
      </c>
      <c r="I5" s="243" t="inlineStr">
        <is>
          <t>Отсек теплоносителя</t>
        </is>
      </c>
      <c r="J5" s="243" t="inlineStr">
        <is>
          <t>АСУ,А и ТМ (КЦ № 7)</t>
        </is>
      </c>
      <c r="K5" s="243" t="inlineStr"/>
      <c r="L5" s="248" t="inlineStr"/>
      <c r="M5" s="246" t="inlineStr"/>
      <c r="N5" s="245" t="inlineStr"/>
      <c r="O5" s="339" t="n"/>
    </row>
    <row r="6" ht="22.5" customHeight="1" s="236">
      <c r="A6" s="243" t="n">
        <v>5</v>
      </c>
      <c r="B6" s="246" t="inlineStr">
        <is>
          <t>Термометр биметаллический</t>
        </is>
      </c>
      <c r="C6" s="254" t="inlineStr">
        <is>
          <t>ТБ-2Р УХЛ2</t>
        </is>
      </c>
      <c r="D6" s="246" t="inlineStr">
        <is>
          <t>9693</t>
        </is>
      </c>
      <c r="E6" s="248" t="inlineStr"/>
      <c r="F6" s="273" t="inlineStr">
        <is>
          <t>0..+150 °С</t>
        </is>
      </c>
      <c r="G6" s="254" t="inlineStr">
        <is>
          <t>1</t>
        </is>
      </c>
      <c r="H6" s="254" t="inlineStr">
        <is>
          <t>Ттн на выходе котла №1</t>
        </is>
      </c>
      <c r="I6" s="243" t="inlineStr">
        <is>
          <t>Отсек теплоносителя</t>
        </is>
      </c>
      <c r="J6" s="243" t="inlineStr">
        <is>
          <t>АСУ,А и ТМ (КЦ № 7)</t>
        </is>
      </c>
      <c r="K6" s="243" t="inlineStr"/>
      <c r="L6" s="248" t="inlineStr">
        <is>
          <t>24</t>
        </is>
      </c>
      <c r="M6" s="246" t="inlineStr">
        <is>
          <t>3к25</t>
        </is>
      </c>
      <c r="N6" s="245" t="inlineStr">
        <is>
          <t>П</t>
        </is>
      </c>
      <c r="O6" s="339" t="n"/>
    </row>
    <row r="7" ht="22.5" customHeight="1" s="236">
      <c r="A7" s="243" t="n">
        <v>6</v>
      </c>
      <c r="B7" s="246" t="inlineStr">
        <is>
          <t>Термометр биметаллический</t>
        </is>
      </c>
      <c r="C7" s="254" t="inlineStr">
        <is>
          <t>Росма БТ3</t>
        </is>
      </c>
      <c r="D7" s="246" t="inlineStr">
        <is>
          <t>700056</t>
        </is>
      </c>
      <c r="E7" s="248" t="inlineStr"/>
      <c r="F7" s="273" t="inlineStr">
        <is>
          <t>0..+350 °С</t>
        </is>
      </c>
      <c r="G7" s="254" t="inlineStr">
        <is>
          <t>2,5</t>
        </is>
      </c>
      <c r="H7" s="254" t="inlineStr">
        <is>
          <t>Т дымовых гвзов котла №1</t>
        </is>
      </c>
      <c r="I7" s="243" t="inlineStr">
        <is>
          <t>Отсек теплоносителя</t>
        </is>
      </c>
      <c r="J7" s="243" t="inlineStr">
        <is>
          <t>АСУ,А и ТМ (КЦ № 7)</t>
        </is>
      </c>
      <c r="K7" s="243" t="inlineStr"/>
      <c r="L7" s="248" t="inlineStr">
        <is>
          <t>24</t>
        </is>
      </c>
      <c r="M7" s="246" t="inlineStr">
        <is>
          <t>3к25</t>
        </is>
      </c>
      <c r="N7" s="245" t="inlineStr">
        <is>
          <t>П</t>
        </is>
      </c>
      <c r="O7" s="339" t="n"/>
    </row>
    <row r="8" ht="22.5" customHeight="1" s="236">
      <c r="A8" s="243" t="n">
        <v>7</v>
      </c>
      <c r="B8" s="255" t="inlineStr">
        <is>
          <t>Манометр технический</t>
        </is>
      </c>
      <c r="C8" s="254" t="inlineStr">
        <is>
          <t>Росма КМ2</t>
        </is>
      </c>
      <c r="D8" s="246" t="inlineStr">
        <is>
          <t>15431</t>
        </is>
      </c>
      <c r="E8" s="248" t="inlineStr"/>
      <c r="F8" s="273" t="inlineStr">
        <is>
          <t>0..25 кПa</t>
        </is>
      </c>
      <c r="G8" s="254" t="inlineStr">
        <is>
          <t>1,5</t>
        </is>
      </c>
      <c r="H8" s="254" t="inlineStr">
        <is>
          <t>Рг перед котлом №1</t>
        </is>
      </c>
      <c r="I8" s="243" t="inlineStr">
        <is>
          <t>Отсек теплоносителя</t>
        </is>
      </c>
      <c r="J8" s="243" t="inlineStr">
        <is>
          <t>АСУ,А и ТМ (КЦ № 7)</t>
        </is>
      </c>
      <c r="K8" s="243" t="inlineStr"/>
      <c r="L8" s="248" t="inlineStr">
        <is>
          <t>12</t>
        </is>
      </c>
      <c r="M8" s="246" t="inlineStr">
        <is>
          <t>26ДЯУ</t>
        </is>
      </c>
      <c r="N8" s="245" t="inlineStr">
        <is>
          <t>П</t>
        </is>
      </c>
      <c r="O8" s="339" t="n"/>
    </row>
    <row r="9" ht="22.5" customHeight="1" s="236">
      <c r="A9" s="243" t="n">
        <v>8</v>
      </c>
      <c r="B9" s="255" t="inlineStr">
        <is>
          <t>Манометр технический</t>
        </is>
      </c>
      <c r="C9" s="254" t="inlineStr">
        <is>
          <t>МП4-УУ2</t>
        </is>
      </c>
      <c r="D9" s="246" t="inlineStr">
        <is>
          <t>700044</t>
        </is>
      </c>
      <c r="E9" s="248" t="inlineStr"/>
      <c r="F9" s="273" t="inlineStr">
        <is>
          <t>0..600 кПa</t>
        </is>
      </c>
      <c r="G9" s="254" t="inlineStr">
        <is>
          <t>1,5</t>
        </is>
      </c>
      <c r="H9" s="254" t="inlineStr">
        <is>
          <t>Ртн на выходе котла №2</t>
        </is>
      </c>
      <c r="I9" s="243" t="inlineStr">
        <is>
          <t>Отсек теплоносителя</t>
        </is>
      </c>
      <c r="J9" s="243" t="inlineStr">
        <is>
          <t>АСУ,А и ТМ (КЦ № 7)</t>
        </is>
      </c>
      <c r="K9" s="243" t="inlineStr"/>
      <c r="L9" s="248" t="inlineStr">
        <is>
          <t>12</t>
        </is>
      </c>
      <c r="M9" s="246" t="inlineStr">
        <is>
          <t>26ДЯУ</t>
        </is>
      </c>
      <c r="N9" s="245" t="inlineStr">
        <is>
          <t>П</t>
        </is>
      </c>
      <c r="O9" s="339" t="n"/>
    </row>
    <row r="10" ht="22.5" customHeight="1" s="236">
      <c r="A10" s="243" t="n">
        <v>9</v>
      </c>
      <c r="B10" s="246" t="inlineStr">
        <is>
          <t>Термометр биметаллический</t>
        </is>
      </c>
      <c r="C10" s="254" t="inlineStr">
        <is>
          <t>ТБ-2Р УХЛ2</t>
        </is>
      </c>
      <c r="D10" s="246" t="inlineStr">
        <is>
          <t>9123</t>
        </is>
      </c>
      <c r="E10" s="248" t="inlineStr"/>
      <c r="F10" s="273" t="inlineStr">
        <is>
          <t>0..+150 °С</t>
        </is>
      </c>
      <c r="G10" s="254" t="inlineStr">
        <is>
          <t>1</t>
        </is>
      </c>
      <c r="H10" s="254" t="inlineStr">
        <is>
          <t>Ттн на выходе котла №2</t>
        </is>
      </c>
      <c r="I10" s="243" t="inlineStr">
        <is>
          <t>Отсек теплоносителя</t>
        </is>
      </c>
      <c r="J10" s="243" t="inlineStr">
        <is>
          <t>АСУ,А и ТМ (КЦ № 7)</t>
        </is>
      </c>
      <c r="K10" s="243" t="inlineStr"/>
      <c r="L10" s="248" t="inlineStr">
        <is>
          <t>24</t>
        </is>
      </c>
      <c r="M10" s="246" t="inlineStr">
        <is>
          <t>3к25</t>
        </is>
      </c>
      <c r="N10" s="245" t="inlineStr">
        <is>
          <t>П</t>
        </is>
      </c>
      <c r="O10" s="339" t="n"/>
    </row>
    <row r="11" ht="22.5" customHeight="1" s="236">
      <c r="A11" s="243" t="n">
        <v>10</v>
      </c>
      <c r="B11" s="255" t="inlineStr">
        <is>
          <t>Манометр технический</t>
        </is>
      </c>
      <c r="C11" s="254" t="inlineStr">
        <is>
          <t>Росма КМ2</t>
        </is>
      </c>
      <c r="D11" s="246" t="inlineStr">
        <is>
          <t>50256</t>
        </is>
      </c>
      <c r="E11" s="248" t="inlineStr"/>
      <c r="F11" s="273" t="inlineStr">
        <is>
          <t>0..25 кПa</t>
        </is>
      </c>
      <c r="G11" s="254" t="inlineStr">
        <is>
          <t>1,5</t>
        </is>
      </c>
      <c r="H11" s="254" t="inlineStr">
        <is>
          <t>Рг перед котлом №2</t>
        </is>
      </c>
      <c r="I11" s="243" t="inlineStr">
        <is>
          <t>Отсек теплоносителя</t>
        </is>
      </c>
      <c r="J11" s="243" t="inlineStr">
        <is>
          <t>АСУ,А и ТМ (КЦ № 7)</t>
        </is>
      </c>
      <c r="K11" s="243" t="inlineStr"/>
      <c r="L11" s="248" t="inlineStr">
        <is>
          <t>12</t>
        </is>
      </c>
      <c r="M11" s="246" t="inlineStr">
        <is>
          <t>26ДЯУ</t>
        </is>
      </c>
      <c r="N11" s="245" t="inlineStr">
        <is>
          <t>П</t>
        </is>
      </c>
      <c r="O11" s="339" t="n"/>
    </row>
    <row r="12" ht="22.5" customHeight="1" s="236">
      <c r="A12" s="243" t="n">
        <v>11</v>
      </c>
      <c r="B12" s="255" t="inlineStr">
        <is>
          <t>Манометр технический</t>
        </is>
      </c>
      <c r="C12" s="254" t="inlineStr">
        <is>
          <t>МП4-УУ2</t>
        </is>
      </c>
      <c r="D12" s="246" t="inlineStr">
        <is>
          <t>051750</t>
        </is>
      </c>
      <c r="E12" s="248" t="inlineStr"/>
      <c r="F12" s="273" t="inlineStr">
        <is>
          <t>0..600 кПa</t>
        </is>
      </c>
      <c r="G12" s="254" t="inlineStr">
        <is>
          <t>1,5</t>
        </is>
      </c>
      <c r="H12" s="254" t="inlineStr">
        <is>
          <t>Ртн перед насосом #1</t>
        </is>
      </c>
      <c r="I12" s="243" t="inlineStr">
        <is>
          <t>Отсек теплоносителя</t>
        </is>
      </c>
      <c r="J12" s="243" t="inlineStr">
        <is>
          <t>АСУ,А и ТМ (КЦ № 7)</t>
        </is>
      </c>
      <c r="K12" s="243" t="inlineStr"/>
      <c r="L12" s="248" t="inlineStr">
        <is>
          <t>12</t>
        </is>
      </c>
      <c r="M12" s="246" t="inlineStr">
        <is>
          <t>26ДЯУ</t>
        </is>
      </c>
      <c r="N12" s="245" t="inlineStr">
        <is>
          <t>П</t>
        </is>
      </c>
      <c r="O12" s="339" t="n"/>
    </row>
    <row r="13" ht="22.5" customHeight="1" s="236">
      <c r="A13" s="243" t="n">
        <v>12</v>
      </c>
      <c r="B13" s="255" t="inlineStr">
        <is>
          <t>Манометр технический</t>
        </is>
      </c>
      <c r="C13" s="254" t="inlineStr">
        <is>
          <t>МП4-УУ2</t>
        </is>
      </c>
      <c r="D13" s="246" t="inlineStr">
        <is>
          <t>80537</t>
        </is>
      </c>
      <c r="E13" s="248" t="inlineStr"/>
      <c r="F13" s="273" t="inlineStr">
        <is>
          <t>0..600 кПa</t>
        </is>
      </c>
      <c r="G13" s="254" t="inlineStr">
        <is>
          <t>1,5</t>
        </is>
      </c>
      <c r="H13" s="254" t="inlineStr">
        <is>
          <t>Ртн после насоса №1</t>
        </is>
      </c>
      <c r="I13" s="243" t="inlineStr">
        <is>
          <t>Отсек теплоносителя</t>
        </is>
      </c>
      <c r="J13" s="243" t="inlineStr">
        <is>
          <t>АСУ,А и ТМ (КЦ № 7)</t>
        </is>
      </c>
      <c r="K13" s="243" t="inlineStr"/>
      <c r="L13" s="248" t="inlineStr">
        <is>
          <t>12</t>
        </is>
      </c>
      <c r="M13" s="246" t="inlineStr">
        <is>
          <t>26ДЯУ</t>
        </is>
      </c>
      <c r="N13" s="245" t="inlineStr">
        <is>
          <t>П</t>
        </is>
      </c>
      <c r="O13" s="339" t="n"/>
    </row>
    <row r="14" ht="22.5" customHeight="1" s="236">
      <c r="A14" s="243" t="n">
        <v>13</v>
      </c>
      <c r="B14" s="246" t="inlineStr">
        <is>
          <t>Термометр биметаллический</t>
        </is>
      </c>
      <c r="C14" s="254" t="inlineStr">
        <is>
          <t>ТБ-2Р УХЛ2</t>
        </is>
      </c>
      <c r="D14" s="246" t="inlineStr">
        <is>
          <t>9764</t>
        </is>
      </c>
      <c r="E14" s="248" t="inlineStr"/>
      <c r="F14" s="273" t="inlineStr">
        <is>
          <t>0..+150 °С</t>
        </is>
      </c>
      <c r="G14" s="254" t="inlineStr">
        <is>
          <t>1</t>
        </is>
      </c>
      <c r="H14" s="254" t="inlineStr">
        <is>
          <t>Ттн в общем коллекторе</t>
        </is>
      </c>
      <c r="I14" s="243" t="inlineStr">
        <is>
          <t>Отсек теплоносителя</t>
        </is>
      </c>
      <c r="J14" s="243" t="inlineStr">
        <is>
          <t>АСУ,А и ТМ (КЦ № 7)</t>
        </is>
      </c>
      <c r="K14" s="243" t="inlineStr"/>
      <c r="L14" s="248" t="inlineStr">
        <is>
          <t>24</t>
        </is>
      </c>
      <c r="M14" s="246" t="inlineStr">
        <is>
          <t>3к25</t>
        </is>
      </c>
      <c r="N14" s="245" t="inlineStr">
        <is>
          <t>П</t>
        </is>
      </c>
      <c r="O14" s="339" t="n"/>
    </row>
    <row r="15" ht="22.5" customHeight="1" s="236">
      <c r="A15" s="243" t="n">
        <v>14</v>
      </c>
      <c r="B15" s="255" t="inlineStr">
        <is>
          <t>Манометр технический</t>
        </is>
      </c>
      <c r="C15" s="254" t="inlineStr">
        <is>
          <t>М-3ВУУ2</t>
        </is>
      </c>
      <c r="D15" s="246" t="inlineStr">
        <is>
          <t>13761</t>
        </is>
      </c>
      <c r="E15" s="248" t="inlineStr"/>
      <c r="F15" s="273" t="inlineStr">
        <is>
          <t>0….6 кгс/см2</t>
        </is>
      </c>
      <c r="G15" s="254" t="inlineStr">
        <is>
          <t>1</t>
        </is>
      </c>
      <c r="H15" s="254" t="inlineStr">
        <is>
          <t>Ртн после насоса №2</t>
        </is>
      </c>
      <c r="I15" s="243" t="inlineStr">
        <is>
          <t>Отсек теплоносителя</t>
        </is>
      </c>
      <c r="J15" s="243" t="inlineStr">
        <is>
          <t>АСУ,А и ТМ (КЦ № 7)</t>
        </is>
      </c>
      <c r="K15" s="243" t="inlineStr"/>
      <c r="L15" s="248" t="inlineStr">
        <is>
          <t>12</t>
        </is>
      </c>
      <c r="M15" s="246" t="inlineStr">
        <is>
          <t>26ДЯУ</t>
        </is>
      </c>
      <c r="N15" s="245" t="inlineStr">
        <is>
          <t>П</t>
        </is>
      </c>
      <c r="O15" s="339" t="inlineStr">
        <is>
          <t>замена</t>
        </is>
      </c>
    </row>
    <row r="16" ht="22.5" customHeight="1" s="236">
      <c r="A16" s="243" t="n">
        <v>15</v>
      </c>
      <c r="B16" s="255" t="inlineStr">
        <is>
          <t>Манометр технический</t>
        </is>
      </c>
      <c r="C16" s="254" t="inlineStr">
        <is>
          <t>МП4-УУ2</t>
        </is>
      </c>
      <c r="D16" s="246" t="inlineStr">
        <is>
          <t>051751</t>
        </is>
      </c>
      <c r="E16" s="248" t="inlineStr"/>
      <c r="F16" s="273" t="inlineStr">
        <is>
          <t>0..600 кПа</t>
        </is>
      </c>
      <c r="G16" s="254" t="inlineStr">
        <is>
          <t>1,5</t>
        </is>
      </c>
      <c r="H16" s="254" t="inlineStr">
        <is>
          <t>Ртн в общем коллекторе</t>
        </is>
      </c>
      <c r="I16" s="243" t="inlineStr">
        <is>
          <t>Отсек теплоносителя</t>
        </is>
      </c>
      <c r="J16" s="243" t="inlineStr">
        <is>
          <t>АСУ,А и ТМ (КЦ № 7)</t>
        </is>
      </c>
      <c r="K16" s="243" t="inlineStr"/>
      <c r="L16" s="248" t="inlineStr">
        <is>
          <t>12</t>
        </is>
      </c>
      <c r="M16" s="246" t="inlineStr">
        <is>
          <t>26ДЯУ</t>
        </is>
      </c>
      <c r="N16" s="245" t="inlineStr">
        <is>
          <t>П</t>
        </is>
      </c>
      <c r="O16" s="339" t="n"/>
    </row>
    <row r="17" ht="22.5" customHeight="1" s="236">
      <c r="A17" s="243" t="n">
        <v>16</v>
      </c>
      <c r="B17" s="255" t="inlineStr">
        <is>
          <t>Манометр технический</t>
        </is>
      </c>
      <c r="C17" s="254" t="inlineStr">
        <is>
          <t>МП4-УУ3</t>
        </is>
      </c>
      <c r="D17" s="246" t="inlineStr">
        <is>
          <t>20125860</t>
        </is>
      </c>
      <c r="E17" s="248" t="inlineStr"/>
      <c r="F17" s="273" t="inlineStr">
        <is>
          <t>0..600 кПa</t>
        </is>
      </c>
      <c r="G17" s="254" t="inlineStr">
        <is>
          <t>1,5</t>
        </is>
      </c>
      <c r="H17" s="254" t="inlineStr">
        <is>
          <t>Р перед насосом №2</t>
        </is>
      </c>
      <c r="I17" s="243" t="inlineStr">
        <is>
          <t>Отсек теплоносителя</t>
        </is>
      </c>
      <c r="J17" s="243" t="inlineStr">
        <is>
          <t>АСУ,А и ТМ (КЦ № 7)</t>
        </is>
      </c>
      <c r="K17" s="243" t="inlineStr"/>
      <c r="L17" s="248" t="inlineStr">
        <is>
          <t>12</t>
        </is>
      </c>
      <c r="M17" s="246" t="inlineStr">
        <is>
          <t>26ДЯУ</t>
        </is>
      </c>
      <c r="N17" s="245" t="inlineStr">
        <is>
          <t>П</t>
        </is>
      </c>
      <c r="O17" s="339" t="n"/>
    </row>
    <row r="18" ht="22.5" customHeight="1" s="236">
      <c r="A18" s="243" t="n">
        <v>17</v>
      </c>
      <c r="B18" s="246" t="inlineStr">
        <is>
          <t>Термометр сопротивления</t>
        </is>
      </c>
      <c r="C18" s="254" t="inlineStr">
        <is>
          <t>Метран-276-02</t>
        </is>
      </c>
      <c r="D18" s="246" t="inlineStr">
        <is>
          <t>2421759</t>
        </is>
      </c>
      <c r="E18" s="248" t="inlineStr">
        <is>
          <t>2018</t>
        </is>
      </c>
      <c r="F18" s="273" t="inlineStr">
        <is>
          <t>-50..+150 °С</t>
        </is>
      </c>
      <c r="G18" s="254" t="inlineStr">
        <is>
          <t>0.25%</t>
        </is>
      </c>
      <c r="H18" s="254" t="inlineStr">
        <is>
          <t>Т в общем коллекторе</t>
        </is>
      </c>
      <c r="I18" s="243" t="inlineStr">
        <is>
          <t>Отсек теплоносителя</t>
        </is>
      </c>
      <c r="J18" s="243" t="inlineStr">
        <is>
          <t>АСУ,А и ТМ (КЦ № 7)</t>
        </is>
      </c>
      <c r="K18" s="243" t="inlineStr"/>
      <c r="L18" s="248" t="inlineStr">
        <is>
          <t>60</t>
        </is>
      </c>
      <c r="M18" s="246" t="inlineStr"/>
      <c r="N18" s="245" t="inlineStr"/>
      <c r="O18" s="339" t="n"/>
    </row>
    <row r="19" ht="22.5" customHeight="1" s="236">
      <c r="A19" s="243" t="n">
        <v>18</v>
      </c>
      <c r="B19" s="255" t="inlineStr">
        <is>
          <t>Преобразователь избыточного давления</t>
        </is>
      </c>
      <c r="C19" s="254" t="inlineStr">
        <is>
          <t>Метран 150 TG</t>
        </is>
      </c>
      <c r="D19" s="246" t="inlineStr">
        <is>
          <t>6063470</t>
        </is>
      </c>
      <c r="E19" s="248" t="inlineStr">
        <is>
          <t>2018</t>
        </is>
      </c>
      <c r="F19" s="273" t="inlineStr">
        <is>
          <t>0..1 МПa</t>
        </is>
      </c>
      <c r="G19" s="254" t="inlineStr">
        <is>
          <t>0.10%</t>
        </is>
      </c>
      <c r="H19" s="254" t="inlineStr">
        <is>
          <t>Р в общем коллекторе</t>
        </is>
      </c>
      <c r="I19" s="243" t="inlineStr">
        <is>
          <t>Отсек теплоносителя</t>
        </is>
      </c>
      <c r="J19" s="243" t="inlineStr">
        <is>
          <t>АСУ,А и ТМ (КЦ № 7)</t>
        </is>
      </c>
      <c r="K19" s="243" t="inlineStr"/>
      <c r="L19" s="248" t="inlineStr">
        <is>
          <t>60</t>
        </is>
      </c>
      <c r="M19" s="246" t="inlineStr"/>
      <c r="N19" s="245" t="inlineStr"/>
      <c r="O19" s="339" t="n"/>
    </row>
    <row r="20" ht="33.75" customHeight="1" s="236">
      <c r="A20" s="243" t="n">
        <v>19</v>
      </c>
      <c r="B20" s="255" t="inlineStr">
        <is>
          <t>Сигнализатор загазованности</t>
        </is>
      </c>
      <c r="C20" s="254" t="inlineStr">
        <is>
          <t>ДГТ-902</t>
        </is>
      </c>
      <c r="D20" s="246" t="inlineStr">
        <is>
          <t>570</t>
        </is>
      </c>
      <c r="E20" s="248" t="inlineStr">
        <is>
          <t>2019</t>
        </is>
      </c>
      <c r="F20" s="273" t="inlineStr">
        <is>
          <t>Метан CH4</t>
        </is>
      </c>
      <c r="G20" s="254" t="inlineStr"/>
      <c r="H20" s="254" t="inlineStr">
        <is>
          <t>Загазованность в отсеке теплоносителя (СН4)</t>
        </is>
      </c>
      <c r="I20" s="243" t="inlineStr">
        <is>
          <t>Отсек теплоносителя</t>
        </is>
      </c>
      <c r="J20" s="243" t="inlineStr">
        <is>
          <t>АСУ,А и ТМ (КЦ № 7)</t>
        </is>
      </c>
      <c r="K20" s="243" t="inlineStr"/>
      <c r="L20" s="248" t="inlineStr">
        <is>
          <t>60</t>
        </is>
      </c>
      <c r="M20" s="246" t="inlineStr"/>
      <c r="N20" s="245" t="inlineStr"/>
      <c r="O20" s="339" t="inlineStr">
        <is>
          <t>Не является СИ</t>
        </is>
      </c>
    </row>
    <row r="21" ht="33.75" customHeight="1" s="236">
      <c r="A21" s="243" t="n">
        <v>20</v>
      </c>
      <c r="B21" s="246" t="inlineStr">
        <is>
          <t>Корректор объёма газа</t>
        </is>
      </c>
      <c r="C21" s="254" t="inlineStr">
        <is>
          <t>ЕК270</t>
        </is>
      </c>
      <c r="D21" s="246" t="inlineStr">
        <is>
          <t>1118040045</t>
        </is>
      </c>
      <c r="E21" s="248" t="inlineStr">
        <is>
          <t>2018</t>
        </is>
      </c>
      <c r="F21" s="273" t="inlineStr"/>
      <c r="G21" s="254" t="inlineStr"/>
      <c r="H21" s="254" t="inlineStr">
        <is>
          <t>Учет топливного газа подготовки теплоносителя.</t>
        </is>
      </c>
      <c r="I21" s="243" t="inlineStr">
        <is>
          <t>Отсек теплоносителя</t>
        </is>
      </c>
      <c r="J21" s="243" t="inlineStr">
        <is>
          <t>АСУ,А и ТМ (КЦ № 7)</t>
        </is>
      </c>
      <c r="K21" s="243" t="inlineStr"/>
      <c r="L21" s="248" t="inlineStr">
        <is>
          <t>60</t>
        </is>
      </c>
      <c r="M21" s="246" t="inlineStr"/>
      <c r="N21" s="245" t="inlineStr"/>
      <c r="O21" s="339" t="n"/>
    </row>
    <row r="22" ht="33.75" customHeight="1" s="236">
      <c r="A22" s="243" t="n">
        <v>21</v>
      </c>
      <c r="B22" s="253" t="inlineStr">
        <is>
          <t>Комплекс для измерения количества газа</t>
        </is>
      </c>
      <c r="C22" s="254" t="inlineStr">
        <is>
          <t>СГ-ЭК-Вз-Р-02-25/1,6</t>
        </is>
      </c>
      <c r="D22" s="246" t="inlineStr">
        <is>
          <t>1518040043</t>
        </is>
      </c>
      <c r="E22" s="248" t="inlineStr">
        <is>
          <t>2018</t>
        </is>
      </c>
      <c r="F22" s="273" t="inlineStr"/>
      <c r="G22" s="254" t="inlineStr">
        <is>
          <t>1,6</t>
        </is>
      </c>
      <c r="H22" s="254" t="inlineStr">
        <is>
          <t>Учет топливного газа подготовки теплоносителя.</t>
        </is>
      </c>
      <c r="I22" s="243" t="inlineStr">
        <is>
          <t>Отсек теплоносителя</t>
        </is>
      </c>
      <c r="J22" s="243" t="inlineStr">
        <is>
          <t>АСУ,А и ТМ (КЦ № 7)</t>
        </is>
      </c>
      <c r="K22" s="243" t="inlineStr"/>
      <c r="L22" s="248" t="inlineStr">
        <is>
          <t>60</t>
        </is>
      </c>
      <c r="M22" s="246" t="inlineStr"/>
      <c r="N22" s="245" t="inlineStr"/>
      <c r="O22" s="339" t="inlineStr">
        <is>
          <t>Уже внесен кем-то</t>
        </is>
      </c>
    </row>
    <row r="23" ht="33.75" customHeight="1" s="236">
      <c r="A23" s="243" t="n">
        <v>22</v>
      </c>
      <c r="B23" s="253" t="inlineStr">
        <is>
          <t>Счётчик газа</t>
        </is>
      </c>
      <c r="C23" s="254" t="inlineStr">
        <is>
          <t>RVG G16</t>
        </is>
      </c>
      <c r="D23" s="246" t="inlineStr">
        <is>
          <t>1218040030</t>
        </is>
      </c>
      <c r="E23" s="248" t="inlineStr">
        <is>
          <t>2018</t>
        </is>
      </c>
      <c r="F23" s="273" t="inlineStr">
        <is>
          <t>0,8…25 м3/ч</t>
        </is>
      </c>
      <c r="G23" s="254" t="inlineStr"/>
      <c r="H23" s="254" t="inlineStr">
        <is>
          <t>Учет топливного газа подготовки теплоносителя.</t>
        </is>
      </c>
      <c r="I23" s="243" t="inlineStr">
        <is>
          <t>Отсек теплоносителя</t>
        </is>
      </c>
      <c r="J23" s="243" t="inlineStr">
        <is>
          <t>АСУ,А и ТМ (КЦ № 7)</t>
        </is>
      </c>
      <c r="K23" s="243" t="inlineStr"/>
      <c r="L23" s="248" t="inlineStr">
        <is>
          <t>60</t>
        </is>
      </c>
      <c r="M23" s="246" t="inlineStr"/>
      <c r="N23" s="245" t="inlineStr"/>
      <c r="O23" s="339" t="inlineStr">
        <is>
          <t>Уже внесен кем-то</t>
        </is>
      </c>
    </row>
    <row r="24" ht="22.5" customHeight="1" s="236">
      <c r="A24" s="243" t="n">
        <v>23</v>
      </c>
      <c r="B24" s="255" t="inlineStr">
        <is>
          <t>Преобразователь избыточного давления</t>
        </is>
      </c>
      <c r="C24" s="254" t="inlineStr">
        <is>
          <t>Метран 150 TG</t>
        </is>
      </c>
      <c r="D24" s="246" t="inlineStr">
        <is>
          <t>6063462</t>
        </is>
      </c>
      <c r="E24" s="248" t="inlineStr">
        <is>
          <t>2018</t>
        </is>
      </c>
      <c r="F24" s="273" t="inlineStr">
        <is>
          <t>0..25 МПa</t>
        </is>
      </c>
      <c r="G24" s="254" t="inlineStr">
        <is>
          <t>0.10%</t>
        </is>
      </c>
      <c r="H24" s="254" t="inlineStr">
        <is>
          <t>Рг на входе УПТГ</t>
        </is>
      </c>
      <c r="I24" s="243" t="inlineStr">
        <is>
          <t>Технологический отсек</t>
        </is>
      </c>
      <c r="J24" s="243" t="inlineStr">
        <is>
          <t>АСУ,А и ТМ (КЦ № 7)</t>
        </is>
      </c>
      <c r="K24" s="243" t="inlineStr"/>
      <c r="L24" s="248" t="inlineStr">
        <is>
          <t>60</t>
        </is>
      </c>
      <c r="M24" s="246" t="inlineStr"/>
      <c r="N24" s="245" t="inlineStr"/>
      <c r="O24" s="339" t="n"/>
    </row>
    <row r="25" ht="22.5" customHeight="1" s="236">
      <c r="A25" s="243" t="n">
        <v>24</v>
      </c>
      <c r="B25" s="253" t="inlineStr">
        <is>
          <t>Манометр технический</t>
        </is>
      </c>
      <c r="C25" s="254" t="inlineStr">
        <is>
          <t>МП4-УУ2</t>
        </is>
      </c>
      <c r="D25" s="246" t="inlineStr">
        <is>
          <t>700041</t>
        </is>
      </c>
      <c r="E25" s="248" t="inlineStr"/>
      <c r="F25" s="273" t="inlineStr">
        <is>
          <t>0..16 МПa</t>
        </is>
      </c>
      <c r="G25" s="254" t="inlineStr">
        <is>
          <t>1,5</t>
        </is>
      </c>
      <c r="H25" s="254" t="inlineStr">
        <is>
          <t>Рг на входе УПТГ</t>
        </is>
      </c>
      <c r="I25" s="243" t="inlineStr">
        <is>
          <t>Технологический отсек</t>
        </is>
      </c>
      <c r="J25" s="243" t="inlineStr">
        <is>
          <t>АСУ,А и ТМ (КЦ № 7)</t>
        </is>
      </c>
      <c r="K25" s="243" t="inlineStr"/>
      <c r="L25" s="248" t="inlineStr">
        <is>
          <t>12</t>
        </is>
      </c>
      <c r="M25" s="246" t="inlineStr">
        <is>
          <t>2К26</t>
        </is>
      </c>
      <c r="N25" s="245" t="inlineStr">
        <is>
          <t>К</t>
        </is>
      </c>
      <c r="O25" s="339" t="n"/>
    </row>
    <row r="26" ht="22.5" customHeight="1" s="236">
      <c r="A26" s="243" t="n">
        <v>25</v>
      </c>
      <c r="B26" s="253" t="inlineStr">
        <is>
          <t>Манометр технический</t>
        </is>
      </c>
      <c r="C26" s="254" t="inlineStr">
        <is>
          <t>МП4-УУ2</t>
        </is>
      </c>
      <c r="D26" s="246" t="inlineStr">
        <is>
          <t>700042</t>
        </is>
      </c>
      <c r="E26" s="248" t="inlineStr"/>
      <c r="F26" s="273" t="inlineStr">
        <is>
          <t>0..16 МПa</t>
        </is>
      </c>
      <c r="G26" s="254" t="inlineStr">
        <is>
          <t>1,5</t>
        </is>
      </c>
      <c r="H26" s="254" t="inlineStr">
        <is>
          <t>Рг перед фильтром-сепаратором №1</t>
        </is>
      </c>
      <c r="I26" s="243" t="inlineStr">
        <is>
          <t>Технологический отсек</t>
        </is>
      </c>
      <c r="J26" s="243" t="inlineStr">
        <is>
          <t>АСУ,А и ТМ (КЦ № 7)</t>
        </is>
      </c>
      <c r="K26" s="243" t="inlineStr"/>
      <c r="L26" s="248" t="inlineStr">
        <is>
          <t>12</t>
        </is>
      </c>
      <c r="M26" s="246" t="inlineStr">
        <is>
          <t>2К26</t>
        </is>
      </c>
      <c r="N26" s="245" t="inlineStr">
        <is>
          <t>К</t>
        </is>
      </c>
      <c r="O26" s="339" t="n"/>
    </row>
    <row r="27" ht="22.5" customHeight="1" s="236">
      <c r="A27" s="243" t="n">
        <v>26</v>
      </c>
      <c r="B27" s="253" t="inlineStr">
        <is>
          <t>Манометр технический</t>
        </is>
      </c>
      <c r="C27" s="254" t="inlineStr">
        <is>
          <t>МП4-УУ2</t>
        </is>
      </c>
      <c r="D27" s="246" t="inlineStr">
        <is>
          <t>700044А</t>
        </is>
      </c>
      <c r="E27" s="248" t="inlineStr"/>
      <c r="F27" s="273" t="inlineStr">
        <is>
          <t>0..16 МПa</t>
        </is>
      </c>
      <c r="G27" s="254" t="inlineStr">
        <is>
          <t>1,5</t>
        </is>
      </c>
      <c r="H27" s="254" t="inlineStr">
        <is>
          <t>Рг перед фильтром-сепаратором №2</t>
        </is>
      </c>
      <c r="I27" s="243" t="inlineStr">
        <is>
          <t>Технологический отсек</t>
        </is>
      </c>
      <c r="J27" s="243" t="inlineStr">
        <is>
          <t>АСУ,А и ТМ (КЦ № 7)</t>
        </is>
      </c>
      <c r="K27" s="243" t="inlineStr"/>
      <c r="L27" s="248" t="inlineStr">
        <is>
          <t>12</t>
        </is>
      </c>
      <c r="M27" s="246" t="inlineStr">
        <is>
          <t>2К26</t>
        </is>
      </c>
      <c r="N27" s="245" t="inlineStr">
        <is>
          <t>К</t>
        </is>
      </c>
      <c r="O27" s="407" t="n"/>
    </row>
    <row r="28" ht="22.5" customHeight="1" s="236">
      <c r="A28" s="243" t="n">
        <v>27</v>
      </c>
      <c r="B28" s="253" t="inlineStr">
        <is>
          <t>Манометр технический</t>
        </is>
      </c>
      <c r="C28" s="254" t="inlineStr">
        <is>
          <t>МП4-УУ2</t>
        </is>
      </c>
      <c r="D28" s="246" t="inlineStr">
        <is>
          <t>700051</t>
        </is>
      </c>
      <c r="E28" s="248" t="inlineStr"/>
      <c r="F28" s="273" t="inlineStr">
        <is>
          <t>0..16 МПa</t>
        </is>
      </c>
      <c r="G28" s="254" t="inlineStr">
        <is>
          <t>1,5</t>
        </is>
      </c>
      <c r="H28" s="254" t="inlineStr">
        <is>
          <t>Рг в дренаже</t>
        </is>
      </c>
      <c r="I28" s="243" t="inlineStr">
        <is>
          <t>Технологический отсек</t>
        </is>
      </c>
      <c r="J28" s="243" t="inlineStr">
        <is>
          <t>АСУ,А и ТМ (КЦ № 7)</t>
        </is>
      </c>
      <c r="K28" s="243" t="inlineStr"/>
      <c r="L28" s="248" t="inlineStr">
        <is>
          <t>12</t>
        </is>
      </c>
      <c r="M28" s="246" t="inlineStr">
        <is>
          <t>2К26</t>
        </is>
      </c>
      <c r="N28" s="245" t="inlineStr">
        <is>
          <t>К</t>
        </is>
      </c>
      <c r="O28" s="339" t="n"/>
    </row>
    <row r="29" ht="22.5" customHeight="1" s="236">
      <c r="A29" s="243" t="n">
        <v>28</v>
      </c>
      <c r="B29" s="253" t="inlineStr">
        <is>
          <t>Манометр технический</t>
        </is>
      </c>
      <c r="C29" s="254" t="inlineStr">
        <is>
          <t>МП4-УУ2</t>
        </is>
      </c>
      <c r="D29" s="246" t="inlineStr">
        <is>
          <t>700045</t>
        </is>
      </c>
      <c r="E29" s="248" t="inlineStr"/>
      <c r="F29" s="273" t="inlineStr">
        <is>
          <t>0..16 МПa</t>
        </is>
      </c>
      <c r="G29" s="254" t="inlineStr">
        <is>
          <t>1,5</t>
        </is>
      </c>
      <c r="H29" s="254" t="inlineStr">
        <is>
          <t>Рг на выходе с фильтров</t>
        </is>
      </c>
      <c r="I29" s="243" t="inlineStr">
        <is>
          <t>Технологический отсек</t>
        </is>
      </c>
      <c r="J29" s="243" t="inlineStr">
        <is>
          <t>АСУ,А и ТМ (КЦ № 7)</t>
        </is>
      </c>
      <c r="K29" s="243" t="inlineStr"/>
      <c r="L29" s="248" t="inlineStr">
        <is>
          <t>12</t>
        </is>
      </c>
      <c r="M29" s="246" t="inlineStr">
        <is>
          <t>2К26</t>
        </is>
      </c>
      <c r="N29" s="245" t="inlineStr">
        <is>
          <t>К</t>
        </is>
      </c>
      <c r="O29" s="339" t="n"/>
    </row>
    <row r="30" ht="22.5" customHeight="1" s="236">
      <c r="A30" s="243" t="n">
        <v>29</v>
      </c>
      <c r="B30" s="246" t="inlineStr">
        <is>
          <t>Термометр сопротивления</t>
        </is>
      </c>
      <c r="C30" s="254" t="inlineStr">
        <is>
          <t>Метран-276-08</t>
        </is>
      </c>
      <c r="D30" s="246" t="inlineStr">
        <is>
          <t>2422386</t>
        </is>
      </c>
      <c r="E30" s="248" t="inlineStr">
        <is>
          <t>2018</t>
        </is>
      </c>
      <c r="F30" s="273" t="inlineStr">
        <is>
          <t>-50..+150 °С</t>
        </is>
      </c>
      <c r="G30" s="254" t="inlineStr">
        <is>
          <t>0.25%</t>
        </is>
      </c>
      <c r="H30" s="254" t="inlineStr">
        <is>
          <t>Т на входе УПТГ</t>
        </is>
      </c>
      <c r="I30" s="243" t="inlineStr">
        <is>
          <t>Технологический отсек</t>
        </is>
      </c>
      <c r="J30" s="243" t="inlineStr">
        <is>
          <t>АСУ,А и ТМ (КЦ № 7)</t>
        </is>
      </c>
      <c r="K30" s="243" t="inlineStr"/>
      <c r="L30" s="248" t="inlineStr">
        <is>
          <t>60</t>
        </is>
      </c>
      <c r="M30" s="246" t="inlineStr"/>
      <c r="N30" s="245" t="inlineStr"/>
      <c r="O30" s="407" t="n"/>
    </row>
    <row r="31" ht="22.5" customHeight="1" s="236">
      <c r="A31" s="243" t="n">
        <v>30</v>
      </c>
      <c r="B31" s="246" t="inlineStr">
        <is>
          <t>Термометр биметаллический</t>
        </is>
      </c>
      <c r="C31" s="254" t="inlineStr">
        <is>
          <t>ТБ-2 УХЛ2</t>
        </is>
      </c>
      <c r="D31" s="246" t="inlineStr">
        <is>
          <t>3417</t>
        </is>
      </c>
      <c r="E31" s="248" t="inlineStr"/>
      <c r="F31" s="273" t="inlineStr">
        <is>
          <t>-30..+60 °С</t>
        </is>
      </c>
      <c r="G31" s="254" t="inlineStr">
        <is>
          <t>1</t>
        </is>
      </c>
      <c r="H31" s="254" t="inlineStr">
        <is>
          <t>Т на входе УПТГ</t>
        </is>
      </c>
      <c r="I31" s="243" t="inlineStr">
        <is>
          <t>Технологический отсек</t>
        </is>
      </c>
      <c r="J31" s="243" t="inlineStr">
        <is>
          <t>АСУ,А и ТМ (КЦ № 7)</t>
        </is>
      </c>
      <c r="K31" s="243" t="inlineStr"/>
      <c r="L31" s="248" t="inlineStr">
        <is>
          <t>24</t>
        </is>
      </c>
      <c r="M31" s="246" t="inlineStr">
        <is>
          <t>2к26</t>
        </is>
      </c>
      <c r="N31" s="245" t="inlineStr">
        <is>
          <t>К</t>
        </is>
      </c>
      <c r="O31" s="339" t="n"/>
    </row>
    <row r="32" ht="45" customHeight="1" s="236">
      <c r="A32" s="243" t="n">
        <v>31</v>
      </c>
      <c r="B32" s="253" t="inlineStr">
        <is>
          <t>Сигнализатор уровня ультразвуковой</t>
        </is>
      </c>
      <c r="C32" s="254" t="inlineStr">
        <is>
          <t>РИЗУР-1100-0-1Н-5-75-16-М-430/180-Д-Х-П-660-840(А)</t>
        </is>
      </c>
      <c r="D32" s="246" t="inlineStr">
        <is>
          <t>КИ286-1-2-13919</t>
        </is>
      </c>
      <c r="E32" s="248" t="inlineStr">
        <is>
          <t>2018</t>
        </is>
      </c>
      <c r="F32" s="273" t="inlineStr"/>
      <c r="G32" s="254" t="inlineStr"/>
      <c r="H32" s="254" t="inlineStr">
        <is>
          <t>Уровень в дренаже</t>
        </is>
      </c>
      <c r="I32" s="243" t="inlineStr">
        <is>
          <t>Технологический отсек</t>
        </is>
      </c>
      <c r="J32" s="243" t="inlineStr">
        <is>
          <t>АСУ,А и ТМ (КЦ № 7)</t>
        </is>
      </c>
      <c r="K32" s="243" t="inlineStr"/>
      <c r="L32" s="248" t="inlineStr">
        <is>
          <t>60</t>
        </is>
      </c>
      <c r="M32" s="246" t="inlineStr"/>
      <c r="N32" s="245" t="inlineStr"/>
      <c r="O32" s="339" t="inlineStr">
        <is>
          <t>Не является СИ</t>
        </is>
      </c>
    </row>
    <row r="33" ht="22.5" customHeight="1" s="236">
      <c r="A33" s="243" t="n">
        <v>32</v>
      </c>
      <c r="B33" s="255" t="inlineStr">
        <is>
          <t>Преобразователь избыточного давления</t>
        </is>
      </c>
      <c r="C33" s="254" t="inlineStr">
        <is>
          <t>Метран 150CD</t>
        </is>
      </c>
      <c r="D33" s="246" t="inlineStr">
        <is>
          <t>6063473</t>
        </is>
      </c>
      <c r="E33" s="248" t="inlineStr">
        <is>
          <t>2018</t>
        </is>
      </c>
      <c r="F33" s="273" t="inlineStr">
        <is>
          <t>0..250 кПa</t>
        </is>
      </c>
      <c r="G33" s="254" t="inlineStr">
        <is>
          <t>0.10%</t>
        </is>
      </c>
      <c r="H33" s="254" t="inlineStr">
        <is>
          <t>Перепад на фильтрах</t>
        </is>
      </c>
      <c r="I33" s="243" t="inlineStr">
        <is>
          <t>Технологический отсек</t>
        </is>
      </c>
      <c r="J33" s="243" t="inlineStr">
        <is>
          <t>АСУ,А и ТМ (КЦ № 7)</t>
        </is>
      </c>
      <c r="K33" s="243" t="inlineStr"/>
      <c r="L33" s="248" t="inlineStr">
        <is>
          <t>60</t>
        </is>
      </c>
      <c r="M33" s="246" t="inlineStr"/>
      <c r="N33" s="245" t="inlineStr"/>
      <c r="O33" s="339" t="n"/>
    </row>
    <row r="34" ht="22.5" customHeight="1" s="236">
      <c r="A34" s="243" t="n">
        <v>33</v>
      </c>
      <c r="B34" s="253" t="inlineStr">
        <is>
          <t>Датчик давления</t>
        </is>
      </c>
      <c r="C34" s="254" t="inlineStr">
        <is>
          <t>Turbo Flow PS</t>
        </is>
      </c>
      <c r="D34" s="246" t="inlineStr">
        <is>
          <t>403908</t>
        </is>
      </c>
      <c r="E34" s="248" t="inlineStr">
        <is>
          <t>2019</t>
        </is>
      </c>
      <c r="F34" s="273" t="inlineStr">
        <is>
          <t>0..10 МПa</t>
        </is>
      </c>
      <c r="G34" s="254" t="inlineStr">
        <is>
          <t>0.25%</t>
        </is>
      </c>
      <c r="H34" s="254" t="inlineStr">
        <is>
          <t>В составе расходомера</t>
        </is>
      </c>
      <c r="I34" s="243" t="inlineStr">
        <is>
          <t>Технологический отсек</t>
        </is>
      </c>
      <c r="J34" s="243" t="inlineStr">
        <is>
          <t>АСУ,А и ТМ (КЦ № 7)</t>
        </is>
      </c>
      <c r="K34" s="243" t="inlineStr"/>
      <c r="L34" s="248" t="inlineStr">
        <is>
          <t>60</t>
        </is>
      </c>
      <c r="M34" s="246" t="inlineStr"/>
      <c r="N34" s="245" t="inlineStr"/>
      <c r="O34" s="339" t="n"/>
    </row>
    <row r="35" ht="22.5" customHeight="1" s="236">
      <c r="A35" s="243" t="n">
        <v>34</v>
      </c>
      <c r="B35" s="253" t="inlineStr">
        <is>
          <t>Расходомер термоанемометрический</t>
        </is>
      </c>
      <c r="C35" s="254" t="inlineStr">
        <is>
          <t>TFG-HF</t>
        </is>
      </c>
      <c r="D35" s="246" t="inlineStr">
        <is>
          <t>6915</t>
        </is>
      </c>
      <c r="E35" s="248" t="inlineStr">
        <is>
          <t>2019</t>
        </is>
      </c>
      <c r="F35" s="273" t="inlineStr">
        <is>
          <t>0,05…1200 м3/ч</t>
        </is>
      </c>
      <c r="G35" s="254" t="inlineStr">
        <is>
          <t>2%</t>
        </is>
      </c>
      <c r="H35" s="254" t="inlineStr">
        <is>
          <t>Коммерческий учет газа</t>
        </is>
      </c>
      <c r="I35" s="243" t="inlineStr">
        <is>
          <t>Технологический отсек</t>
        </is>
      </c>
      <c r="J35" s="243" t="inlineStr">
        <is>
          <t>АСУ,А и ТМ (КЦ № 7)</t>
        </is>
      </c>
      <c r="K35" s="243" t="inlineStr"/>
      <c r="L35" s="248" t="inlineStr">
        <is>
          <t>60</t>
        </is>
      </c>
      <c r="M35" s="246" t="inlineStr"/>
      <c r="N35" s="245" t="inlineStr"/>
      <c r="O35" s="339" t="n"/>
    </row>
    <row r="36" ht="22.5" customHeight="1" s="236">
      <c r="A36" s="243" t="n">
        <v>35</v>
      </c>
      <c r="B36" s="246" t="inlineStr">
        <is>
          <t>Термометр сопротивления</t>
        </is>
      </c>
      <c r="C36" s="254" t="inlineStr">
        <is>
          <t>Метран-276-08</t>
        </is>
      </c>
      <c r="D36" s="246" t="inlineStr">
        <is>
          <t>2529366</t>
        </is>
      </c>
      <c r="E36" s="248" t="inlineStr">
        <is>
          <t>2020</t>
        </is>
      </c>
      <c r="F36" s="273" t="inlineStr">
        <is>
          <t>0..+100 °С</t>
        </is>
      </c>
      <c r="G36" s="254" t="inlineStr">
        <is>
          <t>0.25%</t>
        </is>
      </c>
      <c r="H36" s="254" t="inlineStr">
        <is>
          <t>Т в технологическом отсеке</t>
        </is>
      </c>
      <c r="I36" s="243" t="inlineStr">
        <is>
          <t>Технологический отсек</t>
        </is>
      </c>
      <c r="J36" s="243" t="inlineStr">
        <is>
          <t>АСУ,А и ТМ (КЦ № 7)</t>
        </is>
      </c>
      <c r="K36" s="243" t="inlineStr"/>
      <c r="L36" s="248" t="inlineStr">
        <is>
          <t>60</t>
        </is>
      </c>
      <c r="M36" s="246" t="inlineStr"/>
      <c r="N36" s="245" t="inlineStr"/>
      <c r="O36" s="407" t="n"/>
    </row>
    <row r="37" ht="22.5" customHeight="1" s="236">
      <c r="A37" s="243" t="n">
        <v>36</v>
      </c>
      <c r="B37" s="253" t="inlineStr">
        <is>
          <t>Электроконтактный манометр</t>
        </is>
      </c>
      <c r="C37" s="254" t="inlineStr">
        <is>
          <t>ДМ2005Сг1ЕхУ2</t>
        </is>
      </c>
      <c r="D37" s="246" t="inlineStr">
        <is>
          <t>201623</t>
        </is>
      </c>
      <c r="E37" s="248" t="inlineStr"/>
      <c r="F37" s="273" t="inlineStr">
        <is>
          <t>0..1,6 МПa</t>
        </is>
      </c>
      <c r="G37" s="254" t="inlineStr">
        <is>
          <t>1,5</t>
        </is>
      </c>
      <c r="H37" s="254" t="inlineStr">
        <is>
          <t>Р в подогревателе №2</t>
        </is>
      </c>
      <c r="I37" s="243" t="inlineStr">
        <is>
          <t>Технологический отсек</t>
        </is>
      </c>
      <c r="J37" s="243" t="inlineStr">
        <is>
          <t>АСУ,А и ТМ (КЦ № 7)</t>
        </is>
      </c>
      <c r="K37" s="243" t="inlineStr"/>
      <c r="L37" s="248" t="inlineStr">
        <is>
          <t>12</t>
        </is>
      </c>
      <c r="M37" s="246" t="inlineStr">
        <is>
          <t>2К26</t>
        </is>
      </c>
      <c r="N37" s="245" t="inlineStr">
        <is>
          <t>К</t>
        </is>
      </c>
      <c r="O37" s="339" t="n"/>
    </row>
    <row r="38" ht="22.5" customHeight="1" s="236">
      <c r="A38" s="243" t="n">
        <v>37</v>
      </c>
      <c r="B38" s="253" t="inlineStr">
        <is>
          <t>Электроконтактный манометр</t>
        </is>
      </c>
      <c r="C38" s="254" t="inlineStr">
        <is>
          <t>ДМ2005Сг1ЕхУ2</t>
        </is>
      </c>
      <c r="D38" s="246" t="inlineStr">
        <is>
          <t>201436</t>
        </is>
      </c>
      <c r="E38" s="248" t="inlineStr"/>
      <c r="F38" s="273" t="inlineStr">
        <is>
          <t>0..1,6 МПa</t>
        </is>
      </c>
      <c r="G38" s="254" t="inlineStr">
        <is>
          <t>1,5</t>
        </is>
      </c>
      <c r="H38" s="254" t="inlineStr">
        <is>
          <t>Р в подогревателе №1</t>
        </is>
      </c>
      <c r="I38" s="243" t="inlineStr">
        <is>
          <t>Технологический отсек</t>
        </is>
      </c>
      <c r="J38" s="243" t="inlineStr">
        <is>
          <t>АСУ,А и ТМ (КЦ № 7)</t>
        </is>
      </c>
      <c r="K38" s="243" t="inlineStr"/>
      <c r="L38" s="248" t="inlineStr">
        <is>
          <t>12</t>
        </is>
      </c>
      <c r="M38" s="246" t="inlineStr">
        <is>
          <t>2К26</t>
        </is>
      </c>
      <c r="N38" s="245" t="inlineStr">
        <is>
          <t>К</t>
        </is>
      </c>
      <c r="O38" s="339" t="n"/>
    </row>
    <row r="39" ht="22.5" customHeight="1" s="236">
      <c r="A39" s="243" t="n">
        <v>38</v>
      </c>
      <c r="B39" s="246" t="inlineStr">
        <is>
          <t>Термометр биметаллический</t>
        </is>
      </c>
      <c r="C39" s="254" t="inlineStr">
        <is>
          <t>ТБ-2 УХЛ2</t>
        </is>
      </c>
      <c r="D39" s="246" t="inlineStr">
        <is>
          <t>7441</t>
        </is>
      </c>
      <c r="E39" s="248" t="inlineStr">
        <is>
          <t>2019</t>
        </is>
      </c>
      <c r="F39" s="273" t="inlineStr">
        <is>
          <t>-30..+60 °С</t>
        </is>
      </c>
      <c r="G39" s="254" t="inlineStr">
        <is>
          <t>1</t>
        </is>
      </c>
      <c r="H39" s="254" t="inlineStr">
        <is>
          <t>Тг на выходе подогревателя №1</t>
        </is>
      </c>
      <c r="I39" s="243" t="inlineStr">
        <is>
          <t>Технологический отсек</t>
        </is>
      </c>
      <c r="J39" s="243" t="inlineStr">
        <is>
          <t>АСУ,А и ТМ (КЦ № 7)</t>
        </is>
      </c>
      <c r="K39" s="243" t="inlineStr"/>
      <c r="L39" s="248" t="inlineStr">
        <is>
          <t>24</t>
        </is>
      </c>
      <c r="M39" s="246" t="inlineStr">
        <is>
          <t>2К26</t>
        </is>
      </c>
      <c r="N39" s="245" t="inlineStr">
        <is>
          <t>К</t>
        </is>
      </c>
      <c r="O39" s="339" t="n"/>
    </row>
    <row r="40" ht="22.5" customHeight="1" s="236">
      <c r="A40" s="243" t="n">
        <v>39</v>
      </c>
      <c r="B40" s="246" t="inlineStr">
        <is>
          <t>Термометр биметаллический</t>
        </is>
      </c>
      <c r="C40" s="254" t="inlineStr">
        <is>
          <t>ТБ-2 УХЛ2</t>
        </is>
      </c>
      <c r="D40" s="246" t="inlineStr">
        <is>
          <t>7467</t>
        </is>
      </c>
      <c r="E40" s="248" t="inlineStr">
        <is>
          <t>2019</t>
        </is>
      </c>
      <c r="F40" s="273" t="inlineStr">
        <is>
          <t>-30..+60 °С</t>
        </is>
      </c>
      <c r="G40" s="254" t="inlineStr">
        <is>
          <t>1</t>
        </is>
      </c>
      <c r="H40" s="254" t="inlineStr">
        <is>
          <t>Тг на выходе подогревателя №2</t>
        </is>
      </c>
      <c r="I40" s="243" t="inlineStr">
        <is>
          <t>Технологический отсек</t>
        </is>
      </c>
      <c r="J40" s="243" t="inlineStr">
        <is>
          <t>АСУ,А и ТМ (КЦ № 7)</t>
        </is>
      </c>
      <c r="K40" s="243" t="inlineStr"/>
      <c r="L40" s="248" t="inlineStr">
        <is>
          <t>24</t>
        </is>
      </c>
      <c r="M40" s="246" t="inlineStr">
        <is>
          <t>2К26</t>
        </is>
      </c>
      <c r="N40" s="245" t="inlineStr">
        <is>
          <t>К</t>
        </is>
      </c>
      <c r="O40" s="339" t="n"/>
    </row>
    <row r="41" ht="33.75" customHeight="1" s="236">
      <c r="A41" s="243" t="n">
        <v>40</v>
      </c>
      <c r="B41" s="253" t="inlineStr">
        <is>
          <t>Манометр технический</t>
        </is>
      </c>
      <c r="C41" s="254" t="inlineStr">
        <is>
          <t>МП4-УУ2</t>
        </is>
      </c>
      <c r="D41" s="246" t="inlineStr">
        <is>
          <t>700043А</t>
        </is>
      </c>
      <c r="E41" s="248" t="inlineStr"/>
      <c r="F41" s="273" t="inlineStr">
        <is>
          <t>0..16 МПa</t>
        </is>
      </c>
      <c r="G41" s="254" t="inlineStr">
        <is>
          <t>1,5</t>
        </is>
      </c>
      <c r="H41" s="254" t="inlineStr">
        <is>
          <t>Р на выходе подогревателя электрического</t>
        </is>
      </c>
      <c r="I41" s="243" t="inlineStr">
        <is>
          <t>Технологический отсек</t>
        </is>
      </c>
      <c r="J41" s="243" t="inlineStr">
        <is>
          <t>АСУ,А и ТМ (КЦ № 7)</t>
        </is>
      </c>
      <c r="K41" s="243" t="inlineStr"/>
      <c r="L41" s="248" t="inlineStr">
        <is>
          <t>12</t>
        </is>
      </c>
      <c r="M41" s="246" t="inlineStr">
        <is>
          <t>2К26</t>
        </is>
      </c>
      <c r="N41" s="245" t="inlineStr">
        <is>
          <t>К</t>
        </is>
      </c>
      <c r="O41" s="339" t="n"/>
    </row>
    <row r="42" ht="22.5" customHeight="1" s="236">
      <c r="A42" s="243" t="n">
        <v>41</v>
      </c>
      <c r="B42" s="253" t="inlineStr">
        <is>
          <t>Манометр технический</t>
        </is>
      </c>
      <c r="C42" s="254" t="inlineStr">
        <is>
          <t>Росма КМ2</t>
        </is>
      </c>
      <c r="D42" s="246" t="inlineStr">
        <is>
          <t>700050</t>
        </is>
      </c>
      <c r="E42" s="248" t="inlineStr"/>
      <c r="F42" s="273" t="inlineStr">
        <is>
          <t>0..4 кПa</t>
        </is>
      </c>
      <c r="G42" s="254" t="inlineStr">
        <is>
          <t>1,5</t>
        </is>
      </c>
      <c r="H42" s="254" t="inlineStr">
        <is>
          <t>Рг после РД4</t>
        </is>
      </c>
      <c r="I42" s="243" t="inlineStr">
        <is>
          <t>Технологический отсек</t>
        </is>
      </c>
      <c r="J42" s="243" t="inlineStr">
        <is>
          <t>АСУ,А и ТМ (КЦ № 7)</t>
        </is>
      </c>
      <c r="K42" s="243" t="inlineStr"/>
      <c r="L42" s="248" t="inlineStr">
        <is>
          <t>12</t>
        </is>
      </c>
      <c r="M42" s="246" t="inlineStr">
        <is>
          <t>2К26</t>
        </is>
      </c>
      <c r="N42" s="245" t="inlineStr">
        <is>
          <t>К</t>
        </is>
      </c>
      <c r="O42" s="339" t="n"/>
    </row>
    <row r="43" ht="22.5" customHeight="1" s="236">
      <c r="A43" s="243" t="n">
        <v>42</v>
      </c>
      <c r="B43" s="253" t="inlineStr">
        <is>
          <t>Манометр технический</t>
        </is>
      </c>
      <c r="C43" s="254" t="inlineStr">
        <is>
          <t>Росма КМ2</t>
        </is>
      </c>
      <c r="D43" s="246" t="inlineStr">
        <is>
          <t>700049</t>
        </is>
      </c>
      <c r="E43" s="248" t="inlineStr"/>
      <c r="F43" s="273" t="inlineStr">
        <is>
          <t>0..4 кПa</t>
        </is>
      </c>
      <c r="G43" s="254" t="inlineStr">
        <is>
          <t>1,5</t>
        </is>
      </c>
      <c r="H43" s="254" t="inlineStr">
        <is>
          <t>Рг после РД3</t>
        </is>
      </c>
      <c r="I43" s="243" t="inlineStr">
        <is>
          <t>Технологический отсек</t>
        </is>
      </c>
      <c r="J43" s="243" t="inlineStr">
        <is>
          <t>АСУ,А и ТМ (КЦ № 7)</t>
        </is>
      </c>
      <c r="K43" s="243" t="inlineStr"/>
      <c r="L43" s="248" t="inlineStr">
        <is>
          <t>12</t>
        </is>
      </c>
      <c r="M43" s="246" t="inlineStr">
        <is>
          <t>2К26</t>
        </is>
      </c>
      <c r="N43" s="245" t="inlineStr">
        <is>
          <t>К</t>
        </is>
      </c>
      <c r="O43" s="339" t="n"/>
    </row>
    <row r="44" ht="22.5" customHeight="1" s="236">
      <c r="A44" s="243" t="n">
        <v>43</v>
      </c>
      <c r="B44" s="253" t="inlineStr">
        <is>
          <t>Манометр технический</t>
        </is>
      </c>
      <c r="C44" s="254" t="inlineStr">
        <is>
          <t>МП4-УУ2</t>
        </is>
      </c>
      <c r="D44" s="246" t="inlineStr">
        <is>
          <t>700046</t>
        </is>
      </c>
      <c r="E44" s="248" t="inlineStr"/>
      <c r="F44" s="273" t="inlineStr">
        <is>
          <t>0..600 кПa</t>
        </is>
      </c>
      <c r="G44" s="254" t="inlineStr">
        <is>
          <t>1,5</t>
        </is>
      </c>
      <c r="H44" s="254" t="inlineStr">
        <is>
          <t>Рг после регулятора</t>
        </is>
      </c>
      <c r="I44" s="243" t="inlineStr">
        <is>
          <t>Технологический отсек</t>
        </is>
      </c>
      <c r="J44" s="243" t="inlineStr">
        <is>
          <t>АСУ,А и ТМ (КЦ № 7)</t>
        </is>
      </c>
      <c r="K44" s="243" t="inlineStr"/>
      <c r="L44" s="248" t="inlineStr">
        <is>
          <t>12</t>
        </is>
      </c>
      <c r="M44" s="246" t="inlineStr">
        <is>
          <t>2К26</t>
        </is>
      </c>
      <c r="N44" s="245" t="inlineStr">
        <is>
          <t>К</t>
        </is>
      </c>
      <c r="O44" s="339" t="n"/>
    </row>
    <row r="45" ht="22.5" customHeight="1" s="236">
      <c r="A45" s="243" t="n">
        <v>44</v>
      </c>
      <c r="B45" s="253" t="inlineStr">
        <is>
          <t>Манометр технический</t>
        </is>
      </c>
      <c r="C45" s="254" t="inlineStr">
        <is>
          <t>МП4-УУ2</t>
        </is>
      </c>
      <c r="D45" s="246" t="inlineStr">
        <is>
          <t>700064</t>
        </is>
      </c>
      <c r="E45" s="248" t="inlineStr"/>
      <c r="F45" s="273" t="inlineStr">
        <is>
          <t>0..600 кПa</t>
        </is>
      </c>
      <c r="G45" s="254" t="inlineStr">
        <is>
          <t>1,5</t>
        </is>
      </c>
      <c r="H45" s="254" t="inlineStr">
        <is>
          <t>Рг после РД2</t>
        </is>
      </c>
      <c r="I45" s="243" t="inlineStr">
        <is>
          <t>Технологический отсек</t>
        </is>
      </c>
      <c r="J45" s="243" t="inlineStr">
        <is>
          <t>АСУ,А и ТМ (КЦ № 7)</t>
        </is>
      </c>
      <c r="K45" s="243" t="inlineStr"/>
      <c r="L45" s="248" t="inlineStr">
        <is>
          <t>12</t>
        </is>
      </c>
      <c r="M45" s="246" t="inlineStr">
        <is>
          <t>2К26</t>
        </is>
      </c>
      <c r="N45" s="245" t="inlineStr">
        <is>
          <t>К</t>
        </is>
      </c>
      <c r="O45" s="339" t="n"/>
    </row>
    <row r="46" ht="22.5" customHeight="1" s="236">
      <c r="A46" s="243" t="n">
        <v>45</v>
      </c>
      <c r="B46" s="253" t="inlineStr">
        <is>
          <t>Манометр технический</t>
        </is>
      </c>
      <c r="C46" s="254" t="inlineStr">
        <is>
          <t>МП4-УУ2</t>
        </is>
      </c>
      <c r="D46" s="246" t="inlineStr">
        <is>
          <t>700048</t>
        </is>
      </c>
      <c r="E46" s="248" t="inlineStr"/>
      <c r="F46" s="273" t="inlineStr">
        <is>
          <t>0..600 кПa</t>
        </is>
      </c>
      <c r="G46" s="254" t="inlineStr">
        <is>
          <t>1,5</t>
        </is>
      </c>
      <c r="H46" s="254" t="inlineStr">
        <is>
          <t>Рг после РД1</t>
        </is>
      </c>
      <c r="I46" s="243" t="inlineStr">
        <is>
          <t>Технологический отсек</t>
        </is>
      </c>
      <c r="J46" s="243" t="inlineStr">
        <is>
          <t>АСУ,А и ТМ (КЦ № 7)</t>
        </is>
      </c>
      <c r="K46" s="243" t="inlineStr"/>
      <c r="L46" s="248" t="inlineStr">
        <is>
          <t>12</t>
        </is>
      </c>
      <c r="M46" s="246" t="inlineStr">
        <is>
          <t>2К26</t>
        </is>
      </c>
      <c r="N46" s="245" t="inlineStr">
        <is>
          <t>К</t>
        </is>
      </c>
      <c r="O46" s="339" t="n"/>
    </row>
    <row r="47" ht="22.5" customHeight="1" s="236">
      <c r="A47" s="243" t="n">
        <v>46</v>
      </c>
      <c r="B47" s="246" t="inlineStr">
        <is>
          <t>Термометр сопротивления</t>
        </is>
      </c>
      <c r="C47" s="254" t="inlineStr">
        <is>
          <t>Метран-276-08</t>
        </is>
      </c>
      <c r="D47" s="246" t="inlineStr">
        <is>
          <t>2422392</t>
        </is>
      </c>
      <c r="E47" s="248" t="inlineStr">
        <is>
          <t>2018</t>
        </is>
      </c>
      <c r="F47" s="273" t="inlineStr">
        <is>
          <t>-50..+150 °С</t>
        </is>
      </c>
      <c r="G47" s="254" t="inlineStr">
        <is>
          <t>0.25%</t>
        </is>
      </c>
      <c r="H47" s="254" t="inlineStr">
        <is>
          <t>Тг на линии редуцирования</t>
        </is>
      </c>
      <c r="I47" s="243" t="inlineStr">
        <is>
          <t>Технологический отсек</t>
        </is>
      </c>
      <c r="J47" s="243" t="inlineStr">
        <is>
          <t>АСУ,А и ТМ (КЦ № 7)</t>
        </is>
      </c>
      <c r="K47" s="243" t="inlineStr"/>
      <c r="L47" s="248" t="inlineStr">
        <is>
          <t>60</t>
        </is>
      </c>
      <c r="M47" s="246" t="inlineStr"/>
      <c r="N47" s="245" t="inlineStr"/>
      <c r="O47" s="407" t="n"/>
    </row>
    <row r="48" ht="22.5" customHeight="1" s="236">
      <c r="A48" s="243" t="n">
        <v>47</v>
      </c>
      <c r="B48" s="255" t="inlineStr">
        <is>
          <t>Преобразователь избыточного давления</t>
        </is>
      </c>
      <c r="C48" s="254" t="inlineStr">
        <is>
          <t>Метран 150 TG</t>
        </is>
      </c>
      <c r="D48" s="246" t="inlineStr">
        <is>
          <t>6063457</t>
        </is>
      </c>
      <c r="E48" s="248" t="inlineStr">
        <is>
          <t>2018</t>
        </is>
      </c>
      <c r="F48" s="273" t="inlineStr">
        <is>
          <t>0..1 МПa</t>
        </is>
      </c>
      <c r="G48" s="254" t="inlineStr">
        <is>
          <t>0.10%</t>
        </is>
      </c>
      <c r="H48" s="254" t="inlineStr">
        <is>
          <t>Рг после регулятора</t>
        </is>
      </c>
      <c r="I48" s="243" t="inlineStr">
        <is>
          <t>Технологический отсек</t>
        </is>
      </c>
      <c r="J48" s="243" t="inlineStr">
        <is>
          <t>АСУ,А и ТМ (КЦ № 7)</t>
        </is>
      </c>
      <c r="K48" s="243" t="inlineStr"/>
      <c r="L48" s="248" t="inlineStr">
        <is>
          <t>60</t>
        </is>
      </c>
      <c r="M48" s="246" t="inlineStr"/>
      <c r="N48" s="245" t="inlineStr"/>
      <c r="O48" s="339" t="n"/>
    </row>
    <row r="49" ht="22.5" customHeight="1" s="236">
      <c r="A49" s="243" t="n">
        <v>48</v>
      </c>
      <c r="B49" s="255" t="inlineStr">
        <is>
          <t>Преобразователь избыточного давления</t>
        </is>
      </c>
      <c r="C49" s="254" t="inlineStr">
        <is>
          <t>Метран 150 TG</t>
        </is>
      </c>
      <c r="D49" s="246" t="inlineStr">
        <is>
          <t>6063465</t>
        </is>
      </c>
      <c r="E49" s="248" t="inlineStr">
        <is>
          <t>2018</t>
        </is>
      </c>
      <c r="F49" s="273" t="inlineStr">
        <is>
          <t>0..25 МПa</t>
        </is>
      </c>
      <c r="G49" s="254" t="inlineStr">
        <is>
          <t>0.10%</t>
        </is>
      </c>
      <c r="H49" s="254" t="inlineStr"/>
      <c r="I49" s="243" t="inlineStr">
        <is>
          <t>Технологический отсек</t>
        </is>
      </c>
      <c r="J49" s="243" t="inlineStr">
        <is>
          <t>АСУ,А и ТМ (КЦ № 7)</t>
        </is>
      </c>
      <c r="K49" s="243" t="inlineStr"/>
      <c r="L49" s="248" t="inlineStr">
        <is>
          <t>60</t>
        </is>
      </c>
      <c r="M49" s="246" t="inlineStr"/>
      <c r="N49" s="245" t="inlineStr"/>
      <c r="O49" s="339" t="n"/>
    </row>
    <row r="50" ht="22.5" customHeight="1" s="236">
      <c r="A50" s="243" t="n">
        <v>49</v>
      </c>
      <c r="B50" s="255" t="inlineStr">
        <is>
          <t>Преобразователь избыточного давления</t>
        </is>
      </c>
      <c r="C50" s="254" t="inlineStr">
        <is>
          <t>Метран 150 CD</t>
        </is>
      </c>
      <c r="D50" s="246" t="inlineStr">
        <is>
          <t>6148422</t>
        </is>
      </c>
      <c r="E50" s="248" t="inlineStr">
        <is>
          <t>2020</t>
        </is>
      </c>
      <c r="F50" s="273" t="inlineStr">
        <is>
          <t>0..1,6 МПa</t>
        </is>
      </c>
      <c r="G50" s="254" t="inlineStr">
        <is>
          <t>0.10%</t>
        </is>
      </c>
      <c r="H50" s="254" t="inlineStr">
        <is>
          <t>Перепад установки УПИГ</t>
        </is>
      </c>
      <c r="I50" s="243" t="inlineStr">
        <is>
          <t>Технологический отсек</t>
        </is>
      </c>
      <c r="J50" s="243" t="inlineStr">
        <is>
          <t>АСУ,А и ТМ (КЦ № 7)</t>
        </is>
      </c>
      <c r="K50" s="243" t="inlineStr"/>
      <c r="L50" s="248" t="inlineStr">
        <is>
          <t>60</t>
        </is>
      </c>
      <c r="M50" s="246" t="inlineStr"/>
      <c r="N50" s="245" t="inlineStr"/>
      <c r="O50" s="339" t="n"/>
    </row>
    <row r="51" ht="22.5" customHeight="1" s="236">
      <c r="A51" s="243" t="n">
        <v>50</v>
      </c>
      <c r="B51" s="253" t="inlineStr">
        <is>
          <t>Манометр технический</t>
        </is>
      </c>
      <c r="C51" s="254" t="inlineStr">
        <is>
          <t>МП100</t>
        </is>
      </c>
      <c r="D51" s="246" t="inlineStr">
        <is>
          <t>1805691462</t>
        </is>
      </c>
      <c r="E51" s="248" t="inlineStr"/>
      <c r="F51" s="273" t="inlineStr">
        <is>
          <t>0..16 МПa</t>
        </is>
      </c>
      <c r="G51" s="254" t="inlineStr">
        <is>
          <t>1</t>
        </is>
      </c>
      <c r="H51" s="254" t="inlineStr">
        <is>
          <t>М1/КР13 Давление входа</t>
        </is>
      </c>
      <c r="I51" s="243" t="inlineStr">
        <is>
          <t>Технологический отсек</t>
        </is>
      </c>
      <c r="J51" s="243" t="inlineStr">
        <is>
          <t>АСУ,А и ТМ (КЦ № 7)</t>
        </is>
      </c>
      <c r="K51" s="243" t="inlineStr"/>
      <c r="L51" s="248" t="inlineStr">
        <is>
          <t>12</t>
        </is>
      </c>
      <c r="M51" s="246" t="inlineStr">
        <is>
          <t>2К26</t>
        </is>
      </c>
      <c r="N51" s="245" t="inlineStr">
        <is>
          <t>К</t>
        </is>
      </c>
      <c r="O51" s="339" t="n"/>
    </row>
    <row r="52" ht="22.5" customHeight="1" s="236">
      <c r="A52" s="243" t="n">
        <v>51</v>
      </c>
      <c r="B52" s="253" t="inlineStr">
        <is>
          <t>Манометр технический</t>
        </is>
      </c>
      <c r="C52" s="254" t="inlineStr">
        <is>
          <t>МП100</t>
        </is>
      </c>
      <c r="D52" s="246" t="inlineStr">
        <is>
          <t>1803211630</t>
        </is>
      </c>
      <c r="E52" s="248" t="inlineStr"/>
      <c r="F52" s="273" t="inlineStr">
        <is>
          <t>-100..+0 кПа</t>
        </is>
      </c>
      <c r="G52" s="254" t="inlineStr">
        <is>
          <t>1</t>
        </is>
      </c>
      <c r="H52" s="254" t="inlineStr">
        <is>
          <t>В1/ДВ1 Вакуумирование</t>
        </is>
      </c>
      <c r="I52" s="243" t="inlineStr">
        <is>
          <t>Технологический отсек</t>
        </is>
      </c>
      <c r="J52" s="243" t="inlineStr">
        <is>
          <t>АСУ,А и ТМ (КЦ № 7)</t>
        </is>
      </c>
      <c r="K52" s="243" t="inlineStr"/>
      <c r="L52" s="248" t="inlineStr">
        <is>
          <t>12</t>
        </is>
      </c>
      <c r="M52" s="246" t="inlineStr">
        <is>
          <t>2К26</t>
        </is>
      </c>
      <c r="N52" s="245" t="inlineStr">
        <is>
          <t>К</t>
        </is>
      </c>
      <c r="O52" s="339" t="n"/>
    </row>
    <row r="53" ht="22.5" customHeight="1" s="236">
      <c r="A53" s="243" t="n">
        <v>52</v>
      </c>
      <c r="B53" s="253" t="inlineStr">
        <is>
          <t>Манометр технический</t>
        </is>
      </c>
      <c r="C53" s="254" t="inlineStr">
        <is>
          <t>МП100</t>
        </is>
      </c>
      <c r="D53" s="246" t="inlineStr">
        <is>
          <t>1805691456</t>
        </is>
      </c>
      <c r="E53" s="248" t="inlineStr"/>
      <c r="F53" s="273" t="inlineStr">
        <is>
          <t>0..16 МПa</t>
        </is>
      </c>
      <c r="G53" s="254" t="inlineStr">
        <is>
          <t>1</t>
        </is>
      </c>
      <c r="H53" s="254" t="inlineStr">
        <is>
          <t>М2/КР14 Давление выхода</t>
        </is>
      </c>
      <c r="I53" s="243" t="inlineStr">
        <is>
          <t>Технологический отсек</t>
        </is>
      </c>
      <c r="J53" s="243" t="inlineStr">
        <is>
          <t>АСУ,А и ТМ (КЦ № 7)</t>
        </is>
      </c>
      <c r="K53" s="243" t="inlineStr"/>
      <c r="L53" s="248" t="inlineStr">
        <is>
          <t>12</t>
        </is>
      </c>
      <c r="M53" s="246" t="inlineStr">
        <is>
          <t>2К26</t>
        </is>
      </c>
      <c r="N53" s="245" t="inlineStr">
        <is>
          <t>К</t>
        </is>
      </c>
      <c r="O53" s="339" t="n"/>
    </row>
    <row r="54" ht="22.5" customHeight="1" s="236">
      <c r="A54" s="243" t="n">
        <v>53</v>
      </c>
      <c r="B54" s="253" t="inlineStr">
        <is>
          <t>Манометр технический</t>
        </is>
      </c>
      <c r="C54" s="254" t="inlineStr">
        <is>
          <t>МП100</t>
        </is>
      </c>
      <c r="D54" s="246" t="inlineStr">
        <is>
          <t>1805691473</t>
        </is>
      </c>
      <c r="E54" s="248" t="inlineStr"/>
      <c r="F54" s="273" t="inlineStr">
        <is>
          <t>0..16 МПa</t>
        </is>
      </c>
      <c r="G54" s="254" t="inlineStr">
        <is>
          <t>1</t>
        </is>
      </c>
      <c r="H54" s="254" t="inlineStr">
        <is>
          <t>М3/КР15 Давление А1</t>
        </is>
      </c>
      <c r="I54" s="243" t="inlineStr">
        <is>
          <t>Технологический отсек</t>
        </is>
      </c>
      <c r="J54" s="243" t="inlineStr">
        <is>
          <t>АСУ,А и ТМ (КЦ № 7)</t>
        </is>
      </c>
      <c r="K54" s="243" t="inlineStr"/>
      <c r="L54" s="248" t="inlineStr">
        <is>
          <t>12</t>
        </is>
      </c>
      <c r="M54" s="246" t="inlineStr">
        <is>
          <t>2К26</t>
        </is>
      </c>
      <c r="N54" s="245" t="inlineStr">
        <is>
          <t>К</t>
        </is>
      </c>
      <c r="O54" s="339" t="n"/>
    </row>
    <row r="55" ht="22.5" customHeight="1" s="236">
      <c r="A55" s="243" t="n">
        <v>54</v>
      </c>
      <c r="B55" s="253" t="inlineStr">
        <is>
          <t>Манометр технический</t>
        </is>
      </c>
      <c r="C55" s="254" t="inlineStr">
        <is>
          <t>МП100</t>
        </is>
      </c>
      <c r="D55" s="246" t="inlineStr">
        <is>
          <t>1805691468</t>
        </is>
      </c>
      <c r="E55" s="248" t="inlineStr"/>
      <c r="F55" s="273" t="inlineStr">
        <is>
          <t>0..16 МПa</t>
        </is>
      </c>
      <c r="G55" s="254" t="inlineStr">
        <is>
          <t>1</t>
        </is>
      </c>
      <c r="H55" s="254" t="inlineStr">
        <is>
          <t>М4/КР16 Давление А2</t>
        </is>
      </c>
      <c r="I55" s="243" t="inlineStr">
        <is>
          <t>Технологический отсек</t>
        </is>
      </c>
      <c r="J55" s="243" t="inlineStr">
        <is>
          <t>АСУ,А и ТМ (КЦ № 7)</t>
        </is>
      </c>
      <c r="K55" s="243" t="inlineStr"/>
      <c r="L55" s="248" t="inlineStr">
        <is>
          <t>12</t>
        </is>
      </c>
      <c r="M55" s="246" t="inlineStr">
        <is>
          <t>2К26</t>
        </is>
      </c>
      <c r="N55" s="245" t="inlineStr">
        <is>
          <t>К</t>
        </is>
      </c>
      <c r="O55" s="339" t="n"/>
    </row>
    <row r="56" ht="22.5" customHeight="1" s="236">
      <c r="A56" s="243" t="n">
        <v>55</v>
      </c>
      <c r="B56" s="253" t="inlineStr">
        <is>
          <t>Манометр технический</t>
        </is>
      </c>
      <c r="C56" s="254" t="inlineStr">
        <is>
          <t>EN 837-1</t>
        </is>
      </c>
      <c r="D56" s="246" t="inlineStr">
        <is>
          <t>700053</t>
        </is>
      </c>
      <c r="E56" s="248" t="inlineStr"/>
      <c r="F56" s="273" t="inlineStr">
        <is>
          <t>0..4 bar</t>
        </is>
      </c>
      <c r="G56" s="254" t="inlineStr">
        <is>
          <t>2.5</t>
        </is>
      </c>
      <c r="H56" s="254" t="inlineStr">
        <is>
          <t>Давление газа после Р2.</t>
        </is>
      </c>
      <c r="I56" s="243" t="inlineStr">
        <is>
          <t>Технологический отсек</t>
        </is>
      </c>
      <c r="J56" s="243" t="inlineStr">
        <is>
          <t>АСУ,А и ТМ (КЦ № 7)</t>
        </is>
      </c>
      <c r="K56" s="243" t="inlineStr"/>
      <c r="L56" s="248" t="inlineStr">
        <is>
          <t>12</t>
        </is>
      </c>
      <c r="M56" s="246" t="inlineStr">
        <is>
          <t>2К26</t>
        </is>
      </c>
      <c r="N56" s="245" t="inlineStr">
        <is>
          <t>К</t>
        </is>
      </c>
      <c r="O56" s="339" t="n"/>
    </row>
    <row r="57" ht="22.5" customHeight="1" s="236">
      <c r="A57" s="243" t="n">
        <v>56</v>
      </c>
      <c r="B57" s="253" t="inlineStr">
        <is>
          <t>Манометр технический</t>
        </is>
      </c>
      <c r="C57" s="254" t="inlineStr">
        <is>
          <t>EN 837-1</t>
        </is>
      </c>
      <c r="D57" s="246" t="inlineStr">
        <is>
          <t>700052</t>
        </is>
      </c>
      <c r="E57" s="248" t="inlineStr"/>
      <c r="F57" s="273" t="inlineStr">
        <is>
          <t>0..25 bar</t>
        </is>
      </c>
      <c r="G57" s="254" t="inlineStr">
        <is>
          <t>2.5</t>
        </is>
      </c>
      <c r="H57" s="254" t="inlineStr">
        <is>
          <t>Давление газа после Р1.</t>
        </is>
      </c>
      <c r="I57" s="243" t="inlineStr">
        <is>
          <t>Технологический отсек</t>
        </is>
      </c>
      <c r="J57" s="243" t="inlineStr">
        <is>
          <t>АСУ,А и ТМ (КЦ № 7)</t>
        </is>
      </c>
      <c r="K57" s="243" t="inlineStr"/>
      <c r="L57" s="248" t="inlineStr">
        <is>
          <t>12</t>
        </is>
      </c>
      <c r="M57" s="246" t="inlineStr">
        <is>
          <t>2К26</t>
        </is>
      </c>
      <c r="N57" s="245" t="inlineStr">
        <is>
          <t>К</t>
        </is>
      </c>
      <c r="O57" s="339" t="n"/>
    </row>
    <row r="58" ht="22.5" customHeight="1" s="236">
      <c r="A58" s="243" t="n">
        <v>57</v>
      </c>
      <c r="B58" s="253" t="inlineStr">
        <is>
          <t>Извещатель пламени инфракрасный</t>
        </is>
      </c>
      <c r="C58" s="254" t="inlineStr">
        <is>
          <t>ИП 330/1-20-A1</t>
        </is>
      </c>
      <c r="D58" s="246" t="inlineStr">
        <is>
          <t>000027</t>
        </is>
      </c>
      <c r="E58" s="248" t="inlineStr"/>
      <c r="F58" s="273" t="inlineStr"/>
      <c r="G58" s="254" t="inlineStr"/>
      <c r="H58" s="254" t="inlineStr">
        <is>
          <t>BTF 1</t>
        </is>
      </c>
      <c r="I58" s="243" t="inlineStr">
        <is>
          <t>Технологический отсек</t>
        </is>
      </c>
      <c r="J58" s="243" t="inlineStr">
        <is>
          <t>АСУ,А и ТМ (КЦ № 7)</t>
        </is>
      </c>
      <c r="K58" s="243" t="inlineStr"/>
      <c r="L58" s="248" t="inlineStr">
        <is>
          <t>60</t>
        </is>
      </c>
      <c r="M58" s="246" t="inlineStr"/>
      <c r="N58" s="245" t="inlineStr"/>
      <c r="O58" s="339" t="inlineStr">
        <is>
          <t>Не является СИ</t>
        </is>
      </c>
    </row>
    <row r="59" ht="22.5" customHeight="1" s="236">
      <c r="A59" s="243" t="n">
        <v>58</v>
      </c>
      <c r="B59" s="253" t="inlineStr">
        <is>
          <t>Извещатель пламени инфракрасный</t>
        </is>
      </c>
      <c r="C59" s="254" t="inlineStr">
        <is>
          <t>ИП 330/1-20-A1</t>
        </is>
      </c>
      <c r="D59" s="246" t="inlineStr">
        <is>
          <t>000026</t>
        </is>
      </c>
      <c r="E59" s="248" t="inlineStr"/>
      <c r="F59" s="273" t="inlineStr"/>
      <c r="G59" s="254" t="inlineStr"/>
      <c r="H59" s="254" t="inlineStr">
        <is>
          <t>BTF 2</t>
        </is>
      </c>
      <c r="I59" s="243" t="inlineStr">
        <is>
          <t>Технологический отсек</t>
        </is>
      </c>
      <c r="J59" s="243" t="inlineStr">
        <is>
          <t>АСУ,А и ТМ (КЦ № 7)</t>
        </is>
      </c>
      <c r="K59" s="243" t="inlineStr"/>
      <c r="L59" s="248" t="inlineStr">
        <is>
          <t>60</t>
        </is>
      </c>
      <c r="M59" s="246" t="inlineStr"/>
      <c r="N59" s="245" t="inlineStr"/>
      <c r="O59" s="339" t="inlineStr">
        <is>
          <t>Не является СИ</t>
        </is>
      </c>
    </row>
    <row r="60" ht="22.5" customHeight="1" s="236">
      <c r="A60" s="243" t="n">
        <v>59</v>
      </c>
      <c r="B60" s="253" t="inlineStr">
        <is>
          <t>Газоанализатор оптический</t>
        </is>
      </c>
      <c r="C60" s="254" t="inlineStr">
        <is>
          <t>СГОЭС-2</t>
        </is>
      </c>
      <c r="D60" s="246" t="inlineStr">
        <is>
          <t>87605</t>
        </is>
      </c>
      <c r="E60" s="248" t="inlineStr">
        <is>
          <t>2020</t>
        </is>
      </c>
      <c r="F60" s="273" t="inlineStr"/>
      <c r="G60" s="254" t="inlineStr"/>
      <c r="H60" s="254" t="inlineStr">
        <is>
          <t>QE1</t>
        </is>
      </c>
      <c r="I60" s="243" t="inlineStr">
        <is>
          <t>Технологический отсек</t>
        </is>
      </c>
      <c r="J60" s="243" t="inlineStr">
        <is>
          <t>АСУ,А и ТМ (КЦ № 7)</t>
        </is>
      </c>
      <c r="K60" s="243" t="inlineStr"/>
      <c r="L60" s="248" t="inlineStr">
        <is>
          <t>60</t>
        </is>
      </c>
      <c r="M60" s="246" t="inlineStr"/>
      <c r="N60" s="245" t="inlineStr"/>
      <c r="O60" s="339" t="n"/>
    </row>
    <row r="61" ht="22.5" customHeight="1" s="236">
      <c r="A61" s="243" t="n">
        <v>60</v>
      </c>
      <c r="B61" s="253" t="inlineStr">
        <is>
          <t>Газоанализатор оптический</t>
        </is>
      </c>
      <c r="C61" s="254" t="inlineStr">
        <is>
          <t>СГОЭС-2</t>
        </is>
      </c>
      <c r="D61" s="246" t="inlineStr">
        <is>
          <t>87675</t>
        </is>
      </c>
      <c r="E61" s="248" t="inlineStr">
        <is>
          <t>2020</t>
        </is>
      </c>
      <c r="F61" s="273" t="inlineStr"/>
      <c r="G61" s="254" t="inlineStr"/>
      <c r="H61" s="254" t="inlineStr">
        <is>
          <t>QE2</t>
        </is>
      </c>
      <c r="I61" s="243" t="inlineStr">
        <is>
          <t>Технологический отсек</t>
        </is>
      </c>
      <c r="J61" s="243" t="inlineStr">
        <is>
          <t>АСУ,А и ТМ (КЦ № 7)</t>
        </is>
      </c>
      <c r="K61" s="243" t="inlineStr"/>
      <c r="L61" s="248" t="inlineStr">
        <is>
          <t>60</t>
        </is>
      </c>
      <c r="M61" s="246" t="inlineStr"/>
      <c r="N61" s="245" t="inlineStr"/>
      <c r="O61" s="339" t="n"/>
    </row>
    <row r="62" ht="22.5" customHeight="1" s="236">
      <c r="A62" s="243" t="n">
        <v>61</v>
      </c>
      <c r="B62" s="253" t="inlineStr">
        <is>
          <t>Термометр сопротивления</t>
        </is>
      </c>
      <c r="C62" s="254" t="inlineStr">
        <is>
          <t>Метран-276-08</t>
        </is>
      </c>
      <c r="D62" s="246" t="inlineStr">
        <is>
          <t>2422388</t>
        </is>
      </c>
      <c r="E62" s="248" t="inlineStr">
        <is>
          <t>2018</t>
        </is>
      </c>
      <c r="F62" s="273" t="inlineStr">
        <is>
          <t>-50..+150 °С</t>
        </is>
      </c>
      <c r="G62" s="254" t="inlineStr">
        <is>
          <t>2.50%</t>
        </is>
      </c>
      <c r="H62" s="254" t="inlineStr">
        <is>
          <t>Тг после линии редуцирования</t>
        </is>
      </c>
      <c r="I62" s="243" t="inlineStr">
        <is>
          <t>Технологический отсек</t>
        </is>
      </c>
      <c r="J62" s="243" t="inlineStr">
        <is>
          <t>АСУ,А и ТМ (КЦ № 7)</t>
        </is>
      </c>
      <c r="K62" s="243" t="inlineStr"/>
      <c r="L62" s="248" t="inlineStr"/>
      <c r="M62" s="246" t="inlineStr"/>
      <c r="N62" s="245" t="inlineStr"/>
      <c r="O62" s="407" t="n"/>
    </row>
    <row r="63" ht="33.75" customHeight="1" s="236">
      <c r="A63" s="243" t="n">
        <v>62</v>
      </c>
      <c r="B63" s="253" t="inlineStr">
        <is>
          <t>Газоанализатор электрохимический</t>
        </is>
      </c>
      <c r="C63" s="254" t="inlineStr">
        <is>
          <t>ДАХ-М-06ТР</t>
        </is>
      </c>
      <c r="D63" s="246" t="inlineStr">
        <is>
          <t>210910</t>
        </is>
      </c>
      <c r="E63" s="248" t="inlineStr"/>
      <c r="F63" s="273" t="inlineStr">
        <is>
          <t>Оксид углерода (СО)</t>
        </is>
      </c>
      <c r="G63" s="254" t="inlineStr"/>
      <c r="H63" s="254" t="inlineStr">
        <is>
          <t>Загазованность в отсеке теплоносителя (СО)</t>
        </is>
      </c>
      <c r="I63" s="243" t="inlineStr">
        <is>
          <t>Отсек теплоносителя</t>
        </is>
      </c>
      <c r="J63" s="243" t="inlineStr">
        <is>
          <t>АСУ,А и ТМ (КЦ № 7)</t>
        </is>
      </c>
      <c r="K63" s="243" t="inlineStr"/>
      <c r="L63" s="248" t="inlineStr"/>
      <c r="M63" s="246" t="inlineStr"/>
      <c r="N63" s="245" t="inlineStr"/>
      <c r="O63" s="339" t="n"/>
    </row>
    <row r="64" ht="33.75" customHeight="1" s="236">
      <c r="A64" s="243" t="n">
        <v>63</v>
      </c>
      <c r="B64" s="253" t="inlineStr">
        <is>
          <t>Газоанализатор электрохимический</t>
        </is>
      </c>
      <c r="C64" s="254" t="inlineStr">
        <is>
          <t>ДАК-CH4-129</t>
        </is>
      </c>
      <c r="D64" s="246" t="inlineStr">
        <is>
          <t>211003</t>
        </is>
      </c>
      <c r="E64" s="248" t="inlineStr"/>
      <c r="F64" s="273" t="inlineStr">
        <is>
          <t>Метан (СН4)</t>
        </is>
      </c>
      <c r="G64" s="254" t="inlineStr"/>
      <c r="H64" s="254" t="inlineStr">
        <is>
          <t>Загазованность в отсеке теплоносителя (СН4)</t>
        </is>
      </c>
      <c r="I64" s="243" t="inlineStr">
        <is>
          <t>Отсек теплоносителя</t>
        </is>
      </c>
      <c r="J64" s="243" t="inlineStr">
        <is>
          <t>АСУ,А и ТМ (КЦ № 7)</t>
        </is>
      </c>
      <c r="K64" s="243" t="inlineStr"/>
      <c r="L64" s="248" t="inlineStr"/>
      <c r="M64" s="246" t="inlineStr"/>
      <c r="N64" s="245" t="inlineStr"/>
      <c r="O64" s="339" t="n"/>
    </row>
  </sheetData>
  <conditionalFormatting sqref="M1:M1048576">
    <cfRule type="expression" rank="0" priority="2" equalAverage="0" aboveAverage="0" dxfId="1" text="" percent="0" bottom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orizontalCentered="0" verticalCentered="0" headings="0" gridLines="0" gridLinesSet="1"/>
  <pageMargins left="0.25" right="0.25" top="0.75" bottom="0.75" header="0.511805555555555" footer="0.511805555555555"/>
  <pageSetup orientation="landscape" paperSize="9" scale="100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outlinePr summaryBelow="1" summaryRight="1"/>
    <pageSetUpPr fitToPage="1"/>
  </sheetPr>
  <dimension ref="A1:N50"/>
  <sheetViews>
    <sheetView showFormulas="0" showGridLines="1" showRowColHeaders="1" showZeros="1" rightToLeft="0" tabSelected="0" showOutlineSymbols="1" defaultGridColor="1" view="normal" topLeftCell="A1" colorId="64" zoomScale="130" zoomScaleNormal="130" zoomScalePageLayoutView="100" workbookViewId="0">
      <pane xSplit="0" ySplit="1" topLeftCell="A28" activePane="bottomLeft" state="frozen"/>
      <selection pane="topLeft" activeCell="A1" activeCellId="0" sqref="A1"/>
      <selection pane="bottomLeft" activeCell="M35" activeCellId="0" sqref="M35"/>
    </sheetView>
  </sheetViews>
  <sheetFormatPr baseColWidth="8" defaultColWidth="9.15625" defaultRowHeight="15" zeroHeight="0" outlineLevelRow="0"/>
  <cols>
    <col width="3.14" customWidth="1" style="235" min="1" max="1"/>
    <col width="24.86" customWidth="1" style="235" min="2" max="2"/>
    <col width="9.85" customWidth="1" style="235" min="3" max="3"/>
    <col width="8.710000000000001" customWidth="1" style="235" min="4" max="4"/>
    <col width="6.57" customWidth="1" style="235" min="5" max="5"/>
    <col width="12.57" customWidth="1" style="235" min="6" max="6"/>
    <col width="7.71" customWidth="1" style="235" min="7" max="7"/>
    <col width="13.29" customWidth="1" style="235" min="8" max="8"/>
    <col width="8" customWidth="1" style="235" min="9" max="9"/>
    <col width="11.71" customWidth="1" style="235" min="10" max="10"/>
    <col width="8" customWidth="1" style="235" min="11" max="11"/>
    <col width="9" customWidth="1" style="235" min="12" max="12"/>
    <col width="9.140000000000001" customWidth="1" style="235" min="13" max="1024"/>
  </cols>
  <sheetData>
    <row r="1" ht="45" customHeight="1" s="236">
      <c r="A1" s="239" t="inlineStr">
        <is>
          <t>№ п/п</t>
        </is>
      </c>
      <c r="B1" s="239" t="inlineStr">
        <is>
          <t>Наименование</t>
        </is>
      </c>
      <c r="C1" s="239" t="inlineStr">
        <is>
          <t>Тип</t>
        </is>
      </c>
      <c r="D1" s="239" t="inlineStr">
        <is>
          <t>Заводской номер</t>
        </is>
      </c>
      <c r="E1" s="240" t="inlineStr">
        <is>
          <t>Год 
выпуска</t>
        </is>
      </c>
      <c r="F1" s="239" t="inlineStr">
        <is>
          <t>Диапазон измерений</t>
        </is>
      </c>
      <c r="G1" s="239" t="inlineStr">
        <is>
          <t>Класс точности</t>
        </is>
      </c>
      <c r="H1" s="239" t="inlineStr">
        <is>
          <t>Место установки СИ</t>
        </is>
      </c>
      <c r="I1" s="239" t="inlineStr">
        <is>
          <t>Объект установки</t>
        </is>
      </c>
      <c r="J1" s="239" t="inlineStr">
        <is>
          <t>Подразделение</t>
        </is>
      </c>
      <c r="K1" s="239" t="inlineStr">
        <is>
          <t>Дата установки</t>
        </is>
      </c>
      <c r="L1" s="239" t="inlineStr">
        <is>
          <t>Межповерочный интервал, мес.</t>
        </is>
      </c>
      <c r="M1" s="240" t="inlineStr">
        <is>
          <t>Дата последней поверки / калибровки</t>
        </is>
      </c>
      <c r="N1" s="239" t="inlineStr">
        <is>
          <t>Поверка (П)/ Калибровка (К)</t>
        </is>
      </c>
    </row>
    <row r="2" ht="22.5" customHeight="1" s="236">
      <c r="A2" s="239" t="n">
        <v>1</v>
      </c>
      <c r="B2" s="241" t="inlineStr">
        <is>
          <t>Манометр технический</t>
        </is>
      </c>
      <c r="C2" s="251" t="inlineStr">
        <is>
          <t>Росма ТМ5</t>
        </is>
      </c>
      <c r="D2" s="301" t="inlineStr">
        <is>
          <t>50282</t>
        </is>
      </c>
      <c r="E2" s="242" t="inlineStr"/>
      <c r="F2" s="251" t="inlineStr">
        <is>
          <t>0..1,6 МПa</t>
        </is>
      </c>
      <c r="G2" s="275" t="inlineStr">
        <is>
          <t>1.5</t>
        </is>
      </c>
      <c r="H2" s="239" t="inlineStr">
        <is>
          <t>Р после Кр7</t>
        </is>
      </c>
      <c r="I2" s="239" t="inlineStr">
        <is>
          <t>ПЭБ КЦ №7</t>
        </is>
      </c>
      <c r="J2" s="239" t="inlineStr">
        <is>
          <t>АСУ,А и ТМ (КЦ № 7)</t>
        </is>
      </c>
      <c r="K2" s="239" t="inlineStr"/>
      <c r="L2" s="251" t="inlineStr">
        <is>
          <t>12</t>
        </is>
      </c>
      <c r="M2" s="240" t="inlineStr">
        <is>
          <t>26ДЯУ</t>
        </is>
      </c>
      <c r="N2" s="242" t="inlineStr">
        <is>
          <t>П</t>
        </is>
      </c>
    </row>
    <row r="3" ht="22.5" customHeight="1" s="236">
      <c r="A3" s="243" t="n">
        <v>2</v>
      </c>
      <c r="B3" s="244" t="inlineStr">
        <is>
          <t>Манометр технический</t>
        </is>
      </c>
      <c r="C3" s="248" t="inlineStr">
        <is>
          <t>Росма ТМ5</t>
        </is>
      </c>
      <c r="D3" s="302" t="inlineStr">
        <is>
          <t>051758</t>
        </is>
      </c>
      <c r="E3" s="245" t="inlineStr"/>
      <c r="F3" s="248" t="inlineStr">
        <is>
          <t>0..1,6 МПa</t>
        </is>
      </c>
      <c r="G3" s="276" t="inlineStr">
        <is>
          <t>1.5</t>
        </is>
      </c>
      <c r="H3" s="243" t="inlineStr">
        <is>
          <t>Р перед Фобр</t>
        </is>
      </c>
      <c r="I3" s="243" t="inlineStr">
        <is>
          <t>ПЭБ КЦ №7</t>
        </is>
      </c>
      <c r="J3" s="243" t="inlineStr">
        <is>
          <t>АСУ,А и ТМ (КЦ № 7)</t>
        </is>
      </c>
      <c r="K3" s="243" t="inlineStr"/>
      <c r="L3" s="248" t="inlineStr">
        <is>
          <t>12</t>
        </is>
      </c>
      <c r="M3" s="246" t="inlineStr">
        <is>
          <t>26ДЯУ</t>
        </is>
      </c>
      <c r="N3" s="245" t="inlineStr">
        <is>
          <t>П</t>
        </is>
      </c>
    </row>
    <row r="4" ht="22.5" customHeight="1" s="236">
      <c r="A4" s="243" t="n">
        <v>3</v>
      </c>
      <c r="B4" s="244" t="inlineStr">
        <is>
          <t>Термометр биметаллический</t>
        </is>
      </c>
      <c r="C4" s="248" t="inlineStr">
        <is>
          <t>Росма БТ5</t>
        </is>
      </c>
      <c r="D4" s="302" t="inlineStr">
        <is>
          <t>7000216</t>
        </is>
      </c>
      <c r="E4" s="245" t="inlineStr"/>
      <c r="F4" s="248" t="inlineStr">
        <is>
          <t>0..+120 °С</t>
        </is>
      </c>
      <c r="G4" s="276" t="inlineStr">
        <is>
          <t>1.5</t>
        </is>
      </c>
      <c r="H4" s="243" t="inlineStr">
        <is>
          <t>Т перед Кр6</t>
        </is>
      </c>
      <c r="I4" s="243" t="inlineStr">
        <is>
          <t>ПЭБ КЦ №7</t>
        </is>
      </c>
      <c r="J4" s="243" t="inlineStr">
        <is>
          <t>АСУ,А и ТМ (КЦ № 7)</t>
        </is>
      </c>
      <c r="K4" s="243" t="inlineStr"/>
      <c r="L4" s="248" t="inlineStr">
        <is>
          <t>12</t>
        </is>
      </c>
      <c r="M4" s="246" t="inlineStr">
        <is>
          <t>25ДЯУ</t>
        </is>
      </c>
      <c r="N4" s="245" t="inlineStr">
        <is>
          <t>П</t>
        </is>
      </c>
    </row>
    <row r="5" ht="33.75" customHeight="1" s="236">
      <c r="A5" s="243" t="n">
        <v>4</v>
      </c>
      <c r="B5" s="244" t="inlineStr">
        <is>
          <t>Манометр технический</t>
        </is>
      </c>
      <c r="C5" s="248" t="inlineStr">
        <is>
          <t>Росма ТМ5</t>
        </is>
      </c>
      <c r="D5" s="302" t="inlineStr">
        <is>
          <t>0052475</t>
        </is>
      </c>
      <c r="E5" s="245" t="inlineStr"/>
      <c r="F5" s="248" t="inlineStr">
        <is>
          <t>0..1,6 МПa</t>
        </is>
      </c>
      <c r="G5" s="276" t="inlineStr">
        <is>
          <t>1.5</t>
        </is>
      </c>
      <c r="H5" s="243" t="inlineStr">
        <is>
          <t>Р на входе теплообменника после насоса</t>
        </is>
      </c>
      <c r="I5" s="243" t="inlineStr">
        <is>
          <t>ПЭБ КЦ №7</t>
        </is>
      </c>
      <c r="J5" s="243" t="inlineStr">
        <is>
          <t>АСУ,А и ТМ (КЦ № 7)</t>
        </is>
      </c>
      <c r="K5" s="243" t="inlineStr"/>
      <c r="L5" s="248" t="inlineStr">
        <is>
          <t>12</t>
        </is>
      </c>
      <c r="M5" s="246" t="inlineStr">
        <is>
          <t>26ДЯУ</t>
        </is>
      </c>
      <c r="N5" s="245" t="inlineStr">
        <is>
          <t>П</t>
        </is>
      </c>
    </row>
    <row r="6" ht="22.5" customHeight="1" s="236">
      <c r="A6" s="243" t="n">
        <v>5</v>
      </c>
      <c r="B6" s="244" t="inlineStr">
        <is>
          <t>Манометр технический</t>
        </is>
      </c>
      <c r="C6" s="248" t="inlineStr">
        <is>
          <t>Росма ТМ5</t>
        </is>
      </c>
      <c r="D6" s="302" t="inlineStr">
        <is>
          <t>61119</t>
        </is>
      </c>
      <c r="E6" s="245" t="inlineStr"/>
      <c r="F6" s="248" t="inlineStr">
        <is>
          <t>0..0,6 МПa</t>
        </is>
      </c>
      <c r="G6" s="276" t="inlineStr">
        <is>
          <t>1.5</t>
        </is>
      </c>
      <c r="H6" s="243" t="inlineStr">
        <is>
          <t>Р перед регулятором</t>
        </is>
      </c>
      <c r="I6" s="243" t="inlineStr">
        <is>
          <t>ПЭБ КЦ №7</t>
        </is>
      </c>
      <c r="J6" s="243" t="inlineStr">
        <is>
          <t>АСУ,А и ТМ (КЦ № 7)</t>
        </is>
      </c>
      <c r="K6" s="243" t="inlineStr"/>
      <c r="L6" s="248" t="inlineStr">
        <is>
          <t>12</t>
        </is>
      </c>
      <c r="M6" s="246" t="inlineStr">
        <is>
          <t>26ДЯУ</t>
        </is>
      </c>
      <c r="N6" s="245" t="inlineStr">
        <is>
          <t>П</t>
        </is>
      </c>
    </row>
    <row r="7" ht="22.5" customHeight="1" s="236">
      <c r="A7" s="243" t="n">
        <v>6</v>
      </c>
      <c r="B7" s="244" t="inlineStr">
        <is>
          <t>Термометр биметаллический</t>
        </is>
      </c>
      <c r="C7" s="248" t="inlineStr">
        <is>
          <t>Росма БТ5</t>
        </is>
      </c>
      <c r="D7" s="302" t="inlineStr">
        <is>
          <t>7000238</t>
        </is>
      </c>
      <c r="E7" s="245" t="inlineStr"/>
      <c r="F7" s="248" t="inlineStr">
        <is>
          <t>0..+120 °С</t>
        </is>
      </c>
      <c r="G7" s="276" t="inlineStr">
        <is>
          <t>1.5</t>
        </is>
      </c>
      <c r="H7" s="243" t="inlineStr">
        <is>
          <t>Т после Кр5</t>
        </is>
      </c>
      <c r="I7" s="243" t="inlineStr">
        <is>
          <t>ПЭБ КЦ №7</t>
        </is>
      </c>
      <c r="J7" s="243" t="inlineStr">
        <is>
          <t>АСУ,А и ТМ (КЦ № 7)</t>
        </is>
      </c>
      <c r="K7" s="243" t="inlineStr"/>
      <c r="L7" s="248" t="inlineStr">
        <is>
          <t>12</t>
        </is>
      </c>
      <c r="M7" s="246" t="inlineStr">
        <is>
          <t>25ДЯУ</t>
        </is>
      </c>
      <c r="N7" s="245" t="inlineStr">
        <is>
          <t>П</t>
        </is>
      </c>
    </row>
    <row r="8" ht="22.5" customHeight="1" s="236">
      <c r="A8" s="243" t="n">
        <v>7</v>
      </c>
      <c r="B8" s="244" t="inlineStr">
        <is>
          <t>Манометр технический</t>
        </is>
      </c>
      <c r="C8" s="248" t="inlineStr">
        <is>
          <t>Росма ТМ5</t>
        </is>
      </c>
      <c r="D8" s="302" t="inlineStr">
        <is>
          <t>15195</t>
        </is>
      </c>
      <c r="E8" s="245" t="inlineStr"/>
      <c r="F8" s="248" t="inlineStr">
        <is>
          <t>0..1,6 МПa</t>
        </is>
      </c>
      <c r="G8" s="276" t="inlineStr">
        <is>
          <t>1.5</t>
        </is>
      </c>
      <c r="H8" s="243" t="inlineStr">
        <is>
          <t>Р после Кр5</t>
        </is>
      </c>
      <c r="I8" s="243" t="inlineStr">
        <is>
          <t>ПЭБ КЦ №7</t>
        </is>
      </c>
      <c r="J8" s="243" t="inlineStr">
        <is>
          <t>АСУ,А и ТМ (КЦ № 7)</t>
        </is>
      </c>
      <c r="K8" s="243" t="inlineStr"/>
      <c r="L8" s="248" t="inlineStr">
        <is>
          <t>12</t>
        </is>
      </c>
      <c r="M8" s="246" t="inlineStr">
        <is>
          <t>26ДЯУ</t>
        </is>
      </c>
      <c r="N8" s="245" t="inlineStr">
        <is>
          <t>П</t>
        </is>
      </c>
    </row>
    <row r="9" ht="22.5" customHeight="1" s="236">
      <c r="A9" s="243" t="n">
        <v>8</v>
      </c>
      <c r="B9" s="244" t="inlineStr">
        <is>
          <t>Манометр технический</t>
        </is>
      </c>
      <c r="C9" s="248" t="inlineStr">
        <is>
          <t>МП3-УУ2</t>
        </is>
      </c>
      <c r="D9" s="302" t="inlineStr">
        <is>
          <t>211222535</t>
        </is>
      </c>
      <c r="E9" s="245" t="inlineStr"/>
      <c r="F9" s="248" t="inlineStr">
        <is>
          <t>0..1,6 МПa</t>
        </is>
      </c>
      <c r="G9" s="276" t="inlineStr">
        <is>
          <t>1.5</t>
        </is>
      </c>
      <c r="H9" s="243" t="inlineStr">
        <is>
          <t>Р перед Кр2</t>
        </is>
      </c>
      <c r="I9" s="243" t="inlineStr">
        <is>
          <t>ПЭБ КЦ №7</t>
        </is>
      </c>
      <c r="J9" s="243" t="inlineStr">
        <is>
          <t>АСУ,А и ТМ (КЦ № 7)</t>
        </is>
      </c>
      <c r="K9" s="243" t="inlineStr"/>
      <c r="L9" s="248" t="inlineStr">
        <is>
          <t>12</t>
        </is>
      </c>
      <c r="M9" s="246" t="inlineStr">
        <is>
          <t>26ДЯУ</t>
        </is>
      </c>
      <c r="N9" s="245" t="inlineStr">
        <is>
          <t>П</t>
        </is>
      </c>
    </row>
    <row r="10" ht="22.5" customHeight="1" s="236">
      <c r="A10" s="243" t="n">
        <v>9</v>
      </c>
      <c r="B10" s="244" t="inlineStr">
        <is>
          <t>Манометр технический</t>
        </is>
      </c>
      <c r="C10" s="248" t="inlineStr">
        <is>
          <t>Росма ТМ5</t>
        </is>
      </c>
      <c r="D10" s="302" t="inlineStr">
        <is>
          <t>50281</t>
        </is>
      </c>
      <c r="E10" s="245" t="inlineStr"/>
      <c r="F10" s="248" t="inlineStr">
        <is>
          <t>0..1,6 МПa</t>
        </is>
      </c>
      <c r="G10" s="276" t="inlineStr">
        <is>
          <t>1.5</t>
        </is>
      </c>
      <c r="H10" s="243" t="inlineStr">
        <is>
          <t>Р после Ф</t>
        </is>
      </c>
      <c r="I10" s="243" t="inlineStr">
        <is>
          <t>ПЭБ КЦ №7</t>
        </is>
      </c>
      <c r="J10" s="243" t="inlineStr">
        <is>
          <t>АСУ,А и ТМ (КЦ № 7)</t>
        </is>
      </c>
      <c r="K10" s="243" t="inlineStr"/>
      <c r="L10" s="248" t="inlineStr">
        <is>
          <t>12</t>
        </is>
      </c>
      <c r="M10" s="246" t="inlineStr">
        <is>
          <t>26ДЯУ</t>
        </is>
      </c>
      <c r="N10" s="245" t="inlineStr">
        <is>
          <t>П</t>
        </is>
      </c>
    </row>
    <row r="11" ht="33.75" customHeight="1" s="236">
      <c r="A11" s="243" t="n">
        <v>10</v>
      </c>
      <c r="B11" s="244" t="inlineStr">
        <is>
          <t>Термометр биметаллический</t>
        </is>
      </c>
      <c r="C11" s="248" t="inlineStr">
        <is>
          <t>Росма БТ5</t>
        </is>
      </c>
      <c r="D11" s="302" t="inlineStr">
        <is>
          <t>7000225</t>
        </is>
      </c>
      <c r="E11" s="245" t="inlineStr"/>
      <c r="F11" s="248" t="inlineStr">
        <is>
          <t>0..+120 °С</t>
        </is>
      </c>
      <c r="G11" s="276" t="inlineStr">
        <is>
          <t>1.5</t>
        </is>
      </c>
      <c r="H11" s="243" t="inlineStr">
        <is>
          <t>Т перед регулятором клапана</t>
        </is>
      </c>
      <c r="I11" s="243" t="inlineStr">
        <is>
          <t>ПЭБ КЦ №7</t>
        </is>
      </c>
      <c r="J11" s="243" t="inlineStr">
        <is>
          <t>АСУ,А и ТМ (КЦ № 7)</t>
        </is>
      </c>
      <c r="K11" s="243" t="inlineStr"/>
      <c r="L11" s="248" t="inlineStr">
        <is>
          <t>12</t>
        </is>
      </c>
      <c r="M11" s="246" t="inlineStr">
        <is>
          <t>25ДЯУ</t>
        </is>
      </c>
      <c r="N11" s="245" t="inlineStr">
        <is>
          <t>П</t>
        </is>
      </c>
    </row>
    <row r="12" ht="22.5" customHeight="1" s="236">
      <c r="A12" s="243" t="n">
        <v>11</v>
      </c>
      <c r="B12" s="244" t="inlineStr">
        <is>
          <t>Манометр технический</t>
        </is>
      </c>
      <c r="C12" s="248" t="inlineStr">
        <is>
          <t>Росма ТМ5</t>
        </is>
      </c>
      <c r="D12" s="302" t="inlineStr">
        <is>
          <t>051759</t>
        </is>
      </c>
      <c r="E12" s="245" t="inlineStr"/>
      <c r="F12" s="248" t="inlineStr">
        <is>
          <t>0..1,6 МПa</t>
        </is>
      </c>
      <c r="G12" s="276" t="inlineStr">
        <is>
          <t>1.5</t>
        </is>
      </c>
      <c r="H12" s="243" t="inlineStr">
        <is>
          <t>Р перед Ф</t>
        </is>
      </c>
      <c r="I12" s="243" t="inlineStr">
        <is>
          <t>ПЭБ КЦ №7</t>
        </is>
      </c>
      <c r="J12" s="243" t="inlineStr">
        <is>
          <t>АСУ,А и ТМ (КЦ № 7)</t>
        </is>
      </c>
      <c r="K12" s="243" t="inlineStr"/>
      <c r="L12" s="248" t="inlineStr">
        <is>
          <t>12</t>
        </is>
      </c>
      <c r="M12" s="246" t="inlineStr">
        <is>
          <t>26ДЯУ</t>
        </is>
      </c>
      <c r="N12" s="245" t="inlineStr">
        <is>
          <t>П</t>
        </is>
      </c>
    </row>
    <row r="13" ht="22.5" customFormat="1" customHeight="1" s="250">
      <c r="A13" s="239">
        <f>IF(B13&lt;&gt;"", COUNTA($B$2:B13), "")</f>
        <v/>
      </c>
      <c r="B13" s="294" t="inlineStr">
        <is>
          <t>Термометр биметаллический</t>
        </is>
      </c>
      <c r="C13" s="355" t="inlineStr">
        <is>
          <t>Росма БТ5</t>
        </is>
      </c>
      <c r="D13" s="408" t="inlineStr">
        <is>
          <t>7000229</t>
        </is>
      </c>
      <c r="E13" s="355" t="n"/>
      <c r="F13" s="409" t="inlineStr">
        <is>
          <t>0..+120 °С</t>
        </is>
      </c>
      <c r="G13" s="410" t="n">
        <v>1.5</v>
      </c>
      <c r="H13" s="293" t="inlineStr">
        <is>
          <t>Т на входе</t>
        </is>
      </c>
      <c r="I13" s="293" t="inlineStr">
        <is>
          <t>ПЭБ КЦ №7</t>
        </is>
      </c>
      <c r="J13" s="293" t="inlineStr">
        <is>
          <t>АСУ,А и ТМ (КЦ № 7)</t>
        </is>
      </c>
      <c r="K13" s="293" t="n"/>
      <c r="L13" s="355" t="n">
        <v>12</v>
      </c>
      <c r="M13" s="296" t="inlineStr">
        <is>
          <t>25ДЯУ</t>
        </is>
      </c>
      <c r="N13" s="295" t="inlineStr">
        <is>
          <t>П</t>
        </is>
      </c>
    </row>
    <row r="14" ht="22.5" customHeight="1" s="236">
      <c r="A14" s="243" t="n">
        <v>13</v>
      </c>
      <c r="B14" s="298" t="inlineStr">
        <is>
          <t>Манометр технический</t>
        </is>
      </c>
      <c r="C14" s="359" t="inlineStr">
        <is>
          <t>Росма ТМ5</t>
        </is>
      </c>
      <c r="D14" s="411" t="inlineStr">
        <is>
          <t>0051627</t>
        </is>
      </c>
      <c r="E14" s="359" t="inlineStr"/>
      <c r="F14" s="412" t="inlineStr">
        <is>
          <t>0..1,6 МПa</t>
        </is>
      </c>
      <c r="G14" s="413" t="inlineStr">
        <is>
          <t>1.5</t>
        </is>
      </c>
      <c r="H14" s="297" t="inlineStr">
        <is>
          <t>Р перед Кр10</t>
        </is>
      </c>
      <c r="I14" s="297" t="inlineStr">
        <is>
          <t>ПЭБ КЦ №7</t>
        </is>
      </c>
      <c r="J14" s="297" t="inlineStr">
        <is>
          <t>АСУ,А и ТМ (КЦ № 7)</t>
        </is>
      </c>
      <c r="K14" s="297" t="inlineStr"/>
      <c r="L14" s="359" t="inlineStr">
        <is>
          <t>12</t>
        </is>
      </c>
      <c r="M14" s="300" t="inlineStr">
        <is>
          <t>26ДЯУ</t>
        </is>
      </c>
      <c r="N14" s="299" t="inlineStr">
        <is>
          <t>П</t>
        </is>
      </c>
    </row>
    <row r="15" ht="22.5" customHeight="1" s="236">
      <c r="A15" s="243" t="n">
        <v>14</v>
      </c>
      <c r="B15" s="298" t="inlineStr">
        <is>
          <t>Термометр биметаллический</t>
        </is>
      </c>
      <c r="C15" s="359" t="inlineStr">
        <is>
          <t>Росма БТ5</t>
        </is>
      </c>
      <c r="D15" s="411" t="inlineStr">
        <is>
          <t>7000227</t>
        </is>
      </c>
      <c r="E15" s="359" t="inlineStr"/>
      <c r="F15" s="412" t="inlineStr">
        <is>
          <t>0..+120 °С</t>
        </is>
      </c>
      <c r="G15" s="413" t="inlineStr">
        <is>
          <t>1.5</t>
        </is>
      </c>
      <c r="H15" s="297" t="inlineStr">
        <is>
          <t>Т перед Кр4</t>
        </is>
      </c>
      <c r="I15" s="297" t="inlineStr">
        <is>
          <t>ПЭБ КЦ №7</t>
        </is>
      </c>
      <c r="J15" s="297" t="inlineStr">
        <is>
          <t>АСУ,А и ТМ (КЦ № 7)</t>
        </is>
      </c>
      <c r="K15" s="297" t="inlineStr"/>
      <c r="L15" s="359" t="inlineStr">
        <is>
          <t>12</t>
        </is>
      </c>
      <c r="M15" s="300" t="inlineStr">
        <is>
          <t>25ДЯУ</t>
        </is>
      </c>
      <c r="N15" s="299" t="inlineStr">
        <is>
          <t>П</t>
        </is>
      </c>
    </row>
    <row r="16" ht="33.75" customHeight="1" s="236">
      <c r="A16" s="243" t="n">
        <v>15</v>
      </c>
      <c r="B16" s="298" t="inlineStr">
        <is>
          <t>Манометр технический</t>
        </is>
      </c>
      <c r="C16" s="359" t="inlineStr">
        <is>
          <t>Росма ТМ5</t>
        </is>
      </c>
      <c r="D16" s="411" t="inlineStr">
        <is>
          <t>15426</t>
        </is>
      </c>
      <c r="E16" s="359" t="inlineStr"/>
      <c r="F16" s="412" t="inlineStr">
        <is>
          <t>0..16 кгс/см²</t>
        </is>
      </c>
      <c r="G16" s="413" t="inlineStr">
        <is>
          <t>1.5</t>
        </is>
      </c>
      <c r="H16" s="297" t="inlineStr">
        <is>
          <t>Р на выходе теплообменника до регулятора</t>
        </is>
      </c>
      <c r="I16" s="297" t="inlineStr">
        <is>
          <t>ПЭБ КЦ №7</t>
        </is>
      </c>
      <c r="J16" s="297" t="inlineStr">
        <is>
          <t>АСУ,А и ТМ (КЦ № 7)</t>
        </is>
      </c>
      <c r="K16" s="297" t="inlineStr"/>
      <c r="L16" s="359" t="inlineStr">
        <is>
          <t>12</t>
        </is>
      </c>
      <c r="M16" s="300" t="inlineStr">
        <is>
          <t>26ДЯУ</t>
        </is>
      </c>
      <c r="N16" s="299" t="inlineStr">
        <is>
          <t>П</t>
        </is>
      </c>
    </row>
    <row r="17" ht="33.75" customHeight="1" s="236">
      <c r="A17" s="243" t="n">
        <v>16</v>
      </c>
      <c r="B17" s="298" t="inlineStr">
        <is>
          <t>Термометр биметаллический</t>
        </is>
      </c>
      <c r="C17" s="359" t="inlineStr">
        <is>
          <t>Росма БТ5</t>
        </is>
      </c>
      <c r="D17" s="411" t="inlineStr">
        <is>
          <t>7000229</t>
        </is>
      </c>
      <c r="E17" s="359" t="inlineStr"/>
      <c r="F17" s="412" t="inlineStr">
        <is>
          <t>0..+120 °С</t>
        </is>
      </c>
      <c r="G17" s="413" t="inlineStr">
        <is>
          <t>1.5</t>
        </is>
      </c>
      <c r="H17" s="297" t="inlineStr">
        <is>
          <t>Т на выходе теплообменника до регулятора</t>
        </is>
      </c>
      <c r="I17" s="297" t="inlineStr">
        <is>
          <t>ПЭБ КЦ №7</t>
        </is>
      </c>
      <c r="J17" s="297" t="inlineStr">
        <is>
          <t>АСУ,А и ТМ (КЦ № 7)</t>
        </is>
      </c>
      <c r="K17" s="297" t="inlineStr"/>
      <c r="L17" s="359" t="inlineStr">
        <is>
          <t>12</t>
        </is>
      </c>
      <c r="M17" s="300" t="inlineStr">
        <is>
          <t>25ДЯУ</t>
        </is>
      </c>
      <c r="N17" s="299" t="inlineStr">
        <is>
          <t>П</t>
        </is>
      </c>
    </row>
    <row r="18" ht="22.5" customHeight="1" s="236">
      <c r="A18" s="243" t="n">
        <v>17</v>
      </c>
      <c r="B18" s="298" t="inlineStr">
        <is>
          <t>Манометр технический</t>
        </is>
      </c>
      <c r="C18" s="359" t="inlineStr">
        <is>
          <t>Росма ТМ5</t>
        </is>
      </c>
      <c r="D18" s="411" t="inlineStr">
        <is>
          <t>051756</t>
        </is>
      </c>
      <c r="E18" s="359" t="inlineStr"/>
      <c r="F18" s="412" t="inlineStr">
        <is>
          <t>0..1,6 МПa</t>
        </is>
      </c>
      <c r="G18" s="413" t="inlineStr">
        <is>
          <t>1.5</t>
        </is>
      </c>
      <c r="H18" s="297" t="inlineStr">
        <is>
          <t>Р после Фобр</t>
        </is>
      </c>
      <c r="I18" s="297" t="inlineStr">
        <is>
          <t>ПЭБ КЦ №7</t>
        </is>
      </c>
      <c r="J18" s="297" t="inlineStr">
        <is>
          <t>АСУ,А и ТМ (КЦ № 7)</t>
        </is>
      </c>
      <c r="K18" s="297" t="inlineStr"/>
      <c r="L18" s="359" t="inlineStr">
        <is>
          <t>12</t>
        </is>
      </c>
      <c r="M18" s="300" t="inlineStr">
        <is>
          <t>26ДЯУ</t>
        </is>
      </c>
      <c r="N18" s="299" t="inlineStr">
        <is>
          <t>П</t>
        </is>
      </c>
    </row>
    <row r="19" ht="22.5" customHeight="1" s="236">
      <c r="A19" s="243" t="n">
        <v>18</v>
      </c>
      <c r="B19" s="298" t="inlineStr">
        <is>
          <t>Термометр биметаллический</t>
        </is>
      </c>
      <c r="C19" s="359" t="inlineStr">
        <is>
          <t>Росма БТ5</t>
        </is>
      </c>
      <c r="D19" s="411" t="inlineStr">
        <is>
          <t>7000231</t>
        </is>
      </c>
      <c r="E19" s="359" t="inlineStr"/>
      <c r="F19" s="412" t="inlineStr">
        <is>
          <t>0..+120 °С</t>
        </is>
      </c>
      <c r="G19" s="413" t="inlineStr">
        <is>
          <t>1.5</t>
        </is>
      </c>
      <c r="H19" s="297" t="inlineStr">
        <is>
          <t>Т перед Кр5</t>
        </is>
      </c>
      <c r="I19" s="297" t="inlineStr">
        <is>
          <t>ПЭБ КЦ №7</t>
        </is>
      </c>
      <c r="J19" s="297" t="inlineStr">
        <is>
          <t>АСУ,А и ТМ (КЦ № 7)</t>
        </is>
      </c>
      <c r="K19" s="297" t="inlineStr"/>
      <c r="L19" s="359" t="inlineStr">
        <is>
          <t>12</t>
        </is>
      </c>
      <c r="M19" s="300" t="inlineStr">
        <is>
          <t>25ДЯУ</t>
        </is>
      </c>
      <c r="N19" s="299" t="inlineStr">
        <is>
          <t>П</t>
        </is>
      </c>
    </row>
    <row r="20" ht="22.5" customHeight="1" s="236">
      <c r="A20" s="243" t="n">
        <v>19</v>
      </c>
      <c r="B20" s="298" t="inlineStr">
        <is>
          <t>Манометр технический</t>
        </is>
      </c>
      <c r="C20" s="359" t="inlineStr">
        <is>
          <t>Росма ТМ5</t>
        </is>
      </c>
      <c r="D20" s="411" t="inlineStr">
        <is>
          <t>0051573</t>
        </is>
      </c>
      <c r="E20" s="359" t="inlineStr"/>
      <c r="F20" s="412" t="inlineStr">
        <is>
          <t>0..1,6 МПa</t>
        </is>
      </c>
      <c r="G20" s="413" t="inlineStr">
        <is>
          <t>1.5</t>
        </is>
      </c>
      <c r="H20" s="297" t="inlineStr">
        <is>
          <t>Р перед Кр9</t>
        </is>
      </c>
      <c r="I20" s="297" t="inlineStr">
        <is>
          <t>ПЭБ КЦ №7</t>
        </is>
      </c>
      <c r="J20" s="297" t="inlineStr">
        <is>
          <t>АСУ,А и ТМ (КЦ № 7)</t>
        </is>
      </c>
      <c r="K20" s="297" t="inlineStr"/>
      <c r="L20" s="359" t="inlineStr">
        <is>
          <t>12</t>
        </is>
      </c>
      <c r="M20" s="300" t="inlineStr">
        <is>
          <t>26ДЯУ</t>
        </is>
      </c>
      <c r="N20" s="299" t="inlineStr">
        <is>
          <t>П</t>
        </is>
      </c>
    </row>
    <row r="21" ht="22.5" customHeight="1" s="236">
      <c r="A21" s="243" t="n">
        <v>20</v>
      </c>
      <c r="B21" s="298" t="inlineStr">
        <is>
          <t>Термометр биметаллический</t>
        </is>
      </c>
      <c r="C21" s="359" t="inlineStr">
        <is>
          <t>Росма БТ5</t>
        </is>
      </c>
      <c r="D21" s="411" t="inlineStr">
        <is>
          <t>7000243</t>
        </is>
      </c>
      <c r="E21" s="359" t="inlineStr"/>
      <c r="F21" s="412" t="inlineStr">
        <is>
          <t>0..+120 °С</t>
        </is>
      </c>
      <c r="G21" s="413" t="inlineStr">
        <is>
          <t>1.5</t>
        </is>
      </c>
      <c r="H21" s="297" t="inlineStr">
        <is>
          <t>Т после Кр9</t>
        </is>
      </c>
      <c r="I21" s="297" t="inlineStr">
        <is>
          <t>ПЭБ КЦ №7</t>
        </is>
      </c>
      <c r="J21" s="297" t="inlineStr">
        <is>
          <t>АСУ,А и ТМ (КЦ № 7)</t>
        </is>
      </c>
      <c r="K21" s="297" t="inlineStr"/>
      <c r="L21" s="359" t="inlineStr">
        <is>
          <t>12</t>
        </is>
      </c>
      <c r="M21" s="300" t="inlineStr">
        <is>
          <t>25ДЯУ</t>
        </is>
      </c>
      <c r="N21" s="299" t="inlineStr">
        <is>
          <t>П</t>
        </is>
      </c>
    </row>
    <row r="22" ht="22.5" customHeight="1" s="236">
      <c r="A22" s="243" t="n">
        <v>21</v>
      </c>
      <c r="B22" s="298" t="inlineStr">
        <is>
          <t>Манометр технический</t>
        </is>
      </c>
      <c r="C22" s="359" t="inlineStr">
        <is>
          <t>Росма ТМ5</t>
        </is>
      </c>
      <c r="D22" s="411" t="inlineStr">
        <is>
          <t>0051753</t>
        </is>
      </c>
      <c r="E22" s="359" t="inlineStr"/>
      <c r="F22" s="412" t="inlineStr">
        <is>
          <t>0..1,6 МПa</t>
        </is>
      </c>
      <c r="G22" s="413" t="inlineStr">
        <is>
          <t>1.5</t>
        </is>
      </c>
      <c r="H22" s="297" t="inlineStr">
        <is>
          <t>Р перед Кр6</t>
        </is>
      </c>
      <c r="I22" s="297" t="inlineStr">
        <is>
          <t>ПЭБ КЦ №7</t>
        </is>
      </c>
      <c r="J22" s="297" t="inlineStr">
        <is>
          <t>АСУ,А и ТМ (КЦ № 7)</t>
        </is>
      </c>
      <c r="K22" s="297" t="inlineStr"/>
      <c r="L22" s="359" t="inlineStr">
        <is>
          <t>12</t>
        </is>
      </c>
      <c r="M22" s="300" t="inlineStr">
        <is>
          <t>26ДЯУ</t>
        </is>
      </c>
      <c r="N22" s="299" t="inlineStr">
        <is>
          <t>П</t>
        </is>
      </c>
    </row>
    <row r="23" ht="22.5" customHeight="1" s="236">
      <c r="A23" s="243" t="n">
        <v>22</v>
      </c>
      <c r="B23" s="298" t="inlineStr">
        <is>
          <t>Манометр технический</t>
        </is>
      </c>
      <c r="C23" s="359" t="inlineStr">
        <is>
          <t>Росма ТМ3</t>
        </is>
      </c>
      <c r="D23" s="411" t="inlineStr">
        <is>
          <t>7000235</t>
        </is>
      </c>
      <c r="E23" s="359" t="inlineStr"/>
      <c r="F23" s="412" t="inlineStr">
        <is>
          <t>0..1 МПa</t>
        </is>
      </c>
      <c r="G23" s="413" t="inlineStr">
        <is>
          <t>1.5</t>
        </is>
      </c>
      <c r="H23" s="297" t="inlineStr">
        <is>
          <t>Р перед насосом</t>
        </is>
      </c>
      <c r="I23" s="297" t="inlineStr">
        <is>
          <t>ПЭБ КЦ №7</t>
        </is>
      </c>
      <c r="J23" s="297" t="inlineStr">
        <is>
          <t>АСУ,А и ТМ (КЦ № 7)</t>
        </is>
      </c>
      <c r="K23" s="297" t="inlineStr"/>
      <c r="L23" s="359" t="inlineStr">
        <is>
          <t>12</t>
        </is>
      </c>
      <c r="M23" s="300" t="inlineStr">
        <is>
          <t>26ДЯУ</t>
        </is>
      </c>
      <c r="N23" s="299" t="inlineStr">
        <is>
          <t>П</t>
        </is>
      </c>
    </row>
    <row r="24" ht="22.5" customHeight="1" s="236">
      <c r="A24" s="243" t="n">
        <v>23</v>
      </c>
      <c r="B24" s="298" t="inlineStr">
        <is>
          <t>Манометр технический</t>
        </is>
      </c>
      <c r="C24" s="359" t="inlineStr">
        <is>
          <t>Росма ТМ3</t>
        </is>
      </c>
      <c r="D24" s="411" t="inlineStr">
        <is>
          <t>7000236</t>
        </is>
      </c>
      <c r="E24" s="359" t="inlineStr"/>
      <c r="F24" s="412" t="inlineStr">
        <is>
          <t>0..1 МПa</t>
        </is>
      </c>
      <c r="G24" s="413" t="inlineStr">
        <is>
          <t>1.5</t>
        </is>
      </c>
      <c r="H24" s="297" t="inlineStr">
        <is>
          <t>Р после насоса</t>
        </is>
      </c>
      <c r="I24" s="297" t="inlineStr">
        <is>
          <t>ПЭБ КЦ №7</t>
        </is>
      </c>
      <c r="J24" s="297" t="inlineStr">
        <is>
          <t>АСУ,А и ТМ (КЦ № 7)</t>
        </is>
      </c>
      <c r="K24" s="297" t="inlineStr"/>
      <c r="L24" s="359" t="inlineStr">
        <is>
          <t>12</t>
        </is>
      </c>
      <c r="M24" s="300" t="inlineStr">
        <is>
          <t>26ДЯУ</t>
        </is>
      </c>
      <c r="N24" s="299" t="inlineStr">
        <is>
          <t>П</t>
        </is>
      </c>
    </row>
    <row r="25" ht="22.5" customHeight="1" s="236">
      <c r="A25" s="243" t="n">
        <v>24</v>
      </c>
      <c r="B25" s="298" t="inlineStr">
        <is>
          <t>Манометр электроконтактный</t>
        </is>
      </c>
      <c r="C25" s="359" t="inlineStr">
        <is>
          <t>Росма ТМ5</t>
        </is>
      </c>
      <c r="D25" s="411" t="inlineStr">
        <is>
          <t>7000237</t>
        </is>
      </c>
      <c r="E25" s="359" t="inlineStr"/>
      <c r="F25" s="412" t="inlineStr">
        <is>
          <t>0..1,6 МПa</t>
        </is>
      </c>
      <c r="G25" s="413" t="inlineStr">
        <is>
          <t>1.5</t>
        </is>
      </c>
      <c r="H25" s="297" t="inlineStr">
        <is>
          <t>Р после Кр6</t>
        </is>
      </c>
      <c r="I25" s="297" t="inlineStr">
        <is>
          <t>ПЭБ КЦ №7</t>
        </is>
      </c>
      <c r="J25" s="297" t="inlineStr">
        <is>
          <t>АСУ,А и ТМ (КЦ № 7)</t>
        </is>
      </c>
      <c r="K25" s="297" t="inlineStr"/>
      <c r="L25" s="359" t="inlineStr">
        <is>
          <t>12</t>
        </is>
      </c>
      <c r="M25" s="300" t="inlineStr">
        <is>
          <t>26ДЯУ</t>
        </is>
      </c>
      <c r="N25" s="299" t="inlineStr">
        <is>
          <t>П</t>
        </is>
      </c>
    </row>
    <row r="26" ht="22.5" customHeight="1" s="236">
      <c r="A26" s="243" t="n">
        <v>25</v>
      </c>
      <c r="B26" s="298" t="inlineStr">
        <is>
          <t>Термометр биметаллический</t>
        </is>
      </c>
      <c r="C26" s="359" t="inlineStr">
        <is>
          <t>Росма БТ5</t>
        </is>
      </c>
      <c r="D26" s="411" t="inlineStr">
        <is>
          <t>7000279</t>
        </is>
      </c>
      <c r="E26" s="359" t="inlineStr"/>
      <c r="F26" s="412" t="inlineStr">
        <is>
          <t>0..+120 °С</t>
        </is>
      </c>
      <c r="G26" s="413" t="inlineStr">
        <is>
          <t>1.5</t>
        </is>
      </c>
      <c r="H26" s="297" t="inlineStr">
        <is>
          <t>Т перед Кр2</t>
        </is>
      </c>
      <c r="I26" s="297" t="inlineStr">
        <is>
          <t>ПЭБ КЦ №7</t>
        </is>
      </c>
      <c r="J26" s="297" t="inlineStr">
        <is>
          <t>АСУ,А и ТМ (КЦ № 7)</t>
        </is>
      </c>
      <c r="K26" s="297" t="inlineStr"/>
      <c r="L26" s="359" t="inlineStr">
        <is>
          <t>12</t>
        </is>
      </c>
      <c r="M26" s="300" t="inlineStr">
        <is>
          <t>25ДЯУ</t>
        </is>
      </c>
      <c r="N26" s="299" t="inlineStr">
        <is>
          <t>П</t>
        </is>
      </c>
    </row>
    <row r="27" ht="22.5" customHeight="1" s="236">
      <c r="A27" s="243" t="n">
        <v>26</v>
      </c>
      <c r="B27" s="298" t="inlineStr">
        <is>
          <t>Манометр электроконтактный</t>
        </is>
      </c>
      <c r="C27" s="359" t="inlineStr">
        <is>
          <t>ДМ2010СгУ2</t>
        </is>
      </c>
      <c r="D27" s="411" t="inlineStr">
        <is>
          <t>211207240</t>
        </is>
      </c>
      <c r="E27" s="359" t="inlineStr"/>
      <c r="F27" s="412" t="inlineStr">
        <is>
          <t>0..1,6 МПa</t>
        </is>
      </c>
      <c r="G27" s="413" t="inlineStr">
        <is>
          <t>1.5</t>
        </is>
      </c>
      <c r="H27" s="297" t="inlineStr">
        <is>
          <t>Р перед кр4</t>
        </is>
      </c>
      <c r="I27" s="297" t="inlineStr">
        <is>
          <t>ПЭБ КЦ №7</t>
        </is>
      </c>
      <c r="J27" s="297" t="inlineStr">
        <is>
          <t>АСУ,А и ТМ (КЦ № 7)</t>
        </is>
      </c>
      <c r="K27" s="297" t="inlineStr"/>
      <c r="L27" s="359" t="inlineStr">
        <is>
          <t>12</t>
        </is>
      </c>
      <c r="M27" s="300" t="inlineStr">
        <is>
          <t>26ДЯУ</t>
        </is>
      </c>
      <c r="N27" s="299" t="inlineStr">
        <is>
          <t>П</t>
        </is>
      </c>
    </row>
    <row r="28" ht="45" customHeight="1" s="236">
      <c r="A28" s="243" t="n">
        <v>27</v>
      </c>
      <c r="B28" s="298" t="inlineStr">
        <is>
          <t>Манометр технический</t>
        </is>
      </c>
      <c r="C28" s="359" t="inlineStr">
        <is>
          <t>МП3-УТ2</t>
        </is>
      </c>
      <c r="D28" s="411" t="inlineStr">
        <is>
          <t>1322004</t>
        </is>
      </c>
      <c r="E28" s="359" t="inlineStr"/>
      <c r="F28" s="412" t="inlineStr">
        <is>
          <t>0..6 кг/см2</t>
        </is>
      </c>
      <c r="G28" s="413" t="inlineStr">
        <is>
          <t>1.5</t>
        </is>
      </c>
      <c r="H28" s="297" t="inlineStr">
        <is>
          <t>Р после клапана регулятора на входе в теплообменник</t>
        </is>
      </c>
      <c r="I28" s="297" t="inlineStr">
        <is>
          <t>ПЭБ КЦ №7</t>
        </is>
      </c>
      <c r="J28" s="297" t="inlineStr">
        <is>
          <t>АСУ,А и ТМ (КЦ № 7)</t>
        </is>
      </c>
      <c r="K28" s="297" t="inlineStr"/>
      <c r="L28" s="359" t="inlineStr">
        <is>
          <t>12</t>
        </is>
      </c>
      <c r="M28" s="300" t="inlineStr">
        <is>
          <t>26ДЯУ</t>
        </is>
      </c>
      <c r="N28" s="299" t="inlineStr">
        <is>
          <t>П</t>
        </is>
      </c>
    </row>
    <row r="29" ht="22.5" customFormat="1" customHeight="1" s="250">
      <c r="A29" s="243" t="n">
        <v>28</v>
      </c>
      <c r="B29" s="298" t="inlineStr">
        <is>
          <t>Манометр технический</t>
        </is>
      </c>
      <c r="C29" s="359" t="inlineStr">
        <is>
          <t>Росма ТМ5</t>
        </is>
      </c>
      <c r="D29" s="411" t="inlineStr">
        <is>
          <t>7000215</t>
        </is>
      </c>
      <c r="E29" s="359" t="inlineStr"/>
      <c r="F29" s="412" t="inlineStr">
        <is>
          <t>0..1,6 МПa</t>
        </is>
      </c>
      <c r="G29" s="413" t="inlineStr">
        <is>
          <t>1.5</t>
        </is>
      </c>
      <c r="H29" s="297" t="inlineStr">
        <is>
          <t>Р в коллекторах</t>
        </is>
      </c>
      <c r="I29" s="297" t="inlineStr">
        <is>
          <t>ПЭБ КЦ №7</t>
        </is>
      </c>
      <c r="J29" s="297" t="inlineStr">
        <is>
          <t>АСУ,А и ТМ (КЦ № 7)</t>
        </is>
      </c>
      <c r="K29" s="297" t="inlineStr"/>
      <c r="L29" s="359" t="inlineStr">
        <is>
          <t>12</t>
        </is>
      </c>
      <c r="M29" s="300" t="inlineStr">
        <is>
          <t>26ДЯУ</t>
        </is>
      </c>
      <c r="N29" s="299" t="inlineStr">
        <is>
          <t>П</t>
        </is>
      </c>
    </row>
    <row r="30" ht="22.5" customHeight="1" s="236">
      <c r="A30" s="243" t="n">
        <v>29</v>
      </c>
      <c r="B30" s="298" t="inlineStr">
        <is>
          <t>Манометр технический</t>
        </is>
      </c>
      <c r="C30" s="359" t="inlineStr">
        <is>
          <t>МП3-УТ2</t>
        </is>
      </c>
      <c r="D30" s="411" t="inlineStr">
        <is>
          <t>1321994</t>
        </is>
      </c>
      <c r="E30" s="359" t="inlineStr"/>
      <c r="F30" s="412" t="inlineStr">
        <is>
          <t>0..6 кг/см2</t>
        </is>
      </c>
      <c r="G30" s="413" t="inlineStr">
        <is>
          <t>1.5</t>
        </is>
      </c>
      <c r="H30" s="297" t="inlineStr">
        <is>
          <t>Р перед кр5</t>
        </is>
      </c>
      <c r="I30" s="297" t="inlineStr">
        <is>
          <t>ПЭБ КЦ №7</t>
        </is>
      </c>
      <c r="J30" s="297" t="inlineStr">
        <is>
          <t>АСУ,А и ТМ (КЦ № 7)</t>
        </is>
      </c>
      <c r="K30" s="297" t="inlineStr"/>
      <c r="L30" s="359" t="inlineStr">
        <is>
          <t>12</t>
        </is>
      </c>
      <c r="M30" s="300" t="inlineStr">
        <is>
          <t>26ДЯУ</t>
        </is>
      </c>
      <c r="N30" s="299" t="inlineStr">
        <is>
          <t>П</t>
        </is>
      </c>
    </row>
    <row r="31" ht="22.5" customHeight="1" s="236">
      <c r="A31" s="243" t="n">
        <v>30</v>
      </c>
      <c r="B31" s="298" t="inlineStr">
        <is>
          <t>Манометр технический</t>
        </is>
      </c>
      <c r="C31" s="359" t="inlineStr">
        <is>
          <t>Росма ТМ5</t>
        </is>
      </c>
      <c r="D31" s="411" t="inlineStr">
        <is>
          <t>0052415</t>
        </is>
      </c>
      <c r="E31" s="359" t="inlineStr"/>
      <c r="F31" s="412" t="inlineStr">
        <is>
          <t>0..1,6 МПa</t>
        </is>
      </c>
      <c r="G31" s="413" t="inlineStr">
        <is>
          <t>1.5</t>
        </is>
      </c>
      <c r="H31" s="297" t="inlineStr">
        <is>
          <t>Р после Ф перед насосом</t>
        </is>
      </c>
      <c r="I31" s="297" t="inlineStr">
        <is>
          <t>ПЭБ КЦ №7</t>
        </is>
      </c>
      <c r="J31" s="297" t="inlineStr">
        <is>
          <t>АСУ,А и ТМ (КЦ № 7)</t>
        </is>
      </c>
      <c r="K31" s="297" t="inlineStr"/>
      <c r="L31" s="359" t="inlineStr">
        <is>
          <t>12</t>
        </is>
      </c>
      <c r="M31" s="300" t="inlineStr">
        <is>
          <t>26ДЯУ</t>
        </is>
      </c>
      <c r="N31" s="299" t="inlineStr">
        <is>
          <t>П</t>
        </is>
      </c>
    </row>
    <row r="32" ht="22.5" customHeight="1" s="236">
      <c r="A32" s="243" t="n">
        <v>31</v>
      </c>
      <c r="B32" s="298" t="inlineStr">
        <is>
          <t>Манометр технический</t>
        </is>
      </c>
      <c r="C32" s="359" t="inlineStr">
        <is>
          <t>Росма ТМ5</t>
        </is>
      </c>
      <c r="D32" s="411" t="inlineStr">
        <is>
          <t>0051789</t>
        </is>
      </c>
      <c r="E32" s="359" t="inlineStr"/>
      <c r="F32" s="412" t="inlineStr">
        <is>
          <t>0..1,6 МПa</t>
        </is>
      </c>
      <c r="G32" s="413" t="inlineStr">
        <is>
          <t>1.5</t>
        </is>
      </c>
      <c r="H32" s="297" t="inlineStr">
        <is>
          <t>Р после кр9</t>
        </is>
      </c>
      <c r="I32" s="297" t="inlineStr">
        <is>
          <t>ПЭБ КЦ №7</t>
        </is>
      </c>
      <c r="J32" s="297" t="inlineStr">
        <is>
          <t>АСУ,А и ТМ (КЦ № 7)</t>
        </is>
      </c>
      <c r="K32" s="297" t="inlineStr"/>
      <c r="L32" s="359" t="inlineStr">
        <is>
          <t>12</t>
        </is>
      </c>
      <c r="M32" s="300" t="inlineStr">
        <is>
          <t>26ДЯУ</t>
        </is>
      </c>
      <c r="N32" s="299" t="inlineStr">
        <is>
          <t>П</t>
        </is>
      </c>
    </row>
    <row r="33" ht="22.5" customHeight="1" s="236">
      <c r="A33" s="243" t="n">
        <v>32</v>
      </c>
      <c r="B33" s="298" t="inlineStr">
        <is>
          <t>Термометр биметаллический</t>
        </is>
      </c>
      <c r="C33" s="359" t="inlineStr">
        <is>
          <t>Росма БТ5</t>
        </is>
      </c>
      <c r="D33" s="411" t="inlineStr">
        <is>
          <t>7000246</t>
        </is>
      </c>
      <c r="E33" s="359" t="inlineStr"/>
      <c r="F33" s="412" t="inlineStr">
        <is>
          <t>0..+120 °С</t>
        </is>
      </c>
      <c r="G33" s="413" t="inlineStr">
        <is>
          <t>1.5</t>
        </is>
      </c>
      <c r="H33" s="297" t="inlineStr">
        <is>
          <t>Т перед регулятором</t>
        </is>
      </c>
      <c r="I33" s="297" t="inlineStr">
        <is>
          <t>ПЭБ КЦ №7</t>
        </is>
      </c>
      <c r="J33" s="297" t="inlineStr">
        <is>
          <t>АСУ,А и ТМ (КЦ № 7)</t>
        </is>
      </c>
      <c r="K33" s="297" t="inlineStr"/>
      <c r="L33" s="359" t="inlineStr">
        <is>
          <t>12</t>
        </is>
      </c>
      <c r="M33" s="300" t="inlineStr">
        <is>
          <t>25ДЯУ</t>
        </is>
      </c>
      <c r="N33" s="299" t="inlineStr">
        <is>
          <t>П</t>
        </is>
      </c>
    </row>
    <row r="34" ht="22.5" customHeight="1" s="236">
      <c r="A34" s="243" t="n">
        <v>33</v>
      </c>
      <c r="B34" s="298" t="inlineStr">
        <is>
          <t>Манометр технический</t>
        </is>
      </c>
      <c r="C34" s="359" t="inlineStr">
        <is>
          <t>Росма ТМ5</t>
        </is>
      </c>
      <c r="D34" s="411" t="inlineStr">
        <is>
          <t>15194</t>
        </is>
      </c>
      <c r="E34" s="359" t="inlineStr"/>
      <c r="F34" s="412" t="inlineStr">
        <is>
          <t>0..1,6 МПa</t>
        </is>
      </c>
      <c r="G34" s="413" t="inlineStr">
        <is>
          <t>1.5</t>
        </is>
      </c>
      <c r="H34" s="297" t="inlineStr">
        <is>
          <t>Р перед Ф после кр10</t>
        </is>
      </c>
      <c r="I34" s="297" t="inlineStr">
        <is>
          <t>ПЭБ КЦ №7</t>
        </is>
      </c>
      <c r="J34" s="297" t="inlineStr">
        <is>
          <t>АСУ,А и ТМ (КЦ № 7)</t>
        </is>
      </c>
      <c r="K34" s="297" t="inlineStr"/>
      <c r="L34" s="359" t="inlineStr">
        <is>
          <t>12</t>
        </is>
      </c>
      <c r="M34" s="300" t="inlineStr">
        <is>
          <t>26ДЯУ</t>
        </is>
      </c>
      <c r="N34" s="299" t="inlineStr">
        <is>
          <t>П</t>
        </is>
      </c>
    </row>
    <row r="35" ht="22.5" customHeight="1" s="236">
      <c r="A35" s="243" t="n">
        <v>34</v>
      </c>
      <c r="B35" s="298" t="inlineStr">
        <is>
          <t>Термометр биметаллический</t>
        </is>
      </c>
      <c r="C35" s="359" t="inlineStr">
        <is>
          <t>Росма БТ5</t>
        </is>
      </c>
      <c r="D35" s="411" t="inlineStr">
        <is>
          <t>7000248</t>
        </is>
      </c>
      <c r="E35" s="359" t="inlineStr"/>
      <c r="F35" s="412" t="inlineStr">
        <is>
          <t>0..+120 °С</t>
        </is>
      </c>
      <c r="G35" s="413" t="inlineStr">
        <is>
          <t>1.5</t>
        </is>
      </c>
      <c r="H35" s="297" t="inlineStr">
        <is>
          <t>Т перед кр9</t>
        </is>
      </c>
      <c r="I35" s="297" t="inlineStr">
        <is>
          <t>ПЭБ КЦ №7</t>
        </is>
      </c>
      <c r="J35" s="297" t="inlineStr">
        <is>
          <t>АСУ,А и ТМ (КЦ № 7)</t>
        </is>
      </c>
      <c r="K35" s="297" t="inlineStr"/>
      <c r="L35" s="359" t="inlineStr">
        <is>
          <t>12</t>
        </is>
      </c>
      <c r="M35" s="300" t="inlineStr">
        <is>
          <t>25ДЯУ</t>
        </is>
      </c>
      <c r="N35" s="299" t="inlineStr">
        <is>
          <t>П</t>
        </is>
      </c>
    </row>
    <row r="36" ht="33.75" customHeight="1" s="236">
      <c r="A36" s="243" t="n">
        <v>35</v>
      </c>
      <c r="B36" s="298" t="inlineStr">
        <is>
          <t>Манометр технический</t>
        </is>
      </c>
      <c r="C36" s="359" t="inlineStr">
        <is>
          <t>Росма ТМ5</t>
        </is>
      </c>
      <c r="D36" s="411" t="inlineStr">
        <is>
          <t>61120</t>
        </is>
      </c>
      <c r="E36" s="359" t="inlineStr"/>
      <c r="F36" s="412" t="inlineStr">
        <is>
          <t>0..0,6 МПa</t>
        </is>
      </c>
      <c r="G36" s="413" t="inlineStr">
        <is>
          <t>1.5</t>
        </is>
      </c>
      <c r="H36" s="297" t="inlineStr">
        <is>
          <t>Р перед регулирующим клапаном</t>
        </is>
      </c>
      <c r="I36" s="297" t="inlineStr">
        <is>
          <t>ПЭБ КЦ №7</t>
        </is>
      </c>
      <c r="J36" s="297" t="inlineStr">
        <is>
          <t>АСУ,А и ТМ (КЦ № 7)</t>
        </is>
      </c>
      <c r="K36" s="297" t="inlineStr"/>
      <c r="L36" s="359" t="inlineStr">
        <is>
          <t>12</t>
        </is>
      </c>
      <c r="M36" s="300" t="inlineStr">
        <is>
          <t>26ДЯУ</t>
        </is>
      </c>
      <c r="N36" s="299" t="inlineStr">
        <is>
          <t>П</t>
        </is>
      </c>
    </row>
    <row r="37" ht="33.75" customHeight="1" s="236">
      <c r="A37" s="239">
        <f>IF(B37&lt;&gt;"", COUNTA($B$2:B37), "")</f>
        <v/>
      </c>
      <c r="B37" s="241" t="inlineStr">
        <is>
          <t xml:space="preserve">(Тепловычислитель)       Взлет-ТСРВ </t>
        </is>
      </c>
      <c r="C37" s="239" t="inlineStr">
        <is>
          <t>ТСРВ-027</t>
        </is>
      </c>
      <c r="D37" s="242" t="n">
        <v>1800155</v>
      </c>
      <c r="E37" s="242" t="n">
        <v>2018</v>
      </c>
      <c r="F37" s="239" t="inlineStr">
        <is>
          <t>Многопараметр.</t>
        </is>
      </c>
      <c r="G37" s="239" t="inlineStr">
        <is>
          <t>ПГ 0,5%</t>
        </is>
      </c>
      <c r="H37" s="239" t="inlineStr">
        <is>
          <t>Автоматизированный т/пункт "ВЗЛЕТ АТП"</t>
        </is>
      </c>
      <c r="I37" s="239" t="inlineStr">
        <is>
          <t>ПЭБ КЦ №7</t>
        </is>
      </c>
      <c r="J37" s="239" t="inlineStr">
        <is>
          <t>СТВС (КЦ №7)</t>
        </is>
      </c>
      <c r="K37" s="239" t="n">
        <v>2021</v>
      </c>
      <c r="L37" s="239" t="n">
        <v>48</v>
      </c>
      <c r="M37" s="414" t="n">
        <v>43389</v>
      </c>
      <c r="N37" s="242" t="inlineStr">
        <is>
          <t>П</t>
        </is>
      </c>
    </row>
    <row r="38" ht="33.75" customHeight="1" s="236">
      <c r="A38" s="243" t="n">
        <v>37</v>
      </c>
      <c r="B38" s="244" t="inlineStr">
        <is>
          <t>(Теплосчетчик регистратор) Взлет-ТСР-М</t>
        </is>
      </c>
      <c r="C38" s="243" t="inlineStr">
        <is>
          <t>ТСР-027</t>
        </is>
      </c>
      <c r="D38" s="245" t="inlineStr">
        <is>
          <t>1800155</t>
        </is>
      </c>
      <c r="E38" s="245" t="inlineStr">
        <is>
          <t>2018</t>
        </is>
      </c>
      <c r="F38" s="243" t="inlineStr">
        <is>
          <t>Многопараметр.</t>
        </is>
      </c>
      <c r="G38" s="243" t="inlineStr">
        <is>
          <t>ПГ 0,5%</t>
        </is>
      </c>
      <c r="H38" s="243" t="inlineStr">
        <is>
          <t>Автоматизированный т/пункт "ВЗЛЕТ АТП"</t>
        </is>
      </c>
      <c r="I38" s="243" t="inlineStr">
        <is>
          <t>ПЭБ КЦ №7</t>
        </is>
      </c>
      <c r="J38" s="243" t="inlineStr">
        <is>
          <t>СТВС (КЦ №7)</t>
        </is>
      </c>
      <c r="K38" s="243" t="inlineStr">
        <is>
          <t>2021</t>
        </is>
      </c>
      <c r="L38" s="243" t="inlineStr">
        <is>
          <t>48</t>
        </is>
      </c>
      <c r="M38" s="415" t="inlineStr">
        <is>
          <t>16.11.2018</t>
        </is>
      </c>
      <c r="N38" s="245" t="inlineStr">
        <is>
          <t>П</t>
        </is>
      </c>
    </row>
    <row r="39" ht="33.75" customHeight="1" s="236">
      <c r="A39" s="243" t="n">
        <v>38</v>
      </c>
      <c r="B39" s="244" t="inlineStr">
        <is>
          <t>(Расходомер-счетчик электромагнитный) ВЗЛЕТ ЭР</t>
        </is>
      </c>
      <c r="C39" s="243" t="inlineStr">
        <is>
          <t>ЭРСВ-440ЛВ</t>
        </is>
      </c>
      <c r="D39" s="245" t="inlineStr">
        <is>
          <t>1904180</t>
        </is>
      </c>
      <c r="E39" s="245" t="inlineStr">
        <is>
          <t>2018</t>
        </is>
      </c>
      <c r="F39" s="243" t="inlineStr">
        <is>
          <t>Многопараметр.</t>
        </is>
      </c>
      <c r="G39" s="243" t="inlineStr">
        <is>
          <t>ПГ 0,5%</t>
        </is>
      </c>
      <c r="H39" s="243" t="inlineStr">
        <is>
          <t>Автоматизированный т/пункт "ВЗЛЕТ АТП"</t>
        </is>
      </c>
      <c r="I39" s="243" t="inlineStr">
        <is>
          <t>ПЭБ КЦ №7</t>
        </is>
      </c>
      <c r="J39" s="243" t="inlineStr">
        <is>
          <t>СТВС (КЦ №7)</t>
        </is>
      </c>
      <c r="K39" s="243" t="inlineStr">
        <is>
          <t>2021</t>
        </is>
      </c>
      <c r="L39" s="243" t="inlineStr">
        <is>
          <t>48</t>
        </is>
      </c>
      <c r="M39" s="415" t="inlineStr">
        <is>
          <t>16.11.2018</t>
        </is>
      </c>
      <c r="N39" s="245" t="inlineStr">
        <is>
          <t>П</t>
        </is>
      </c>
    </row>
    <row r="40" ht="33.75" customHeight="1" s="236">
      <c r="A40" s="243" t="n">
        <v>39</v>
      </c>
      <c r="B40" s="244" t="inlineStr">
        <is>
          <t>(Расходомер-счетчик электромагнитный) ВЗЛЕТ ЭР</t>
        </is>
      </c>
      <c r="C40" s="243" t="inlineStr">
        <is>
          <t>ЭРСВ-440ЛВ</t>
        </is>
      </c>
      <c r="D40" s="245" t="inlineStr">
        <is>
          <t>1901505</t>
        </is>
      </c>
      <c r="E40" s="245" t="inlineStr">
        <is>
          <t>2018</t>
        </is>
      </c>
      <c r="F40" s="243" t="inlineStr">
        <is>
          <t>Многопараметр.</t>
        </is>
      </c>
      <c r="G40" s="243" t="inlineStr">
        <is>
          <t>ПГ 0,5%</t>
        </is>
      </c>
      <c r="H40" s="243" t="inlineStr">
        <is>
          <t>Автоматизированный т/пункт "ВЗЛЕТ АТП"</t>
        </is>
      </c>
      <c r="I40" s="243" t="inlineStr">
        <is>
          <t>ПЭБ КЦ №7</t>
        </is>
      </c>
      <c r="J40" s="243" t="inlineStr">
        <is>
          <t>СТВС (КЦ №7)</t>
        </is>
      </c>
      <c r="K40" s="243" t="inlineStr">
        <is>
          <t>2021</t>
        </is>
      </c>
      <c r="L40" s="243" t="inlineStr">
        <is>
          <t>48</t>
        </is>
      </c>
      <c r="M40" s="415" t="inlineStr">
        <is>
          <t>16.11.2018</t>
        </is>
      </c>
      <c r="N40" s="245" t="inlineStr">
        <is>
          <t>П</t>
        </is>
      </c>
    </row>
    <row r="41" ht="22.5" customHeight="1" s="236">
      <c r="A41" s="243" t="n">
        <v>40</v>
      </c>
      <c r="B41" s="244" t="inlineStr">
        <is>
          <t>(Датчик избыточного давления)</t>
        </is>
      </c>
      <c r="C41" s="243" t="inlineStr">
        <is>
          <t>КОРУНД-ДИ-001М</t>
        </is>
      </c>
      <c r="D41" s="245" t="inlineStr">
        <is>
          <t>220147</t>
        </is>
      </c>
      <c r="E41" s="245" t="inlineStr">
        <is>
          <t>2018</t>
        </is>
      </c>
      <c r="F41" s="243" t="inlineStr">
        <is>
          <t>0…1,6 МПа</t>
        </is>
      </c>
      <c r="G41" s="243" t="inlineStr">
        <is>
          <t>0.50%</t>
        </is>
      </c>
      <c r="H41" s="243" t="inlineStr">
        <is>
          <t>Рв после фильтра</t>
        </is>
      </c>
      <c r="I41" s="243" t="inlineStr">
        <is>
          <t>ПЭБ КЦ №7</t>
        </is>
      </c>
      <c r="J41" s="243" t="inlineStr">
        <is>
          <t>СТВС (КЦ №7)</t>
        </is>
      </c>
      <c r="K41" s="243" t="inlineStr">
        <is>
          <t>2021</t>
        </is>
      </c>
      <c r="L41" s="243" t="inlineStr">
        <is>
          <t>60</t>
        </is>
      </c>
      <c r="M41" s="415" t="inlineStr">
        <is>
          <t>25.10.2018</t>
        </is>
      </c>
      <c r="N41" s="245" t="inlineStr">
        <is>
          <t>П</t>
        </is>
      </c>
    </row>
    <row r="42" ht="22.5" customHeight="1" s="236">
      <c r="A42" s="243" t="n">
        <v>41</v>
      </c>
      <c r="B42" s="244" t="inlineStr">
        <is>
          <t>(Датчик избыточного давления)</t>
        </is>
      </c>
      <c r="C42" s="243" t="inlineStr">
        <is>
          <t>КОРУНД-ДИ-001М</t>
        </is>
      </c>
      <c r="D42" s="245" t="inlineStr">
        <is>
          <t>212982</t>
        </is>
      </c>
      <c r="E42" s="245" t="inlineStr">
        <is>
          <t>2018</t>
        </is>
      </c>
      <c r="F42" s="243" t="inlineStr">
        <is>
          <t>0…1 МПа</t>
        </is>
      </c>
      <c r="G42" s="243" t="inlineStr">
        <is>
          <t>0.50%</t>
        </is>
      </c>
      <c r="H42" s="243" t="inlineStr">
        <is>
          <t>Рв перед кр2</t>
        </is>
      </c>
      <c r="I42" s="243" t="inlineStr">
        <is>
          <t>ПЭБ КЦ №7</t>
        </is>
      </c>
      <c r="J42" s="243" t="inlineStr">
        <is>
          <t>СТВС (КЦ №7)</t>
        </is>
      </c>
      <c r="K42" s="243" t="inlineStr">
        <is>
          <t>2021</t>
        </is>
      </c>
      <c r="L42" s="243" t="inlineStr">
        <is>
          <t>60</t>
        </is>
      </c>
      <c r="M42" s="415" t="inlineStr">
        <is>
          <t>25.10.2018</t>
        </is>
      </c>
      <c r="N42" s="245" t="inlineStr">
        <is>
          <t>П</t>
        </is>
      </c>
    </row>
    <row r="43" ht="22.5" customHeight="1" s="236">
      <c r="A43" s="243" t="n">
        <v>42</v>
      </c>
      <c r="B43" s="248" t="inlineStr">
        <is>
          <t>(Термопреобразователь сопротивления) ВЗЛЕТ ТПС</t>
        </is>
      </c>
      <c r="C43" s="243" t="inlineStr">
        <is>
          <t>ТПС</t>
        </is>
      </c>
      <c r="D43" s="245" t="inlineStr">
        <is>
          <t>1827632</t>
        </is>
      </c>
      <c r="E43" s="245" t="inlineStr">
        <is>
          <t>2018</t>
        </is>
      </c>
      <c r="F43" s="243" t="inlineStr">
        <is>
          <t>0…180 °С</t>
        </is>
      </c>
      <c r="G43" s="243" t="inlineStr">
        <is>
          <t>А</t>
        </is>
      </c>
      <c r="H43" s="243" t="inlineStr">
        <is>
          <t>Тв на выходе теплообменника</t>
        </is>
      </c>
      <c r="I43" s="243" t="inlineStr">
        <is>
          <t>ПЭБ КЦ №7</t>
        </is>
      </c>
      <c r="J43" s="243" t="inlineStr">
        <is>
          <t>СТВС (КЦ №7)</t>
        </is>
      </c>
      <c r="K43" s="243" t="inlineStr">
        <is>
          <t>2021</t>
        </is>
      </c>
      <c r="L43" s="243" t="inlineStr">
        <is>
          <t>48</t>
        </is>
      </c>
      <c r="M43" s="415" t="inlineStr">
        <is>
          <t>24.12.2018</t>
        </is>
      </c>
      <c r="N43" s="245" t="inlineStr">
        <is>
          <t>П</t>
        </is>
      </c>
    </row>
    <row r="44" ht="22.5" customHeight="1" s="236">
      <c r="A44" s="243" t="n">
        <v>43</v>
      </c>
      <c r="B44" s="248" t="inlineStr">
        <is>
          <t>(Термопреобразователь сопротивления) ВЗЛЕТ ТПС</t>
        </is>
      </c>
      <c r="C44" s="243" t="inlineStr">
        <is>
          <t>ТПС</t>
        </is>
      </c>
      <c r="D44" s="245" t="inlineStr">
        <is>
          <t>1827627</t>
        </is>
      </c>
      <c r="E44" s="245" t="inlineStr">
        <is>
          <t>2018</t>
        </is>
      </c>
      <c r="F44" s="243" t="inlineStr">
        <is>
          <t>0…180 °С</t>
        </is>
      </c>
      <c r="G44" s="243" t="inlineStr">
        <is>
          <t>А</t>
        </is>
      </c>
      <c r="H44" s="243" t="inlineStr">
        <is>
          <t>Тв после кр9</t>
        </is>
      </c>
      <c r="I44" s="243" t="inlineStr">
        <is>
          <t>ПЭБ КЦ №7</t>
        </is>
      </c>
      <c r="J44" s="243" t="inlineStr">
        <is>
          <t>СТВС (КЦ №7)</t>
        </is>
      </c>
      <c r="K44" s="243" t="inlineStr">
        <is>
          <t>2021</t>
        </is>
      </c>
      <c r="L44" s="243" t="inlineStr">
        <is>
          <t>48</t>
        </is>
      </c>
      <c r="M44" s="415" t="inlineStr">
        <is>
          <t>24.12.2018</t>
        </is>
      </c>
      <c r="N44" s="245" t="inlineStr">
        <is>
          <t>П</t>
        </is>
      </c>
    </row>
    <row r="45" ht="22.5" customHeight="1" s="236">
      <c r="A45" s="243" t="n">
        <v>44</v>
      </c>
      <c r="B45" s="248" t="inlineStr">
        <is>
          <t>(Термопреобразователь сопротивления) ВЗЛЕТ ТПС</t>
        </is>
      </c>
      <c r="C45" s="243" t="inlineStr">
        <is>
          <t>ТПС</t>
        </is>
      </c>
      <c r="D45" s="245" t="inlineStr">
        <is>
          <t>1819723</t>
        </is>
      </c>
      <c r="E45" s="245" t="inlineStr">
        <is>
          <t>2018</t>
        </is>
      </c>
      <c r="F45" s="243" t="inlineStr">
        <is>
          <t>-50…100 °С</t>
        </is>
      </c>
      <c r="G45" s="243" t="inlineStr">
        <is>
          <t>А</t>
        </is>
      </c>
      <c r="H45" s="243" t="inlineStr">
        <is>
          <t>Тв перед кр4</t>
        </is>
      </c>
      <c r="I45" s="243" t="inlineStr">
        <is>
          <t>ПЭБ КЦ №7</t>
        </is>
      </c>
      <c r="J45" s="243" t="inlineStr">
        <is>
          <t>СТВС (КЦ №7)</t>
        </is>
      </c>
      <c r="K45" s="243" t="inlineStr">
        <is>
          <t>2021</t>
        </is>
      </c>
      <c r="L45" s="243" t="inlineStr">
        <is>
          <t>48</t>
        </is>
      </c>
      <c r="M45" s="415" t="inlineStr">
        <is>
          <t>24.12.2018</t>
        </is>
      </c>
      <c r="N45" s="245" t="inlineStr">
        <is>
          <t>П</t>
        </is>
      </c>
    </row>
    <row r="46" ht="22.5" customHeight="1" s="236">
      <c r="A46" s="243" t="n">
        <v>45</v>
      </c>
      <c r="B46" s="248" t="inlineStr">
        <is>
          <t>(Термопреобразователь сопротивления) ВЗЛЕТ ТПС</t>
        </is>
      </c>
      <c r="C46" s="243" t="inlineStr">
        <is>
          <t>ТПС</t>
        </is>
      </c>
      <c r="D46" s="245" t="inlineStr">
        <is>
          <t>1819906</t>
        </is>
      </c>
      <c r="E46" s="245" t="inlineStr">
        <is>
          <t>2018</t>
        </is>
      </c>
      <c r="F46" s="243" t="inlineStr">
        <is>
          <t>-50…100 °С</t>
        </is>
      </c>
      <c r="G46" s="243" t="inlineStr">
        <is>
          <t>А</t>
        </is>
      </c>
      <c r="H46" s="243" t="inlineStr">
        <is>
          <t>Тв перед кр5</t>
        </is>
      </c>
      <c r="I46" s="243" t="inlineStr">
        <is>
          <t>ПЭБ КЦ №7</t>
        </is>
      </c>
      <c r="J46" s="243" t="inlineStr">
        <is>
          <t>СТВС (КЦ №7)</t>
        </is>
      </c>
      <c r="K46" s="243" t="inlineStr">
        <is>
          <t>2021</t>
        </is>
      </c>
      <c r="L46" s="243" t="inlineStr">
        <is>
          <t>48</t>
        </is>
      </c>
      <c r="M46" s="415" t="inlineStr">
        <is>
          <t>04.12.2018</t>
        </is>
      </c>
      <c r="N46" s="245" t="inlineStr">
        <is>
          <t>П</t>
        </is>
      </c>
    </row>
    <row r="47" ht="22.5" customHeight="1" s="236">
      <c r="A47" s="243" t="n">
        <v>46</v>
      </c>
      <c r="B47" s="248" t="inlineStr">
        <is>
          <t>(Термопреобразователь сопротивления) ВЗЛЕТ ТПС</t>
        </is>
      </c>
      <c r="C47" s="243" t="inlineStr">
        <is>
          <t>ТПС</t>
        </is>
      </c>
      <c r="D47" s="245" t="inlineStr">
        <is>
          <t>1821457</t>
        </is>
      </c>
      <c r="E47" s="245" t="inlineStr">
        <is>
          <t>2018</t>
        </is>
      </c>
      <c r="F47" s="243" t="inlineStr">
        <is>
          <t>0…180 °С</t>
        </is>
      </c>
      <c r="G47" s="243" t="inlineStr">
        <is>
          <t>А</t>
        </is>
      </c>
      <c r="H47" s="243" t="inlineStr">
        <is>
          <t>Тв перед регулятором</t>
        </is>
      </c>
      <c r="I47" s="243" t="inlineStr">
        <is>
          <t>ПЭБ КЦ №7</t>
        </is>
      </c>
      <c r="J47" s="243" t="inlineStr">
        <is>
          <t>СТВС (КЦ №7)</t>
        </is>
      </c>
      <c r="K47" s="243" t="inlineStr">
        <is>
          <t>2021</t>
        </is>
      </c>
      <c r="L47" s="243" t="inlineStr">
        <is>
          <t>48</t>
        </is>
      </c>
      <c r="M47" s="415" t="inlineStr">
        <is>
          <t>04.12.2018</t>
        </is>
      </c>
      <c r="N47" s="245" t="inlineStr">
        <is>
          <t>П</t>
        </is>
      </c>
    </row>
    <row r="48" ht="22.5" customHeight="1" s="236">
      <c r="A48" s="243" t="n">
        <v>47</v>
      </c>
      <c r="B48" s="248" t="inlineStr">
        <is>
          <t>(Термопреобразователь сопротивления) ВЗЛЕТ ТПС</t>
        </is>
      </c>
      <c r="C48" s="243" t="inlineStr">
        <is>
          <t>ТПС</t>
        </is>
      </c>
      <c r="D48" s="245" t="inlineStr">
        <is>
          <t>1821484</t>
        </is>
      </c>
      <c r="E48" s="245" t="inlineStr">
        <is>
          <t>2018</t>
        </is>
      </c>
      <c r="F48" s="243" t="inlineStr">
        <is>
          <t>0…180 °С</t>
        </is>
      </c>
      <c r="G48" s="243" t="inlineStr">
        <is>
          <t>А</t>
        </is>
      </c>
      <c r="H48" s="243" t="inlineStr">
        <is>
          <t>Тв перед кр2</t>
        </is>
      </c>
      <c r="I48" s="243" t="inlineStr">
        <is>
          <t>ПЭБ КЦ №7</t>
        </is>
      </c>
      <c r="J48" s="243" t="inlineStr">
        <is>
          <t>СТВС (КЦ №7)</t>
        </is>
      </c>
      <c r="K48" s="243" t="inlineStr">
        <is>
          <t>2021</t>
        </is>
      </c>
      <c r="L48" s="243" t="inlineStr">
        <is>
          <t>48</t>
        </is>
      </c>
      <c r="M48" s="415" t="inlineStr">
        <is>
          <t>04.12.2018</t>
        </is>
      </c>
      <c r="N48" s="245" t="inlineStr">
        <is>
          <t>П</t>
        </is>
      </c>
    </row>
    <row r="49" ht="45" customHeight="1" s="236">
      <c r="A49" s="243" t="n">
        <v>48</v>
      </c>
      <c r="B49" s="248" t="inlineStr">
        <is>
          <t>(Расходомер-счетчик электромагнитный) ВЗЛЕТ ЭР</t>
        </is>
      </c>
      <c r="C49" s="243" t="inlineStr">
        <is>
          <t>ЭРСВ-540ЛВ (мдификация ЛАЙТ М)</t>
        </is>
      </c>
      <c r="D49" s="245" t="inlineStr">
        <is>
          <t>1928378</t>
        </is>
      </c>
      <c r="E49" s="245" t="inlineStr">
        <is>
          <t>2019</t>
        </is>
      </c>
      <c r="F49" s="243" t="inlineStr"/>
      <c r="G49" s="243" t="inlineStr">
        <is>
          <t>ПГ 0,15%</t>
        </is>
      </c>
      <c r="H49" s="243" t="inlineStr">
        <is>
          <t>Автоматизированный т/пункт "ВЗЛЕТ АТП"</t>
        </is>
      </c>
      <c r="I49" s="243" t="inlineStr">
        <is>
          <t>ПЭБ КЦ №7</t>
        </is>
      </c>
      <c r="J49" s="243" t="inlineStr">
        <is>
          <t>СТВС (КЦ №7)</t>
        </is>
      </c>
      <c r="K49" s="243" t="inlineStr">
        <is>
          <t>2021</t>
        </is>
      </c>
      <c r="L49" s="243" t="inlineStr">
        <is>
          <t>48</t>
        </is>
      </c>
      <c r="M49" s="415" t="inlineStr">
        <is>
          <t>10.10.2019</t>
        </is>
      </c>
      <c r="N49" s="245" t="inlineStr">
        <is>
          <t>П</t>
        </is>
      </c>
    </row>
    <row r="50" ht="22.5" customHeight="1" s="236">
      <c r="A50" s="243" t="n">
        <v>49</v>
      </c>
      <c r="B50" s="244" t="inlineStr">
        <is>
          <t>Манометр технический</t>
        </is>
      </c>
      <c r="C50" s="243" t="inlineStr">
        <is>
          <t>МП4-УУ2</t>
        </is>
      </c>
      <c r="D50" s="245" t="inlineStr">
        <is>
          <t>15253</t>
        </is>
      </c>
      <c r="E50" s="245" t="inlineStr">
        <is>
          <t>2018</t>
        </is>
      </c>
      <c r="F50" s="243" t="inlineStr">
        <is>
          <t>0…10 кгс/см2</t>
        </is>
      </c>
      <c r="G50" s="243" t="inlineStr">
        <is>
          <t>1-May</t>
        </is>
      </c>
      <c r="H50" s="243" t="inlineStr">
        <is>
          <t>МОП</t>
        </is>
      </c>
      <c r="I50" s="243" t="inlineStr">
        <is>
          <t>ПЭБ КЦ №7</t>
        </is>
      </c>
      <c r="J50" s="243" t="inlineStr">
        <is>
          <t>СТВС (КЦ №7)</t>
        </is>
      </c>
      <c r="K50" s="243" t="inlineStr">
        <is>
          <t>2021</t>
        </is>
      </c>
      <c r="L50" s="243" t="inlineStr">
        <is>
          <t>12</t>
        </is>
      </c>
      <c r="M50" s="415" t="inlineStr">
        <is>
          <t>16.07.2026</t>
        </is>
      </c>
      <c r="N50" s="245" t="inlineStr">
        <is>
          <t>К</t>
        </is>
      </c>
    </row>
  </sheetData>
  <conditionalFormatting sqref="M1:M1048576">
    <cfRule type="expression" rank="0" priority="2" equalAverage="0" aboveAverage="0" dxfId="1" text="" percent="0" bottom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orizontalCentered="0" verticalCentered="0" headings="0" gridLines="0" gridLinesSet="1"/>
  <pageMargins left="0.708333333333333" right="0.708333333333333" top="0.747916666666667" bottom="0.747916666666667" header="0.511805555555555" footer="0.511805555555555"/>
  <pageSetup orientation="landscape" paperSize="9" scale="100" fitToHeight="1" fitToWidth="0" pageOrder="downThenOver" blackAndWhite="0" draft="0" horizontalDpi="300" verticalDpi="300" copies="1"/>
</worksheet>
</file>

<file path=xl/worksheets/sheet30.xml><?xml version="1.0" encoding="utf-8"?>
<worksheet xmlns="http://schemas.openxmlformats.org/spreadsheetml/2006/main">
  <sheetPr filterMode="0">
    <outlinePr summaryBelow="1" summaryRight="1"/>
    <pageSetUpPr fitToPage="0"/>
  </sheetPr>
  <dimension ref="A1:N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8" activePane="bottomLeft" state="frozen"/>
      <selection pane="topLeft" activeCell="A1" activeCellId="0" sqref="A1"/>
      <selection pane="bottomLeft" activeCell="B28" activeCellId="0" sqref="B28"/>
    </sheetView>
  </sheetViews>
  <sheetFormatPr baseColWidth="8" defaultColWidth="9.15625" defaultRowHeight="15" zeroHeight="0" outlineLevelRow="0"/>
  <cols>
    <col width="3.14" customWidth="1" style="235" min="1" max="1"/>
    <col width="22.57" customWidth="1" style="235" min="2" max="2"/>
    <col width="14.57" customWidth="1" style="235" min="3" max="3"/>
    <col width="8.710000000000001" customWidth="1" style="235" min="4" max="4"/>
    <col width="6.57" customWidth="1" style="235" min="5" max="5"/>
    <col width="11.14" customWidth="1" style="235" min="6" max="6"/>
    <col width="7.42" customWidth="1" style="235" min="7" max="7"/>
    <col width="30.86" customWidth="1" style="235" min="8" max="8"/>
    <col width="13.7" customWidth="1" style="235" min="9" max="9"/>
    <col width="12.42" customWidth="1" style="235" min="10" max="10"/>
    <col width="8" customWidth="1" style="235" min="11" max="11"/>
    <col width="9" customWidth="1" style="235" min="12" max="12"/>
    <col width="8.859999999999999" customWidth="1" style="235" min="13" max="13"/>
    <col width="9" customWidth="1" style="235" min="14" max="14"/>
    <col width="9.140000000000001" customWidth="1" style="235" min="15" max="1024"/>
  </cols>
  <sheetData>
    <row r="1" ht="45" customHeight="1" s="236">
      <c r="A1" s="239" t="inlineStr">
        <is>
          <t>№ п/п</t>
        </is>
      </c>
      <c r="B1" s="239" t="inlineStr">
        <is>
          <t>Наименование</t>
        </is>
      </c>
      <c r="C1" s="239" t="inlineStr">
        <is>
          <t>Тип</t>
        </is>
      </c>
      <c r="D1" s="239" t="inlineStr">
        <is>
          <t>Заводской номер</t>
        </is>
      </c>
      <c r="E1" s="240" t="inlineStr">
        <is>
          <t>Год 
выпуска</t>
        </is>
      </c>
      <c r="F1" s="239" t="inlineStr">
        <is>
          <t>Диапазон измерений</t>
        </is>
      </c>
      <c r="G1" s="239" t="inlineStr">
        <is>
          <t>Класс точности</t>
        </is>
      </c>
      <c r="H1" s="239" t="inlineStr">
        <is>
          <t>Место установки СИ</t>
        </is>
      </c>
      <c r="I1" s="239" t="inlineStr">
        <is>
          <t>Объект 
установки</t>
        </is>
      </c>
      <c r="J1" s="239" t="inlineStr">
        <is>
          <t>Подразделение</t>
        </is>
      </c>
      <c r="K1" s="239" t="inlineStr">
        <is>
          <t>Дата установки</t>
        </is>
      </c>
      <c r="L1" s="239" t="inlineStr">
        <is>
          <t>Межповерочный интервал, мес.</t>
        </is>
      </c>
      <c r="M1" s="240" t="inlineStr">
        <is>
          <t>Дата последней поверки / калибровки</t>
        </is>
      </c>
      <c r="N1" s="239" t="inlineStr">
        <is>
          <t>Поверка (П)/ Калибровка (К)</t>
        </is>
      </c>
    </row>
    <row r="2" ht="17.25" customHeight="1" s="236">
      <c r="A2" s="239" t="n">
        <v>1</v>
      </c>
      <c r="B2" s="240" t="inlineStr">
        <is>
          <t>Манометр технический</t>
        </is>
      </c>
      <c r="C2" s="252" t="inlineStr">
        <is>
          <t>МП4-УУ2</t>
        </is>
      </c>
      <c r="D2" s="252" t="inlineStr">
        <is>
          <t>7000131</t>
        </is>
      </c>
      <c r="E2" s="252" t="inlineStr"/>
      <c r="F2" s="239" t="inlineStr">
        <is>
          <t>0..16 МПа</t>
        </is>
      </c>
      <c r="G2" s="239" t="inlineStr">
        <is>
          <t>1.5</t>
        </is>
      </c>
      <c r="H2" s="240" t="inlineStr">
        <is>
          <t>P импульсного газа на УП</t>
        </is>
      </c>
      <c r="I2" s="239" t="inlineStr">
        <is>
          <t>Узел подключения</t>
        </is>
      </c>
      <c r="J2" s="239" t="inlineStr">
        <is>
          <t>АСУ,А и ТМ (КЦ № 7)</t>
        </is>
      </c>
      <c r="K2" s="239" t="inlineStr">
        <is>
          <t>2019</t>
        </is>
      </c>
      <c r="L2" s="239" t="inlineStr">
        <is>
          <t>12</t>
        </is>
      </c>
      <c r="M2" s="240" t="inlineStr">
        <is>
          <t>2К26</t>
        </is>
      </c>
      <c r="N2" s="251" t="inlineStr">
        <is>
          <t>К</t>
        </is>
      </c>
    </row>
    <row r="3" ht="16.5" customHeight="1" s="236">
      <c r="A3" s="243" t="n">
        <v>2</v>
      </c>
      <c r="B3" s="246" t="inlineStr">
        <is>
          <t>Манометр технический</t>
        </is>
      </c>
      <c r="C3" s="254" t="inlineStr">
        <is>
          <t>МП3-УУ2</t>
        </is>
      </c>
      <c r="D3" s="254" t="inlineStr">
        <is>
          <t>212027933</t>
        </is>
      </c>
      <c r="E3" s="254" t="inlineStr"/>
      <c r="F3" s="243" t="inlineStr">
        <is>
          <t>0..16 МПа</t>
        </is>
      </c>
      <c r="G3" s="243" t="inlineStr">
        <is>
          <t>1</t>
        </is>
      </c>
      <c r="H3" s="246" t="inlineStr">
        <is>
          <t>P импульсного газа крана 7р (фильтр)</t>
        </is>
      </c>
      <c r="I3" s="243" t="inlineStr">
        <is>
          <t>Узел подключения</t>
        </is>
      </c>
      <c r="J3" s="243" t="inlineStr">
        <is>
          <t>АСУ,А и ТМ (КЦ № 7)</t>
        </is>
      </c>
      <c r="K3" s="243" t="inlineStr">
        <is>
          <t>2019</t>
        </is>
      </c>
      <c r="L3" s="243" t="inlineStr">
        <is>
          <t>12</t>
        </is>
      </c>
      <c r="M3" s="246" t="inlineStr">
        <is>
          <t>2К26</t>
        </is>
      </c>
      <c r="N3" s="248" t="inlineStr">
        <is>
          <t>К</t>
        </is>
      </c>
    </row>
    <row r="4" ht="22.5" customHeight="1" s="236">
      <c r="A4" s="243" t="n">
        <v>3</v>
      </c>
      <c r="B4" s="246" t="inlineStr">
        <is>
          <t>Манометр технический</t>
        </is>
      </c>
      <c r="C4" s="254" t="inlineStr">
        <is>
          <t>МП4-УфБСУХЛ1</t>
        </is>
      </c>
      <c r="D4" s="254" t="inlineStr">
        <is>
          <t>311423</t>
        </is>
      </c>
      <c r="E4" s="254" t="inlineStr"/>
      <c r="F4" s="243" t="inlineStr">
        <is>
          <t>0..16 МПа</t>
        </is>
      </c>
      <c r="G4" s="243" t="inlineStr">
        <is>
          <t>1</t>
        </is>
      </c>
      <c r="H4" s="246" t="inlineStr">
        <is>
          <t>P импульсного газа крана 7р (до фильтра)</t>
        </is>
      </c>
      <c r="I4" s="243" t="inlineStr">
        <is>
          <t>Узел подключения</t>
        </is>
      </c>
      <c r="J4" s="243" t="inlineStr">
        <is>
          <t>АСУ,А и ТМ (КЦ № 7)</t>
        </is>
      </c>
      <c r="K4" s="243" t="inlineStr">
        <is>
          <t>2019</t>
        </is>
      </c>
      <c r="L4" s="243" t="inlineStr">
        <is>
          <t>12</t>
        </is>
      </c>
      <c r="M4" s="246" t="inlineStr">
        <is>
          <t>2К26</t>
        </is>
      </c>
      <c r="N4" s="248" t="inlineStr">
        <is>
          <t>К</t>
        </is>
      </c>
    </row>
    <row r="5" ht="22.5" customHeight="1" s="236">
      <c r="A5" s="243" t="n">
        <v>4</v>
      </c>
      <c r="B5" s="246" t="inlineStr">
        <is>
          <t>Манометр технический</t>
        </is>
      </c>
      <c r="C5" s="254" t="inlineStr">
        <is>
          <t>МП3-УУХЛ1</t>
        </is>
      </c>
      <c r="D5" s="254" t="inlineStr">
        <is>
          <t>7000153</t>
        </is>
      </c>
      <c r="E5" s="254" t="inlineStr"/>
      <c r="F5" s="243" t="inlineStr">
        <is>
          <t>0..160 кгс/см2</t>
        </is>
      </c>
      <c r="G5" s="243" t="inlineStr">
        <is>
          <t>1</t>
        </is>
      </c>
      <c r="H5" s="246" t="inlineStr">
        <is>
          <t>P импульсного газа крана 7с (фильтр)</t>
        </is>
      </c>
      <c r="I5" s="243" t="inlineStr">
        <is>
          <t>Узел подключения</t>
        </is>
      </c>
      <c r="J5" s="243" t="inlineStr">
        <is>
          <t>АСУ,А и ТМ (КЦ № 7)</t>
        </is>
      </c>
      <c r="K5" s="243" t="inlineStr">
        <is>
          <t>2019</t>
        </is>
      </c>
      <c r="L5" s="243" t="inlineStr">
        <is>
          <t>12</t>
        </is>
      </c>
      <c r="M5" s="246" t="inlineStr">
        <is>
          <t>2К26</t>
        </is>
      </c>
      <c r="N5" s="248" t="inlineStr">
        <is>
          <t>К</t>
        </is>
      </c>
    </row>
    <row r="6" ht="22.5" customHeight="1" s="236">
      <c r="A6" s="243" t="n">
        <v>5</v>
      </c>
      <c r="B6" s="246" t="inlineStr">
        <is>
          <t>Манометр технический</t>
        </is>
      </c>
      <c r="C6" s="254" t="inlineStr">
        <is>
          <t>МП4-УУ2</t>
        </is>
      </c>
      <c r="D6" s="254" t="inlineStr">
        <is>
          <t>7000133</t>
        </is>
      </c>
      <c r="E6" s="254" t="inlineStr"/>
      <c r="F6" s="243" t="inlineStr">
        <is>
          <t>0..16 МПа</t>
        </is>
      </c>
      <c r="G6" s="243" t="inlineStr">
        <is>
          <t>1.5</t>
        </is>
      </c>
      <c r="H6" s="246" t="inlineStr">
        <is>
          <t>P импульсного газа крана 7с (до фильтра)</t>
        </is>
      </c>
      <c r="I6" s="243" t="inlineStr">
        <is>
          <t>Узел подключения</t>
        </is>
      </c>
      <c r="J6" s="243" t="inlineStr">
        <is>
          <t>АСУ,А и ТМ (КЦ № 7)</t>
        </is>
      </c>
      <c r="K6" s="243" t="inlineStr">
        <is>
          <t>2019</t>
        </is>
      </c>
      <c r="L6" s="243" t="inlineStr">
        <is>
          <t>12</t>
        </is>
      </c>
      <c r="M6" s="246" t="inlineStr">
        <is>
          <t>2К26</t>
        </is>
      </c>
      <c r="N6" s="248" t="inlineStr">
        <is>
          <t>К</t>
        </is>
      </c>
    </row>
    <row r="7" ht="22.5" customHeight="1" s="236">
      <c r="A7" s="243" t="n">
        <v>6</v>
      </c>
      <c r="B7" s="246" t="inlineStr">
        <is>
          <t>Манометр технический</t>
        </is>
      </c>
      <c r="C7" s="254" t="inlineStr">
        <is>
          <t>МП3-УУ2</t>
        </is>
      </c>
      <c r="D7" s="254" t="inlineStr">
        <is>
          <t>212027940</t>
        </is>
      </c>
      <c r="E7" s="254" t="inlineStr"/>
      <c r="F7" s="243" t="inlineStr">
        <is>
          <t>0..16 МПа</t>
        </is>
      </c>
      <c r="G7" s="243" t="inlineStr">
        <is>
          <t>1</t>
        </is>
      </c>
      <c r="H7" s="246" t="inlineStr">
        <is>
          <t>P импульсного газа крана 7-1р1 (фильтр)</t>
        </is>
      </c>
      <c r="I7" s="243" t="inlineStr">
        <is>
          <t>Узел подключения</t>
        </is>
      </c>
      <c r="J7" s="243" t="inlineStr">
        <is>
          <t>АСУ,А и ТМ (КЦ № 7)</t>
        </is>
      </c>
      <c r="K7" s="243" t="inlineStr">
        <is>
          <t>2019</t>
        </is>
      </c>
      <c r="L7" s="243" t="inlineStr">
        <is>
          <t>12</t>
        </is>
      </c>
      <c r="M7" s="246" t="inlineStr">
        <is>
          <t>2К26</t>
        </is>
      </c>
      <c r="N7" s="248" t="inlineStr">
        <is>
          <t>К</t>
        </is>
      </c>
    </row>
    <row r="8" ht="22.5" customHeight="1" s="236">
      <c r="A8" s="243" t="n">
        <v>7</v>
      </c>
      <c r="B8" s="246" t="inlineStr">
        <is>
          <t>Манометр технический</t>
        </is>
      </c>
      <c r="C8" s="254" t="inlineStr">
        <is>
          <t>МП4-УУ2</t>
        </is>
      </c>
      <c r="D8" s="254" t="inlineStr">
        <is>
          <t>212032063</t>
        </is>
      </c>
      <c r="E8" s="254" t="inlineStr"/>
      <c r="F8" s="243" t="inlineStr">
        <is>
          <t>0..16 МПа</t>
        </is>
      </c>
      <c r="G8" s="243" t="inlineStr">
        <is>
          <t>1.5</t>
        </is>
      </c>
      <c r="H8" s="246" t="inlineStr">
        <is>
          <t>P импульсного газа крана 7-1р1 (до фильтра)</t>
        </is>
      </c>
      <c r="I8" s="243" t="inlineStr">
        <is>
          <t>Узел подключения</t>
        </is>
      </c>
      <c r="J8" s="243" t="inlineStr">
        <is>
          <t>АСУ,А и ТМ (КЦ № 7)</t>
        </is>
      </c>
      <c r="K8" s="243" t="inlineStr">
        <is>
          <t>2019</t>
        </is>
      </c>
      <c r="L8" s="243" t="inlineStr">
        <is>
          <t>12</t>
        </is>
      </c>
      <c r="M8" s="246" t="inlineStr">
        <is>
          <t>2К26</t>
        </is>
      </c>
      <c r="N8" s="248" t="inlineStr">
        <is>
          <t>К</t>
        </is>
      </c>
    </row>
    <row r="9" ht="22.5" customHeight="1" s="236">
      <c r="A9" s="243" t="n">
        <v>8</v>
      </c>
      <c r="B9" s="246" t="inlineStr">
        <is>
          <t>Манометр технический</t>
        </is>
      </c>
      <c r="C9" s="254" t="inlineStr">
        <is>
          <t>МП3-УУХЛ1</t>
        </is>
      </c>
      <c r="D9" s="254" t="inlineStr">
        <is>
          <t>15212</t>
        </is>
      </c>
      <c r="E9" s="254" t="inlineStr"/>
      <c r="F9" s="243" t="inlineStr">
        <is>
          <t>0..160 кгс/см2</t>
        </is>
      </c>
      <c r="G9" s="243" t="inlineStr">
        <is>
          <t>1.5</t>
        </is>
      </c>
      <c r="H9" s="246" t="inlineStr">
        <is>
          <t>P импульсного газа крана 7-1р2 (фильтр)</t>
        </is>
      </c>
      <c r="I9" s="243" t="inlineStr">
        <is>
          <t>Узел подключения</t>
        </is>
      </c>
      <c r="J9" s="243" t="inlineStr">
        <is>
          <t>АСУ,А и ТМ (КЦ № 7)</t>
        </is>
      </c>
      <c r="K9" s="243" t="inlineStr">
        <is>
          <t>2019</t>
        </is>
      </c>
      <c r="L9" s="243" t="inlineStr">
        <is>
          <t>12</t>
        </is>
      </c>
      <c r="M9" s="246" t="inlineStr">
        <is>
          <t>2К26</t>
        </is>
      </c>
      <c r="N9" s="248" t="inlineStr">
        <is>
          <t>К</t>
        </is>
      </c>
    </row>
    <row r="10" ht="22.5" customHeight="1" s="236">
      <c r="A10" s="243" t="n">
        <v>9</v>
      </c>
      <c r="B10" s="246" t="inlineStr">
        <is>
          <t>Манометр технический</t>
        </is>
      </c>
      <c r="C10" s="254" t="inlineStr">
        <is>
          <t>МП4-УУ2</t>
        </is>
      </c>
      <c r="D10" s="254" t="inlineStr">
        <is>
          <t>7000139</t>
        </is>
      </c>
      <c r="E10" s="254" t="inlineStr"/>
      <c r="F10" s="243" t="inlineStr">
        <is>
          <t>0..16 МПа</t>
        </is>
      </c>
      <c r="G10" s="243" t="inlineStr">
        <is>
          <t>1.5</t>
        </is>
      </c>
      <c r="H10" s="246" t="inlineStr">
        <is>
          <t>P импульсного газа крана 7-1р2 (до фильтра)</t>
        </is>
      </c>
      <c r="I10" s="243" t="inlineStr">
        <is>
          <t>Узел подключения</t>
        </is>
      </c>
      <c r="J10" s="243" t="inlineStr">
        <is>
          <t>АСУ,А и ТМ (КЦ № 7)</t>
        </is>
      </c>
      <c r="K10" s="243" t="inlineStr">
        <is>
          <t>2019</t>
        </is>
      </c>
      <c r="L10" s="243" t="inlineStr">
        <is>
          <t>12</t>
        </is>
      </c>
      <c r="M10" s="246" t="inlineStr">
        <is>
          <t>2К26</t>
        </is>
      </c>
      <c r="N10" s="248" t="inlineStr">
        <is>
          <t>К</t>
        </is>
      </c>
    </row>
    <row r="11" ht="22.5" customHeight="1" s="236">
      <c r="A11" s="243" t="n">
        <v>10</v>
      </c>
      <c r="B11" s="246" t="inlineStr">
        <is>
          <t>Манометр технический</t>
        </is>
      </c>
      <c r="C11" s="254" t="inlineStr">
        <is>
          <t>МП3-Уф</t>
        </is>
      </c>
      <c r="D11" s="254" t="inlineStr">
        <is>
          <t>15435</t>
        </is>
      </c>
      <c r="E11" s="254" t="inlineStr"/>
      <c r="F11" s="243" t="inlineStr">
        <is>
          <t>0..160 кгс/см2</t>
        </is>
      </c>
      <c r="G11" s="243" t="inlineStr">
        <is>
          <t>1.5</t>
        </is>
      </c>
      <c r="H11" s="246" t="inlineStr">
        <is>
          <t>P импульсного газа крана 2т (фильтр)</t>
        </is>
      </c>
      <c r="I11" s="243" t="inlineStr">
        <is>
          <t>Узел подключения</t>
        </is>
      </c>
      <c r="J11" s="243" t="inlineStr">
        <is>
          <t>АСУ,А и ТМ (КЦ № 7)</t>
        </is>
      </c>
      <c r="K11" s="243" t="inlineStr">
        <is>
          <t>2019</t>
        </is>
      </c>
      <c r="L11" s="243" t="inlineStr">
        <is>
          <t>12</t>
        </is>
      </c>
      <c r="M11" s="246" t="inlineStr">
        <is>
          <t>2К26</t>
        </is>
      </c>
      <c r="N11" s="248" t="inlineStr">
        <is>
          <t>К</t>
        </is>
      </c>
    </row>
    <row r="12" ht="22.5" customHeight="1" s="236">
      <c r="A12" s="243" t="n">
        <v>11</v>
      </c>
      <c r="B12" s="246" t="inlineStr">
        <is>
          <t>Манометр технический</t>
        </is>
      </c>
      <c r="C12" s="254" t="inlineStr">
        <is>
          <t>МП4-УфБСУХЛ1</t>
        </is>
      </c>
      <c r="D12" s="254" t="inlineStr">
        <is>
          <t>309019</t>
        </is>
      </c>
      <c r="E12" s="254" t="inlineStr"/>
      <c r="F12" s="243" t="inlineStr">
        <is>
          <t>0..16 МПа</t>
        </is>
      </c>
      <c r="G12" s="243" t="inlineStr">
        <is>
          <t>1</t>
        </is>
      </c>
      <c r="H12" s="246" t="inlineStr">
        <is>
          <t>P импульсного газа крана 2т (до фильтра)</t>
        </is>
      </c>
      <c r="I12" s="243" t="inlineStr">
        <is>
          <t>Узел подключения</t>
        </is>
      </c>
      <c r="J12" s="243" t="inlineStr">
        <is>
          <t>АСУ,А и ТМ (КЦ № 7)</t>
        </is>
      </c>
      <c r="K12" s="243" t="inlineStr">
        <is>
          <t>2019</t>
        </is>
      </c>
      <c r="L12" s="243" t="inlineStr">
        <is>
          <t>12</t>
        </is>
      </c>
      <c r="M12" s="246" t="inlineStr">
        <is>
          <t>2К26</t>
        </is>
      </c>
      <c r="N12" s="248" t="inlineStr">
        <is>
          <t>К</t>
        </is>
      </c>
    </row>
    <row r="13" ht="22.5" customHeight="1" s="236">
      <c r="A13" s="243" t="n">
        <v>12</v>
      </c>
      <c r="B13" s="246" t="inlineStr">
        <is>
          <t>Манометр технический</t>
        </is>
      </c>
      <c r="C13" s="254" t="inlineStr">
        <is>
          <t>ТМ5</t>
        </is>
      </c>
      <c r="D13" s="254" t="inlineStr">
        <is>
          <t>15228</t>
        </is>
      </c>
      <c r="E13" s="254" t="inlineStr"/>
      <c r="F13" s="243" t="inlineStr">
        <is>
          <t>0..160 кгс/см2</t>
        </is>
      </c>
      <c r="G13" s="243" t="inlineStr">
        <is>
          <t>1.5</t>
        </is>
      </c>
      <c r="H13" s="246" t="inlineStr">
        <is>
          <t>P импульсного газа крана 4т (фильтр)</t>
        </is>
      </c>
      <c r="I13" s="243" t="inlineStr">
        <is>
          <t>Узел подключения</t>
        </is>
      </c>
      <c r="J13" s="243" t="inlineStr">
        <is>
          <t>АСУ,А и ТМ (КЦ № 7)</t>
        </is>
      </c>
      <c r="K13" s="243" t="inlineStr">
        <is>
          <t>2019</t>
        </is>
      </c>
      <c r="L13" s="243" t="inlineStr">
        <is>
          <t>12</t>
        </is>
      </c>
      <c r="M13" s="246" t="inlineStr">
        <is>
          <t>2К26</t>
        </is>
      </c>
      <c r="N13" s="248" t="inlineStr">
        <is>
          <t>К</t>
        </is>
      </c>
    </row>
    <row r="14" ht="22.5" customHeight="1" s="236">
      <c r="A14" s="243" t="n">
        <v>13</v>
      </c>
      <c r="B14" s="246" t="inlineStr">
        <is>
          <t>Манометр технический</t>
        </is>
      </c>
      <c r="C14" s="254" t="inlineStr">
        <is>
          <t>МП4-УфБСУХЛ1</t>
        </is>
      </c>
      <c r="D14" s="254" t="inlineStr">
        <is>
          <t>312551</t>
        </is>
      </c>
      <c r="E14" s="254" t="inlineStr"/>
      <c r="F14" s="243" t="inlineStr">
        <is>
          <t>0..16 МПа</t>
        </is>
      </c>
      <c r="G14" s="243" t="inlineStr">
        <is>
          <t>1</t>
        </is>
      </c>
      <c r="H14" s="246" t="inlineStr">
        <is>
          <t>P импульсного газа крана 4т (до фильтра)</t>
        </is>
      </c>
      <c r="I14" s="243" t="inlineStr">
        <is>
          <t>Узел подключения</t>
        </is>
      </c>
      <c r="J14" s="243" t="inlineStr">
        <is>
          <t>АСУ,А и ТМ (КЦ № 7)</t>
        </is>
      </c>
      <c r="K14" s="243" t="inlineStr">
        <is>
          <t>2019</t>
        </is>
      </c>
      <c r="L14" s="243" t="inlineStr">
        <is>
          <t>12</t>
        </is>
      </c>
      <c r="M14" s="246" t="inlineStr">
        <is>
          <t>2К26</t>
        </is>
      </c>
      <c r="N14" s="248" t="inlineStr">
        <is>
          <t>К</t>
        </is>
      </c>
    </row>
    <row r="15" ht="22.5" customHeight="1" s="236">
      <c r="A15" s="243" t="n">
        <v>14</v>
      </c>
      <c r="B15" s="246" t="inlineStr">
        <is>
          <t>Манометр технический</t>
        </is>
      </c>
      <c r="C15" s="254" t="inlineStr">
        <is>
          <t>ТМ5</t>
        </is>
      </c>
      <c r="D15" s="254" t="inlineStr">
        <is>
          <t>15226</t>
        </is>
      </c>
      <c r="E15" s="254" t="inlineStr"/>
      <c r="F15" s="243" t="inlineStr">
        <is>
          <t>0..160 кгс/см2</t>
        </is>
      </c>
      <c r="G15" s="243" t="inlineStr">
        <is>
          <t>1.5</t>
        </is>
      </c>
      <c r="H15" s="246" t="inlineStr">
        <is>
          <t>P импульсного газа крана 3т (фильтр)</t>
        </is>
      </c>
      <c r="I15" s="243" t="inlineStr">
        <is>
          <t>Узел подключения</t>
        </is>
      </c>
      <c r="J15" s="243" t="inlineStr">
        <is>
          <t>АСУ,А и ТМ (КЦ № 7)</t>
        </is>
      </c>
      <c r="K15" s="243" t="inlineStr">
        <is>
          <t>2019</t>
        </is>
      </c>
      <c r="L15" s="243" t="inlineStr">
        <is>
          <t>12</t>
        </is>
      </c>
      <c r="M15" s="246" t="inlineStr">
        <is>
          <t>2К26</t>
        </is>
      </c>
      <c r="N15" s="248" t="inlineStr">
        <is>
          <t>К</t>
        </is>
      </c>
    </row>
    <row r="16" ht="22.5" customHeight="1" s="236">
      <c r="A16" s="243" t="n">
        <v>15</v>
      </c>
      <c r="B16" s="246" t="inlineStr">
        <is>
          <t>Манометр технический</t>
        </is>
      </c>
      <c r="C16" s="254" t="inlineStr">
        <is>
          <t>МП4-УУ2</t>
        </is>
      </c>
      <c r="D16" s="254" t="inlineStr">
        <is>
          <t>232017119</t>
        </is>
      </c>
      <c r="E16" s="254" t="inlineStr"/>
      <c r="F16" s="243" t="inlineStr">
        <is>
          <t>0..160 кгс/см2</t>
        </is>
      </c>
      <c r="G16" s="243" t="inlineStr">
        <is>
          <t>1</t>
        </is>
      </c>
      <c r="H16" s="246" t="inlineStr">
        <is>
          <t>P импульсного газа крана 3т (до фильтра)</t>
        </is>
      </c>
      <c r="I16" s="243" t="inlineStr">
        <is>
          <t>Узел подключения</t>
        </is>
      </c>
      <c r="J16" s="243" t="inlineStr">
        <is>
          <t>АСУ,А и ТМ (КЦ № 7)</t>
        </is>
      </c>
      <c r="K16" s="243" t="inlineStr">
        <is>
          <t>2019</t>
        </is>
      </c>
      <c r="L16" s="243" t="inlineStr">
        <is>
          <t>12</t>
        </is>
      </c>
      <c r="M16" s="246" t="inlineStr">
        <is>
          <t>2К26</t>
        </is>
      </c>
      <c r="N16" s="248" t="inlineStr">
        <is>
          <t>К</t>
        </is>
      </c>
    </row>
    <row r="17" ht="22.5" customHeight="1" s="236">
      <c r="A17" s="243" t="n">
        <v>16</v>
      </c>
      <c r="B17" s="246" t="inlineStr">
        <is>
          <t>Манометр технический</t>
        </is>
      </c>
      <c r="C17" s="254" t="inlineStr">
        <is>
          <t>МП3-УУ2</t>
        </is>
      </c>
      <c r="D17" s="254" t="inlineStr">
        <is>
          <t>15666</t>
        </is>
      </c>
      <c r="E17" s="254" t="inlineStr"/>
      <c r="F17" s="243" t="inlineStr">
        <is>
          <t>0..16 МПа</t>
        </is>
      </c>
      <c r="G17" s="243" t="inlineStr">
        <is>
          <t>1.5</t>
        </is>
      </c>
      <c r="H17" s="246" t="inlineStr">
        <is>
          <t>P импульсного газа крана 1т (фильтр)</t>
        </is>
      </c>
      <c r="I17" s="243" t="inlineStr">
        <is>
          <t>Узел подключения</t>
        </is>
      </c>
      <c r="J17" s="243" t="inlineStr">
        <is>
          <t>АСУ,А и ТМ (КЦ № 7)</t>
        </is>
      </c>
      <c r="K17" s="243" t="inlineStr">
        <is>
          <t>2019</t>
        </is>
      </c>
      <c r="L17" s="243" t="inlineStr">
        <is>
          <t>12</t>
        </is>
      </c>
      <c r="M17" s="246" t="inlineStr">
        <is>
          <t>2К26</t>
        </is>
      </c>
      <c r="N17" s="248" t="inlineStr">
        <is>
          <t>К</t>
        </is>
      </c>
    </row>
    <row r="18" ht="22.5" customHeight="1" s="236">
      <c r="A18" s="243" t="n">
        <v>17</v>
      </c>
      <c r="B18" s="246" t="inlineStr">
        <is>
          <t>Манометр технический</t>
        </is>
      </c>
      <c r="C18" s="254" t="inlineStr">
        <is>
          <t>МП4-УУ2</t>
        </is>
      </c>
      <c r="D18" s="254" t="inlineStr">
        <is>
          <t>7000134</t>
        </is>
      </c>
      <c r="E18" s="254" t="inlineStr"/>
      <c r="F18" s="243" t="inlineStr">
        <is>
          <t>0..16 МПа</t>
        </is>
      </c>
      <c r="G18" s="243" t="inlineStr">
        <is>
          <t>1.5</t>
        </is>
      </c>
      <c r="H18" s="246" t="inlineStr">
        <is>
          <t>P импульсного газа крана 1т (до фильтра)</t>
        </is>
      </c>
      <c r="I18" s="243" t="inlineStr">
        <is>
          <t>Узел подключения</t>
        </is>
      </c>
      <c r="J18" s="243" t="inlineStr">
        <is>
          <t>АСУ,А и ТМ (КЦ № 7)</t>
        </is>
      </c>
      <c r="K18" s="243" t="inlineStr">
        <is>
          <t>2019</t>
        </is>
      </c>
      <c r="L18" s="243" t="inlineStr">
        <is>
          <t>12</t>
        </is>
      </c>
      <c r="M18" s="246" t="inlineStr">
        <is>
          <t>2К26</t>
        </is>
      </c>
      <c r="N18" s="248" t="inlineStr">
        <is>
          <t>К</t>
        </is>
      </c>
    </row>
    <row r="19" ht="22.5" customHeight="1" s="236">
      <c r="A19" s="243" t="n">
        <v>18</v>
      </c>
      <c r="B19" s="246" t="inlineStr">
        <is>
          <t>Манометр технический</t>
        </is>
      </c>
      <c r="C19" s="254" t="inlineStr">
        <is>
          <t>МП3-УУ2</t>
        </is>
      </c>
      <c r="D19" s="254" t="inlineStr">
        <is>
          <t>15667</t>
        </is>
      </c>
      <c r="E19" s="254" t="inlineStr"/>
      <c r="F19" s="243" t="inlineStr">
        <is>
          <t>0..16 МПа</t>
        </is>
      </c>
      <c r="G19" s="243" t="inlineStr">
        <is>
          <t>1.5</t>
        </is>
      </c>
      <c r="H19" s="246" t="inlineStr">
        <is>
          <t>P импульсного газа крана 1с (фильтр)</t>
        </is>
      </c>
      <c r="I19" s="243" t="inlineStr">
        <is>
          <t>Узел подключения</t>
        </is>
      </c>
      <c r="J19" s="243" t="inlineStr">
        <is>
          <t>АСУ,А и ТМ (КЦ № 7)</t>
        </is>
      </c>
      <c r="K19" s="243" t="inlineStr">
        <is>
          <t>2019</t>
        </is>
      </c>
      <c r="L19" s="243" t="inlineStr">
        <is>
          <t>12</t>
        </is>
      </c>
      <c r="M19" s="246" t="inlineStr">
        <is>
          <t>2К26</t>
        </is>
      </c>
      <c r="N19" s="248" t="inlineStr">
        <is>
          <t>К</t>
        </is>
      </c>
    </row>
    <row r="20" ht="22.5" customHeight="1" s="236">
      <c r="A20" s="243" t="n">
        <v>19</v>
      </c>
      <c r="B20" s="246" t="inlineStr">
        <is>
          <t>Манометр технический</t>
        </is>
      </c>
      <c r="C20" s="254" t="inlineStr">
        <is>
          <t>МП4-УУ2</t>
        </is>
      </c>
      <c r="D20" s="254" t="inlineStr">
        <is>
          <t>15325</t>
        </is>
      </c>
      <c r="E20" s="254" t="inlineStr"/>
      <c r="F20" s="243" t="inlineStr">
        <is>
          <t>0..160 кгс/см2</t>
        </is>
      </c>
      <c r="G20" s="243" t="inlineStr">
        <is>
          <t>1.5</t>
        </is>
      </c>
      <c r="H20" s="246" t="inlineStr">
        <is>
          <t>P импульсного газа крана 1с (до фильтра)</t>
        </is>
      </c>
      <c r="I20" s="243" t="inlineStr">
        <is>
          <t>Узел подключения</t>
        </is>
      </c>
      <c r="J20" s="243" t="inlineStr">
        <is>
          <t>АСУ,А и ТМ (КЦ № 7)</t>
        </is>
      </c>
      <c r="K20" s="243" t="inlineStr">
        <is>
          <t>2019</t>
        </is>
      </c>
      <c r="L20" s="243" t="inlineStr">
        <is>
          <t>12</t>
        </is>
      </c>
      <c r="M20" s="246" t="inlineStr">
        <is>
          <t>2К26</t>
        </is>
      </c>
      <c r="N20" s="248" t="inlineStr">
        <is>
          <t>К</t>
        </is>
      </c>
    </row>
    <row r="21" ht="22.5" customHeight="1" s="236">
      <c r="A21" s="243" t="n">
        <v>20</v>
      </c>
      <c r="B21" s="246" t="inlineStr">
        <is>
          <t>Манометр технический</t>
        </is>
      </c>
      <c r="C21" s="254" t="inlineStr">
        <is>
          <t>МП3-УУХЛ1</t>
        </is>
      </c>
      <c r="D21" s="254" t="inlineStr">
        <is>
          <t>7000148</t>
        </is>
      </c>
      <c r="E21" s="254" t="inlineStr"/>
      <c r="F21" s="243" t="inlineStr">
        <is>
          <t>0..160 кгс/см2</t>
        </is>
      </c>
      <c r="G21" s="243" t="inlineStr">
        <is>
          <t>1</t>
        </is>
      </c>
      <c r="H21" s="246" t="inlineStr">
        <is>
          <t>P импульсного газа крана 2с (фильтр)</t>
        </is>
      </c>
      <c r="I21" s="243" t="inlineStr">
        <is>
          <t>Узел подключения</t>
        </is>
      </c>
      <c r="J21" s="243" t="inlineStr">
        <is>
          <t>АСУ,А и ТМ (КЦ № 7)</t>
        </is>
      </c>
      <c r="K21" s="243" t="inlineStr">
        <is>
          <t>2019</t>
        </is>
      </c>
      <c r="L21" s="243" t="inlineStr">
        <is>
          <t>12</t>
        </is>
      </c>
      <c r="M21" s="246" t="inlineStr">
        <is>
          <t>2К26</t>
        </is>
      </c>
      <c r="N21" s="248" t="inlineStr">
        <is>
          <t>К</t>
        </is>
      </c>
    </row>
    <row r="22" ht="22.5" customHeight="1" s="236">
      <c r="A22" s="243" t="n">
        <v>21</v>
      </c>
      <c r="B22" s="246" t="inlineStr">
        <is>
          <t>Манометр технический</t>
        </is>
      </c>
      <c r="C22" s="254" t="inlineStr">
        <is>
          <t>МП4-УУХЛ1</t>
        </is>
      </c>
      <c r="D22" s="254" t="inlineStr">
        <is>
          <t>310380</t>
        </is>
      </c>
      <c r="E22" s="254" t="inlineStr"/>
      <c r="F22" s="243" t="inlineStr">
        <is>
          <t>0..16 МПа</t>
        </is>
      </c>
      <c r="G22" s="243" t="inlineStr">
        <is>
          <t>1</t>
        </is>
      </c>
      <c r="H22" s="246" t="inlineStr">
        <is>
          <t>P импульсного газа крана 2с (до фильтра)</t>
        </is>
      </c>
      <c r="I22" s="243" t="inlineStr">
        <is>
          <t>Узел подключения</t>
        </is>
      </c>
      <c r="J22" s="243" t="inlineStr">
        <is>
          <t>АСУ,А и ТМ (КЦ № 7)</t>
        </is>
      </c>
      <c r="K22" s="243" t="inlineStr">
        <is>
          <t>2019</t>
        </is>
      </c>
      <c r="L22" s="243" t="inlineStr">
        <is>
          <t>12</t>
        </is>
      </c>
      <c r="M22" s="246" t="inlineStr">
        <is>
          <t>2К26</t>
        </is>
      </c>
      <c r="N22" s="248" t="inlineStr">
        <is>
          <t>К</t>
        </is>
      </c>
    </row>
    <row r="23" ht="22.5" customHeight="1" s="236">
      <c r="A23" s="243" t="n">
        <v>22</v>
      </c>
      <c r="B23" s="246" t="inlineStr">
        <is>
          <t>Манометр технический</t>
        </is>
      </c>
      <c r="C23" s="254" t="inlineStr">
        <is>
          <t>МП3-УУХЛ1</t>
        </is>
      </c>
      <c r="D23" s="254" t="inlineStr">
        <is>
          <t>15263</t>
        </is>
      </c>
      <c r="E23" s="254" t="inlineStr"/>
      <c r="F23" s="243" t="inlineStr">
        <is>
          <t>0..160 кгс/см2</t>
        </is>
      </c>
      <c r="G23" s="243" t="inlineStr">
        <is>
          <t>1.5</t>
        </is>
      </c>
      <c r="H23" s="246" t="inlineStr">
        <is>
          <t>P импульсного газа крана 3с (фильтр)</t>
        </is>
      </c>
      <c r="I23" s="243" t="inlineStr">
        <is>
          <t>Узел подключения</t>
        </is>
      </c>
      <c r="J23" s="243" t="inlineStr">
        <is>
          <t>АСУ,А и ТМ (КЦ № 7)</t>
        </is>
      </c>
      <c r="K23" s="243" t="inlineStr">
        <is>
          <t>2019</t>
        </is>
      </c>
      <c r="L23" s="243" t="inlineStr">
        <is>
          <t>12</t>
        </is>
      </c>
      <c r="M23" s="246" t="inlineStr">
        <is>
          <t>2К26</t>
        </is>
      </c>
      <c r="N23" s="248" t="inlineStr">
        <is>
          <t>К</t>
        </is>
      </c>
    </row>
    <row r="24" ht="22.5" customHeight="1" s="236">
      <c r="A24" s="243" t="n">
        <v>23</v>
      </c>
      <c r="B24" s="246" t="inlineStr">
        <is>
          <t>Манометр технический</t>
        </is>
      </c>
      <c r="C24" s="254" t="inlineStr">
        <is>
          <t>МП4-УУ2</t>
        </is>
      </c>
      <c r="D24" s="254" t="inlineStr">
        <is>
          <t>7000137</t>
        </is>
      </c>
      <c r="E24" s="254" t="inlineStr"/>
      <c r="F24" s="243" t="inlineStr">
        <is>
          <t>0..16 МПа</t>
        </is>
      </c>
      <c r="G24" s="243" t="inlineStr">
        <is>
          <t>1.5</t>
        </is>
      </c>
      <c r="H24" s="246" t="inlineStr">
        <is>
          <t>P импульсного газа крана 3с (до фильтра)</t>
        </is>
      </c>
      <c r="I24" s="243" t="inlineStr">
        <is>
          <t>Узел подключения</t>
        </is>
      </c>
      <c r="J24" s="243" t="inlineStr">
        <is>
          <t>АСУ,А и ТМ (КЦ № 7)</t>
        </is>
      </c>
      <c r="K24" s="243" t="inlineStr">
        <is>
          <t>2019</t>
        </is>
      </c>
      <c r="L24" s="243" t="inlineStr">
        <is>
          <t>12</t>
        </is>
      </c>
      <c r="M24" s="246" t="inlineStr">
        <is>
          <t>2К26</t>
        </is>
      </c>
      <c r="N24" s="248" t="inlineStr">
        <is>
          <t>К</t>
        </is>
      </c>
    </row>
    <row r="25" ht="22.5" customHeight="1" s="236">
      <c r="A25" s="243" t="n">
        <v>24</v>
      </c>
      <c r="B25" s="246" t="inlineStr">
        <is>
          <t>Манометр технический</t>
        </is>
      </c>
      <c r="C25" s="254" t="inlineStr">
        <is>
          <t>МП4-УУ2</t>
        </is>
      </c>
      <c r="D25" s="254" t="inlineStr">
        <is>
          <t>7000274</t>
        </is>
      </c>
      <c r="E25" s="254" t="inlineStr"/>
      <c r="F25" s="243" t="inlineStr">
        <is>
          <t>0..16 МПа</t>
        </is>
      </c>
      <c r="G25" s="243" t="inlineStr">
        <is>
          <t>1</t>
        </is>
      </c>
      <c r="H25" s="246" t="inlineStr">
        <is>
          <t>P импульсного газа крана 20-7</t>
        </is>
      </c>
      <c r="I25" s="243" t="inlineStr">
        <is>
          <t>Узел подключения</t>
        </is>
      </c>
      <c r="J25" s="243" t="inlineStr">
        <is>
          <t>АСУ,А и ТМ (КЦ № 7)</t>
        </is>
      </c>
      <c r="K25" s="243" t="inlineStr">
        <is>
          <t>2019</t>
        </is>
      </c>
      <c r="L25" s="243" t="inlineStr">
        <is>
          <t>12</t>
        </is>
      </c>
      <c r="M25" s="246" t="inlineStr">
        <is>
          <t>2К26</t>
        </is>
      </c>
      <c r="N25" s="248" t="inlineStr">
        <is>
          <t>К</t>
        </is>
      </c>
    </row>
    <row r="26" ht="22.5" customHeight="1" s="236">
      <c r="A26" s="243" t="n">
        <v>25</v>
      </c>
      <c r="B26" s="246" t="inlineStr">
        <is>
          <t>Манометр технический</t>
        </is>
      </c>
      <c r="C26" s="254" t="inlineStr">
        <is>
          <t>МП3-Уф</t>
        </is>
      </c>
      <c r="D26" s="254" t="inlineStr">
        <is>
          <t>004463</t>
        </is>
      </c>
      <c r="E26" s="254" t="inlineStr"/>
      <c r="F26" s="243" t="inlineStr">
        <is>
          <t>0..160 кгс/см2</t>
        </is>
      </c>
      <c r="G26" s="243" t="inlineStr">
        <is>
          <t>1.5</t>
        </is>
      </c>
      <c r="H26" s="246" t="inlineStr">
        <is>
          <t>P импульсного газа крана 8р2 (фильтр)</t>
        </is>
      </c>
      <c r="I26" s="243" t="inlineStr">
        <is>
          <t>Узел подключения</t>
        </is>
      </c>
      <c r="J26" s="243" t="inlineStr">
        <is>
          <t>АСУ,А и ТМ (КЦ № 7)</t>
        </is>
      </c>
      <c r="K26" s="243" t="inlineStr">
        <is>
          <t>2019</t>
        </is>
      </c>
      <c r="L26" s="243" t="inlineStr">
        <is>
          <t>12</t>
        </is>
      </c>
      <c r="M26" s="246" t="inlineStr">
        <is>
          <t>2К26</t>
        </is>
      </c>
      <c r="N26" s="248" t="inlineStr">
        <is>
          <t>К</t>
        </is>
      </c>
    </row>
    <row r="27" ht="22.5" customHeight="1" s="236">
      <c r="A27" s="243" t="n">
        <v>26</v>
      </c>
      <c r="B27" s="246" t="inlineStr">
        <is>
          <t>Манометр технический</t>
        </is>
      </c>
      <c r="C27" s="254" t="inlineStr">
        <is>
          <t>МП4-УУХЛ1</t>
        </is>
      </c>
      <c r="D27" s="254" t="inlineStr">
        <is>
          <t>2097322</t>
        </is>
      </c>
      <c r="E27" s="254" t="inlineStr"/>
      <c r="F27" s="243" t="inlineStr">
        <is>
          <t>0..160 кгс/см2</t>
        </is>
      </c>
      <c r="G27" s="243" t="inlineStr">
        <is>
          <t>1</t>
        </is>
      </c>
      <c r="H27" s="246" t="inlineStr">
        <is>
          <t>P импульсного газа крана 8р2 (до фильтра)</t>
        </is>
      </c>
      <c r="I27" s="243" t="inlineStr">
        <is>
          <t>Узел подключения</t>
        </is>
      </c>
      <c r="J27" s="243" t="inlineStr">
        <is>
          <t>АСУ,А и ТМ (КЦ № 7)</t>
        </is>
      </c>
      <c r="K27" s="243" t="inlineStr">
        <is>
          <t>2019</t>
        </is>
      </c>
      <c r="L27" s="243" t="inlineStr">
        <is>
          <t>12</t>
        </is>
      </c>
      <c r="M27" s="246" t="inlineStr">
        <is>
          <t>2К26</t>
        </is>
      </c>
      <c r="N27" s="248" t="inlineStr">
        <is>
          <t>К</t>
        </is>
      </c>
    </row>
    <row r="28" ht="22.5" customFormat="1" customHeight="1" s="416">
      <c r="A28" s="243" t="n">
        <v>27</v>
      </c>
      <c r="B28" s="246" t="inlineStr">
        <is>
          <t>Манометр технический</t>
        </is>
      </c>
      <c r="C28" s="254" t="inlineStr">
        <is>
          <t>МП3-УУ2</t>
        </is>
      </c>
      <c r="D28" s="254" t="inlineStr">
        <is>
          <t>15551</t>
        </is>
      </c>
      <c r="E28" s="254" t="inlineStr"/>
      <c r="F28" s="243" t="inlineStr">
        <is>
          <t>0..16 МПа</t>
        </is>
      </c>
      <c r="G28" s="243" t="inlineStr">
        <is>
          <t>1.5</t>
        </is>
      </c>
      <c r="H28" s="246" t="inlineStr">
        <is>
          <t>P импульсного газа крана 8с (фильтр)</t>
        </is>
      </c>
      <c r="I28" s="243" t="inlineStr">
        <is>
          <t>Узел подключения</t>
        </is>
      </c>
      <c r="J28" s="243" t="inlineStr">
        <is>
          <t>АСУ,А и ТМ (КЦ № 7)</t>
        </is>
      </c>
      <c r="K28" s="243" t="inlineStr">
        <is>
          <t>2019</t>
        </is>
      </c>
      <c r="L28" s="243" t="inlineStr">
        <is>
          <t>12</t>
        </is>
      </c>
      <c r="M28" s="246" t="inlineStr">
        <is>
          <t>2К26</t>
        </is>
      </c>
      <c r="N28" s="248" t="inlineStr">
        <is>
          <t>К</t>
        </is>
      </c>
    </row>
    <row r="29" ht="22.5" customHeight="1" s="236">
      <c r="A29" s="243" t="n">
        <v>28</v>
      </c>
      <c r="B29" s="246" t="inlineStr">
        <is>
          <t>Манометр технический</t>
        </is>
      </c>
      <c r="C29" s="254" t="inlineStr">
        <is>
          <t>МП4-УУ2</t>
        </is>
      </c>
      <c r="D29" s="254" t="inlineStr">
        <is>
          <t>7000144</t>
        </is>
      </c>
      <c r="E29" s="254" t="inlineStr"/>
      <c r="F29" s="243" t="inlineStr">
        <is>
          <t>0..16 МПа</t>
        </is>
      </c>
      <c r="G29" s="243" t="inlineStr">
        <is>
          <t>1</t>
        </is>
      </c>
      <c r="H29" s="246" t="inlineStr">
        <is>
          <t>P импульсного газа крана 8с (до фильтра)</t>
        </is>
      </c>
      <c r="I29" s="243" t="inlineStr">
        <is>
          <t>Узел подключения</t>
        </is>
      </c>
      <c r="J29" s="243" t="inlineStr">
        <is>
          <t>АСУ,А и ТМ (КЦ № 7)</t>
        </is>
      </c>
      <c r="K29" s="243" t="inlineStr">
        <is>
          <t>2019</t>
        </is>
      </c>
      <c r="L29" s="243" t="inlineStr">
        <is>
          <t>12</t>
        </is>
      </c>
      <c r="M29" s="246" t="inlineStr">
        <is>
          <t>2К26</t>
        </is>
      </c>
      <c r="N29" s="248" t="inlineStr">
        <is>
          <t>К</t>
        </is>
      </c>
    </row>
    <row r="30" ht="22.5" customHeight="1" s="236">
      <c r="A30" s="243" t="n">
        <v>29</v>
      </c>
      <c r="B30" s="246" t="inlineStr">
        <is>
          <t>Манометр технический</t>
        </is>
      </c>
      <c r="C30" s="254" t="inlineStr">
        <is>
          <t>МП3-УУ2</t>
        </is>
      </c>
      <c r="D30" s="254" t="inlineStr">
        <is>
          <t>212027983</t>
        </is>
      </c>
      <c r="E30" s="254" t="inlineStr"/>
      <c r="F30" s="243" t="inlineStr">
        <is>
          <t>0..16 МПа</t>
        </is>
      </c>
      <c r="G30" s="243" t="inlineStr">
        <is>
          <t>1</t>
        </is>
      </c>
      <c r="H30" s="246" t="inlineStr">
        <is>
          <t>P импульсного газа крана 8р1 (фильтр)</t>
        </is>
      </c>
      <c r="I30" s="243" t="inlineStr">
        <is>
          <t>Узел подключения</t>
        </is>
      </c>
      <c r="J30" s="243" t="inlineStr">
        <is>
          <t>АСУ,А и ТМ (КЦ № 7)</t>
        </is>
      </c>
      <c r="K30" s="243" t="inlineStr">
        <is>
          <t>2019</t>
        </is>
      </c>
      <c r="L30" s="243" t="inlineStr">
        <is>
          <t>12</t>
        </is>
      </c>
      <c r="M30" s="246" t="inlineStr">
        <is>
          <t>2К26</t>
        </is>
      </c>
      <c r="N30" s="248" t="inlineStr">
        <is>
          <t>К</t>
        </is>
      </c>
    </row>
    <row r="31" ht="22.5" customHeight="1" s="236">
      <c r="A31" s="243" t="n">
        <v>30</v>
      </c>
      <c r="B31" s="246" t="inlineStr">
        <is>
          <t>Манометр технический</t>
        </is>
      </c>
      <c r="C31" s="254" t="inlineStr">
        <is>
          <t>МП4-УУ2</t>
        </is>
      </c>
      <c r="D31" s="254" t="inlineStr">
        <is>
          <t>15535</t>
        </is>
      </c>
      <c r="E31" s="254" t="inlineStr"/>
      <c r="F31" s="243" t="inlineStr">
        <is>
          <t>0..160 кгс/см2</t>
        </is>
      </c>
      <c r="G31" s="243" t="inlineStr">
        <is>
          <t>1.5</t>
        </is>
      </c>
      <c r="H31" s="246" t="inlineStr">
        <is>
          <t>P импульсного газа крана 8р1 (до фильтра)</t>
        </is>
      </c>
      <c r="I31" s="243" t="inlineStr">
        <is>
          <t>Узел подключения</t>
        </is>
      </c>
      <c r="J31" s="243" t="inlineStr">
        <is>
          <t>АСУ,А и ТМ (КЦ № 7)</t>
        </is>
      </c>
      <c r="K31" s="243" t="inlineStr">
        <is>
          <t>2019</t>
        </is>
      </c>
      <c r="L31" s="243" t="inlineStr">
        <is>
          <t>12</t>
        </is>
      </c>
      <c r="M31" s="246" t="inlineStr">
        <is>
          <t>2К26</t>
        </is>
      </c>
      <c r="N31" s="248" t="inlineStr">
        <is>
          <t>К</t>
        </is>
      </c>
    </row>
    <row r="32" ht="22.5" customHeight="1" s="236">
      <c r="A32" s="243" t="n">
        <v>31</v>
      </c>
      <c r="B32" s="246" t="inlineStr">
        <is>
          <t>Манометр технический</t>
        </is>
      </c>
      <c r="C32" s="254" t="inlineStr">
        <is>
          <t>МП3-УУ2</t>
        </is>
      </c>
      <c r="D32" s="254" t="inlineStr">
        <is>
          <t>212027929</t>
        </is>
      </c>
      <c r="E32" s="254" t="inlineStr"/>
      <c r="F32" s="243" t="inlineStr">
        <is>
          <t>0..16 МПа</t>
        </is>
      </c>
      <c r="G32" s="243" t="inlineStr">
        <is>
          <t>1</t>
        </is>
      </c>
      <c r="H32" s="246" t="inlineStr">
        <is>
          <t>P импульсного газа крана 26 (фильтр)</t>
        </is>
      </c>
      <c r="I32" s="243" t="inlineStr">
        <is>
          <t>Узел подключения</t>
        </is>
      </c>
      <c r="J32" s="243" t="inlineStr">
        <is>
          <t>АСУ,А и ТМ (КЦ № 7)</t>
        </is>
      </c>
      <c r="K32" s="243" t="inlineStr">
        <is>
          <t>2019</t>
        </is>
      </c>
      <c r="L32" s="243" t="inlineStr">
        <is>
          <t>12</t>
        </is>
      </c>
      <c r="M32" s="246" t="inlineStr">
        <is>
          <t>2К26</t>
        </is>
      </c>
      <c r="N32" s="248" t="inlineStr">
        <is>
          <t>К</t>
        </is>
      </c>
    </row>
    <row r="33" ht="22.5" customHeight="1" s="236">
      <c r="A33" s="243" t="n">
        <v>32</v>
      </c>
      <c r="B33" s="246" t="inlineStr">
        <is>
          <t>Манометр технический</t>
        </is>
      </c>
      <c r="C33" s="254" t="inlineStr">
        <is>
          <t>МП4-УУ2</t>
        </is>
      </c>
      <c r="D33" s="254" t="inlineStr">
        <is>
          <t>7000135</t>
        </is>
      </c>
      <c r="E33" s="254" t="inlineStr"/>
      <c r="F33" s="243" t="inlineStr">
        <is>
          <t>0..16 МПа</t>
        </is>
      </c>
      <c r="G33" s="243" t="inlineStr">
        <is>
          <t>1</t>
        </is>
      </c>
      <c r="H33" s="246" t="inlineStr">
        <is>
          <t>P импульсного газа крана 26 (до фильтра)</t>
        </is>
      </c>
      <c r="I33" s="243" t="inlineStr">
        <is>
          <t>Узел подключения</t>
        </is>
      </c>
      <c r="J33" s="243" t="inlineStr">
        <is>
          <t>АСУ,А и ТМ (КЦ № 7)</t>
        </is>
      </c>
      <c r="K33" s="243" t="inlineStr">
        <is>
          <t>2019</t>
        </is>
      </c>
      <c r="L33" s="243" t="inlineStr">
        <is>
          <t>12</t>
        </is>
      </c>
      <c r="M33" s="246" t="inlineStr">
        <is>
          <t>2К26</t>
        </is>
      </c>
      <c r="N33" s="248" t="inlineStr">
        <is>
          <t>К</t>
        </is>
      </c>
    </row>
    <row r="34" ht="22.5" customHeight="1" s="236">
      <c r="A34" s="243" t="n">
        <v>33</v>
      </c>
      <c r="B34" s="246" t="inlineStr">
        <is>
          <t>Манометр технический</t>
        </is>
      </c>
      <c r="C34" s="254" t="inlineStr">
        <is>
          <t>МП3-УУ2</t>
        </is>
      </c>
      <c r="D34" s="254" t="inlineStr">
        <is>
          <t>212027932</t>
        </is>
      </c>
      <c r="E34" s="254" t="inlineStr"/>
      <c r="F34" s="243" t="inlineStr">
        <is>
          <t>0..16 МПа</t>
        </is>
      </c>
      <c r="G34" s="243" t="inlineStr">
        <is>
          <t>1</t>
        </is>
      </c>
      <c r="H34" s="246" t="inlineStr">
        <is>
          <t>P импульсного газа крана Г-7 КЗ</t>
        </is>
      </c>
      <c r="I34" s="243" t="inlineStr">
        <is>
          <t>Узел подключения</t>
        </is>
      </c>
      <c r="J34" s="243" t="inlineStr">
        <is>
          <t>АСУ,А и ТМ (КЦ № 7)</t>
        </is>
      </c>
      <c r="K34" s="243" t="inlineStr">
        <is>
          <t>2019</t>
        </is>
      </c>
      <c r="L34" s="243" t="inlineStr">
        <is>
          <t>12</t>
        </is>
      </c>
      <c r="M34" s="246" t="inlineStr">
        <is>
          <t>2К26</t>
        </is>
      </c>
      <c r="N34" s="248" t="inlineStr">
        <is>
          <t>К</t>
        </is>
      </c>
    </row>
    <row r="35" ht="22.5" customHeight="1" s="236">
      <c r="A35" s="243" t="n">
        <v>34</v>
      </c>
      <c r="B35" s="246" t="inlineStr">
        <is>
          <t>Манометр технический</t>
        </is>
      </c>
      <c r="C35" s="254" t="inlineStr">
        <is>
          <t>МП3-УУХЛ1</t>
        </is>
      </c>
      <c r="D35" s="254" t="inlineStr">
        <is>
          <t>212033572</t>
        </is>
      </c>
      <c r="E35" s="254" t="inlineStr"/>
      <c r="F35" s="243" t="inlineStr">
        <is>
          <t>0..16 МПа</t>
        </is>
      </c>
      <c r="G35" s="243" t="inlineStr">
        <is>
          <t>1.5</t>
        </is>
      </c>
      <c r="H35" s="246" t="inlineStr">
        <is>
          <t>P импульсного газа крана 22</t>
        </is>
      </c>
      <c r="I35" s="243" t="inlineStr">
        <is>
          <t>Узел подключения</t>
        </is>
      </c>
      <c r="J35" s="243" t="inlineStr">
        <is>
          <t>АСУ,А и ТМ (КЦ № 7)</t>
        </is>
      </c>
      <c r="K35" s="243" t="inlineStr">
        <is>
          <t>2019</t>
        </is>
      </c>
      <c r="L35" s="243" t="inlineStr">
        <is>
          <t>12</t>
        </is>
      </c>
      <c r="M35" s="246" t="inlineStr">
        <is>
          <t>2К26</t>
        </is>
      </c>
      <c r="N35" s="248" t="inlineStr">
        <is>
          <t>К</t>
        </is>
      </c>
    </row>
    <row r="36" ht="22.5" customHeight="1" s="236">
      <c r="A36" s="243" t="n">
        <v>35</v>
      </c>
      <c r="B36" s="246" t="inlineStr">
        <is>
          <t>Манометр технический</t>
        </is>
      </c>
      <c r="C36" s="254" t="inlineStr">
        <is>
          <t>МП3-УУ2</t>
        </is>
      </c>
      <c r="D36" s="254" t="inlineStr">
        <is>
          <t>15554</t>
        </is>
      </c>
      <c r="E36" s="254" t="inlineStr"/>
      <c r="F36" s="243" t="inlineStr">
        <is>
          <t>0..16 МПа</t>
        </is>
      </c>
      <c r="G36" s="243" t="inlineStr">
        <is>
          <t>1.5</t>
        </is>
      </c>
      <c r="H36" s="246" t="inlineStr">
        <is>
          <t>P импульсного газа крана 23</t>
        </is>
      </c>
      <c r="I36" s="243" t="inlineStr">
        <is>
          <t>Узел подключения</t>
        </is>
      </c>
      <c r="J36" s="243" t="inlineStr">
        <is>
          <t>АСУ,А и ТМ (КЦ № 7)</t>
        </is>
      </c>
      <c r="K36" s="243" t="inlineStr">
        <is>
          <t>2019</t>
        </is>
      </c>
      <c r="L36" s="243" t="inlineStr">
        <is>
          <t>12</t>
        </is>
      </c>
      <c r="M36" s="246" t="inlineStr">
        <is>
          <t>2К26</t>
        </is>
      </c>
      <c r="N36" s="248" t="inlineStr">
        <is>
          <t>К</t>
        </is>
      </c>
    </row>
    <row r="37" ht="22.5" customHeight="1" s="236">
      <c r="A37" s="243" t="n">
        <v>36</v>
      </c>
      <c r="B37" s="246" t="inlineStr">
        <is>
          <t>Манометр технический</t>
        </is>
      </c>
      <c r="C37" s="254" t="inlineStr">
        <is>
          <t>ТМ5</t>
        </is>
      </c>
      <c r="D37" s="254" t="inlineStr">
        <is>
          <t>15215</t>
        </is>
      </c>
      <c r="E37" s="254" t="inlineStr"/>
      <c r="F37" s="243" t="inlineStr">
        <is>
          <t>0..160 кгс/см2</t>
        </is>
      </c>
      <c r="G37" s="243" t="inlineStr">
        <is>
          <t>1.5</t>
        </is>
      </c>
      <c r="H37" s="246" t="inlineStr">
        <is>
          <t>P импульсного газа крана 24</t>
        </is>
      </c>
      <c r="I37" s="243" t="inlineStr">
        <is>
          <t>Узел подключения</t>
        </is>
      </c>
      <c r="J37" s="243" t="inlineStr">
        <is>
          <t>АСУ,А и ТМ (КЦ № 7)</t>
        </is>
      </c>
      <c r="K37" s="243" t="inlineStr">
        <is>
          <t>2019</t>
        </is>
      </c>
      <c r="L37" s="243" t="inlineStr">
        <is>
          <t>12</t>
        </is>
      </c>
      <c r="M37" s="246" t="inlineStr">
        <is>
          <t>2К26</t>
        </is>
      </c>
      <c r="N37" s="248" t="inlineStr">
        <is>
          <t>К</t>
        </is>
      </c>
    </row>
    <row r="38" ht="22.5" customHeight="1" s="236">
      <c r="A38" s="243" t="n">
        <v>37</v>
      </c>
      <c r="B38" s="246" t="inlineStr">
        <is>
          <t>Манометр технический</t>
        </is>
      </c>
      <c r="C38" s="254" t="inlineStr">
        <is>
          <t>ТМ6</t>
        </is>
      </c>
      <c r="D38" s="254" t="inlineStr">
        <is>
          <t>28552</t>
        </is>
      </c>
      <c r="E38" s="254" t="inlineStr"/>
      <c r="F38" s="243" t="inlineStr">
        <is>
          <t>0..160 кгс/см2</t>
        </is>
      </c>
      <c r="G38" s="243" t="inlineStr">
        <is>
          <t>1.5</t>
        </is>
      </c>
      <c r="H38" s="246" t="inlineStr">
        <is>
          <t>Рг в камере запуска</t>
        </is>
      </c>
      <c r="I38" s="243" t="inlineStr">
        <is>
          <t>Узел подключения</t>
        </is>
      </c>
      <c r="J38" s="243" t="inlineStr">
        <is>
          <t>АСУ,А и ТМ (КЦ № 7)</t>
        </is>
      </c>
      <c r="K38" s="243" t="inlineStr">
        <is>
          <t>2019</t>
        </is>
      </c>
      <c r="L38" s="243" t="inlineStr">
        <is>
          <t>12</t>
        </is>
      </c>
      <c r="M38" s="246" t="inlineStr">
        <is>
          <t>26ДЯУ</t>
        </is>
      </c>
      <c r="N38" s="248" t="inlineStr">
        <is>
          <t>П</t>
        </is>
      </c>
    </row>
    <row r="39" ht="22.5" customHeight="1" s="236">
      <c r="A39" s="243" t="n">
        <v>38</v>
      </c>
      <c r="B39" s="246" t="inlineStr">
        <is>
          <t>Манометр технический</t>
        </is>
      </c>
      <c r="C39" s="254" t="inlineStr">
        <is>
          <t>МП3-Уф</t>
        </is>
      </c>
      <c r="D39" s="254" t="inlineStr">
        <is>
          <t>002338</t>
        </is>
      </c>
      <c r="E39" s="254" t="inlineStr"/>
      <c r="F39" s="243" t="inlineStr">
        <is>
          <t>0..16 МПа</t>
        </is>
      </c>
      <c r="G39" s="243" t="inlineStr">
        <is>
          <t>1.5</t>
        </is>
      </c>
      <c r="H39" s="246" t="inlineStr">
        <is>
          <t>P импульсного газа крана 27</t>
        </is>
      </c>
      <c r="I39" s="243" t="inlineStr">
        <is>
          <t>Узел подключения</t>
        </is>
      </c>
      <c r="J39" s="243" t="inlineStr">
        <is>
          <t>АСУ,А и ТМ (КЦ № 7)</t>
        </is>
      </c>
      <c r="K39" s="243" t="inlineStr">
        <is>
          <t>2019</t>
        </is>
      </c>
      <c r="L39" s="243" t="inlineStr">
        <is>
          <t>12</t>
        </is>
      </c>
      <c r="M39" s="246" t="inlineStr">
        <is>
          <t>2К26</t>
        </is>
      </c>
      <c r="N39" s="248" t="inlineStr">
        <is>
          <t>К</t>
        </is>
      </c>
    </row>
    <row r="40" ht="22.5" customHeight="1" s="236">
      <c r="A40" s="243" t="n">
        <v>39</v>
      </c>
      <c r="B40" s="246" t="inlineStr">
        <is>
          <t>Манометр технический</t>
        </is>
      </c>
      <c r="C40" s="254" t="inlineStr">
        <is>
          <t>ТМ5</t>
        </is>
      </c>
      <c r="D40" s="254" t="inlineStr">
        <is>
          <t>15650</t>
        </is>
      </c>
      <c r="E40" s="254" t="inlineStr"/>
      <c r="F40" s="243" t="inlineStr">
        <is>
          <t>0..16 МПа</t>
        </is>
      </c>
      <c r="G40" s="243" t="inlineStr">
        <is>
          <t>1.5</t>
        </is>
      </c>
      <c r="H40" s="246" t="inlineStr">
        <is>
          <t>P импульсного газа крана 28</t>
        </is>
      </c>
      <c r="I40" s="243" t="inlineStr">
        <is>
          <t>Узел подключения</t>
        </is>
      </c>
      <c r="J40" s="243" t="inlineStr">
        <is>
          <t>АСУ,А и ТМ (КЦ № 7)</t>
        </is>
      </c>
      <c r="K40" s="243" t="inlineStr">
        <is>
          <t>2019</t>
        </is>
      </c>
      <c r="L40" s="243" t="inlineStr">
        <is>
          <t>12</t>
        </is>
      </c>
      <c r="M40" s="246" t="inlineStr">
        <is>
          <t>2К26</t>
        </is>
      </c>
      <c r="N40" s="248" t="inlineStr">
        <is>
          <t>К</t>
        </is>
      </c>
    </row>
    <row r="41" ht="22.5" customHeight="1" s="236">
      <c r="A41" s="243" t="n">
        <v>40</v>
      </c>
      <c r="B41" s="246" t="inlineStr">
        <is>
          <t>Манометр технический</t>
        </is>
      </c>
      <c r="C41" s="254" t="inlineStr">
        <is>
          <t>МП4-УУ2</t>
        </is>
      </c>
      <c r="D41" s="254" t="inlineStr">
        <is>
          <t>15541</t>
        </is>
      </c>
      <c r="E41" s="254" t="inlineStr"/>
      <c r="F41" s="243" t="inlineStr">
        <is>
          <t>0..160 кгс/см2</t>
        </is>
      </c>
      <c r="G41" s="243" t="inlineStr">
        <is>
          <t>1.5</t>
        </is>
      </c>
      <c r="H41" s="246" t="inlineStr">
        <is>
          <t>P газа после крана 8</t>
        </is>
      </c>
      <c r="I41" s="243" t="inlineStr">
        <is>
          <t>Узел подключения</t>
        </is>
      </c>
      <c r="J41" s="243" t="inlineStr">
        <is>
          <t>АСУ,А и ТМ (КЦ № 7)</t>
        </is>
      </c>
      <c r="K41" s="243" t="inlineStr">
        <is>
          <t>2019</t>
        </is>
      </c>
      <c r="L41" s="243" t="inlineStr">
        <is>
          <t>12</t>
        </is>
      </c>
      <c r="M41" s="246" t="inlineStr">
        <is>
          <t>2К26</t>
        </is>
      </c>
      <c r="N41" s="248" t="inlineStr">
        <is>
          <t>К</t>
        </is>
      </c>
    </row>
    <row r="42" ht="22.5" customHeight="1" s="236">
      <c r="A42" s="243" t="n">
        <v>41</v>
      </c>
      <c r="B42" s="246" t="inlineStr">
        <is>
          <t>Манометр технический</t>
        </is>
      </c>
      <c r="C42" s="254" t="inlineStr">
        <is>
          <t>МП4-УфБСУХЛ1</t>
        </is>
      </c>
      <c r="D42" s="254" t="inlineStr">
        <is>
          <t>311028</t>
        </is>
      </c>
      <c r="E42" s="254" t="inlineStr"/>
      <c r="F42" s="243" t="inlineStr">
        <is>
          <t>0..16 МПа</t>
        </is>
      </c>
      <c r="G42" s="243" t="inlineStr">
        <is>
          <t>1</t>
        </is>
      </c>
      <c r="H42" s="246" t="inlineStr">
        <is>
          <t>P газа до крана 8</t>
        </is>
      </c>
      <c r="I42" s="243" t="inlineStr">
        <is>
          <t>Узел подключения</t>
        </is>
      </c>
      <c r="J42" s="243" t="inlineStr">
        <is>
          <t>АСУ,А и ТМ (КЦ № 7)</t>
        </is>
      </c>
      <c r="K42" s="243" t="inlineStr">
        <is>
          <t>2019</t>
        </is>
      </c>
      <c r="L42" s="243" t="inlineStr">
        <is>
          <t>12</t>
        </is>
      </c>
      <c r="M42" s="246" t="inlineStr">
        <is>
          <t>2К26</t>
        </is>
      </c>
      <c r="N42" s="248" t="inlineStr">
        <is>
          <t>К</t>
        </is>
      </c>
    </row>
    <row r="43" ht="22.5" customHeight="1" s="236">
      <c r="A43" s="243" t="n">
        <v>42</v>
      </c>
      <c r="B43" s="246" t="inlineStr">
        <is>
          <t>Манометр технический</t>
        </is>
      </c>
      <c r="C43" s="254" t="inlineStr">
        <is>
          <t>МП4-УУ2</t>
        </is>
      </c>
      <c r="D43" s="254" t="inlineStr">
        <is>
          <t>7000142</t>
        </is>
      </c>
      <c r="E43" s="254" t="inlineStr"/>
      <c r="F43" s="243" t="inlineStr">
        <is>
          <t>0..16 МПа</t>
        </is>
      </c>
      <c r="G43" s="243" t="inlineStr">
        <is>
          <t>1</t>
        </is>
      </c>
      <c r="H43" s="246" t="inlineStr">
        <is>
          <t>P топливного газа</t>
        </is>
      </c>
      <c r="I43" s="243" t="inlineStr">
        <is>
          <t>Узел подключения</t>
        </is>
      </c>
      <c r="J43" s="243" t="inlineStr">
        <is>
          <t>АСУ,А и ТМ (КЦ № 7)</t>
        </is>
      </c>
      <c r="K43" s="243" t="inlineStr">
        <is>
          <t>2019</t>
        </is>
      </c>
      <c r="L43" s="243" t="inlineStr">
        <is>
          <t>12</t>
        </is>
      </c>
      <c r="M43" s="246" t="inlineStr">
        <is>
          <t>2К26</t>
        </is>
      </c>
      <c r="N43" s="248" t="inlineStr">
        <is>
          <t>К</t>
        </is>
      </c>
    </row>
    <row r="44" ht="22.5" customHeight="1" s="236">
      <c r="A44" s="243" t="n">
        <v>43</v>
      </c>
      <c r="B44" s="246" t="inlineStr">
        <is>
          <t>Манометр технический</t>
        </is>
      </c>
      <c r="C44" s="254" t="inlineStr">
        <is>
          <t>МП4-УУ2</t>
        </is>
      </c>
      <c r="D44" s="254" t="inlineStr">
        <is>
          <t>7000143</t>
        </is>
      </c>
      <c r="E44" s="254" t="inlineStr"/>
      <c r="F44" s="243" t="inlineStr">
        <is>
          <t>0..16 МПа</t>
        </is>
      </c>
      <c r="G44" s="243" t="inlineStr">
        <is>
          <t>1</t>
        </is>
      </c>
      <c r="H44" s="246" t="inlineStr">
        <is>
          <t>P газа после крана 7-1</t>
        </is>
      </c>
      <c r="I44" s="243" t="inlineStr">
        <is>
          <t>Узел подключения</t>
        </is>
      </c>
      <c r="J44" s="243" t="inlineStr">
        <is>
          <t>АСУ,А и ТМ (КЦ № 7)</t>
        </is>
      </c>
      <c r="K44" s="243" t="inlineStr">
        <is>
          <t>2019</t>
        </is>
      </c>
      <c r="L44" s="243" t="inlineStr">
        <is>
          <t>12</t>
        </is>
      </c>
      <c r="M44" s="246" t="inlineStr">
        <is>
          <t>2К26</t>
        </is>
      </c>
      <c r="N44" s="248" t="inlineStr">
        <is>
          <t>К</t>
        </is>
      </c>
    </row>
    <row r="45" ht="22.5" customHeight="1" s="236">
      <c r="A45" s="243" t="n">
        <v>44</v>
      </c>
      <c r="B45" s="246" t="inlineStr">
        <is>
          <t>Манометр технический</t>
        </is>
      </c>
      <c r="C45" s="254" t="inlineStr">
        <is>
          <t>МП4-УУХЛ1</t>
        </is>
      </c>
      <c r="D45" s="254" t="inlineStr">
        <is>
          <t>2097325</t>
        </is>
      </c>
      <c r="E45" s="254" t="inlineStr"/>
      <c r="F45" s="243" t="inlineStr">
        <is>
          <t>0..16 МПа</t>
        </is>
      </c>
      <c r="G45" s="243" t="inlineStr">
        <is>
          <t>1</t>
        </is>
      </c>
      <c r="H45" s="246" t="inlineStr">
        <is>
          <t>P газа до крана 7-1</t>
        </is>
      </c>
      <c r="I45" s="243" t="inlineStr">
        <is>
          <t>Узел подключения</t>
        </is>
      </c>
      <c r="J45" s="243" t="inlineStr">
        <is>
          <t>АСУ,А и ТМ (КЦ № 7)</t>
        </is>
      </c>
      <c r="K45" s="243" t="inlineStr">
        <is>
          <t>2019</t>
        </is>
      </c>
      <c r="L45" s="243" t="inlineStr">
        <is>
          <t>12</t>
        </is>
      </c>
      <c r="M45" s="246" t="inlineStr">
        <is>
          <t>2К26</t>
        </is>
      </c>
      <c r="N45" s="248" t="inlineStr">
        <is>
          <t>К</t>
        </is>
      </c>
    </row>
    <row r="46" ht="22.5" customHeight="1" s="236">
      <c r="A46" s="243" t="n">
        <v>45</v>
      </c>
      <c r="B46" s="246" t="inlineStr">
        <is>
          <t>Манометр технический</t>
        </is>
      </c>
      <c r="C46" s="254" t="inlineStr">
        <is>
          <t>МП4-УУ2</t>
        </is>
      </c>
      <c r="D46" s="254" t="inlineStr">
        <is>
          <t>7000136</t>
        </is>
      </c>
      <c r="E46" s="254" t="inlineStr"/>
      <c r="F46" s="243" t="inlineStr">
        <is>
          <t>0..16 МПа</t>
        </is>
      </c>
      <c r="G46" s="243" t="inlineStr">
        <is>
          <t>1.5</t>
        </is>
      </c>
      <c r="H46" s="246" t="inlineStr">
        <is>
          <t>P газа до крана 7</t>
        </is>
      </c>
      <c r="I46" s="243" t="inlineStr">
        <is>
          <t>Узел подключения</t>
        </is>
      </c>
      <c r="J46" s="243" t="inlineStr">
        <is>
          <t>АСУ,А и ТМ (КЦ № 7)</t>
        </is>
      </c>
      <c r="K46" s="243" t="inlineStr">
        <is>
          <t>2019</t>
        </is>
      </c>
      <c r="L46" s="243" t="inlineStr">
        <is>
          <t>12</t>
        </is>
      </c>
      <c r="M46" s="246" t="inlineStr">
        <is>
          <t>2К26</t>
        </is>
      </c>
      <c r="N46" s="248" t="inlineStr">
        <is>
          <t>К</t>
        </is>
      </c>
    </row>
    <row r="47" ht="22.5" customHeight="1" s="236">
      <c r="A47" s="243" t="n">
        <v>46</v>
      </c>
      <c r="B47" s="246" t="inlineStr">
        <is>
          <t>Манометр технический</t>
        </is>
      </c>
      <c r="C47" s="254" t="inlineStr">
        <is>
          <t>МП4-УУ2</t>
        </is>
      </c>
      <c r="D47" s="254" t="inlineStr">
        <is>
          <t>15074</t>
        </is>
      </c>
      <c r="E47" s="254" t="inlineStr"/>
      <c r="F47" s="243" t="inlineStr">
        <is>
          <t>0..160 кгс/см3</t>
        </is>
      </c>
      <c r="G47" s="243" t="inlineStr">
        <is>
          <t>1.5</t>
        </is>
      </c>
      <c r="H47" s="246" t="inlineStr">
        <is>
          <t>P импульсного газа</t>
        </is>
      </c>
      <c r="I47" s="243" t="inlineStr">
        <is>
          <t>Узел подключения</t>
        </is>
      </c>
      <c r="J47" s="243" t="inlineStr">
        <is>
          <t>АСУ,А и ТМ (КЦ № 7)</t>
        </is>
      </c>
      <c r="K47" s="243" t="inlineStr">
        <is>
          <t>2019</t>
        </is>
      </c>
      <c r="L47" s="243" t="inlineStr">
        <is>
          <t>12</t>
        </is>
      </c>
      <c r="M47" s="246" t="inlineStr">
        <is>
          <t>2К26</t>
        </is>
      </c>
      <c r="N47" s="248" t="inlineStr">
        <is>
          <t>К</t>
        </is>
      </c>
    </row>
    <row r="48" ht="22.5" customHeight="1" s="236">
      <c r="A48" s="243" t="n">
        <v>47</v>
      </c>
      <c r="B48" s="255" t="inlineStr">
        <is>
          <t>Преобразователь избыточного давления</t>
        </is>
      </c>
      <c r="C48" s="254" t="inlineStr">
        <is>
          <t>Метран 150 TGR</t>
        </is>
      </c>
      <c r="D48" s="254" t="inlineStr">
        <is>
          <t>1634492</t>
        </is>
      </c>
      <c r="E48" s="254" t="inlineStr">
        <is>
          <t>Sep.19</t>
        </is>
      </c>
      <c r="F48" s="243" t="inlineStr">
        <is>
          <t>0..16 МПа</t>
        </is>
      </c>
      <c r="G48" s="243" t="inlineStr">
        <is>
          <t>0.1</t>
        </is>
      </c>
      <c r="H48" s="246" t="inlineStr">
        <is>
          <t>Рг до крана 7-1</t>
        </is>
      </c>
      <c r="I48" s="243" t="inlineStr">
        <is>
          <t>Узел подключения</t>
        </is>
      </c>
      <c r="J48" s="243" t="inlineStr">
        <is>
          <t>АСУ,А и ТМ (КЦ № 7)</t>
        </is>
      </c>
      <c r="K48" s="243" t="inlineStr"/>
      <c r="L48" s="243" t="inlineStr"/>
      <c r="M48" s="246" t="inlineStr"/>
      <c r="N48" s="248" t="inlineStr"/>
    </row>
    <row r="49" ht="22.5" customHeight="1" s="236">
      <c r="A49" s="243" t="n">
        <v>48</v>
      </c>
      <c r="B49" s="255" t="inlineStr">
        <is>
          <t>Преобразователь избыточного давления</t>
        </is>
      </c>
      <c r="C49" s="254" t="inlineStr">
        <is>
          <t>Метран 150 TGR</t>
        </is>
      </c>
      <c r="D49" s="254" t="inlineStr">
        <is>
          <t>1634494</t>
        </is>
      </c>
      <c r="E49" s="254" t="inlineStr">
        <is>
          <t>Sep.19</t>
        </is>
      </c>
      <c r="F49" s="243" t="inlineStr">
        <is>
          <t>0..16 МПа</t>
        </is>
      </c>
      <c r="G49" s="243" t="inlineStr">
        <is>
          <t>0.1</t>
        </is>
      </c>
      <c r="H49" s="246" t="inlineStr">
        <is>
          <t>Рг после крана 7-1</t>
        </is>
      </c>
      <c r="I49" s="243" t="inlineStr">
        <is>
          <t>Узел подключения</t>
        </is>
      </c>
      <c r="J49" s="243" t="inlineStr">
        <is>
          <t>АСУ,А и ТМ (КЦ № 7)</t>
        </is>
      </c>
      <c r="K49" s="243" t="inlineStr"/>
      <c r="L49" s="243" t="inlineStr"/>
      <c r="M49" s="246" t="inlineStr"/>
      <c r="N49" s="248" t="inlineStr"/>
    </row>
    <row r="50" ht="22.5" customHeight="1" s="236">
      <c r="A50" s="243" t="n">
        <v>49</v>
      </c>
      <c r="B50" s="255" t="inlineStr">
        <is>
          <t>Преобразователь избыточного давления</t>
        </is>
      </c>
      <c r="C50" s="254" t="inlineStr">
        <is>
          <t>Метран 150 TGR</t>
        </is>
      </c>
      <c r="D50" s="254" t="inlineStr">
        <is>
          <t>1634487</t>
        </is>
      </c>
      <c r="E50" s="254" t="inlineStr">
        <is>
          <t>Sep.19</t>
        </is>
      </c>
      <c r="F50" s="243" t="inlineStr">
        <is>
          <t>0..16 МПа</t>
        </is>
      </c>
      <c r="G50" s="243" t="inlineStr">
        <is>
          <t>0.1</t>
        </is>
      </c>
      <c r="H50" s="246" t="inlineStr">
        <is>
          <t>Рг до крана 7</t>
        </is>
      </c>
      <c r="I50" s="243" t="inlineStr">
        <is>
          <t>Узел подключения</t>
        </is>
      </c>
      <c r="J50" s="243" t="inlineStr">
        <is>
          <t>АСУ,А и ТМ (КЦ № 7)</t>
        </is>
      </c>
      <c r="K50" s="243" t="inlineStr"/>
      <c r="L50" s="243" t="inlineStr"/>
      <c r="M50" s="246" t="inlineStr"/>
      <c r="N50" s="248" t="inlineStr"/>
    </row>
    <row r="51" ht="22.5" customHeight="1" s="236">
      <c r="A51" s="243" t="n">
        <v>50</v>
      </c>
      <c r="B51" s="255" t="inlineStr">
        <is>
          <t>Преобразователь избыточного давления</t>
        </is>
      </c>
      <c r="C51" s="254" t="inlineStr">
        <is>
          <t>Метран 150 TGR</t>
        </is>
      </c>
      <c r="D51" s="254" t="inlineStr">
        <is>
          <t>1634490</t>
        </is>
      </c>
      <c r="E51" s="254" t="inlineStr">
        <is>
          <t>Sep.19</t>
        </is>
      </c>
      <c r="F51" s="243" t="inlineStr">
        <is>
          <t>0..16 МПа</t>
        </is>
      </c>
      <c r="G51" s="243" t="inlineStr">
        <is>
          <t>0.1</t>
        </is>
      </c>
      <c r="H51" s="246" t="inlineStr">
        <is>
          <t>Рг после крана 7</t>
        </is>
      </c>
      <c r="I51" s="243" t="inlineStr">
        <is>
          <t>Узел подключения</t>
        </is>
      </c>
      <c r="J51" s="243" t="inlineStr">
        <is>
          <t>АСУ,А и ТМ (КЦ № 7)</t>
        </is>
      </c>
      <c r="K51" s="243" t="inlineStr"/>
      <c r="L51" s="243" t="inlineStr"/>
      <c r="M51" s="246" t="inlineStr"/>
      <c r="N51" s="248" t="inlineStr"/>
    </row>
    <row r="52" ht="22.5" customHeight="1" s="236">
      <c r="A52" s="243" t="n">
        <v>51</v>
      </c>
      <c r="B52" s="255" t="inlineStr">
        <is>
          <t>Преобразователь избыточного давления</t>
        </is>
      </c>
      <c r="C52" s="254" t="inlineStr">
        <is>
          <t>Метран 150 TGR</t>
        </is>
      </c>
      <c r="D52" s="254" t="inlineStr">
        <is>
          <t>1634489</t>
        </is>
      </c>
      <c r="E52" s="254" t="inlineStr">
        <is>
          <t>Sep.19</t>
        </is>
      </c>
      <c r="F52" s="243" t="inlineStr">
        <is>
          <t>0..16 МПа</t>
        </is>
      </c>
      <c r="G52" s="243" t="inlineStr">
        <is>
          <t>0.1</t>
        </is>
      </c>
      <c r="H52" s="246" t="inlineStr">
        <is>
          <t>Рг после крана 20</t>
        </is>
      </c>
      <c r="I52" s="243" t="inlineStr">
        <is>
          <t>Узел подключения</t>
        </is>
      </c>
      <c r="J52" s="243" t="inlineStr">
        <is>
          <t>АСУ,А и ТМ (КЦ № 7)</t>
        </is>
      </c>
      <c r="K52" s="243" t="inlineStr"/>
      <c r="L52" s="243" t="inlineStr"/>
      <c r="M52" s="246" t="inlineStr"/>
      <c r="N52" s="248" t="inlineStr"/>
    </row>
    <row r="53" ht="22.5" customHeight="1" s="236">
      <c r="A53" s="243" t="n">
        <v>52</v>
      </c>
      <c r="B53" s="255" t="inlineStr">
        <is>
          <t>Преобразователь избыточного давления</t>
        </is>
      </c>
      <c r="C53" s="254" t="inlineStr">
        <is>
          <t>Метран 150 TG</t>
        </is>
      </c>
      <c r="D53" s="254" t="inlineStr">
        <is>
          <t>6194873</t>
        </is>
      </c>
      <c r="E53" s="254" t="inlineStr">
        <is>
          <t>Sep.21</t>
        </is>
      </c>
      <c r="F53" s="243" t="inlineStr">
        <is>
          <t>0..16 МПа</t>
        </is>
      </c>
      <c r="G53" s="243" t="inlineStr">
        <is>
          <t>0.1</t>
        </is>
      </c>
      <c r="H53" s="246" t="inlineStr">
        <is>
          <t>Рг до крана 20</t>
        </is>
      </c>
      <c r="I53" s="243" t="inlineStr">
        <is>
          <t>Узел подключения</t>
        </is>
      </c>
      <c r="J53" s="243" t="inlineStr">
        <is>
          <t>АСУ,А и ТМ (КЦ № 7)</t>
        </is>
      </c>
      <c r="K53" s="243" t="inlineStr"/>
      <c r="L53" s="243" t="inlineStr"/>
      <c r="M53" s="246" t="inlineStr"/>
      <c r="N53" s="248" t="inlineStr"/>
    </row>
    <row r="54" ht="22.5" customHeight="1" s="236">
      <c r="A54" s="243" t="n">
        <v>53</v>
      </c>
      <c r="B54" s="255" t="inlineStr">
        <is>
          <t>Преобразователь избыточного давления</t>
        </is>
      </c>
      <c r="C54" s="254" t="inlineStr">
        <is>
          <t>Метран 150 TGR</t>
        </is>
      </c>
      <c r="D54" s="254" t="inlineStr">
        <is>
          <t>1634486</t>
        </is>
      </c>
      <c r="E54" s="254" t="inlineStr">
        <is>
          <t>Sep.19</t>
        </is>
      </c>
      <c r="F54" s="243" t="inlineStr">
        <is>
          <t>0..16 МПа</t>
        </is>
      </c>
      <c r="G54" s="243" t="inlineStr">
        <is>
          <t>0.1</t>
        </is>
      </c>
      <c r="H54" s="246" t="inlineStr">
        <is>
          <t>Рг до крана 8</t>
        </is>
      </c>
      <c r="I54" s="243" t="inlineStr">
        <is>
          <t>Узел подключения</t>
        </is>
      </c>
      <c r="J54" s="243" t="inlineStr">
        <is>
          <t>АСУ,А и ТМ (КЦ № 7)</t>
        </is>
      </c>
      <c r="K54" s="243" t="inlineStr"/>
      <c r="L54" s="243" t="inlineStr"/>
      <c r="M54" s="246" t="inlineStr"/>
      <c r="N54" s="248" t="inlineStr"/>
    </row>
    <row r="55" ht="22.5" customHeight="1" s="236">
      <c r="A55" s="243" t="n">
        <v>54</v>
      </c>
      <c r="B55" s="255" t="inlineStr">
        <is>
          <t>Преобразователь избыточного давления</t>
        </is>
      </c>
      <c r="C55" s="254" t="inlineStr">
        <is>
          <t>Метран 150 TGR</t>
        </is>
      </c>
      <c r="D55" s="254" t="inlineStr">
        <is>
          <t>1634493</t>
        </is>
      </c>
      <c r="E55" s="254" t="inlineStr">
        <is>
          <t>Sep.19</t>
        </is>
      </c>
      <c r="F55" s="243" t="inlineStr">
        <is>
          <t>0..16 МПа</t>
        </is>
      </c>
      <c r="G55" s="243" t="inlineStr">
        <is>
          <t>0.1</t>
        </is>
      </c>
      <c r="H55" s="246" t="inlineStr">
        <is>
          <t>Рг после крана 8</t>
        </is>
      </c>
      <c r="I55" s="243" t="inlineStr">
        <is>
          <t>Узел подключения</t>
        </is>
      </c>
      <c r="J55" s="243" t="inlineStr">
        <is>
          <t>АСУ,А и ТМ (КЦ № 7)</t>
        </is>
      </c>
      <c r="K55" s="243" t="inlineStr"/>
      <c r="L55" s="243" t="inlineStr"/>
      <c r="M55" s="246" t="inlineStr"/>
      <c r="N55" s="248" t="inlineStr"/>
    </row>
    <row r="56" ht="22.5" customHeight="1" s="236">
      <c r="A56" s="243" t="n">
        <v>55</v>
      </c>
      <c r="B56" s="255" t="inlineStr">
        <is>
          <t>Преобразователь избыточного давления</t>
        </is>
      </c>
      <c r="C56" s="254" t="inlineStr">
        <is>
          <t>Метран 150 TGR</t>
        </is>
      </c>
      <c r="D56" s="254" t="inlineStr">
        <is>
          <t>1634488</t>
        </is>
      </c>
      <c r="E56" s="254" t="inlineStr">
        <is>
          <t>Sep.19</t>
        </is>
      </c>
      <c r="F56" s="243" t="inlineStr">
        <is>
          <t>0..16 МПа</t>
        </is>
      </c>
      <c r="G56" s="243" t="inlineStr">
        <is>
          <t>0.1</t>
        </is>
      </c>
      <c r="H56" s="246" t="inlineStr">
        <is>
          <t>Рг в аккумуляторе импульсного газа крана 8</t>
        </is>
      </c>
      <c r="I56" s="243" t="inlineStr">
        <is>
          <t>Узел подключения</t>
        </is>
      </c>
      <c r="J56" s="243" t="inlineStr">
        <is>
          <t>АСУ,А и ТМ (КЦ № 7)</t>
        </is>
      </c>
      <c r="K56" s="243" t="inlineStr"/>
      <c r="L56" s="243" t="inlineStr"/>
      <c r="M56" s="246" t="inlineStr"/>
      <c r="N56" s="248" t="inlineStr"/>
    </row>
    <row r="57" ht="22.5" customHeight="1" s="236">
      <c r="A57" s="243" t="n">
        <v>56</v>
      </c>
      <c r="B57" s="255" t="inlineStr">
        <is>
          <t>Преобразователь избыточного давления</t>
        </is>
      </c>
      <c r="C57" s="254" t="inlineStr">
        <is>
          <t>Метран 150 TGR</t>
        </is>
      </c>
      <c r="D57" s="254" t="inlineStr">
        <is>
          <t>1634491</t>
        </is>
      </c>
      <c r="E57" s="254" t="inlineStr">
        <is>
          <t>Sep.19</t>
        </is>
      </c>
      <c r="F57" s="243" t="inlineStr">
        <is>
          <t>0..16 МПа</t>
        </is>
      </c>
      <c r="G57" s="243" t="inlineStr">
        <is>
          <t>0.1</t>
        </is>
      </c>
      <c r="H57" s="246" t="inlineStr">
        <is>
          <t>Р топливного газа</t>
        </is>
      </c>
      <c r="I57" s="243" t="inlineStr">
        <is>
          <t>Узел подключения</t>
        </is>
      </c>
      <c r="J57" s="243" t="inlineStr">
        <is>
          <t>АСУ,А и ТМ (КЦ № 7)</t>
        </is>
      </c>
      <c r="K57" s="243" t="inlineStr"/>
      <c r="L57" s="243" t="inlineStr"/>
      <c r="M57" s="246" t="inlineStr"/>
      <c r="N57" s="248" t="inlineStr"/>
    </row>
    <row r="58" ht="22.5" customHeight="1" s="236">
      <c r="A58" s="243" t="n">
        <v>57</v>
      </c>
      <c r="B58" s="255" t="inlineStr">
        <is>
          <t>Преобразователь избыточного давления</t>
        </is>
      </c>
      <c r="C58" s="254" t="inlineStr">
        <is>
          <t>Метран 150 TAR</t>
        </is>
      </c>
      <c r="D58" s="254" t="inlineStr">
        <is>
          <t>1634497</t>
        </is>
      </c>
      <c r="E58" s="254" t="inlineStr">
        <is>
          <t>Sep.19</t>
        </is>
      </c>
      <c r="F58" s="243" t="inlineStr">
        <is>
          <t>0..16 кПа</t>
        </is>
      </c>
      <c r="G58" s="243" t="inlineStr">
        <is>
          <t>0.1</t>
        </is>
      </c>
      <c r="H58" s="246" t="inlineStr">
        <is>
          <t>Р атмосферного воздуъа</t>
        </is>
      </c>
      <c r="I58" s="243" t="inlineStr">
        <is>
          <t>Узел подключения</t>
        </is>
      </c>
      <c r="J58" s="243" t="inlineStr">
        <is>
          <t>АСУ,А и ТМ (КЦ № 7)</t>
        </is>
      </c>
      <c r="K58" s="243" t="inlineStr"/>
      <c r="L58" s="243" t="inlineStr"/>
      <c r="M58" s="246" t="inlineStr"/>
      <c r="N58" s="248" t="inlineStr"/>
    </row>
    <row r="59" ht="22.5" customFormat="1" customHeight="1" s="417">
      <c r="A59" s="243" t="n">
        <v>58</v>
      </c>
      <c r="B59" s="255" t="inlineStr">
        <is>
          <t>Термометр сопротивления</t>
        </is>
      </c>
      <c r="C59" s="254" t="inlineStr">
        <is>
          <t>ТСПУ 031П</t>
        </is>
      </c>
      <c r="D59" s="254" t="inlineStr">
        <is>
          <t>40</t>
        </is>
      </c>
      <c r="E59" s="254" t="inlineStr">
        <is>
          <t>Aug.19</t>
        </is>
      </c>
      <c r="F59" s="243" t="inlineStr">
        <is>
          <t>-50..+150 °С (120мм)</t>
        </is>
      </c>
      <c r="G59" s="243" t="inlineStr">
        <is>
          <t>0,5-0,6%</t>
        </is>
      </c>
      <c r="H59" s="246" t="inlineStr">
        <is>
          <t>Уровень защитного катализатора на трубопроводе</t>
        </is>
      </c>
      <c r="I59" s="243" t="inlineStr">
        <is>
          <t>Узел подключения</t>
        </is>
      </c>
      <c r="J59" s="243" t="inlineStr">
        <is>
          <t>АСУ,А и ТМ (КЦ № 7)</t>
        </is>
      </c>
      <c r="K59" s="243" t="inlineStr"/>
      <c r="L59" s="243" t="inlineStr"/>
      <c r="M59" s="246" t="inlineStr"/>
      <c r="N59" s="248" t="inlineStr"/>
    </row>
    <row r="60" ht="22.5" customFormat="1" customHeight="1" s="417">
      <c r="A60" s="243" t="n">
        <v>59</v>
      </c>
      <c r="B60" s="255" t="inlineStr">
        <is>
          <t>Термометр сопротивления</t>
        </is>
      </c>
      <c r="C60" s="254" t="inlineStr">
        <is>
          <t>ТСПУ 031П</t>
        </is>
      </c>
      <c r="D60" s="254" t="inlineStr">
        <is>
          <t>41</t>
        </is>
      </c>
      <c r="E60" s="254" t="inlineStr">
        <is>
          <t>Aug.19</t>
        </is>
      </c>
      <c r="F60" s="243" t="inlineStr">
        <is>
          <t>-50..+150 °С (120мм)</t>
        </is>
      </c>
      <c r="G60" s="243" t="inlineStr">
        <is>
          <t>0,5-0,6%</t>
        </is>
      </c>
      <c r="H60" s="246" t="inlineStr">
        <is>
          <t>Температура грунта</t>
        </is>
      </c>
      <c r="I60" s="243" t="inlineStr">
        <is>
          <t>Узел подключения</t>
        </is>
      </c>
      <c r="J60" s="243" t="inlineStr">
        <is>
          <t>АСУ,А и ТМ (КЦ № 7)</t>
        </is>
      </c>
      <c r="K60" s="243" t="inlineStr"/>
      <c r="L60" s="243" t="inlineStr"/>
      <c r="M60" s="246" t="inlineStr"/>
      <c r="N60" s="248" t="inlineStr"/>
    </row>
    <row r="61" ht="22.5" customFormat="1" customHeight="1" s="417">
      <c r="A61" s="243" t="n">
        <v>60</v>
      </c>
      <c r="B61" s="255" t="inlineStr">
        <is>
          <t>Термометр сопротивления</t>
        </is>
      </c>
      <c r="C61" s="254" t="inlineStr">
        <is>
          <t>ТСПУ 031С</t>
        </is>
      </c>
      <c r="D61" s="254" t="inlineStr">
        <is>
          <t>95</t>
        </is>
      </c>
      <c r="E61" s="254" t="inlineStr">
        <is>
          <t>Aug.19</t>
        </is>
      </c>
      <c r="F61" s="243" t="inlineStr">
        <is>
          <t>-50..+200 °С (120мм)</t>
        </is>
      </c>
      <c r="G61" s="243" t="inlineStr">
        <is>
          <t>0,5-0,6%</t>
        </is>
      </c>
      <c r="H61" s="246" t="inlineStr">
        <is>
          <t>Температура атмосферного воздуха</t>
        </is>
      </c>
      <c r="I61" s="243" t="inlineStr">
        <is>
          <t>Узел подключения</t>
        </is>
      </c>
      <c r="J61" s="243" t="inlineStr">
        <is>
          <t>АСУ,А и ТМ (КЦ № 7)</t>
        </is>
      </c>
      <c r="K61" s="243" t="inlineStr"/>
      <c r="L61" s="243" t="inlineStr"/>
      <c r="M61" s="246" t="inlineStr"/>
      <c r="N61" s="248" t="inlineStr"/>
    </row>
  </sheetData>
  <conditionalFormatting sqref="M1:M1048576">
    <cfRule type="expression" rank="0" priority="2" equalAverage="0" aboveAverage="0" dxfId="1" text="" percent="0" bottom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rintOptions horizontalCentered="0" verticalCentered="0" headings="0" gridLines="0" gridLinesSet="1"/>
  <pageMargins left="0.7" right="0.7" top="0.75" bottom="0.75" header="0.511805555555555" footer="0.511805555555555"/>
  <pageSetup orientation="landscape" paperSize="9" scale="100" fitToHeight="1" fitToWidth="1" pageOrder="downThenOver" blackAndWhite="0" draft="0" horizontalDpi="300" verticalDpi="300" copies="1"/>
</worksheet>
</file>

<file path=xl/worksheets/sheet31.xml><?xml version="1.0" encoding="utf-8"?>
<worksheet xmlns="http://schemas.openxmlformats.org/spreadsheetml/2006/main">
  <sheetPr filterMode="0">
    <outlinePr summaryBelow="1" summaryRight="1"/>
    <pageSetUpPr fitToPage="0"/>
  </sheetPr>
  <dimension ref="A1:N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M2" activeCellId="0" sqref="M2"/>
    </sheetView>
  </sheetViews>
  <sheetFormatPr baseColWidth="8" defaultColWidth="8.55078125" defaultRowHeight="15" zeroHeight="0" outlineLevelRow="0"/>
  <cols>
    <col width="5.14" customWidth="1" style="235" min="1" max="1"/>
    <col width="17.58" customWidth="1" style="235" min="2" max="2"/>
    <col width="8.140000000000001" customWidth="1" style="235" min="3" max="3"/>
    <col width="8" customWidth="1" style="235" min="4" max="4"/>
    <col width="6.57" customWidth="1" style="235" min="5" max="5"/>
    <col width="9.710000000000001" customWidth="1" style="235" min="6" max="6"/>
    <col width="7.42" customWidth="1" style="235" min="7" max="7"/>
    <col width="12.86" customWidth="1" style="235" min="8" max="8"/>
    <col width="8" customWidth="1" style="235" min="9" max="9"/>
    <col width="17.42" customWidth="1" style="235" min="10" max="10"/>
    <col width="8" customWidth="1" style="235" min="11" max="11"/>
    <col width="12.57" customWidth="1" style="235" min="12" max="12"/>
    <col width="8.859999999999999" customWidth="1" style="235" min="13" max="13"/>
    <col width="9" customWidth="1" style="235" min="14" max="14"/>
  </cols>
  <sheetData>
    <row r="1" ht="45" customHeight="1" s="236">
      <c r="A1" s="239" t="inlineStr">
        <is>
          <t>№ п/п</t>
        </is>
      </c>
      <c r="B1" s="239" t="inlineStr">
        <is>
          <t>Наименование</t>
        </is>
      </c>
      <c r="C1" s="239" t="inlineStr">
        <is>
          <t>Тип</t>
        </is>
      </c>
      <c r="D1" s="239" t="inlineStr">
        <is>
          <t>Заводской номер</t>
        </is>
      </c>
      <c r="E1" s="240" t="inlineStr">
        <is>
          <t>Год выпуска</t>
        </is>
      </c>
      <c r="F1" s="239" t="inlineStr">
        <is>
          <t>Диапазон измерений</t>
        </is>
      </c>
      <c r="G1" s="239" t="inlineStr">
        <is>
          <t>Класс точности</t>
        </is>
      </c>
      <c r="H1" s="239" t="inlineStr">
        <is>
          <t>Место установки СИ</t>
        </is>
      </c>
      <c r="I1" s="239" t="inlineStr">
        <is>
          <t>Объект установки</t>
        </is>
      </c>
      <c r="J1" s="239" t="inlineStr">
        <is>
          <t>Подразделение</t>
        </is>
      </c>
      <c r="K1" s="239" t="inlineStr">
        <is>
          <t>Дата установки</t>
        </is>
      </c>
      <c r="L1" s="239" t="inlineStr">
        <is>
          <t>Межповерочный интервал, мес.</t>
        </is>
      </c>
      <c r="M1" s="240" t="inlineStr">
        <is>
          <t>Дата последней поверки / калибровки</t>
        </is>
      </c>
      <c r="N1" s="239" t="inlineStr">
        <is>
          <t>Поверка (П)/ Калибровка (К)</t>
        </is>
      </c>
    </row>
    <row r="2" ht="22.5" customHeight="1" s="236">
      <c r="A2" s="418" t="n">
        <v>1</v>
      </c>
      <c r="B2" s="418" t="inlineStr">
        <is>
          <t>Манометр технический</t>
        </is>
      </c>
      <c r="C2" s="418" t="inlineStr">
        <is>
          <t>МП4-УУ2</t>
        </is>
      </c>
      <c r="D2" s="418" t="inlineStr">
        <is>
          <t>30167</t>
        </is>
      </c>
      <c r="E2" s="418" t="inlineStr">
        <is>
          <t>2010</t>
        </is>
      </c>
      <c r="F2" s="418" t="inlineStr">
        <is>
          <t>0…..6 кгс</t>
        </is>
      </c>
      <c r="G2" s="418" t="inlineStr">
        <is>
          <t>1.5</t>
        </is>
      </c>
      <c r="H2" s="418" t="inlineStr">
        <is>
          <t>Р воды после расходомера</t>
        </is>
      </c>
      <c r="I2" s="418" t="inlineStr">
        <is>
          <t>КОС</t>
        </is>
      </c>
      <c r="J2" s="418" t="inlineStr">
        <is>
          <t>АСУ,А и ТМ (КЦ № 6)</t>
        </is>
      </c>
      <c r="K2" s="418" t="inlineStr">
        <is>
          <t>2012</t>
        </is>
      </c>
      <c r="L2" s="418" t="inlineStr">
        <is>
          <t>12</t>
        </is>
      </c>
      <c r="M2" s="419" t="inlineStr">
        <is>
          <t>25ДЯУ</t>
        </is>
      </c>
      <c r="N2" s="418" t="inlineStr">
        <is>
          <t>П</t>
        </is>
      </c>
    </row>
    <row r="3" ht="22.5" customHeight="1" s="236">
      <c r="A3" s="420" t="n">
        <v>2</v>
      </c>
      <c r="B3" s="420" t="inlineStr">
        <is>
          <t>Манометр технический</t>
        </is>
      </c>
      <c r="C3" s="420" t="inlineStr">
        <is>
          <t>МП4-УУ2</t>
        </is>
      </c>
      <c r="D3" s="420" t="inlineStr">
        <is>
          <t>700310</t>
        </is>
      </c>
      <c r="E3" s="420" t="inlineStr">
        <is>
          <t>2010</t>
        </is>
      </c>
      <c r="F3" s="420" t="inlineStr">
        <is>
          <t>0…600 кПа</t>
        </is>
      </c>
      <c r="G3" s="420" t="inlineStr">
        <is>
          <t>1.5</t>
        </is>
      </c>
      <c r="H3" s="420" t="inlineStr">
        <is>
          <t>Р воды после расходомера</t>
        </is>
      </c>
      <c r="I3" s="420" t="inlineStr">
        <is>
          <t>КОС</t>
        </is>
      </c>
      <c r="J3" s="420" t="inlineStr">
        <is>
          <t>АСУ,А и ТМ (КЦ № 6)</t>
        </is>
      </c>
      <c r="K3" s="420" t="inlineStr">
        <is>
          <t>2012</t>
        </is>
      </c>
      <c r="L3" s="420" t="inlineStr">
        <is>
          <t>12</t>
        </is>
      </c>
      <c r="M3" s="421" t="inlineStr">
        <is>
          <t>26ДЯУ</t>
        </is>
      </c>
      <c r="N3" s="420" t="inlineStr">
        <is>
          <t>П</t>
        </is>
      </c>
    </row>
  </sheetData>
  <conditionalFormatting sqref="M1:M2">
    <cfRule type="expression" rank="0" priority="2" equalAverage="0" aboveAverage="0" dxfId="1" text="" percent="0" bottom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conditionalFormatting sqref="M3">
    <cfRule type="expression" rank="0" priority="3" equalAverage="0" aboveAverage="0" dxfId="1" text="" percent="0" bottom="0">
      <formula>OR(AND(IF(VALUE(LEFT(TEXT($M3,"0"),1))&lt;=INT((MONTH(TODAY())+2)/3),1),IF(VALUE(RIGHT(TEXT($M3,"0"),2))+($L3/12)&lt;=VALUE(TEXT(TODAY(),"ГГ")),1),OR($N3="К",$N3="K", ,$N3="П")),IFERROR(AND(IF(INT((MONTH($M3)+2)/3)&lt;=INT((MONTH(TODAY())+2)/3),1),IF(VALUE(TEXT($M3,"ГГ"))+($L3/12)&lt;=VALUE(TEXT(TODAY(),"ГГ")),1),OR($N3="К",$N3="K",$N3="П")),0))</formula>
    </cfRule>
  </conditionalFormatting>
  <printOptions horizontalCentered="0" verticalCentered="0" headings="0" gridLines="0" gridLinesSet="1"/>
  <pageMargins left="0.7" right="0.7" top="0.75" bottom="0.75" header="0.511805555555555" footer="0.511805555555555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АСУ КЦ6</dc:creator>
  <dc:language>en-US</dc:language>
  <dcterms:created xsi:type="dcterms:W3CDTF">2019-05-27T06:08:35Z</dcterms:created>
  <dcterms:modified xsi:type="dcterms:W3CDTF">2026-10-27T19:22:56Z</dcterms:modified>
  <cp:lastModifiedBy>АСУ КЦ 6-7</cp:lastModifiedBy>
  <cp:revision>0</cp:revision>
  <cp:lastPrinted>2026-07-23T06:15:52Z</cp:lastPrinted>
</cp:coreProperties>
</file>